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2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4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44525"/>
</workbook>
</file>

<file path=xl/calcChain.xml><?xml version="1.0" encoding="utf-8"?>
<calcChain xmlns="http://schemas.openxmlformats.org/spreadsheetml/2006/main">
  <c r="F110" i="33" l="1"/>
  <c r="F111" i="33" s="1"/>
  <c r="J110" i="29"/>
  <c r="J111" i="29" s="1"/>
  <c r="G110" i="28"/>
  <c r="G112" i="28"/>
  <c r="I110" i="22"/>
  <c r="I112" i="22" s="1"/>
  <c r="G110" i="22"/>
  <c r="G112" i="22" s="1"/>
  <c r="J110" i="22"/>
  <c r="J112" i="22" s="1"/>
  <c r="H110" i="22"/>
  <c r="H111" i="22"/>
  <c r="F110" i="21"/>
  <c r="F112" i="21" s="1"/>
  <c r="G110" i="21"/>
  <c r="G112" i="21" s="1"/>
  <c r="J110" i="21"/>
  <c r="J112" i="21" s="1"/>
  <c r="Q110" i="21"/>
  <c r="Q111" i="21"/>
  <c r="I110" i="21"/>
  <c r="I112" i="21" s="1"/>
  <c r="H110" i="21"/>
  <c r="H112" i="21" s="1"/>
  <c r="G110" i="20"/>
  <c r="G112" i="20" s="1"/>
  <c r="J110" i="20"/>
  <c r="J112" i="20"/>
  <c r="I110" i="20"/>
  <c r="I112" i="20" s="1"/>
  <c r="H110" i="20"/>
  <c r="H111" i="20" s="1"/>
  <c r="F110" i="19"/>
  <c r="F111" i="19" s="1"/>
  <c r="G110" i="19"/>
  <c r="G112" i="19"/>
  <c r="J110" i="19"/>
  <c r="J112" i="19" s="1"/>
  <c r="I110" i="19"/>
  <c r="I112" i="19" s="1"/>
  <c r="Q110" i="19"/>
  <c r="Q112" i="19" s="1"/>
  <c r="H110" i="19"/>
  <c r="H111" i="19"/>
  <c r="G110" i="18"/>
  <c r="G111" i="18" s="1"/>
  <c r="N110" i="18"/>
  <c r="N111" i="18" s="1"/>
  <c r="J110" i="18"/>
  <c r="J112" i="18" s="1"/>
  <c r="I110" i="18"/>
  <c r="I112" i="18"/>
  <c r="H110" i="18"/>
  <c r="H112" i="18" s="1"/>
  <c r="E110" i="17"/>
  <c r="E112" i="17" s="1"/>
  <c r="G110" i="17"/>
  <c r="G112" i="17" s="1"/>
  <c r="N110" i="17"/>
  <c r="N111" i="17"/>
  <c r="J110" i="17"/>
  <c r="J112" i="17" s="1"/>
  <c r="I110" i="17"/>
  <c r="I112" i="17" s="1"/>
  <c r="H110" i="17"/>
  <c r="H112" i="17" s="1"/>
  <c r="F110" i="16"/>
  <c r="F111" i="16"/>
  <c r="E110" i="16"/>
  <c r="E112" i="16" s="1"/>
  <c r="N110" i="16"/>
  <c r="N112" i="16" s="1"/>
  <c r="G110" i="16"/>
  <c r="G112" i="16" s="1"/>
  <c r="J110" i="16"/>
  <c r="J111" i="16"/>
  <c r="I110" i="16"/>
  <c r="I112" i="16" s="1"/>
  <c r="H110" i="16"/>
  <c r="H111" i="16" s="1"/>
  <c r="J110" i="15"/>
  <c r="J112" i="15" s="1"/>
  <c r="I110" i="15"/>
  <c r="I112" i="15"/>
  <c r="H110" i="15"/>
  <c r="H112" i="15" s="1"/>
  <c r="G110" i="15"/>
  <c r="G112" i="15" s="1"/>
  <c r="G110" i="14"/>
  <c r="G112" i="14" s="1"/>
  <c r="J110" i="14"/>
  <c r="J111" i="14"/>
  <c r="I110" i="14"/>
  <c r="I112" i="14" s="1"/>
  <c r="H110" i="14"/>
  <c r="H111" i="14" s="1"/>
  <c r="F110" i="14"/>
  <c r="F112" i="14" s="1"/>
  <c r="E110" i="14"/>
  <c r="J110" i="13"/>
  <c r="J112" i="13"/>
  <c r="I110" i="13"/>
  <c r="I111" i="13"/>
  <c r="H110" i="13"/>
  <c r="H111" i="13" s="1"/>
  <c r="G110" i="13"/>
  <c r="G111" i="13"/>
  <c r="J110" i="12"/>
  <c r="I110" i="12"/>
  <c r="H110" i="12"/>
  <c r="H111" i="12"/>
  <c r="G110" i="12"/>
  <c r="G112" i="12"/>
  <c r="J110" i="11"/>
  <c r="I110" i="11"/>
  <c r="H110" i="11"/>
  <c r="H111" i="11"/>
  <c r="G110" i="11"/>
  <c r="G112" i="11"/>
  <c r="J110" i="10"/>
  <c r="J111" i="10" s="1"/>
  <c r="I110" i="10"/>
  <c r="I111" i="10"/>
  <c r="H110" i="10"/>
  <c r="H111" i="10" s="1"/>
  <c r="G110" i="10"/>
  <c r="G111" i="10"/>
  <c r="F110" i="10"/>
  <c r="F111" i="10"/>
  <c r="J110" i="9"/>
  <c r="J111" i="9"/>
  <c r="I110" i="9"/>
  <c r="I111" i="9"/>
  <c r="H110" i="9"/>
  <c r="H111" i="9"/>
  <c r="G110" i="9"/>
  <c r="G111" i="9" s="1"/>
  <c r="F110" i="9"/>
  <c r="F111" i="9"/>
  <c r="L110" i="9"/>
  <c r="L112" i="9" s="1"/>
  <c r="L110" i="8"/>
  <c r="L112" i="8"/>
  <c r="J110" i="8"/>
  <c r="J111" i="8"/>
  <c r="I110" i="8"/>
  <c r="I111" i="8"/>
  <c r="H110" i="8"/>
  <c r="H112" i="8"/>
  <c r="G110" i="8"/>
  <c r="G112" i="8"/>
  <c r="F110" i="8"/>
  <c r="G110" i="3"/>
  <c r="G112" i="3" s="1"/>
  <c r="F110" i="3"/>
  <c r="F112" i="3"/>
  <c r="L110" i="3"/>
  <c r="L112" i="3" s="1"/>
  <c r="H110" i="2"/>
  <c r="H111" i="2" s="1"/>
  <c r="G110" i="2"/>
  <c r="G111" i="2" s="1"/>
  <c r="F110" i="2"/>
  <c r="F112" i="2" s="1"/>
  <c r="L110" i="2"/>
  <c r="L112" i="2" s="1"/>
  <c r="A39" i="39"/>
  <c r="C39" i="39"/>
  <c r="Q110" i="44"/>
  <c r="Q112" i="44" s="1"/>
  <c r="J110" i="44"/>
  <c r="J112" i="44"/>
  <c r="H110" i="44"/>
  <c r="H112" i="44"/>
  <c r="I110" i="44"/>
  <c r="I112" i="44"/>
  <c r="J110" i="41"/>
  <c r="J111" i="41"/>
  <c r="H110" i="41"/>
  <c r="H111" i="41"/>
  <c r="I110" i="41"/>
  <c r="I112" i="41"/>
  <c r="P110" i="44"/>
  <c r="P112" i="44"/>
  <c r="O110" i="44"/>
  <c r="O111" i="44" s="1"/>
  <c r="N110" i="44"/>
  <c r="N112" i="44"/>
  <c r="M110" i="44"/>
  <c r="M112" i="44"/>
  <c r="L110" i="44"/>
  <c r="L112" i="44"/>
  <c r="K110" i="44"/>
  <c r="K112" i="44"/>
  <c r="G110" i="44"/>
  <c r="G112" i="44"/>
  <c r="F110" i="44"/>
  <c r="F112" i="44"/>
  <c r="E110" i="44"/>
  <c r="E112" i="44"/>
  <c r="D110" i="44"/>
  <c r="D112" i="44" s="1"/>
  <c r="C110" i="44"/>
  <c r="C112" i="44"/>
  <c r="B110" i="44"/>
  <c r="B112" i="44"/>
  <c r="Q109" i="44"/>
  <c r="P109" i="44"/>
  <c r="O109" i="44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B109" i="44"/>
  <c r="Q108" i="44"/>
  <c r="Q39" i="39" s="1"/>
  <c r="P108" i="44"/>
  <c r="P39" i="39" s="1"/>
  <c r="O108" i="44"/>
  <c r="O39" i="39" s="1"/>
  <c r="N108" i="44"/>
  <c r="N39" i="39" s="1"/>
  <c r="M108" i="44"/>
  <c r="M39" i="39" s="1"/>
  <c r="L108" i="44"/>
  <c r="L39" i="39" s="1"/>
  <c r="K108" i="44"/>
  <c r="K39" i="39" s="1"/>
  <c r="J108" i="44"/>
  <c r="J39" i="39" s="1"/>
  <c r="I108" i="44"/>
  <c r="I39" i="39" s="1"/>
  <c r="H108" i="44"/>
  <c r="H39" i="39" s="1"/>
  <c r="G108" i="44"/>
  <c r="G39" i="39" s="1"/>
  <c r="F108" i="44"/>
  <c r="F39" i="39" s="1"/>
  <c r="E108" i="44"/>
  <c r="E39" i="39" s="1"/>
  <c r="D108" i="44"/>
  <c r="D39" i="39" s="1"/>
  <c r="C108" i="44"/>
  <c r="B108" i="44"/>
  <c r="B39" i="39" s="1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F110" i="40"/>
  <c r="F111" i="40" s="1"/>
  <c r="J110" i="40"/>
  <c r="J111" i="40" s="1"/>
  <c r="I110" i="40"/>
  <c r="I112" i="40" s="1"/>
  <c r="H110" i="40"/>
  <c r="H111" i="40" s="1"/>
  <c r="J110" i="33"/>
  <c r="J111" i="33"/>
  <c r="I110" i="33"/>
  <c r="I112" i="33" s="1"/>
  <c r="J110" i="32"/>
  <c r="J112" i="32" s="1"/>
  <c r="I110" i="32"/>
  <c r="I111" i="32" s="1"/>
  <c r="H110" i="32"/>
  <c r="H112" i="32" s="1"/>
  <c r="F110" i="31"/>
  <c r="F112" i="31" s="1"/>
  <c r="H110" i="31"/>
  <c r="H112" i="31" s="1"/>
  <c r="I110" i="31"/>
  <c r="I112" i="31" s="1"/>
  <c r="J110" i="31"/>
  <c r="J111" i="31"/>
  <c r="Q110" i="30"/>
  <c r="Q111" i="30" s="1"/>
  <c r="H110" i="30"/>
  <c r="H112" i="30" s="1"/>
  <c r="J110" i="30"/>
  <c r="J111" i="30" s="1"/>
  <c r="I110" i="30"/>
  <c r="I112" i="30" s="1"/>
  <c r="E110" i="29"/>
  <c r="E112" i="29" s="1"/>
  <c r="F110" i="29"/>
  <c r="F112" i="29" s="1"/>
  <c r="G110" i="29"/>
  <c r="G112" i="29" s="1"/>
  <c r="H110" i="29"/>
  <c r="H112" i="29"/>
  <c r="I110" i="29"/>
  <c r="I112" i="29" s="1"/>
  <c r="Q110" i="28"/>
  <c r="Q112" i="28" s="1"/>
  <c r="H110" i="28"/>
  <c r="H112" i="28" s="1"/>
  <c r="I110" i="28"/>
  <c r="I111" i="28" s="1"/>
  <c r="J110" i="28"/>
  <c r="J111" i="28" s="1"/>
  <c r="J110" i="27"/>
  <c r="J111" i="27" s="1"/>
  <c r="I110" i="27"/>
  <c r="I112" i="27" s="1"/>
  <c r="H110" i="27"/>
  <c r="H111" i="27"/>
  <c r="J110" i="26"/>
  <c r="J111" i="26" s="1"/>
  <c r="I110" i="26"/>
  <c r="I111" i="26" s="1"/>
  <c r="G110" i="26"/>
  <c r="G111" i="26" s="1"/>
  <c r="F110" i="26"/>
  <c r="H110" i="26"/>
  <c r="H111" i="26"/>
  <c r="G110" i="25"/>
  <c r="G112" i="25"/>
  <c r="I110" i="25"/>
  <c r="I112" i="25"/>
  <c r="J110" i="25"/>
  <c r="J112" i="25"/>
  <c r="H110" i="25"/>
  <c r="H112" i="25" s="1"/>
  <c r="G110" i="24"/>
  <c r="G111" i="24"/>
  <c r="I110" i="24"/>
  <c r="I112" i="24"/>
  <c r="J110" i="24"/>
  <c r="J111" i="24"/>
  <c r="H110" i="24"/>
  <c r="H111" i="24"/>
  <c r="J110" i="23"/>
  <c r="J111" i="23"/>
  <c r="I110" i="23"/>
  <c r="I111" i="23"/>
  <c r="H110" i="23"/>
  <c r="H111" i="23"/>
  <c r="G110" i="23"/>
  <c r="B2" i="23"/>
  <c r="A26" i="39" s="1"/>
  <c r="C110" i="2"/>
  <c r="C112" i="2" s="1"/>
  <c r="D110" i="2"/>
  <c r="E110" i="2"/>
  <c r="E112" i="2"/>
  <c r="I110" i="2"/>
  <c r="I112" i="2"/>
  <c r="J110" i="2"/>
  <c r="K110" i="2"/>
  <c r="K111" i="2" s="1"/>
  <c r="M110" i="2"/>
  <c r="M112" i="2" s="1"/>
  <c r="N110" i="2"/>
  <c r="N111" i="2"/>
  <c r="O110" i="2"/>
  <c r="O112" i="2" s="1"/>
  <c r="P110" i="2"/>
  <c r="P111" i="2" s="1"/>
  <c r="Q110" i="2"/>
  <c r="Q112" i="2" s="1"/>
  <c r="C110" i="3"/>
  <c r="C112" i="3" s="1"/>
  <c r="D110" i="3"/>
  <c r="D111" i="3" s="1"/>
  <c r="E110" i="3"/>
  <c r="E112" i="3" s="1"/>
  <c r="H110" i="3"/>
  <c r="H111" i="3" s="1"/>
  <c r="I110" i="3"/>
  <c r="J110" i="3"/>
  <c r="J112" i="3" s="1"/>
  <c r="K110" i="3"/>
  <c r="K111" i="3"/>
  <c r="M110" i="3"/>
  <c r="M111" i="3"/>
  <c r="N110" i="3"/>
  <c r="O110" i="3"/>
  <c r="P110" i="3"/>
  <c r="P112" i="3"/>
  <c r="Q110" i="3"/>
  <c r="Q110" i="41"/>
  <c r="Q112" i="41" s="1"/>
  <c r="P110" i="41"/>
  <c r="P112" i="41" s="1"/>
  <c r="O110" i="41"/>
  <c r="O111" i="41"/>
  <c r="N110" i="41"/>
  <c r="N112" i="41" s="1"/>
  <c r="M110" i="41"/>
  <c r="M111" i="41" s="1"/>
  <c r="L110" i="41"/>
  <c r="L112" i="41" s="1"/>
  <c r="K110" i="41"/>
  <c r="K112" i="41" s="1"/>
  <c r="G110" i="41"/>
  <c r="G111" i="41" s="1"/>
  <c r="F110" i="41"/>
  <c r="F112" i="41" s="1"/>
  <c r="E110" i="41"/>
  <c r="E112" i="41" s="1"/>
  <c r="D110" i="41"/>
  <c r="D112" i="41"/>
  <c r="C110" i="41"/>
  <c r="C112" i="41" s="1"/>
  <c r="B110" i="41"/>
  <c r="B112" i="41" s="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P108" i="41"/>
  <c r="O108" i="41"/>
  <c r="N108" i="41"/>
  <c r="M108" i="41"/>
  <c r="M38" i="39" s="1"/>
  <c r="L108" i="41"/>
  <c r="K108" i="41"/>
  <c r="J108" i="41"/>
  <c r="I108" i="41"/>
  <c r="I38" i="39"/>
  <c r="H108" i="41"/>
  <c r="G108" i="41"/>
  <c r="F108" i="41"/>
  <c r="E108" i="41"/>
  <c r="D108" i="41"/>
  <c r="C108" i="41"/>
  <c r="B108" i="4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Q110" i="40"/>
  <c r="Q112" i="40"/>
  <c r="P110" i="40"/>
  <c r="P112" i="40"/>
  <c r="O110" i="40"/>
  <c r="O111" i="40"/>
  <c r="N110" i="40"/>
  <c r="N112" i="40"/>
  <c r="M110" i="40"/>
  <c r="M112" i="40" s="1"/>
  <c r="L110" i="40"/>
  <c r="L112" i="40"/>
  <c r="K110" i="40"/>
  <c r="K112" i="40"/>
  <c r="G110" i="40"/>
  <c r="G111" i="40"/>
  <c r="E110" i="40"/>
  <c r="E111" i="40"/>
  <c r="D110" i="40"/>
  <c r="D111" i="40"/>
  <c r="C110" i="40"/>
  <c r="C111" i="40"/>
  <c r="B110" i="40"/>
  <c r="B111" i="40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P108" i="40"/>
  <c r="O108" i="40"/>
  <c r="N108" i="40"/>
  <c r="M108" i="40"/>
  <c r="M37" i="39"/>
  <c r="L108" i="40"/>
  <c r="L37" i="39"/>
  <c r="K108" i="40"/>
  <c r="K37" i="39"/>
  <c r="J108" i="40"/>
  <c r="J37" i="39"/>
  <c r="I108" i="40"/>
  <c r="I37" i="39"/>
  <c r="H108" i="40"/>
  <c r="H37" i="39"/>
  <c r="G108" i="40"/>
  <c r="G37" i="39" s="1"/>
  <c r="F108" i="40"/>
  <c r="E108" i="40"/>
  <c r="D108" i="40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2" i="33"/>
  <c r="P110" i="33"/>
  <c r="P111" i="33"/>
  <c r="O110" i="33"/>
  <c r="O112" i="33"/>
  <c r="N110" i="33"/>
  <c r="N112" i="33"/>
  <c r="M110" i="33"/>
  <c r="M112" i="33" s="1"/>
  <c r="L110" i="33"/>
  <c r="L112" i="33"/>
  <c r="K110" i="33"/>
  <c r="K112" i="33"/>
  <c r="H110" i="33"/>
  <c r="H111" i="33"/>
  <c r="G110" i="33"/>
  <c r="G112" i="33"/>
  <c r="E110" i="33"/>
  <c r="E112" i="33"/>
  <c r="D110" i="33"/>
  <c r="D112" i="33"/>
  <c r="C110" i="33"/>
  <c r="C112" i="33"/>
  <c r="B110" i="33"/>
  <c r="B111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O108" i="33"/>
  <c r="O36" i="39"/>
  <c r="N108" i="33"/>
  <c r="M108" i="33"/>
  <c r="L108" i="33"/>
  <c r="K108" i="33"/>
  <c r="J108" i="33"/>
  <c r="I108" i="33"/>
  <c r="H108" i="33"/>
  <c r="G108" i="33"/>
  <c r="F108" i="33"/>
  <c r="E108" i="33"/>
  <c r="D108" i="33"/>
  <c r="C108" i="33"/>
  <c r="C36" i="39" s="1"/>
  <c r="B108" i="33"/>
  <c r="B36" i="39" s="1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0" i="32"/>
  <c r="Q111" i="32"/>
  <c r="P110" i="32"/>
  <c r="P112" i="32"/>
  <c r="O110" i="32"/>
  <c r="O112" i="32"/>
  <c r="N110" i="32"/>
  <c r="N112" i="32"/>
  <c r="M110" i="32"/>
  <c r="M112" i="32"/>
  <c r="L110" i="32"/>
  <c r="L112" i="32" s="1"/>
  <c r="K110" i="32"/>
  <c r="K112" i="32"/>
  <c r="G110" i="32"/>
  <c r="G111" i="32"/>
  <c r="F110" i="32"/>
  <c r="F112" i="32"/>
  <c r="E110" i="32"/>
  <c r="E112" i="32"/>
  <c r="D110" i="32"/>
  <c r="D112" i="32"/>
  <c r="C110" i="32"/>
  <c r="C112" i="32"/>
  <c r="B110" i="32"/>
  <c r="B112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P35" i="39"/>
  <c r="O108" i="32"/>
  <c r="N108" i="32"/>
  <c r="M108" i="32"/>
  <c r="M35" i="39"/>
  <c r="L108" i="32"/>
  <c r="K108" i="32"/>
  <c r="J108" i="32"/>
  <c r="I108" i="32"/>
  <c r="H108" i="32"/>
  <c r="G108" i="32"/>
  <c r="F108" i="32"/>
  <c r="E108" i="32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Q110" i="31"/>
  <c r="Q112" i="31" s="1"/>
  <c r="P110" i="31"/>
  <c r="P112" i="31" s="1"/>
  <c r="O110" i="31"/>
  <c r="O112" i="31" s="1"/>
  <c r="N110" i="31"/>
  <c r="N112" i="31" s="1"/>
  <c r="M110" i="31"/>
  <c r="M112" i="31" s="1"/>
  <c r="L110" i="31"/>
  <c r="L112" i="31"/>
  <c r="K110" i="31"/>
  <c r="K112" i="31" s="1"/>
  <c r="G110" i="31"/>
  <c r="G112" i="31" s="1"/>
  <c r="E110" i="31"/>
  <c r="E112" i="31" s="1"/>
  <c r="D110" i="31"/>
  <c r="D111" i="31" s="1"/>
  <c r="C110" i="31"/>
  <c r="C112" i="31" s="1"/>
  <c r="B110" i="31"/>
  <c r="B111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P108" i="31"/>
  <c r="O108" i="31"/>
  <c r="N108" i="31"/>
  <c r="M108" i="31"/>
  <c r="L108" i="31"/>
  <c r="K108" i="31"/>
  <c r="J108" i="31"/>
  <c r="I108" i="31"/>
  <c r="H108" i="31"/>
  <c r="H34" i="39"/>
  <c r="G108" i="31"/>
  <c r="G34" i="39"/>
  <c r="F108" i="31"/>
  <c r="E108" i="31"/>
  <c r="D108" i="31"/>
  <c r="D34" i="39"/>
  <c r="C108" i="31"/>
  <c r="B108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P110" i="30"/>
  <c r="P112" i="30" s="1"/>
  <c r="O110" i="30"/>
  <c r="O112" i="30" s="1"/>
  <c r="N110" i="30"/>
  <c r="N111" i="30" s="1"/>
  <c r="M110" i="30"/>
  <c r="M112" i="30" s="1"/>
  <c r="L110" i="30"/>
  <c r="L112" i="30" s="1"/>
  <c r="K110" i="30"/>
  <c r="K111" i="30" s="1"/>
  <c r="G110" i="30"/>
  <c r="G112" i="30" s="1"/>
  <c r="F110" i="30"/>
  <c r="F111" i="30"/>
  <c r="E110" i="30"/>
  <c r="E112" i="30" s="1"/>
  <c r="D110" i="30"/>
  <c r="D112" i="30" s="1"/>
  <c r="C110" i="30"/>
  <c r="C111" i="30" s="1"/>
  <c r="B110" i="30"/>
  <c r="B112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O108" i="30"/>
  <c r="N108" i="30"/>
  <c r="M108" i="30"/>
  <c r="M33" i="39"/>
  <c r="L108" i="30"/>
  <c r="L33" i="39" s="1"/>
  <c r="K108" i="30"/>
  <c r="J108" i="30"/>
  <c r="I108" i="30"/>
  <c r="H108" i="30"/>
  <c r="G108" i="30"/>
  <c r="F108" i="30"/>
  <c r="E108" i="30"/>
  <c r="E33" i="39"/>
  <c r="D108" i="30"/>
  <c r="D33" i="39"/>
  <c r="C108" i="30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/>
  <c r="Q110" i="29"/>
  <c r="Q111" i="29" s="1"/>
  <c r="P110" i="29"/>
  <c r="P112" i="29"/>
  <c r="O110" i="29"/>
  <c r="O112" i="29"/>
  <c r="N110" i="29"/>
  <c r="N112" i="29"/>
  <c r="M110" i="29"/>
  <c r="M112" i="29"/>
  <c r="L110" i="29"/>
  <c r="L111" i="29"/>
  <c r="K110" i="29"/>
  <c r="K112" i="29"/>
  <c r="D110" i="29"/>
  <c r="D111" i="29"/>
  <c r="C110" i="29"/>
  <c r="C112" i="29" s="1"/>
  <c r="B110" i="29"/>
  <c r="B112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O108" i="29"/>
  <c r="N108" i="29"/>
  <c r="M108" i="29"/>
  <c r="L108" i="29"/>
  <c r="L32" i="39" s="1"/>
  <c r="K108" i="29"/>
  <c r="K32" i="39" s="1"/>
  <c r="J108" i="29"/>
  <c r="J32" i="39" s="1"/>
  <c r="I108" i="29"/>
  <c r="I32" i="39"/>
  <c r="H108" i="29"/>
  <c r="H32" i="39" s="1"/>
  <c r="G108" i="29"/>
  <c r="G32" i="39" s="1"/>
  <c r="F108" i="29"/>
  <c r="F32" i="39" s="1"/>
  <c r="E108" i="29"/>
  <c r="E32" i="39" s="1"/>
  <c r="D108" i="29"/>
  <c r="D32" i="39" s="1"/>
  <c r="C108" i="29"/>
  <c r="C32" i="39" s="1"/>
  <c r="B108" i="29"/>
  <c r="B32" i="39" s="1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/>
  <c r="P110" i="28"/>
  <c r="P112" i="28" s="1"/>
  <c r="O110" i="28"/>
  <c r="O111" i="28" s="1"/>
  <c r="N110" i="28"/>
  <c r="N112" i="28" s="1"/>
  <c r="M110" i="28"/>
  <c r="M111" i="28" s="1"/>
  <c r="L110" i="28"/>
  <c r="L112" i="28" s="1"/>
  <c r="K110" i="28"/>
  <c r="K112" i="28" s="1"/>
  <c r="F110" i="28"/>
  <c r="F112" i="28" s="1"/>
  <c r="E110" i="28"/>
  <c r="E112" i="28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O108" i="28"/>
  <c r="N108" i="28"/>
  <c r="M108" i="28"/>
  <c r="M31" i="39" s="1"/>
  <c r="L108" i="28"/>
  <c r="L31" i="39" s="1"/>
  <c r="K108" i="28"/>
  <c r="J108" i="28"/>
  <c r="I108" i="28"/>
  <c r="I31" i="39" s="1"/>
  <c r="H108" i="28"/>
  <c r="H31" i="39" s="1"/>
  <c r="G108" i="28"/>
  <c r="F108" i="28"/>
  <c r="E108" i="28"/>
  <c r="E31" i="39" s="1"/>
  <c r="D108" i="28"/>
  <c r="C108" i="28"/>
  <c r="C31" i="39"/>
  <c r="B108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Q110" i="27"/>
  <c r="Q112" i="27"/>
  <c r="P110" i="27"/>
  <c r="P112" i="27" s="1"/>
  <c r="O110" i="27"/>
  <c r="O111" i="27"/>
  <c r="N110" i="27"/>
  <c r="N112" i="27"/>
  <c r="M110" i="27"/>
  <c r="M111" i="27"/>
  <c r="L110" i="27"/>
  <c r="L112" i="27"/>
  <c r="K110" i="27"/>
  <c r="K112" i="27"/>
  <c r="G110" i="27"/>
  <c r="G111" i="27"/>
  <c r="F110" i="27"/>
  <c r="F112" i="27"/>
  <c r="E110" i="27"/>
  <c r="E112" i="27" s="1"/>
  <c r="D110" i="27"/>
  <c r="D112" i="27"/>
  <c r="C110" i="27"/>
  <c r="C112" i="27"/>
  <c r="B110" i="27"/>
  <c r="B112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P108" i="27"/>
  <c r="O108" i="27"/>
  <c r="N108" i="27"/>
  <c r="M108" i="27"/>
  <c r="L108" i="27"/>
  <c r="K108" i="27"/>
  <c r="J108" i="27"/>
  <c r="I108" i="27"/>
  <c r="I30" i="39" s="1"/>
  <c r="H108" i="27"/>
  <c r="G108" i="27"/>
  <c r="F108" i="27"/>
  <c r="E108" i="27"/>
  <c r="D108" i="27"/>
  <c r="C108" i="27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Q110" i="26"/>
  <c r="Q112" i="26"/>
  <c r="P110" i="26"/>
  <c r="P112" i="26"/>
  <c r="O110" i="26"/>
  <c r="O112" i="26"/>
  <c r="N110" i="26"/>
  <c r="N112" i="26" s="1"/>
  <c r="M110" i="26"/>
  <c r="M112" i="26"/>
  <c r="L110" i="26"/>
  <c r="L112" i="26"/>
  <c r="K110" i="26"/>
  <c r="K112" i="26"/>
  <c r="F112" i="26"/>
  <c r="E110" i="26"/>
  <c r="E111" i="26" s="1"/>
  <c r="D110" i="26"/>
  <c r="D112" i="26" s="1"/>
  <c r="C110" i="26"/>
  <c r="C111" i="26" s="1"/>
  <c r="B110" i="26"/>
  <c r="B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O108" i="26"/>
  <c r="N108" i="26"/>
  <c r="M108" i="26"/>
  <c r="L108" i="26"/>
  <c r="K108" i="26"/>
  <c r="J108" i="26"/>
  <c r="I108" i="26"/>
  <c r="I29" i="39" s="1"/>
  <c r="H108" i="26"/>
  <c r="H29" i="39" s="1"/>
  <c r="G108" i="26"/>
  <c r="F108" i="26"/>
  <c r="E108" i="26"/>
  <c r="E29" i="39"/>
  <c r="D108" i="26"/>
  <c r="C108" i="26"/>
  <c r="B108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Q110" i="25"/>
  <c r="Q111" i="25" s="1"/>
  <c r="P110" i="25"/>
  <c r="P112" i="25" s="1"/>
  <c r="O110" i="25"/>
  <c r="O112" i="25" s="1"/>
  <c r="N110" i="25"/>
  <c r="N112" i="25" s="1"/>
  <c r="M110" i="25"/>
  <c r="M112" i="25" s="1"/>
  <c r="L110" i="25"/>
  <c r="L112" i="25"/>
  <c r="K110" i="25"/>
  <c r="K112" i="25" s="1"/>
  <c r="F110" i="25"/>
  <c r="F112" i="25" s="1"/>
  <c r="E110" i="25"/>
  <c r="E112" i="25" s="1"/>
  <c r="D110" i="25"/>
  <c r="D112" i="25" s="1"/>
  <c r="C110" i="25"/>
  <c r="C112" i="25" s="1"/>
  <c r="B110" i="25"/>
  <c r="B112" i="25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P108" i="25"/>
  <c r="O108" i="25"/>
  <c r="N108" i="25"/>
  <c r="M108" i="25"/>
  <c r="L108" i="25"/>
  <c r="K108" i="25"/>
  <c r="J108" i="25"/>
  <c r="J28" i="39"/>
  <c r="I108" i="25"/>
  <c r="H108" i="25"/>
  <c r="G108" i="25"/>
  <c r="F108" i="25"/>
  <c r="F28" i="39" s="1"/>
  <c r="E108" i="25"/>
  <c r="D108" i="25"/>
  <c r="C108" i="25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/>
  <c r="Q110" i="24"/>
  <c r="Q112" i="24" s="1"/>
  <c r="P110" i="24"/>
  <c r="P112" i="24" s="1"/>
  <c r="O110" i="24"/>
  <c r="O112" i="24" s="1"/>
  <c r="N110" i="24"/>
  <c r="N112" i="24" s="1"/>
  <c r="M110" i="24"/>
  <c r="M112" i="24" s="1"/>
  <c r="L110" i="24"/>
  <c r="L111" i="24" s="1"/>
  <c r="K110" i="24"/>
  <c r="K112" i="24" s="1"/>
  <c r="F110" i="24"/>
  <c r="F112" i="24"/>
  <c r="E110" i="24"/>
  <c r="E112" i="24" s="1"/>
  <c r="D110" i="24"/>
  <c r="D111" i="24" s="1"/>
  <c r="C110" i="24"/>
  <c r="C112" i="24" s="1"/>
  <c r="B110" i="24"/>
  <c r="B112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O108" i="24"/>
  <c r="N108" i="24"/>
  <c r="M108" i="24"/>
  <c r="L108" i="24"/>
  <c r="K108" i="24"/>
  <c r="J108" i="24"/>
  <c r="I108" i="24"/>
  <c r="H108" i="24"/>
  <c r="H27" i="39" s="1"/>
  <c r="G108" i="24"/>
  <c r="F108" i="24"/>
  <c r="E108" i="24"/>
  <c r="D108" i="24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 s="1"/>
  <c r="P110" i="23"/>
  <c r="P112" i="23"/>
  <c r="O110" i="23"/>
  <c r="O112" i="23" s="1"/>
  <c r="N110" i="23"/>
  <c r="N112" i="23" s="1"/>
  <c r="M110" i="23"/>
  <c r="M112" i="23" s="1"/>
  <c r="L110" i="23"/>
  <c r="L112" i="23" s="1"/>
  <c r="K110" i="23"/>
  <c r="K112" i="23" s="1"/>
  <c r="G112" i="23"/>
  <c r="F110" i="23"/>
  <c r="F112" i="23"/>
  <c r="E110" i="23"/>
  <c r="E112" i="23"/>
  <c r="D110" i="23"/>
  <c r="D112" i="23" s="1"/>
  <c r="C110" i="23"/>
  <c r="C112" i="23"/>
  <c r="B110" i="23"/>
  <c r="B112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P108" i="23"/>
  <c r="O108" i="23"/>
  <c r="N108" i="23"/>
  <c r="M108" i="23"/>
  <c r="L108" i="23"/>
  <c r="L26" i="39" s="1"/>
  <c r="K108" i="23"/>
  <c r="J108" i="23"/>
  <c r="I108" i="23"/>
  <c r="H108" i="23"/>
  <c r="G108" i="23"/>
  <c r="G26" i="39" s="1"/>
  <c r="F108" i="23"/>
  <c r="F26" i="39" s="1"/>
  <c r="E108" i="23"/>
  <c r="D108" i="23"/>
  <c r="C108" i="23"/>
  <c r="B108" i="23"/>
  <c r="B26" i="39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2" i="22"/>
  <c r="P110" i="22"/>
  <c r="P112" i="22"/>
  <c r="O110" i="22"/>
  <c r="O112" i="22"/>
  <c r="N110" i="22"/>
  <c r="N112" i="22" s="1"/>
  <c r="M110" i="22"/>
  <c r="M112" i="22"/>
  <c r="L110" i="22"/>
  <c r="L112" i="22"/>
  <c r="K110" i="22"/>
  <c r="K112" i="22"/>
  <c r="F110" i="22"/>
  <c r="F112" i="22"/>
  <c r="E110" i="22"/>
  <c r="E112" i="22"/>
  <c r="D110" i="22"/>
  <c r="D111" i="22"/>
  <c r="C110" i="22"/>
  <c r="C112" i="22"/>
  <c r="B110" i="22"/>
  <c r="B112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P108" i="22"/>
  <c r="O108" i="22"/>
  <c r="N108" i="22"/>
  <c r="M108" i="22"/>
  <c r="L108" i="22"/>
  <c r="L25" i="39" s="1"/>
  <c r="K108" i="22"/>
  <c r="J108" i="22"/>
  <c r="I108" i="22"/>
  <c r="H108" i="22"/>
  <c r="H25" i="39"/>
  <c r="G108" i="22"/>
  <c r="G25" i="39"/>
  <c r="F108" i="22"/>
  <c r="E108" i="22"/>
  <c r="D108" i="22"/>
  <c r="D25" i="39"/>
  <c r="C108" i="22"/>
  <c r="B108" i="22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P110" i="21"/>
  <c r="P112" i="21" s="1"/>
  <c r="O110" i="21"/>
  <c r="O112" i="21" s="1"/>
  <c r="N110" i="21"/>
  <c r="N112" i="21" s="1"/>
  <c r="M110" i="21"/>
  <c r="M112" i="21" s="1"/>
  <c r="L110" i="21"/>
  <c r="L112" i="21"/>
  <c r="K110" i="21"/>
  <c r="K112" i="21" s="1"/>
  <c r="E110" i="21"/>
  <c r="E112" i="21" s="1"/>
  <c r="D110" i="21"/>
  <c r="D112" i="21" s="1"/>
  <c r="C110" i="21"/>
  <c r="C112" i="21" s="1"/>
  <c r="B110" i="21"/>
  <c r="B112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P108" i="21"/>
  <c r="O108" i="21"/>
  <c r="N108" i="21"/>
  <c r="M108" i="21"/>
  <c r="M24" i="39"/>
  <c r="L108" i="21"/>
  <c r="L24" i="39" s="1"/>
  <c r="K108" i="21"/>
  <c r="J108" i="21"/>
  <c r="I108" i="21"/>
  <c r="I24" i="39" s="1"/>
  <c r="H108" i="21"/>
  <c r="G108" i="21"/>
  <c r="F108" i="21"/>
  <c r="F24" i="39" s="1"/>
  <c r="E108" i="21"/>
  <c r="D108" i="21"/>
  <c r="D24" i="39"/>
  <c r="C108" i="21"/>
  <c r="C24" i="39"/>
  <c r="B108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Q110" i="20"/>
  <c r="Q111" i="20"/>
  <c r="P110" i="20"/>
  <c r="P111" i="20"/>
  <c r="O110" i="20"/>
  <c r="O112" i="20"/>
  <c r="N110" i="20"/>
  <c r="N112" i="20"/>
  <c r="M110" i="20"/>
  <c r="M112" i="20"/>
  <c r="L110" i="20"/>
  <c r="L112" i="20"/>
  <c r="K110" i="20"/>
  <c r="K112" i="20"/>
  <c r="F110" i="20"/>
  <c r="F112" i="20" s="1"/>
  <c r="E110" i="20"/>
  <c r="E112" i="20"/>
  <c r="D110" i="20"/>
  <c r="D112" i="20"/>
  <c r="C110" i="20"/>
  <c r="C112" i="20"/>
  <c r="B110" i="20"/>
  <c r="B112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O108" i="20"/>
  <c r="N108" i="20"/>
  <c r="M108" i="20"/>
  <c r="L108" i="20"/>
  <c r="K108" i="20"/>
  <c r="J108" i="20"/>
  <c r="J23" i="39" s="1"/>
  <c r="I108" i="20"/>
  <c r="H108" i="20"/>
  <c r="G108" i="20"/>
  <c r="F108" i="20"/>
  <c r="E108" i="20"/>
  <c r="D108" i="20"/>
  <c r="C108" i="20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P110" i="19"/>
  <c r="P112" i="19" s="1"/>
  <c r="O110" i="19"/>
  <c r="O111" i="19"/>
  <c r="N110" i="19"/>
  <c r="N112" i="19" s="1"/>
  <c r="M110" i="19"/>
  <c r="M112" i="19" s="1"/>
  <c r="L110" i="19"/>
  <c r="L112" i="19" s="1"/>
  <c r="K110" i="19"/>
  <c r="K112" i="19" s="1"/>
  <c r="E110" i="19"/>
  <c r="E112" i="19" s="1"/>
  <c r="D110" i="19"/>
  <c r="D112" i="19" s="1"/>
  <c r="C110" i="19"/>
  <c r="C112" i="19" s="1"/>
  <c r="B110" i="19"/>
  <c r="B112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Q22" i="39" s="1"/>
  <c r="P108" i="19"/>
  <c r="O108" i="19"/>
  <c r="N108" i="19"/>
  <c r="M108" i="19"/>
  <c r="M22" i="39"/>
  <c r="L108" i="19"/>
  <c r="K108" i="19"/>
  <c r="J108" i="19"/>
  <c r="I108" i="19"/>
  <c r="H108" i="19"/>
  <c r="G108" i="19"/>
  <c r="F108" i="19"/>
  <c r="E108" i="19"/>
  <c r="D108" i="19"/>
  <c r="C108" i="19"/>
  <c r="B108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0" i="18"/>
  <c r="Q112" i="18" s="1"/>
  <c r="P110" i="18"/>
  <c r="P111" i="18" s="1"/>
  <c r="O110" i="18"/>
  <c r="O112" i="18" s="1"/>
  <c r="M110" i="18"/>
  <c r="M112" i="18" s="1"/>
  <c r="L110" i="18"/>
  <c r="L112" i="18" s="1"/>
  <c r="K110" i="18"/>
  <c r="K112" i="18"/>
  <c r="F110" i="18"/>
  <c r="F111" i="18" s="1"/>
  <c r="E110" i="18"/>
  <c r="E112" i="18" s="1"/>
  <c r="D110" i="18"/>
  <c r="D112" i="18" s="1"/>
  <c r="C110" i="18"/>
  <c r="C112" i="18" s="1"/>
  <c r="B112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N108" i="18"/>
  <c r="N21" i="39" s="1"/>
  <c r="M108" i="18"/>
  <c r="M21" i="39"/>
  <c r="L108" i="18"/>
  <c r="L21" i="39" s="1"/>
  <c r="K108" i="18"/>
  <c r="K21" i="39" s="1"/>
  <c r="J108" i="18"/>
  <c r="I108" i="18"/>
  <c r="I21" i="39"/>
  <c r="H108" i="18"/>
  <c r="G108" i="18"/>
  <c r="F108" i="18"/>
  <c r="E108" i="18"/>
  <c r="D108" i="18"/>
  <c r="C108" i="18"/>
  <c r="B108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A21" i="39"/>
  <c r="Q110" i="17"/>
  <c r="Q112" i="17" s="1"/>
  <c r="P110" i="17"/>
  <c r="P111" i="17" s="1"/>
  <c r="O110" i="17"/>
  <c r="O112" i="17" s="1"/>
  <c r="M110" i="17"/>
  <c r="M112" i="17" s="1"/>
  <c r="L110" i="17"/>
  <c r="L112" i="17" s="1"/>
  <c r="K110" i="17"/>
  <c r="K112" i="17" s="1"/>
  <c r="F110" i="17"/>
  <c r="F111" i="17" s="1"/>
  <c r="D110" i="17"/>
  <c r="D112" i="17"/>
  <c r="C110" i="17"/>
  <c r="C111" i="17" s="1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P108" i="17"/>
  <c r="P20" i="39"/>
  <c r="O108" i="17"/>
  <c r="N108" i="17"/>
  <c r="M108" i="17"/>
  <c r="L108" i="17"/>
  <c r="L20" i="39" s="1"/>
  <c r="K108" i="17"/>
  <c r="K20" i="39" s="1"/>
  <c r="J108" i="17"/>
  <c r="I108" i="17"/>
  <c r="I20" i="39" s="1"/>
  <c r="H108" i="17"/>
  <c r="H20" i="39"/>
  <c r="G108" i="17"/>
  <c r="F108" i="17"/>
  <c r="E108" i="17"/>
  <c r="D108" i="17"/>
  <c r="C108" i="17"/>
  <c r="C20" i="39"/>
  <c r="B108" i="17"/>
  <c r="B20" i="39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Q110" i="16"/>
  <c r="Q112" i="16" s="1"/>
  <c r="P110" i="16"/>
  <c r="P112" i="16"/>
  <c r="O110" i="16"/>
  <c r="O112" i="16" s="1"/>
  <c r="M110" i="16"/>
  <c r="M111" i="16" s="1"/>
  <c r="L110" i="16"/>
  <c r="L112" i="16" s="1"/>
  <c r="K110" i="16"/>
  <c r="K112" i="16" s="1"/>
  <c r="D110" i="16"/>
  <c r="D112" i="16" s="1"/>
  <c r="C110" i="16"/>
  <c r="C111" i="16" s="1"/>
  <c r="B112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P108" i="16"/>
  <c r="O108" i="16"/>
  <c r="N108" i="16"/>
  <c r="N19" i="39" s="1"/>
  <c r="M108" i="16"/>
  <c r="M19" i="39" s="1"/>
  <c r="L108" i="16"/>
  <c r="L19" i="39" s="1"/>
  <c r="K108" i="16"/>
  <c r="J108" i="16"/>
  <c r="I108" i="16"/>
  <c r="I19" i="39" s="1"/>
  <c r="H108" i="16"/>
  <c r="H19" i="39" s="1"/>
  <c r="G108" i="16"/>
  <c r="F108" i="16"/>
  <c r="F19" i="39"/>
  <c r="E108" i="16"/>
  <c r="E19" i="39" s="1"/>
  <c r="D108" i="16"/>
  <c r="D19" i="39"/>
  <c r="C108" i="16"/>
  <c r="B108" i="16"/>
  <c r="B19" i="39" s="1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Q110" i="15"/>
  <c r="Q111" i="15"/>
  <c r="P110" i="15"/>
  <c r="P111" i="15"/>
  <c r="O110" i="15"/>
  <c r="O112" i="15"/>
  <c r="N110" i="15"/>
  <c r="N112" i="15"/>
  <c r="M110" i="15"/>
  <c r="M112" i="15" s="1"/>
  <c r="L110" i="15"/>
  <c r="L112" i="15"/>
  <c r="K110" i="15"/>
  <c r="K112" i="15"/>
  <c r="F110" i="15"/>
  <c r="F111" i="15"/>
  <c r="E110" i="15"/>
  <c r="E112" i="15"/>
  <c r="D110" i="15"/>
  <c r="D112" i="15"/>
  <c r="C110" i="15"/>
  <c r="C111" i="15"/>
  <c r="B110" i="15"/>
  <c r="B112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O108" i="15"/>
  <c r="N108" i="15"/>
  <c r="M108" i="15"/>
  <c r="M18" i="39" s="1"/>
  <c r="L108" i="15"/>
  <c r="L18" i="39" s="1"/>
  <c r="K108" i="15"/>
  <c r="J108" i="15"/>
  <c r="I108" i="15"/>
  <c r="H108" i="15"/>
  <c r="H18" i="39"/>
  <c r="G108" i="15"/>
  <c r="F108" i="15"/>
  <c r="E108" i="15"/>
  <c r="E18" i="39" s="1"/>
  <c r="D108" i="15"/>
  <c r="D18" i="39"/>
  <c r="C108" i="15"/>
  <c r="B108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/>
  <c r="Q110" i="14"/>
  <c r="Q111" i="14"/>
  <c r="P110" i="14"/>
  <c r="P112" i="14"/>
  <c r="O110" i="14"/>
  <c r="O112" i="14"/>
  <c r="N110" i="14"/>
  <c r="N112" i="14"/>
  <c r="M110" i="14"/>
  <c r="M112" i="14" s="1"/>
  <c r="L110" i="14"/>
  <c r="L112" i="14"/>
  <c r="K110" i="14"/>
  <c r="K112" i="14"/>
  <c r="E112" i="14"/>
  <c r="D110" i="14"/>
  <c r="D112" i="14" s="1"/>
  <c r="C110" i="14"/>
  <c r="C112" i="14" s="1"/>
  <c r="B110" i="14"/>
  <c r="B112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P17" i="39"/>
  <c r="O108" i="14"/>
  <c r="N108" i="14"/>
  <c r="N17" i="39" s="1"/>
  <c r="M108" i="14"/>
  <c r="M17" i="39" s="1"/>
  <c r="L108" i="14"/>
  <c r="K108" i="14"/>
  <c r="K17" i="39"/>
  <c r="J108" i="14"/>
  <c r="J17" i="39"/>
  <c r="I108" i="14"/>
  <c r="H108" i="14"/>
  <c r="G108" i="14"/>
  <c r="F108" i="14"/>
  <c r="E108" i="14"/>
  <c r="D108" i="14"/>
  <c r="C108" i="14"/>
  <c r="C17" i="39" s="1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Q110" i="13"/>
  <c r="Q112" i="13"/>
  <c r="P110" i="13"/>
  <c r="P112" i="13"/>
  <c r="O110" i="13"/>
  <c r="O112" i="13"/>
  <c r="N110" i="13"/>
  <c r="N111" i="13"/>
  <c r="M110" i="13"/>
  <c r="M112" i="13"/>
  <c r="L110" i="13"/>
  <c r="L112" i="13"/>
  <c r="K110" i="13"/>
  <c r="K111" i="13" s="1"/>
  <c r="F110" i="13"/>
  <c r="F112" i="13"/>
  <c r="E110" i="13"/>
  <c r="E112" i="13"/>
  <c r="D110" i="13"/>
  <c r="D111" i="13"/>
  <c r="C110" i="13"/>
  <c r="C112" i="13"/>
  <c r="B110" i="13"/>
  <c r="B111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Q16" i="39"/>
  <c r="P108" i="13"/>
  <c r="P16" i="39"/>
  <c r="O108" i="13"/>
  <c r="N108" i="13"/>
  <c r="N16" i="39" s="1"/>
  <c r="M108" i="13"/>
  <c r="L108" i="13"/>
  <c r="K108" i="13"/>
  <c r="J108" i="13"/>
  <c r="J16" i="39"/>
  <c r="I108" i="13"/>
  <c r="I16" i="39"/>
  <c r="H108" i="13"/>
  <c r="H16" i="39"/>
  <c r="G108" i="13"/>
  <c r="F108" i="13"/>
  <c r="E108" i="13"/>
  <c r="E16" i="39"/>
  <c r="D108" i="13"/>
  <c r="D16" i="39" s="1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/>
  <c r="Q110" i="12"/>
  <c r="Q112" i="12"/>
  <c r="P110" i="12"/>
  <c r="P111" i="12"/>
  <c r="O110" i="12"/>
  <c r="O112" i="12"/>
  <c r="N110" i="12"/>
  <c r="N112" i="12"/>
  <c r="M110" i="12"/>
  <c r="M112" i="12"/>
  <c r="L110" i="12"/>
  <c r="L111" i="12" s="1"/>
  <c r="K110" i="12"/>
  <c r="K112" i="12"/>
  <c r="J112" i="12"/>
  <c r="I112" i="12"/>
  <c r="F110" i="12"/>
  <c r="F112" i="12"/>
  <c r="E110" i="12"/>
  <c r="E112" i="12"/>
  <c r="D110" i="12"/>
  <c r="D112" i="12"/>
  <c r="C110" i="12"/>
  <c r="C111" i="12"/>
  <c r="B110" i="12"/>
  <c r="B112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O108" i="12"/>
  <c r="O15" i="39" s="1"/>
  <c r="N108" i="12"/>
  <c r="M108" i="12"/>
  <c r="L108" i="12"/>
  <c r="K108" i="12"/>
  <c r="J108" i="12"/>
  <c r="I108" i="12"/>
  <c r="I15" i="39"/>
  <c r="H108" i="12"/>
  <c r="H15" i="39"/>
  <c r="G108" i="12"/>
  <c r="F108" i="12"/>
  <c r="E108" i="12"/>
  <c r="E15" i="39" s="1"/>
  <c r="D108" i="12"/>
  <c r="D15" i="39"/>
  <c r="C108" i="12"/>
  <c r="C15" i="39"/>
  <c r="B108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2" i="11" s="1"/>
  <c r="P110" i="11"/>
  <c r="P112" i="11" s="1"/>
  <c r="O110" i="11"/>
  <c r="O112" i="11" s="1"/>
  <c r="N110" i="11"/>
  <c r="N112" i="11"/>
  <c r="M110" i="11"/>
  <c r="M112" i="11" s="1"/>
  <c r="L110" i="11"/>
  <c r="L112" i="11" s="1"/>
  <c r="K110" i="11"/>
  <c r="K111" i="11" s="1"/>
  <c r="J112" i="11"/>
  <c r="I112" i="11"/>
  <c r="F110" i="11"/>
  <c r="F111" i="11" s="1"/>
  <c r="E110" i="11"/>
  <c r="E112" i="11" s="1"/>
  <c r="D110" i="11"/>
  <c r="D112" i="11" s="1"/>
  <c r="C110" i="11"/>
  <c r="C111" i="11"/>
  <c r="B110" i="11"/>
  <c r="B112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P108" i="11"/>
  <c r="O108" i="11"/>
  <c r="O14" i="39" s="1"/>
  <c r="N108" i="11"/>
  <c r="N14" i="39" s="1"/>
  <c r="M108" i="11"/>
  <c r="L108" i="11"/>
  <c r="K108" i="11"/>
  <c r="K14" i="39" s="1"/>
  <c r="J108" i="11"/>
  <c r="I108" i="11"/>
  <c r="I14" i="39"/>
  <c r="H108" i="11"/>
  <c r="G108" i="11"/>
  <c r="F108" i="11"/>
  <c r="E108" i="11"/>
  <c r="E14" i="39" s="1"/>
  <c r="D108" i="11"/>
  <c r="C108" i="11"/>
  <c r="B108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/>
  <c r="Q110" i="10"/>
  <c r="Q112" i="10"/>
  <c r="P110" i="10"/>
  <c r="P112" i="10"/>
  <c r="O110" i="10"/>
  <c r="O112" i="10"/>
  <c r="N110" i="10"/>
  <c r="N111" i="10" s="1"/>
  <c r="M110" i="10"/>
  <c r="M111" i="10"/>
  <c r="L110" i="10"/>
  <c r="L112" i="10"/>
  <c r="K110" i="10"/>
  <c r="K112" i="10"/>
  <c r="E110" i="10"/>
  <c r="E112" i="10"/>
  <c r="D110" i="10"/>
  <c r="D112" i="10"/>
  <c r="C110" i="10"/>
  <c r="C111" i="10"/>
  <c r="B110" i="10"/>
  <c r="B112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O108" i="10"/>
  <c r="O13" i="39" s="1"/>
  <c r="N108" i="10"/>
  <c r="M108" i="10"/>
  <c r="M13" i="39"/>
  <c r="L108" i="10"/>
  <c r="L13" i="39"/>
  <c r="K108" i="10"/>
  <c r="K13" i="39"/>
  <c r="J108" i="10"/>
  <c r="J13" i="39"/>
  <c r="I108" i="10"/>
  <c r="I13" i="39"/>
  <c r="H108" i="10"/>
  <c r="H13" i="39" s="1"/>
  <c r="G108" i="10"/>
  <c r="F108" i="10"/>
  <c r="F13" i="39" s="1"/>
  <c r="E108" i="10"/>
  <c r="E13" i="39" s="1"/>
  <c r="D108" i="10"/>
  <c r="C108" i="10"/>
  <c r="C13" i="39"/>
  <c r="B108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Q110" i="9"/>
  <c r="Q112" i="9"/>
  <c r="P110" i="9"/>
  <c r="P112" i="9" s="1"/>
  <c r="O110" i="9"/>
  <c r="O111" i="9" s="1"/>
  <c r="N110" i="9"/>
  <c r="N112" i="9"/>
  <c r="M110" i="9"/>
  <c r="M112" i="9"/>
  <c r="K110" i="9"/>
  <c r="K111" i="9"/>
  <c r="E110" i="9"/>
  <c r="E112" i="9"/>
  <c r="D110" i="9"/>
  <c r="D112" i="9"/>
  <c r="C110" i="9"/>
  <c r="C112" i="9"/>
  <c r="B110" i="9"/>
  <c r="B112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Q12" i="39" s="1"/>
  <c r="P108" i="9"/>
  <c r="P12" i="39"/>
  <c r="O108" i="9"/>
  <c r="O12" i="39"/>
  <c r="N108" i="9"/>
  <c r="N12" i="39"/>
  <c r="M108" i="9"/>
  <c r="M12" i="39"/>
  <c r="L108" i="9"/>
  <c r="K108" i="9"/>
  <c r="J108" i="9"/>
  <c r="I108" i="9"/>
  <c r="I12" i="39" s="1"/>
  <c r="H108" i="9"/>
  <c r="H12" i="39"/>
  <c r="G108" i="9"/>
  <c r="F108" i="9"/>
  <c r="F12" i="39"/>
  <c r="E108" i="9"/>
  <c r="E12" i="39"/>
  <c r="D108" i="9"/>
  <c r="C108" i="9"/>
  <c r="C12" i="39" s="1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/>
  <c r="Q110" i="8"/>
  <c r="Q112" i="8"/>
  <c r="P110" i="8"/>
  <c r="P112" i="8" s="1"/>
  <c r="O110" i="8"/>
  <c r="O111" i="8" s="1"/>
  <c r="N110" i="8"/>
  <c r="N111" i="8"/>
  <c r="M110" i="8"/>
  <c r="M112" i="8"/>
  <c r="K110" i="8"/>
  <c r="K111" i="8"/>
  <c r="E110" i="8"/>
  <c r="E111" i="8"/>
  <c r="D110" i="8"/>
  <c r="D112" i="8"/>
  <c r="C110" i="8"/>
  <c r="C112" i="8"/>
  <c r="B110" i="8"/>
  <c r="B111" i="8" s="1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O108" i="8"/>
  <c r="O11" i="39" s="1"/>
  <c r="N108" i="8"/>
  <c r="M108" i="8"/>
  <c r="M11" i="39"/>
  <c r="L108" i="8"/>
  <c r="K108" i="8"/>
  <c r="K11" i="39" s="1"/>
  <c r="J108" i="8"/>
  <c r="I108" i="8"/>
  <c r="I11" i="39"/>
  <c r="H108" i="8"/>
  <c r="G108" i="8"/>
  <c r="F108" i="8"/>
  <c r="F11" i="39" s="1"/>
  <c r="E108" i="8"/>
  <c r="D108" i="8"/>
  <c r="D11" i="39" s="1"/>
  <c r="C108" i="8"/>
  <c r="C11" i="39"/>
  <c r="B108" i="8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2" i="3"/>
  <c r="O112" i="3"/>
  <c r="N112" i="3"/>
  <c r="I112" i="3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/>
  <c r="P108" i="3"/>
  <c r="P10" i="39" s="1"/>
  <c r="O108" i="3"/>
  <c r="O10" i="39" s="1"/>
  <c r="N108" i="3"/>
  <c r="N10" i="39"/>
  <c r="M108" i="3"/>
  <c r="L108" i="3"/>
  <c r="K108" i="3"/>
  <c r="J108" i="3"/>
  <c r="J10" i="39" s="1"/>
  <c r="I108" i="3"/>
  <c r="H108" i="3"/>
  <c r="H10" i="39" s="1"/>
  <c r="G108" i="3"/>
  <c r="F108" i="3"/>
  <c r="F10" i="39" s="1"/>
  <c r="E108" i="3"/>
  <c r="E10" i="39" s="1"/>
  <c r="D108" i="3"/>
  <c r="D10" i="39"/>
  <c r="C108" i="3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Q34" i="39"/>
  <c r="A34" i="39"/>
  <c r="P33" i="39"/>
  <c r="J27" i="39"/>
  <c r="F27" i="39"/>
  <c r="C27" i="39"/>
  <c r="N109" i="2"/>
  <c r="O109" i="2"/>
  <c r="P109" i="2"/>
  <c r="N108" i="2"/>
  <c r="N9" i="39"/>
  <c r="O108" i="2"/>
  <c r="P108" i="2"/>
  <c r="P9" i="39" s="1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J111" i="2"/>
  <c r="L35" i="39"/>
  <c r="K35" i="39"/>
  <c r="J35" i="39"/>
  <c r="H35" i="39"/>
  <c r="F35" i="39"/>
  <c r="D35" i="39"/>
  <c r="B35" i="39"/>
  <c r="K92" i="6"/>
  <c r="J92" i="6"/>
  <c r="K51" i="6"/>
  <c r="J51" i="6"/>
  <c r="K50" i="6"/>
  <c r="J50" i="6"/>
  <c r="K91" i="6"/>
  <c r="J91" i="6"/>
  <c r="K90" i="6"/>
  <c r="J90" i="6"/>
  <c r="B110" i="2"/>
  <c r="B111" i="2"/>
  <c r="D112" i="2"/>
  <c r="T40" i="6"/>
  <c r="T21" i="6"/>
  <c r="K88" i="6"/>
  <c r="J88" i="6"/>
  <c r="K115" i="6"/>
  <c r="J115" i="6"/>
  <c r="I115" i="6"/>
  <c r="D12" i="39"/>
  <c r="E11" i="39"/>
  <c r="J9" i="6"/>
  <c r="K9" i="6"/>
  <c r="J10" i="6"/>
  <c r="K10" i="6"/>
  <c r="J11" i="6"/>
  <c r="K11" i="6"/>
  <c r="J12" i="6"/>
  <c r="K12" i="6"/>
  <c r="J13" i="6"/>
  <c r="K13" i="6"/>
  <c r="J14" i="6"/>
  <c r="K14" i="6"/>
  <c r="Q38" i="39"/>
  <c r="P38" i="39"/>
  <c r="O38" i="39"/>
  <c r="N38" i="39"/>
  <c r="K38" i="39"/>
  <c r="J38" i="39"/>
  <c r="H38" i="39"/>
  <c r="G38" i="39"/>
  <c r="F38" i="39"/>
  <c r="E38" i="39"/>
  <c r="D38" i="39"/>
  <c r="C38" i="39"/>
  <c r="B38" i="39"/>
  <c r="A38" i="39"/>
  <c r="Q37" i="39"/>
  <c r="P37" i="39"/>
  <c r="O37" i="39"/>
  <c r="N37" i="39"/>
  <c r="F37" i="39"/>
  <c r="E37" i="39"/>
  <c r="D37" i="39"/>
  <c r="C37" i="39"/>
  <c r="B37" i="39"/>
  <c r="A37" i="39"/>
  <c r="C26" i="39"/>
  <c r="D26" i="39"/>
  <c r="H26" i="39"/>
  <c r="I26" i="39"/>
  <c r="J26" i="39"/>
  <c r="K26" i="39"/>
  <c r="M26" i="39"/>
  <c r="P26" i="39"/>
  <c r="Q26" i="39"/>
  <c r="Q25" i="39"/>
  <c r="P25" i="39"/>
  <c r="O25" i="39"/>
  <c r="N25" i="39"/>
  <c r="M25" i="39"/>
  <c r="K25" i="39"/>
  <c r="J25" i="39"/>
  <c r="F25" i="39"/>
  <c r="E25" i="39"/>
  <c r="C25" i="39"/>
  <c r="B25" i="39"/>
  <c r="A25" i="39"/>
  <c r="Q24" i="39"/>
  <c r="N24" i="39"/>
  <c r="K24" i="39"/>
  <c r="J24" i="39"/>
  <c r="E24" i="39"/>
  <c r="A24" i="39"/>
  <c r="Q23" i="39"/>
  <c r="M23" i="39"/>
  <c r="L23" i="39"/>
  <c r="K23" i="39"/>
  <c r="I23" i="39"/>
  <c r="H23" i="39"/>
  <c r="E23" i="39"/>
  <c r="B23" i="39"/>
  <c r="N22" i="39"/>
  <c r="L22" i="39"/>
  <c r="K22" i="39"/>
  <c r="I22" i="39"/>
  <c r="F22" i="39"/>
  <c r="C22" i="39"/>
  <c r="Q21" i="39"/>
  <c r="P21" i="39"/>
  <c r="J21" i="39"/>
  <c r="H21" i="39"/>
  <c r="F21" i="39"/>
  <c r="E21" i="39"/>
  <c r="D21" i="39"/>
  <c r="C21" i="39"/>
  <c r="B21" i="39"/>
  <c r="Q20" i="39"/>
  <c r="N20" i="39"/>
  <c r="M20" i="39"/>
  <c r="E20" i="39"/>
  <c r="A20" i="39"/>
  <c r="Q19" i="39"/>
  <c r="P19" i="39"/>
  <c r="O19" i="39"/>
  <c r="K19" i="39"/>
  <c r="J19" i="39"/>
  <c r="A19" i="39"/>
  <c r="K18" i="39"/>
  <c r="J18" i="39"/>
  <c r="I18" i="39"/>
  <c r="C18" i="39"/>
  <c r="L17" i="39"/>
  <c r="I17" i="39"/>
  <c r="F17" i="39"/>
  <c r="A17" i="39"/>
  <c r="O16" i="39"/>
  <c r="L16" i="39"/>
  <c r="F16" i="39"/>
  <c r="C16" i="39"/>
  <c r="B16" i="39"/>
  <c r="N15" i="39"/>
  <c r="M15" i="39"/>
  <c r="L15" i="39"/>
  <c r="F15" i="39"/>
  <c r="B15" i="39"/>
  <c r="Q14" i="39"/>
  <c r="M14" i="39"/>
  <c r="L14" i="39"/>
  <c r="H14" i="39"/>
  <c r="F14" i="39"/>
  <c r="D14" i="39"/>
  <c r="C14" i="39"/>
  <c r="P13" i="39"/>
  <c r="D13" i="39"/>
  <c r="B13" i="39"/>
  <c r="A13" i="39"/>
  <c r="K12" i="39"/>
  <c r="P11" i="39"/>
  <c r="M10" i="39"/>
  <c r="I10" i="39"/>
  <c r="C10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 s="1"/>
  <c r="C108" i="2"/>
  <c r="C9" i="39" s="1"/>
  <c r="D108" i="2"/>
  <c r="D9" i="39"/>
  <c r="E108" i="2"/>
  <c r="E9" i="39"/>
  <c r="F108" i="2"/>
  <c r="F9" i="39"/>
  <c r="G108" i="2"/>
  <c r="H108" i="2"/>
  <c r="H9" i="39" s="1"/>
  <c r="I108" i="2"/>
  <c r="I9" i="39" s="1"/>
  <c r="J108" i="2"/>
  <c r="J9" i="39" s="1"/>
  <c r="K108" i="2"/>
  <c r="K9" i="39"/>
  <c r="L108" i="2"/>
  <c r="M108" i="2"/>
  <c r="M9" i="39"/>
  <c r="Q108" i="2"/>
  <c r="Q9" i="39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Q36" i="39"/>
  <c r="N36" i="39"/>
  <c r="M36" i="39"/>
  <c r="K36" i="39"/>
  <c r="H36" i="39"/>
  <c r="G36" i="39"/>
  <c r="E36" i="39"/>
  <c r="D36" i="39"/>
  <c r="A36" i="39"/>
  <c r="G35" i="39"/>
  <c r="E35" i="39"/>
  <c r="C35" i="39"/>
  <c r="P34" i="39"/>
  <c r="M34" i="39"/>
  <c r="L34" i="39"/>
  <c r="K34" i="39"/>
  <c r="J34" i="39"/>
  <c r="I34" i="39"/>
  <c r="F34" i="39"/>
  <c r="C34" i="39"/>
  <c r="N33" i="39"/>
  <c r="K33" i="39"/>
  <c r="J33" i="39"/>
  <c r="I33" i="39"/>
  <c r="H33" i="39"/>
  <c r="F33" i="39"/>
  <c r="C33" i="39"/>
  <c r="B33" i="39"/>
  <c r="Q32" i="39"/>
  <c r="P32" i="39"/>
  <c r="O32" i="39"/>
  <c r="N32" i="39"/>
  <c r="M32" i="39"/>
  <c r="Q31" i="39"/>
  <c r="P31" i="39"/>
  <c r="K31" i="39"/>
  <c r="J31" i="39"/>
  <c r="F31" i="39"/>
  <c r="D31" i="39"/>
  <c r="B31" i="39"/>
  <c r="A31" i="39"/>
  <c r="Q30" i="39"/>
  <c r="P30" i="39"/>
  <c r="O30" i="39"/>
  <c r="N30" i="39"/>
  <c r="M30" i="39"/>
  <c r="L30" i="39"/>
  <c r="K30" i="39"/>
  <c r="J30" i="39"/>
  <c r="H30" i="39"/>
  <c r="G30" i="39"/>
  <c r="F30" i="39"/>
  <c r="E30" i="39"/>
  <c r="D30" i="39"/>
  <c r="C30" i="39"/>
  <c r="B30" i="39"/>
  <c r="A30" i="39"/>
  <c r="Q29" i="39"/>
  <c r="P29" i="39"/>
  <c r="O29" i="39"/>
  <c r="M29" i="39"/>
  <c r="L29" i="39"/>
  <c r="K29" i="39"/>
  <c r="J29" i="39"/>
  <c r="G29" i="39"/>
  <c r="F29" i="39"/>
  <c r="D29" i="39"/>
  <c r="C29" i="39"/>
  <c r="A29" i="39"/>
  <c r="Q28" i="39"/>
  <c r="P28" i="39"/>
  <c r="N28" i="39"/>
  <c r="M28" i="39"/>
  <c r="L28" i="39"/>
  <c r="K28" i="39"/>
  <c r="I28" i="39"/>
  <c r="H28" i="39"/>
  <c r="E28" i="39"/>
  <c r="D28" i="39"/>
  <c r="C28" i="39"/>
  <c r="B28" i="39"/>
  <c r="P27" i="39"/>
  <c r="O27" i="39"/>
  <c r="N27" i="39"/>
  <c r="M27" i="39"/>
  <c r="L27" i="39"/>
  <c r="K27" i="39"/>
  <c r="G27" i="39"/>
  <c r="E27" i="39"/>
  <c r="D27" i="39"/>
  <c r="B27" i="39"/>
  <c r="O26" i="39"/>
  <c r="I25" i="39"/>
  <c r="P24" i="39"/>
  <c r="H24" i="39"/>
  <c r="N23" i="39"/>
  <c r="D23" i="39"/>
  <c r="C23" i="39"/>
  <c r="O22" i="39"/>
  <c r="D22" i="39"/>
  <c r="O21" i="39"/>
  <c r="F20" i="39"/>
  <c r="D20" i="39"/>
  <c r="C19" i="39"/>
  <c r="F18" i="39"/>
  <c r="B18" i="39"/>
  <c r="E17" i="39"/>
  <c r="M16" i="39"/>
  <c r="K16" i="39"/>
  <c r="K15" i="39"/>
  <c r="J15" i="39"/>
  <c r="J14" i="39"/>
  <c r="B14" i="39"/>
  <c r="B12" i="39"/>
  <c r="N11" i="39"/>
  <c r="H11" i="39"/>
  <c r="K10" i="39"/>
  <c r="P36" i="39"/>
  <c r="E34" i="39"/>
  <c r="E26" i="39"/>
  <c r="P23" i="39"/>
  <c r="P22" i="39"/>
  <c r="P18" i="39"/>
  <c r="Q17" i="39"/>
  <c r="P15" i="39"/>
  <c r="B2" i="2"/>
  <c r="A9" i="39" s="1"/>
  <c r="B2" i="39" s="1"/>
  <c r="D2" i="5" s="1"/>
  <c r="E22" i="39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J36" i="39"/>
  <c r="F36" i="39"/>
  <c r="O35" i="39"/>
  <c r="N35" i="39"/>
  <c r="O34" i="39"/>
  <c r="N34" i="39"/>
  <c r="B34" i="39"/>
  <c r="N29" i="39"/>
  <c r="B29" i="39"/>
  <c r="N26" i="39"/>
  <c r="O24" i="39"/>
  <c r="O23" i="39"/>
  <c r="J12" i="39"/>
  <c r="J11" i="39"/>
  <c r="B11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O33" i="39"/>
  <c r="G33" i="39"/>
  <c r="O31" i="39"/>
  <c r="N31" i="39"/>
  <c r="G31" i="39"/>
  <c r="O28" i="39"/>
  <c r="B24" i="39"/>
  <c r="F23" i="39"/>
  <c r="J22" i="39"/>
  <c r="B22" i="39"/>
  <c r="O20" i="39"/>
  <c r="J20" i="39"/>
  <c r="O18" i="39"/>
  <c r="N18" i="39"/>
  <c r="O17" i="39"/>
  <c r="H17" i="39"/>
  <c r="D17" i="39"/>
  <c r="B17" i="39"/>
  <c r="K28" i="6"/>
  <c r="J28" i="6"/>
  <c r="P14" i="39"/>
  <c r="N13" i="39"/>
  <c r="D9" i="5"/>
  <c r="D10" i="5"/>
  <c r="I119" i="6"/>
  <c r="J101" i="6"/>
  <c r="J81" i="6"/>
  <c r="J61" i="6"/>
  <c r="I21" i="6"/>
  <c r="O9" i="39"/>
  <c r="O44" i="39" s="1"/>
  <c r="D8" i="5"/>
  <c r="D20" i="5"/>
  <c r="D21" i="5"/>
  <c r="D22" i="5"/>
  <c r="D23" i="5"/>
  <c r="D11" i="5"/>
  <c r="D12" i="5"/>
  <c r="D13" i="5"/>
  <c r="D14" i="5"/>
  <c r="D15" i="5"/>
  <c r="D16" i="5"/>
  <c r="D24" i="5" s="1"/>
  <c r="D17" i="5"/>
  <c r="D18" i="5"/>
  <c r="D19" i="5"/>
  <c r="O111" i="2"/>
  <c r="Q111" i="41"/>
  <c r="P111" i="41"/>
  <c r="N111" i="41"/>
  <c r="L111" i="41"/>
  <c r="K111" i="41"/>
  <c r="F111" i="41"/>
  <c r="E111" i="41"/>
  <c r="D111" i="41"/>
  <c r="C111" i="41"/>
  <c r="B111" i="41"/>
  <c r="Q111" i="40"/>
  <c r="P111" i="40"/>
  <c r="M111" i="40"/>
  <c r="L111" i="40"/>
  <c r="K111" i="40"/>
  <c r="Q111" i="33"/>
  <c r="O111" i="33"/>
  <c r="N111" i="33"/>
  <c r="M111" i="33"/>
  <c r="L111" i="33"/>
  <c r="K111" i="33"/>
  <c r="G111" i="33"/>
  <c r="E111" i="33"/>
  <c r="D111" i="33"/>
  <c r="C111" i="33"/>
  <c r="P111" i="32"/>
  <c r="N111" i="32"/>
  <c r="M111" i="32"/>
  <c r="L111" i="32"/>
  <c r="K111" i="32"/>
  <c r="F111" i="32"/>
  <c r="E111" i="32"/>
  <c r="D111" i="32"/>
  <c r="C111" i="32"/>
  <c r="B111" i="32"/>
  <c r="Q111" i="31"/>
  <c r="P111" i="31"/>
  <c r="O111" i="31"/>
  <c r="N111" i="31"/>
  <c r="M111" i="31"/>
  <c r="K111" i="31"/>
  <c r="G111" i="31"/>
  <c r="E111" i="31"/>
  <c r="C111" i="31"/>
  <c r="P111" i="30"/>
  <c r="O111" i="30"/>
  <c r="M111" i="30"/>
  <c r="L111" i="30"/>
  <c r="G111" i="30"/>
  <c r="E111" i="30"/>
  <c r="D111" i="30"/>
  <c r="B111" i="30"/>
  <c r="P111" i="29"/>
  <c r="O111" i="29"/>
  <c r="N111" i="29"/>
  <c r="M111" i="29"/>
  <c r="K111" i="29"/>
  <c r="P111" i="28"/>
  <c r="N111" i="28"/>
  <c r="L111" i="28"/>
  <c r="K111" i="28"/>
  <c r="F111" i="28"/>
  <c r="D111" i="28"/>
  <c r="C111" i="28"/>
  <c r="B111" i="28"/>
  <c r="Q111" i="27"/>
  <c r="P111" i="27"/>
  <c r="N111" i="27"/>
  <c r="L111" i="27"/>
  <c r="K111" i="27"/>
  <c r="F111" i="27"/>
  <c r="E111" i="27"/>
  <c r="D111" i="27"/>
  <c r="C111" i="27"/>
  <c r="B111" i="27"/>
  <c r="Q111" i="26"/>
  <c r="P111" i="26"/>
  <c r="O111" i="26"/>
  <c r="N111" i="26"/>
  <c r="L111" i="26"/>
  <c r="F111" i="26"/>
  <c r="D111" i="26"/>
  <c r="B111" i="26"/>
  <c r="Q112" i="25"/>
  <c r="P111" i="25"/>
  <c r="O111" i="25"/>
  <c r="N111" i="25"/>
  <c r="M111" i="25"/>
  <c r="L111" i="25"/>
  <c r="K111" i="25"/>
  <c r="J111" i="25"/>
  <c r="F111" i="25"/>
  <c r="E111" i="25"/>
  <c r="D111" i="25"/>
  <c r="C111" i="25"/>
  <c r="B111" i="25"/>
  <c r="P111" i="24"/>
  <c r="O111" i="24"/>
  <c r="N111" i="24"/>
  <c r="M111" i="24"/>
  <c r="K111" i="24"/>
  <c r="Q111" i="24"/>
  <c r="F111" i="24"/>
  <c r="E111" i="24"/>
  <c r="C111" i="24"/>
  <c r="B111" i="24"/>
  <c r="Q111" i="23"/>
  <c r="P111" i="23"/>
  <c r="O111" i="23"/>
  <c r="N111" i="23"/>
  <c r="M111" i="23"/>
  <c r="K111" i="23"/>
  <c r="F111" i="23"/>
  <c r="E111" i="23"/>
  <c r="C111" i="23"/>
  <c r="B111" i="23"/>
  <c r="Q111" i="22"/>
  <c r="P111" i="22"/>
  <c r="O111" i="22"/>
  <c r="N111" i="22"/>
  <c r="M111" i="22"/>
  <c r="L111" i="22"/>
  <c r="K111" i="22"/>
  <c r="F111" i="22"/>
  <c r="E111" i="22"/>
  <c r="C111" i="22"/>
  <c r="B111" i="22"/>
  <c r="P111" i="21"/>
  <c r="O111" i="21"/>
  <c r="N111" i="21"/>
  <c r="M111" i="21"/>
  <c r="K111" i="21"/>
  <c r="E111" i="21"/>
  <c r="D111" i="21"/>
  <c r="C111" i="21"/>
  <c r="B111" i="21"/>
  <c r="O111" i="20"/>
  <c r="Q112" i="20"/>
  <c r="N111" i="20"/>
  <c r="M111" i="20"/>
  <c r="L111" i="20"/>
  <c r="K111" i="20"/>
  <c r="F111" i="20"/>
  <c r="E111" i="20"/>
  <c r="D111" i="20"/>
  <c r="C111" i="20"/>
  <c r="B111" i="20"/>
  <c r="P111" i="19"/>
  <c r="N111" i="19"/>
  <c r="M111" i="19"/>
  <c r="L111" i="19"/>
  <c r="K111" i="19"/>
  <c r="E111" i="19"/>
  <c r="D111" i="19"/>
  <c r="C111" i="19"/>
  <c r="B111" i="19"/>
  <c r="Q111" i="18"/>
  <c r="O111" i="18"/>
  <c r="M111" i="18"/>
  <c r="L111" i="18"/>
  <c r="K111" i="18"/>
  <c r="E111" i="18"/>
  <c r="D111" i="18"/>
  <c r="C111" i="18"/>
  <c r="B111" i="18"/>
  <c r="Q111" i="17"/>
  <c r="O111" i="17"/>
  <c r="M111" i="17"/>
  <c r="L111" i="17"/>
  <c r="K111" i="17"/>
  <c r="G111" i="17"/>
  <c r="E111" i="17"/>
  <c r="D111" i="17"/>
  <c r="B111" i="17"/>
  <c r="Q111" i="16"/>
  <c r="P111" i="16"/>
  <c r="O111" i="16"/>
  <c r="D111" i="16"/>
  <c r="B111" i="16"/>
  <c r="O111" i="15"/>
  <c r="N111" i="15"/>
  <c r="M111" i="15"/>
  <c r="L111" i="15"/>
  <c r="Q112" i="15"/>
  <c r="E111" i="15"/>
  <c r="D111" i="15"/>
  <c r="B111" i="15"/>
  <c r="P111" i="14"/>
  <c r="O111" i="14"/>
  <c r="M111" i="14"/>
  <c r="L111" i="14"/>
  <c r="K111" i="14"/>
  <c r="I111" i="14"/>
  <c r="E111" i="14"/>
  <c r="D111" i="14"/>
  <c r="C111" i="14"/>
  <c r="B111" i="14"/>
  <c r="P111" i="13"/>
  <c r="O111" i="13"/>
  <c r="M111" i="13"/>
  <c r="L111" i="13"/>
  <c r="F111" i="13"/>
  <c r="E111" i="13"/>
  <c r="C111" i="13"/>
  <c r="Q111" i="12"/>
  <c r="O111" i="12"/>
  <c r="N111" i="12"/>
  <c r="M111" i="12"/>
  <c r="K111" i="12"/>
  <c r="J111" i="12"/>
  <c r="I111" i="12"/>
  <c r="F111" i="12"/>
  <c r="D111" i="12"/>
  <c r="B111" i="12"/>
  <c r="Q111" i="11"/>
  <c r="P111" i="11"/>
  <c r="O111" i="11"/>
  <c r="N111" i="11"/>
  <c r="M111" i="11"/>
  <c r="L111" i="11"/>
  <c r="J111" i="11"/>
  <c r="I111" i="11"/>
  <c r="G111" i="11"/>
  <c r="E111" i="11"/>
  <c r="D111" i="11"/>
  <c r="B111" i="11"/>
  <c r="Q111" i="10"/>
  <c r="P111" i="10"/>
  <c r="O111" i="10"/>
  <c r="K111" i="10"/>
  <c r="B111" i="10"/>
  <c r="Q111" i="9"/>
  <c r="N111" i="9"/>
  <c r="M111" i="9"/>
  <c r="E111" i="9"/>
  <c r="C111" i="9"/>
  <c r="B111" i="9"/>
  <c r="Q111" i="8"/>
  <c r="P111" i="8"/>
  <c r="M111" i="8"/>
  <c r="G111" i="8"/>
  <c r="D111" i="8"/>
  <c r="C111" i="8"/>
  <c r="Q111" i="3"/>
  <c r="O111" i="3"/>
  <c r="N111" i="3"/>
  <c r="J111" i="3"/>
  <c r="I111" i="3"/>
  <c r="E111" i="3"/>
  <c r="B111" i="3"/>
  <c r="C112" i="30"/>
  <c r="K112" i="30"/>
  <c r="C112" i="17"/>
  <c r="D112" i="3"/>
  <c r="P112" i="2"/>
  <c r="M111" i="2"/>
  <c r="K112" i="2"/>
  <c r="J112" i="2"/>
  <c r="D111" i="2"/>
  <c r="E111" i="10"/>
  <c r="L111" i="9"/>
  <c r="O112" i="9"/>
  <c r="D111" i="9"/>
  <c r="N112" i="8"/>
  <c r="N111" i="14"/>
  <c r="C112" i="11"/>
  <c r="K112" i="11"/>
  <c r="B112" i="2"/>
  <c r="Q111" i="2"/>
  <c r="I111" i="2"/>
  <c r="N112" i="2"/>
  <c r="C111" i="2"/>
  <c r="E111" i="2"/>
  <c r="K112" i="3"/>
  <c r="H112" i="3"/>
  <c r="E112" i="8"/>
  <c r="O112" i="8"/>
  <c r="K112" i="9"/>
  <c r="M112" i="10"/>
  <c r="C112" i="10"/>
  <c r="F112" i="11"/>
  <c r="L112" i="12"/>
  <c r="C112" i="12"/>
  <c r="K112" i="13"/>
  <c r="Q111" i="13"/>
  <c r="F112" i="15"/>
  <c r="P112" i="15"/>
  <c r="C112" i="16"/>
  <c r="M112" i="16"/>
  <c r="P112" i="18"/>
  <c r="D111" i="10"/>
  <c r="N112" i="10"/>
  <c r="L111" i="10"/>
  <c r="P111" i="9"/>
  <c r="B112" i="8"/>
  <c r="K112" i="8"/>
  <c r="M112" i="3"/>
  <c r="C111" i="3"/>
  <c r="P111" i="3"/>
  <c r="C112" i="15"/>
  <c r="K111" i="15"/>
  <c r="Q112" i="14"/>
  <c r="D112" i="13"/>
  <c r="N112" i="13"/>
  <c r="B112" i="13"/>
  <c r="P112" i="12"/>
  <c r="E111" i="12"/>
  <c r="D112" i="22"/>
  <c r="P112" i="20"/>
  <c r="O112" i="19"/>
  <c r="F112" i="18"/>
  <c r="F112" i="17"/>
  <c r="P112" i="17"/>
  <c r="K111" i="16"/>
  <c r="G111" i="25"/>
  <c r="I111" i="25"/>
  <c r="H111" i="25"/>
  <c r="G112" i="24"/>
  <c r="J112" i="24"/>
  <c r="H112" i="24"/>
  <c r="I111" i="24"/>
  <c r="D112" i="24"/>
  <c r="L112" i="24"/>
  <c r="J112" i="23"/>
  <c r="I112" i="23"/>
  <c r="H112" i="23"/>
  <c r="G111" i="23"/>
  <c r="D111" i="23"/>
  <c r="Q111" i="28"/>
  <c r="I112" i="28"/>
  <c r="J112" i="28"/>
  <c r="H111" i="28"/>
  <c r="O112" i="28"/>
  <c r="E111" i="28"/>
  <c r="M112" i="28"/>
  <c r="J112" i="27"/>
  <c r="H112" i="27"/>
  <c r="I111" i="27"/>
  <c r="G112" i="27"/>
  <c r="O112" i="27"/>
  <c r="M112" i="27"/>
  <c r="J112" i="26"/>
  <c r="I112" i="26"/>
  <c r="H112" i="26"/>
  <c r="M111" i="26"/>
  <c r="E112" i="26"/>
  <c r="K111" i="26"/>
  <c r="C112" i="26"/>
  <c r="I111" i="33"/>
  <c r="J112" i="33"/>
  <c r="B112" i="33"/>
  <c r="H112" i="33"/>
  <c r="P112" i="33"/>
  <c r="J111" i="32"/>
  <c r="H111" i="32"/>
  <c r="I112" i="32"/>
  <c r="Q112" i="32"/>
  <c r="O111" i="32"/>
  <c r="G112" i="32"/>
  <c r="F111" i="31"/>
  <c r="H111" i="31"/>
  <c r="I111" i="31"/>
  <c r="J112" i="31"/>
  <c r="L111" i="31"/>
  <c r="D112" i="31"/>
  <c r="B112" i="31"/>
  <c r="Q112" i="30"/>
  <c r="J112" i="30"/>
  <c r="I111" i="30"/>
  <c r="H111" i="30"/>
  <c r="F112" i="30"/>
  <c r="N112" i="30"/>
  <c r="F111" i="29"/>
  <c r="I111" i="29"/>
  <c r="H111" i="29"/>
  <c r="G111" i="29"/>
  <c r="D112" i="29"/>
  <c r="E111" i="29"/>
  <c r="B111" i="29"/>
  <c r="C111" i="29"/>
  <c r="Q112" i="29"/>
  <c r="J112" i="41"/>
  <c r="H112" i="41"/>
  <c r="I111" i="41"/>
  <c r="O112" i="41"/>
  <c r="G112" i="41"/>
  <c r="M112" i="41"/>
  <c r="Q111" i="44"/>
  <c r="P111" i="44"/>
  <c r="O112" i="44"/>
  <c r="N111" i="44"/>
  <c r="M111" i="44"/>
  <c r="L111" i="44"/>
  <c r="K111" i="44"/>
  <c r="J111" i="44"/>
  <c r="I111" i="44"/>
  <c r="H111" i="44"/>
  <c r="G111" i="44"/>
  <c r="F111" i="44"/>
  <c r="E111" i="44"/>
  <c r="D111" i="44"/>
  <c r="C111" i="44"/>
  <c r="B111" i="44"/>
  <c r="J112" i="40"/>
  <c r="H112" i="40"/>
  <c r="I111" i="40"/>
  <c r="G112" i="40"/>
  <c r="O112" i="40"/>
  <c r="N111" i="40"/>
  <c r="F112" i="40"/>
  <c r="E112" i="40"/>
  <c r="D112" i="40"/>
  <c r="C112" i="40"/>
  <c r="B112" i="40"/>
  <c r="F112" i="33"/>
  <c r="J112" i="29"/>
  <c r="L112" i="29"/>
  <c r="G111" i="28"/>
  <c r="G112" i="26"/>
  <c r="L111" i="23"/>
  <c r="G111" i="22"/>
  <c r="J111" i="22"/>
  <c r="I111" i="22"/>
  <c r="H112" i="22"/>
  <c r="F111" i="21"/>
  <c r="G111" i="21"/>
  <c r="J111" i="21"/>
  <c r="Q112" i="21"/>
  <c r="I111" i="21"/>
  <c r="H111" i="21"/>
  <c r="L111" i="21"/>
  <c r="G111" i="20"/>
  <c r="J111" i="20"/>
  <c r="I111" i="20"/>
  <c r="H112" i="20"/>
  <c r="F112" i="19"/>
  <c r="G111" i="19"/>
  <c r="J111" i="19"/>
  <c r="I111" i="19"/>
  <c r="Q111" i="19"/>
  <c r="H112" i="19"/>
  <c r="G112" i="18"/>
  <c r="N112" i="18"/>
  <c r="J111" i="18"/>
  <c r="I111" i="18"/>
  <c r="H111" i="18"/>
  <c r="N112" i="17"/>
  <c r="J111" i="17"/>
  <c r="I111" i="17"/>
  <c r="H111" i="17"/>
  <c r="F112" i="16"/>
  <c r="E111" i="16"/>
  <c r="L111" i="16"/>
  <c r="N111" i="16"/>
  <c r="J112" i="16"/>
  <c r="I111" i="16"/>
  <c r="G111" i="16"/>
  <c r="H112" i="16"/>
  <c r="J111" i="15"/>
  <c r="I111" i="15"/>
  <c r="H111" i="15"/>
  <c r="G111" i="15"/>
  <c r="G111" i="14"/>
  <c r="J112" i="14"/>
  <c r="H112" i="14"/>
  <c r="F111" i="14"/>
  <c r="J111" i="13"/>
  <c r="I112" i="13"/>
  <c r="H112" i="13"/>
  <c r="G112" i="13"/>
  <c r="H112" i="12"/>
  <c r="G111" i="12"/>
  <c r="H112" i="11"/>
  <c r="J112" i="10"/>
  <c r="I112" i="10"/>
  <c r="H112" i="10"/>
  <c r="G112" i="10"/>
  <c r="F112" i="10"/>
  <c r="J112" i="9"/>
  <c r="I112" i="9"/>
  <c r="H112" i="9"/>
  <c r="G112" i="9"/>
  <c r="F112" i="9"/>
  <c r="L111" i="8"/>
  <c r="J112" i="8"/>
  <c r="I112" i="8"/>
  <c r="H111" i="8"/>
  <c r="G111" i="3"/>
  <c r="F111" i="3"/>
  <c r="L111" i="3"/>
  <c r="H112" i="2"/>
  <c r="G112" i="2"/>
  <c r="F111" i="2"/>
  <c r="L111" i="2"/>
  <c r="F111" i="8"/>
  <c r="F112" i="8"/>
  <c r="Q43" i="39" l="1"/>
  <c r="M42" i="39"/>
  <c r="M41" i="39"/>
  <c r="M43" i="39"/>
  <c r="M44" i="39"/>
  <c r="M40" i="39"/>
  <c r="C44" i="39"/>
  <c r="C41" i="39"/>
  <c r="C42" i="39"/>
  <c r="C43" i="39"/>
  <c r="C40" i="39"/>
  <c r="P44" i="39"/>
  <c r="P42" i="39"/>
  <c r="P40" i="39"/>
  <c r="P43" i="39"/>
  <c r="P41" i="39"/>
  <c r="N44" i="39"/>
  <c r="N43" i="39"/>
  <c r="N42" i="39"/>
  <c r="N40" i="39"/>
  <c r="B43" i="39"/>
  <c r="B42" i="39"/>
  <c r="B44" i="39"/>
  <c r="B40" i="39"/>
  <c r="B41" i="39"/>
  <c r="N41" i="39"/>
  <c r="E41" i="39"/>
  <c r="E40" i="39"/>
  <c r="E44" i="39"/>
  <c r="E43" i="39"/>
  <c r="E42" i="39"/>
  <c r="K43" i="39"/>
  <c r="K44" i="39"/>
  <c r="K42" i="39"/>
  <c r="K40" i="39"/>
  <c r="K41" i="39"/>
  <c r="F42" i="39"/>
  <c r="F40" i="39"/>
  <c r="F41" i="39"/>
  <c r="F43" i="39"/>
  <c r="F44" i="39"/>
  <c r="G43" i="39"/>
  <c r="G44" i="39"/>
  <c r="G42" i="39"/>
  <c r="G40" i="39"/>
  <c r="G41" i="39"/>
  <c r="L42" i="39"/>
  <c r="L41" i="39"/>
  <c r="L44" i="39"/>
  <c r="L43" i="39"/>
  <c r="L40" i="39"/>
  <c r="O46" i="39"/>
  <c r="O45" i="39"/>
  <c r="J42" i="39"/>
  <c r="J40" i="39"/>
  <c r="J44" i="39"/>
  <c r="J43" i="39"/>
  <c r="J41" i="39"/>
  <c r="I41" i="39"/>
  <c r="I43" i="39"/>
  <c r="I40" i="39"/>
  <c r="I42" i="39"/>
  <c r="I44" i="39"/>
  <c r="H43" i="39"/>
  <c r="H44" i="39"/>
  <c r="H41" i="39"/>
  <c r="H40" i="39"/>
  <c r="H42" i="39"/>
  <c r="Q41" i="39"/>
  <c r="Q40" i="39"/>
  <c r="Q42" i="39"/>
  <c r="Q44" i="39"/>
  <c r="D40" i="39"/>
  <c r="D41" i="39"/>
  <c r="D43" i="39"/>
  <c r="D44" i="39"/>
  <c r="O42" i="39"/>
  <c r="O43" i="39"/>
  <c r="O41" i="39"/>
  <c r="O40" i="39"/>
  <c r="D44" i="5"/>
  <c r="D42" i="39"/>
  <c r="H46" i="39" l="1"/>
  <c r="H45" i="39"/>
  <c r="L45" i="39"/>
  <c r="L46" i="39"/>
  <c r="K46" i="39"/>
  <c r="K45" i="39"/>
  <c r="N45" i="39"/>
  <c r="N46" i="39"/>
  <c r="I45" i="39"/>
  <c r="I46" i="39"/>
  <c r="E46" i="39"/>
  <c r="E45" i="39"/>
  <c r="D46" i="39"/>
  <c r="D45" i="39"/>
  <c r="P46" i="39"/>
  <c r="P45" i="39"/>
  <c r="G46" i="39"/>
  <c r="G45" i="39"/>
  <c r="F46" i="39"/>
  <c r="F45" i="39"/>
  <c r="Q46" i="39"/>
  <c r="Q45" i="39"/>
  <c r="J46" i="39"/>
  <c r="J45" i="39"/>
  <c r="B45" i="39"/>
  <c r="B46" i="39"/>
  <c r="C46" i="39"/>
  <c r="C45" i="39"/>
  <c r="M46" i="39"/>
  <c r="M45" i="39"/>
</calcChain>
</file>

<file path=xl/sharedStrings.xml><?xml version="1.0" encoding="utf-8"?>
<sst xmlns="http://schemas.openxmlformats.org/spreadsheetml/2006/main" count="9527" uniqueCount="3225">
  <si>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</si>
  <si>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</si>
  <si>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</si>
  <si>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</si>
  <si>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</si>
  <si>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</si>
  <si>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</si>
  <si>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</si>
  <si>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</si>
  <si>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</si>
  <si>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</si>
  <si>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</si>
  <si>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</si>
  <si>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</si>
  <si>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</si>
  <si>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</si>
  <si>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</si>
  <si>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</si>
  <si>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</si>
  <si>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</si>
  <si>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</si>
  <si>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</si>
  <si>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</si>
  <si>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</si>
  <si>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</si>
  <si>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</si>
  <si>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</si>
  <si>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</si>
  <si>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</si>
  <si>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</si>
  <si>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</si>
  <si>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</si>
  <si>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</si>
  <si>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</si>
  <si>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</si>
  <si>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</si>
  <si>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</si>
  <si>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</si>
  <si>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</si>
  <si>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</si>
  <si>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</si>
  <si>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</si>
  <si>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</si>
  <si>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</si>
  <si>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</si>
  <si>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</si>
  <si>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</si>
  <si>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</si>
  <si>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</si>
  <si>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</si>
  <si>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</si>
  <si>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</si>
  <si>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</si>
  <si>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</si>
  <si>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</si>
  <si>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</si>
  <si>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</si>
  <si>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</si>
  <si>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</si>
  <si>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</si>
  <si>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</si>
  <si>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</si>
  <si>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</si>
  <si>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</si>
  <si>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</si>
  <si>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</si>
  <si>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</si>
  <si>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</si>
  <si>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</si>
  <si>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</si>
  <si>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</si>
  <si>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</si>
  <si>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</si>
  <si>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</si>
  <si>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</si>
  <si>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</si>
  <si>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</si>
  <si>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</si>
  <si>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</si>
  <si>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</si>
  <si>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</si>
  <si>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</si>
  <si>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</si>
  <si>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</si>
  <si>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</si>
  <si>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</si>
  <si>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</si>
  <si>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</si>
  <si>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</si>
  <si>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</si>
  <si>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</si>
  <si>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</si>
  <si>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</si>
  <si>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</si>
  <si>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</si>
  <si>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</si>
  <si>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</si>
  <si>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</si>
  <si>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</si>
  <si>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</si>
  <si>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</si>
  <si>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</si>
  <si>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</si>
  <si>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</si>
  <si>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</si>
  <si>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</si>
  <si>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</si>
  <si>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</si>
  <si>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</si>
  <si>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</si>
  <si>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</si>
  <si>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</si>
  <si>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</si>
  <si>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</si>
  <si>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</si>
  <si>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</si>
  <si>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</si>
  <si>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</si>
  <si>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</si>
  <si>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</si>
  <si>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</si>
  <si>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</si>
  <si>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</si>
  <si>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</si>
  <si>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</si>
  <si>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</si>
  <si>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</si>
  <si>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</si>
  <si>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</si>
  <si>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</si>
  <si>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</si>
  <si>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</si>
  <si>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</si>
  <si>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</si>
  <si>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</si>
  <si>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</si>
  <si>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</si>
  <si>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</si>
  <si>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</si>
  <si>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</si>
  <si>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</si>
  <si>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</si>
  <si>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</si>
  <si>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</si>
  <si>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</si>
  <si>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</si>
  <si>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</si>
  <si>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</si>
  <si>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</si>
  <si>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</si>
  <si>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</si>
  <si>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</si>
  <si>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</si>
  <si>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</si>
  <si>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</si>
  <si>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</si>
  <si>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</si>
  <si>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</si>
  <si>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</si>
  <si>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</si>
  <si>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</si>
  <si>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</si>
  <si>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</si>
  <si>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</si>
  <si>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</si>
  <si>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</si>
  <si>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</si>
  <si>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</si>
  <si>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</si>
  <si>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</si>
  <si>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</si>
  <si>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</si>
  <si>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</si>
  <si>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</si>
  <si>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</si>
  <si>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</si>
  <si>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</si>
  <si>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</si>
  <si>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</si>
  <si>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</si>
  <si>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</si>
  <si>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</si>
  <si>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</si>
  <si>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</si>
  <si>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</si>
  <si>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</si>
  <si>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</si>
  <si>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</si>
  <si>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</si>
  <si>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</si>
  <si>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</si>
  <si>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</si>
  <si>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</si>
  <si>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</si>
  <si>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</si>
  <si>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</si>
  <si>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</si>
  <si>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</si>
  <si>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</si>
  <si>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</si>
  <si>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</si>
  <si>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</si>
  <si>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</si>
  <si>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</si>
  <si>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</si>
  <si>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</si>
  <si>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</si>
  <si>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</si>
  <si>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</si>
  <si>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</si>
  <si>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</si>
  <si>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</si>
  <si>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</si>
  <si>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</si>
  <si>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</si>
  <si>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snehashis</t>
  </si>
  <si>
    <t>01/06/2022 00:15 - 30/06/2022 00:00</t>
  </si>
  <si>
    <t>SR</t>
  </si>
  <si>
    <t>RK</t>
  </si>
  <si>
    <t>807 ug/cm2</t>
  </si>
  <si>
    <t>801 ug/cm2</t>
  </si>
  <si>
    <t>4mv</t>
  </si>
  <si>
    <t>ON</t>
  </si>
  <si>
    <t>OFF</t>
  </si>
  <si>
    <t>Calibration report Of KUNJEMURA, RAIGARH</t>
  </si>
  <si>
    <t>POWER OFF REPORT OF KUNJEMURA, RAIGARH</t>
  </si>
  <si>
    <t>MUX signal Report REPORT OF KUNJEMURA, RAIGARH MONTH OF</t>
  </si>
  <si>
    <t>BHATAGAON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</si>
  <si>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</si>
  <si>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</si>
  <si>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</si>
  <si>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</si>
  <si>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</si>
  <si>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</si>
  <si>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</si>
  <si>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</si>
  <si>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</si>
  <si>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</si>
  <si>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</si>
  <si>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</si>
  <si>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</si>
  <si>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</si>
  <si>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</si>
  <si>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</si>
  <si>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SUROJIT</t>
  </si>
  <si>
    <t>BHATAGAON RAIPPUR</t>
  </si>
  <si>
    <t>PM2.5__BHATAGAON</t>
  </si>
  <si>
    <t>Rahul</t>
  </si>
  <si>
    <t>01-08-2022 00:15</t>
  </si>
  <si>
    <t>01-08-2022 00:30</t>
  </si>
  <si>
    <t>01-08-2022 00:45</t>
  </si>
  <si>
    <t>01-08-2022 01:00</t>
  </si>
  <si>
    <t>01-08-2022 01:15</t>
  </si>
  <si>
    <t>01-08-2022 01:30</t>
  </si>
  <si>
    <t>01-08-2022 01:45</t>
  </si>
  <si>
    <t>01-08-2022 02:00</t>
  </si>
  <si>
    <t>01-08-2022 02:15</t>
  </si>
  <si>
    <t>01-08-2022 02:30</t>
  </si>
  <si>
    <t>01-08-2022 02:45</t>
  </si>
  <si>
    <t>01-08-2022 03:00</t>
  </si>
  <si>
    <t>01-08-2022 03:15</t>
  </si>
  <si>
    <t>01-08-2022 03:30</t>
  </si>
  <si>
    <t>01-08-2022 03:45</t>
  </si>
  <si>
    <t>01-08-2022 04:00</t>
  </si>
  <si>
    <t>01-08-2022 04:15</t>
  </si>
  <si>
    <t>01-08-2022 04:30</t>
  </si>
  <si>
    <t>01-08-2022 04:45</t>
  </si>
  <si>
    <t>01-08-2022 05:00</t>
  </si>
  <si>
    <t>01-08-2022 05:15</t>
  </si>
  <si>
    <t>01-08-2022 05:30</t>
  </si>
  <si>
    <t>01-08-2022 05:45</t>
  </si>
  <si>
    <t>01-08-2022 06:00</t>
  </si>
  <si>
    <t>01-08-2022 06:15</t>
  </si>
  <si>
    <t>01-08-2022 06:30</t>
  </si>
  <si>
    <t>01-08-2022 06:45</t>
  </si>
  <si>
    <t>01-08-2022 07:00</t>
  </si>
  <si>
    <t>01-08-2022 07:15</t>
  </si>
  <si>
    <t>01-08-2022 07:30</t>
  </si>
  <si>
    <t>01-08-2022 07:45</t>
  </si>
  <si>
    <t>01-08-2022 08:00</t>
  </si>
  <si>
    <t>01-08-2022 08:15</t>
  </si>
  <si>
    <t>01-08-2022 08:30</t>
  </si>
  <si>
    <t>01-08-2022 08:45</t>
  </si>
  <si>
    <t>01-08-2022 09:00</t>
  </si>
  <si>
    <t>01-08-2022 09:15</t>
  </si>
  <si>
    <t>01-08-2022 09:30</t>
  </si>
  <si>
    <t>01-08-2022 09:45</t>
  </si>
  <si>
    <t>01-08-2022 10:00</t>
  </si>
  <si>
    <t>01-08-2022 10:15</t>
  </si>
  <si>
    <t>01-08-2022 10:30</t>
  </si>
  <si>
    <t>01-08-2022 10:45</t>
  </si>
  <si>
    <t>01-08-2022 11:00</t>
  </si>
  <si>
    <t>01-08-2022 11:15</t>
  </si>
  <si>
    <t>01-08-2022 11:30</t>
  </si>
  <si>
    <t>01-08-2022 11:45</t>
  </si>
  <si>
    <t>01-08-2022 12:00</t>
  </si>
  <si>
    <t>01-08-2022 12:15</t>
  </si>
  <si>
    <t>01-08-2022 12:30</t>
  </si>
  <si>
    <t>01-08-2022 12:45</t>
  </si>
  <si>
    <t>01-08-2022 13:00</t>
  </si>
  <si>
    <t>01-08-2022 13:15</t>
  </si>
  <si>
    <t>01-08-2022 13:30</t>
  </si>
  <si>
    <t>01-08-2022 13:45</t>
  </si>
  <si>
    <t>01-08-2022 14:00</t>
  </si>
  <si>
    <t>01-08-2022 14:15</t>
  </si>
  <si>
    <t>01-08-2022 14:30</t>
  </si>
  <si>
    <t>01-08-2022 14:45</t>
  </si>
  <si>
    <t>01-08-2022 15:00</t>
  </si>
  <si>
    <t>01-08-2022 15:15</t>
  </si>
  <si>
    <t>01-08-2022 15:30</t>
  </si>
  <si>
    <t>01-08-2022 15:45</t>
  </si>
  <si>
    <t>01-08-2022 16:00</t>
  </si>
  <si>
    <t>01-08-2022 16:15</t>
  </si>
  <si>
    <t>01-08-2022 16:30</t>
  </si>
  <si>
    <t>01-08-2022 16:45</t>
  </si>
  <si>
    <t>01-08-2022 17:00</t>
  </si>
  <si>
    <t>01-08-2022 17:15</t>
  </si>
  <si>
    <t>01-08-2022 17:30</t>
  </si>
  <si>
    <t>01-08-2022 17:45</t>
  </si>
  <si>
    <t>01-08-2022 18:00</t>
  </si>
  <si>
    <t>01-08-2022 18:15</t>
  </si>
  <si>
    <t>01-08-2022 18:30</t>
  </si>
  <si>
    <t>01-08-2022 18:45</t>
  </si>
  <si>
    <t>01-08-2022 19:00</t>
  </si>
  <si>
    <t>01-08-2022 19:15</t>
  </si>
  <si>
    <t>01-08-2022 19:30</t>
  </si>
  <si>
    <t>01-08-2022 19:45</t>
  </si>
  <si>
    <t>01-08-2022 20:00</t>
  </si>
  <si>
    <t>01-08-2022 20:15</t>
  </si>
  <si>
    <t>01-08-2022 20:30</t>
  </si>
  <si>
    <t>01-08-2022 20:45</t>
  </si>
  <si>
    <t>01-08-2022 21:00</t>
  </si>
  <si>
    <t>01-08-2022 21:15</t>
  </si>
  <si>
    <t>01-08-2022 21:30</t>
  </si>
  <si>
    <t>01-08-2022 21:45</t>
  </si>
  <si>
    <t>01-08-2022 22:00</t>
  </si>
  <si>
    <t>01-08-2022 22:15</t>
  </si>
  <si>
    <t>01-08-2022 22:30</t>
  </si>
  <si>
    <t>01-08-2022 22:45</t>
  </si>
  <si>
    <t>01-08-2022 23:00</t>
  </si>
  <si>
    <t>01-08-2022 23:15</t>
  </si>
  <si>
    <t>01-08-2022 23:30</t>
  </si>
  <si>
    <t>01-08-2022 23:45</t>
  </si>
  <si>
    <t>01-08-2022 24:00</t>
  </si>
  <si>
    <t>02-08-2022 00:15</t>
  </si>
  <si>
    <t>02-08-2022 00:30</t>
  </si>
  <si>
    <t>02-08-2022 00:45</t>
  </si>
  <si>
    <t>02-08-2022 01:00</t>
  </si>
  <si>
    <t>02-08-2022 01:15</t>
  </si>
  <si>
    <t>02-08-2022 01:30</t>
  </si>
  <si>
    <t>02-08-2022 01:45</t>
  </si>
  <si>
    <t>02-08-2022 02:00</t>
  </si>
  <si>
    <t>02-08-2022 02:15</t>
  </si>
  <si>
    <t>02-08-2022 02:30</t>
  </si>
  <si>
    <t>02-08-2022 02:45</t>
  </si>
  <si>
    <t>02-08-2022 03:00</t>
  </si>
  <si>
    <t>02-08-2022 03:15</t>
  </si>
  <si>
    <t>02-08-2022 03:30</t>
  </si>
  <si>
    <t>02-08-2022 03:45</t>
  </si>
  <si>
    <t>02-08-2022 04:00</t>
  </si>
  <si>
    <t>02-08-2022 04:15</t>
  </si>
  <si>
    <t>02-08-2022 04:30</t>
  </si>
  <si>
    <t>02-08-2022 04:45</t>
  </si>
  <si>
    <t>02-08-2022 05:00</t>
  </si>
  <si>
    <t>02-08-2022 05:15</t>
  </si>
  <si>
    <t>02-08-2022 05:30</t>
  </si>
  <si>
    <t>02-08-2022 05:45</t>
  </si>
  <si>
    <t>02-08-2022 06:00</t>
  </si>
  <si>
    <t>02-08-2022 06:15</t>
  </si>
  <si>
    <t>02-08-2022 06:30</t>
  </si>
  <si>
    <t>02-08-2022 06:45</t>
  </si>
  <si>
    <t>02-08-2022 07:00</t>
  </si>
  <si>
    <t>02-08-2022 07:15</t>
  </si>
  <si>
    <t>02-08-2022 07:30</t>
  </si>
  <si>
    <t>02-08-2022 07:45</t>
  </si>
  <si>
    <t>02-08-2022 08:00</t>
  </si>
  <si>
    <t>02-08-2022 08:15</t>
  </si>
  <si>
    <t>02-08-2022 08:30</t>
  </si>
  <si>
    <t>02-08-2022 08:45</t>
  </si>
  <si>
    <t>02-08-2022 09:00</t>
  </si>
  <si>
    <t>02-08-2022 09:15</t>
  </si>
  <si>
    <t>02-08-2022 09:30</t>
  </si>
  <si>
    <t>02-08-2022 09:45</t>
  </si>
  <si>
    <t>02-08-2022 10:00</t>
  </si>
  <si>
    <t>02-08-2022 10:15</t>
  </si>
  <si>
    <t>02-08-2022 10:30</t>
  </si>
  <si>
    <t>02-08-2022 10:45</t>
  </si>
  <si>
    <t>02-08-2022 11:00</t>
  </si>
  <si>
    <t>02-08-2022 11:15</t>
  </si>
  <si>
    <t>02-08-2022 11:30</t>
  </si>
  <si>
    <t>02-08-2022 11:45</t>
  </si>
  <si>
    <t>02-08-2022 12:00</t>
  </si>
  <si>
    <t>02-08-2022 12:15</t>
  </si>
  <si>
    <t>02-08-2022 12:30</t>
  </si>
  <si>
    <t>02-08-2022 12:45</t>
  </si>
  <si>
    <t>02-08-2022 13:00</t>
  </si>
  <si>
    <t>02-08-2022 13:15</t>
  </si>
  <si>
    <t>02-08-2022 13:30</t>
  </si>
  <si>
    <t>02-08-2022 13:45</t>
  </si>
  <si>
    <t>02-08-2022 14:00</t>
  </si>
  <si>
    <t>02-08-2022 14:15</t>
  </si>
  <si>
    <t>02-08-2022 14:30</t>
  </si>
  <si>
    <t>02-08-2022 14:45</t>
  </si>
  <si>
    <t>02-08-2022 15:00</t>
  </si>
  <si>
    <t>02-08-2022 15:15</t>
  </si>
  <si>
    <t>02-08-2022 15:30</t>
  </si>
  <si>
    <t>02-08-2022 15:45</t>
  </si>
  <si>
    <t>02-08-2022 16:00</t>
  </si>
  <si>
    <t>02-08-2022 16:15</t>
  </si>
  <si>
    <t>02-08-2022 16:30</t>
  </si>
  <si>
    <t>02-08-2022 16:45</t>
  </si>
  <si>
    <t>02-08-2022 17:00</t>
  </si>
  <si>
    <t>02-08-2022 17:15</t>
  </si>
  <si>
    <t>02-08-2022 17:30</t>
  </si>
  <si>
    <t>02-08-2022 17:45</t>
  </si>
  <si>
    <t>02-08-2022 18:00</t>
  </si>
  <si>
    <t>02-08-2022 18:15</t>
  </si>
  <si>
    <t>02-08-2022 18:30</t>
  </si>
  <si>
    <t>02-08-2022 18:45</t>
  </si>
  <si>
    <t>02-08-2022 19:00</t>
  </si>
  <si>
    <t>02-08-2022 19:15</t>
  </si>
  <si>
    <t>02-08-2022 19:30</t>
  </si>
  <si>
    <t>02-08-2022 19:45</t>
  </si>
  <si>
    <t>02-08-2022 20:00</t>
  </si>
  <si>
    <t>02-08-2022 20:15</t>
  </si>
  <si>
    <t>02-08-2022 20:30</t>
  </si>
  <si>
    <t>02-08-2022 20:45</t>
  </si>
  <si>
    <t>02-08-2022 21:00</t>
  </si>
  <si>
    <t>02-08-2022 21:15</t>
  </si>
  <si>
    <t>02-08-2022 21:30</t>
  </si>
  <si>
    <t>02-08-2022 21:45</t>
  </si>
  <si>
    <t>02-08-2022 22:00</t>
  </si>
  <si>
    <t>02-08-2022 22:15</t>
  </si>
  <si>
    <t>02-08-2022 22:30</t>
  </si>
  <si>
    <t>02-08-2022 22:45</t>
  </si>
  <si>
    <t>02-08-2022 23:00</t>
  </si>
  <si>
    <t>02-08-2022 23:15</t>
  </si>
  <si>
    <t>02-08-2022 23:30</t>
  </si>
  <si>
    <t>02-08-2022 23:45</t>
  </si>
  <si>
    <t>02-08-2022 24:00</t>
  </si>
  <si>
    <t>03-08-2022 00:15</t>
  </si>
  <si>
    <t>03-08-2022 00:30</t>
  </si>
  <si>
    <t>03-08-2022 00:45</t>
  </si>
  <si>
    <t>03-08-2022 01:00</t>
  </si>
  <si>
    <t>03-08-2022 01:15</t>
  </si>
  <si>
    <t>03-08-2022 01:30</t>
  </si>
  <si>
    <t>03-08-2022 01:45</t>
  </si>
  <si>
    <t>03-08-2022 02:00</t>
  </si>
  <si>
    <t>03-08-2022 02:15</t>
  </si>
  <si>
    <t>03-08-2022 02:30</t>
  </si>
  <si>
    <t>03-08-2022 02:45</t>
  </si>
  <si>
    <t>03-08-2022 03:00</t>
  </si>
  <si>
    <t>03-08-2022 03:15</t>
  </si>
  <si>
    <t>03-08-2022 03:30</t>
  </si>
  <si>
    <t>03-08-2022 03:45</t>
  </si>
  <si>
    <t>03-08-2022 04:00</t>
  </si>
  <si>
    <t>03-08-2022 04:15</t>
  </si>
  <si>
    <t>03-08-2022 04:30</t>
  </si>
  <si>
    <t>03-08-2022 04:45</t>
  </si>
  <si>
    <t>03-08-2022 05:00</t>
  </si>
  <si>
    <t>03-08-2022 05:15</t>
  </si>
  <si>
    <t>03-08-2022 05:30</t>
  </si>
  <si>
    <t>03-08-2022 05:45</t>
  </si>
  <si>
    <t>03-08-2022 06:00</t>
  </si>
  <si>
    <t>03-08-2022 06:15</t>
  </si>
  <si>
    <t>03-08-2022 06:30</t>
  </si>
  <si>
    <t>03-08-2022 06:45</t>
  </si>
  <si>
    <t>03-08-2022 07:00</t>
  </si>
  <si>
    <t>03-08-2022 07:15</t>
  </si>
  <si>
    <t>03-08-2022 07:30</t>
  </si>
  <si>
    <t>03-08-2022 07:45</t>
  </si>
  <si>
    <t>03-08-2022 08:00</t>
  </si>
  <si>
    <t>03-08-2022 08:15</t>
  </si>
  <si>
    <t>03-08-2022 08:30</t>
  </si>
  <si>
    <t>03-08-2022 08:45</t>
  </si>
  <si>
    <t>03-08-2022 09:00</t>
  </si>
  <si>
    <t>03-08-2022 09:15</t>
  </si>
  <si>
    <t>03-08-2022 09:30</t>
  </si>
  <si>
    <t>03-08-2022 09:45</t>
  </si>
  <si>
    <t>03-08-2022 10:00</t>
  </si>
  <si>
    <t>03-08-2022 10:15</t>
  </si>
  <si>
    <t>03-08-2022 10:30</t>
  </si>
  <si>
    <t>03-08-2022 10:45</t>
  </si>
  <si>
    <t>03-08-2022 11:00</t>
  </si>
  <si>
    <t>03-08-2022 11:15</t>
  </si>
  <si>
    <t>03-08-2022 11:30</t>
  </si>
  <si>
    <t>03-08-2022 11:45</t>
  </si>
  <si>
    <t>03-08-2022 12:00</t>
  </si>
  <si>
    <t>03-08-2022 12:15</t>
  </si>
  <si>
    <t>03-08-2022 12:30</t>
  </si>
  <si>
    <t>03-08-2022 12:45</t>
  </si>
  <si>
    <t>03-08-2022 13:00</t>
  </si>
  <si>
    <t>03-08-2022 13:15</t>
  </si>
  <si>
    <t>03-08-2022 13:30</t>
  </si>
  <si>
    <t>03-08-2022 13:45</t>
  </si>
  <si>
    <t>03-08-2022 14:00</t>
  </si>
  <si>
    <t>03-08-2022 14:15</t>
  </si>
  <si>
    <t>03-08-2022 14:30</t>
  </si>
  <si>
    <t>03-08-2022 14:45</t>
  </si>
  <si>
    <t>03-08-2022 15:00</t>
  </si>
  <si>
    <t>03-08-2022 15:15</t>
  </si>
  <si>
    <t>03-08-2022 15:30</t>
  </si>
  <si>
    <t>03-08-2022 15:45</t>
  </si>
  <si>
    <t>03-08-2022 16:00</t>
  </si>
  <si>
    <t>03-08-2022 16:15</t>
  </si>
  <si>
    <t>03-08-2022 16:30</t>
  </si>
  <si>
    <t>03-08-2022 16:45</t>
  </si>
  <si>
    <t>03-08-2022 17:00</t>
  </si>
  <si>
    <t>03-08-2022 17:15</t>
  </si>
  <si>
    <t>03-08-2022 17:30</t>
  </si>
  <si>
    <t>03-08-2022 17:45</t>
  </si>
  <si>
    <t>03-08-2022 18:00</t>
  </si>
  <si>
    <t>03-08-2022 18:15</t>
  </si>
  <si>
    <t>03-08-2022 18:30</t>
  </si>
  <si>
    <t>03-08-2022 18:45</t>
  </si>
  <si>
    <t>03-08-2022 19:00</t>
  </si>
  <si>
    <t>03-08-2022 19:15</t>
  </si>
  <si>
    <t>03-08-2022 19:30</t>
  </si>
  <si>
    <t>03-08-2022 19:45</t>
  </si>
  <si>
    <t>03-08-2022 20:00</t>
  </si>
  <si>
    <t>03-08-2022 20:15</t>
  </si>
  <si>
    <t>03-08-2022 20:30</t>
  </si>
  <si>
    <t>03-08-2022 20:45</t>
  </si>
  <si>
    <t>03-08-2022 21:00</t>
  </si>
  <si>
    <t>03-08-2022 21:15</t>
  </si>
  <si>
    <t>03-08-2022 21:30</t>
  </si>
  <si>
    <t>03-08-2022 21:45</t>
  </si>
  <si>
    <t>03-08-2022 22:00</t>
  </si>
  <si>
    <t>03-08-2022 22:15</t>
  </si>
  <si>
    <t>03-08-2022 22:30</t>
  </si>
  <si>
    <t>03-08-2022 22:45</t>
  </si>
  <si>
    <t>03-08-2022 23:00</t>
  </si>
  <si>
    <t>03-08-2022 23:15</t>
  </si>
  <si>
    <t>03-08-2022 23:30</t>
  </si>
  <si>
    <t>03-08-2022 23:45</t>
  </si>
  <si>
    <t>03-08-2022 24:00</t>
  </si>
  <si>
    <t>04-08-2022 00:15</t>
  </si>
  <si>
    <t>04-08-2022 00:30</t>
  </si>
  <si>
    <t>04-08-2022 00:45</t>
  </si>
  <si>
    <t>04-08-2022 01:00</t>
  </si>
  <si>
    <t>04-08-2022 01:15</t>
  </si>
  <si>
    <t>04-08-2022 01:30</t>
  </si>
  <si>
    <t>04-08-2022 01:45</t>
  </si>
  <si>
    <t>04-08-2022 02:00</t>
  </si>
  <si>
    <t>04-08-2022 02:15</t>
  </si>
  <si>
    <t>04-08-2022 02:30</t>
  </si>
  <si>
    <t>04-08-2022 02:45</t>
  </si>
  <si>
    <t>04-08-2022 03:00</t>
  </si>
  <si>
    <t>04-08-2022 03:15</t>
  </si>
  <si>
    <t>04-08-2022 03:30</t>
  </si>
  <si>
    <t>04-08-2022 03:45</t>
  </si>
  <si>
    <t>04-08-2022 04:00</t>
  </si>
  <si>
    <t>04-08-2022 04:15</t>
  </si>
  <si>
    <t>04-08-2022 04:30</t>
  </si>
  <si>
    <t>04-08-2022 04:45</t>
  </si>
  <si>
    <t>04-08-2022 05:00</t>
  </si>
  <si>
    <t>04-08-2022 05:15</t>
  </si>
  <si>
    <t>04-08-2022 05:30</t>
  </si>
  <si>
    <t>04-08-2022 05:45</t>
  </si>
  <si>
    <t>04-08-2022 06:00</t>
  </si>
  <si>
    <t>04-08-2022 06:15</t>
  </si>
  <si>
    <t>04-08-2022 06:30</t>
  </si>
  <si>
    <t>04-08-2022 06:45</t>
  </si>
  <si>
    <t>04-08-2022 07:00</t>
  </si>
  <si>
    <t>04-08-2022 07:15</t>
  </si>
  <si>
    <t>04-08-2022 07:30</t>
  </si>
  <si>
    <t>04-08-2022 07:45</t>
  </si>
  <si>
    <t>04-08-2022 08:00</t>
  </si>
  <si>
    <t>04-08-2022 08:15</t>
  </si>
  <si>
    <t>04-08-2022 08:30</t>
  </si>
  <si>
    <t>04-08-2022 08:45</t>
  </si>
  <si>
    <t>04-08-2022 09:00</t>
  </si>
  <si>
    <t>04-08-2022 09:15</t>
  </si>
  <si>
    <t>04-08-2022 09:30</t>
  </si>
  <si>
    <t>04-08-2022 09:45</t>
  </si>
  <si>
    <t>04-08-2022 10:00</t>
  </si>
  <si>
    <t>04-08-2022 10:15</t>
  </si>
  <si>
    <t>04-08-2022 10:30</t>
  </si>
  <si>
    <t>04-08-2022 10:45</t>
  </si>
  <si>
    <t>04-08-2022 11:00</t>
  </si>
  <si>
    <t>04-08-2022 11:15</t>
  </si>
  <si>
    <t>04-08-2022 11:30</t>
  </si>
  <si>
    <t>04-08-2022 11:45</t>
  </si>
  <si>
    <t>04-08-2022 12:00</t>
  </si>
  <si>
    <t>04-08-2022 12:15</t>
  </si>
  <si>
    <t>04-08-2022 12:30</t>
  </si>
  <si>
    <t>04-08-2022 12:45</t>
  </si>
  <si>
    <t>04-08-2022 13:00</t>
  </si>
  <si>
    <t>04-08-2022 13:15</t>
  </si>
  <si>
    <t>04-08-2022 13:30</t>
  </si>
  <si>
    <t>04-08-2022 13:45</t>
  </si>
  <si>
    <t>04-08-2022 14:00</t>
  </si>
  <si>
    <t>04-08-2022 14:15</t>
  </si>
  <si>
    <t>04-08-2022 14:30</t>
  </si>
  <si>
    <t>04-08-2022 14:45</t>
  </si>
  <si>
    <t>04-08-2022 15:00</t>
  </si>
  <si>
    <t>04-08-2022 15:15</t>
  </si>
  <si>
    <t>04-08-2022 15:30</t>
  </si>
  <si>
    <t>04-08-2022 15:45</t>
  </si>
  <si>
    <t>04-08-2022 16:00</t>
  </si>
  <si>
    <t>04-08-2022 16:15</t>
  </si>
  <si>
    <t>04-08-2022 16:30</t>
  </si>
  <si>
    <t>04-08-2022 16:45</t>
  </si>
  <si>
    <t>04-08-2022 17:00</t>
  </si>
  <si>
    <t>04-08-2022 17:15</t>
  </si>
  <si>
    <t>04-08-2022 17:30</t>
  </si>
  <si>
    <t>04-08-2022 17:45</t>
  </si>
  <si>
    <t>04-08-2022 18:00</t>
  </si>
  <si>
    <t>04-08-2022 18:15</t>
  </si>
  <si>
    <t>04-08-2022 18:30</t>
  </si>
  <si>
    <t>04-08-2022 18:45</t>
  </si>
  <si>
    <t>04-08-2022 19:00</t>
  </si>
  <si>
    <t>04-08-2022 19:15</t>
  </si>
  <si>
    <t>04-08-2022 19:30</t>
  </si>
  <si>
    <t>04-08-2022 19:45</t>
  </si>
  <si>
    <t>04-08-2022 20:00</t>
  </si>
  <si>
    <t>04-08-2022 20:15</t>
  </si>
  <si>
    <t>04-08-2022 20:30</t>
  </si>
  <si>
    <t>04-08-2022 20:45</t>
  </si>
  <si>
    <t>04-08-2022 21:00</t>
  </si>
  <si>
    <t>04-08-2022 21:15</t>
  </si>
  <si>
    <t>04-08-2022 21:30</t>
  </si>
  <si>
    <t>04-08-2022 21:45</t>
  </si>
  <si>
    <t>04-08-2022 22:00</t>
  </si>
  <si>
    <t>04-08-2022 22:15</t>
  </si>
  <si>
    <t>04-08-2022 22:30</t>
  </si>
  <si>
    <t>04-08-2022 22:45</t>
  </si>
  <si>
    <t>04-08-2022 23:00</t>
  </si>
  <si>
    <t>04-08-2022 23:15</t>
  </si>
  <si>
    <t>04-08-2022 23:30</t>
  </si>
  <si>
    <t>04-08-2022 23:45</t>
  </si>
  <si>
    <t>04-08-2022 24:00</t>
  </si>
  <si>
    <t>05-08-2022 00:15</t>
  </si>
  <si>
    <t>05-08-2022 00:30</t>
  </si>
  <si>
    <t>05-08-2022 00:45</t>
  </si>
  <si>
    <t>05-08-2022 01:00</t>
  </si>
  <si>
    <t>05-08-2022 01:15</t>
  </si>
  <si>
    <t>05-08-2022 01:30</t>
  </si>
  <si>
    <t>05-08-2022 01:45</t>
  </si>
  <si>
    <t>05-08-2022 02:00</t>
  </si>
  <si>
    <t>05-08-2022 02:15</t>
  </si>
  <si>
    <t>05-08-2022 02:30</t>
  </si>
  <si>
    <t>05-08-2022 02:45</t>
  </si>
  <si>
    <t>05-08-2022 03:00</t>
  </si>
  <si>
    <t>05-08-2022 03:15</t>
  </si>
  <si>
    <t>05-08-2022 03:30</t>
  </si>
  <si>
    <t>05-08-2022 03:45</t>
  </si>
  <si>
    <t>05-08-2022 04:00</t>
  </si>
  <si>
    <t>05-08-2022 04:15</t>
  </si>
  <si>
    <t>05-08-2022 04:30</t>
  </si>
  <si>
    <t>05-08-2022 04:45</t>
  </si>
  <si>
    <t>05-08-2022 05:00</t>
  </si>
  <si>
    <t>05-08-2022 05:15</t>
  </si>
  <si>
    <t>05-08-2022 05:30</t>
  </si>
  <si>
    <t>05-08-2022 05:45</t>
  </si>
  <si>
    <t>05-08-2022 06:00</t>
  </si>
  <si>
    <t>05-08-2022 06:15</t>
  </si>
  <si>
    <t>05-08-2022 06:30</t>
  </si>
  <si>
    <t>05-08-2022 06:45</t>
  </si>
  <si>
    <t>05-08-2022 07:00</t>
  </si>
  <si>
    <t>05-08-2022 07:15</t>
  </si>
  <si>
    <t>05-08-2022 07:30</t>
  </si>
  <si>
    <t>05-08-2022 07:45</t>
  </si>
  <si>
    <t>05-08-2022 08:00</t>
  </si>
  <si>
    <t>05-08-2022 08:15</t>
  </si>
  <si>
    <t>05-08-2022 08:30</t>
  </si>
  <si>
    <t>05-08-2022 08:45</t>
  </si>
  <si>
    <t>05-08-2022 09:00</t>
  </si>
  <si>
    <t>05-08-2022 09:15</t>
  </si>
  <si>
    <t>05-08-2022 09:30</t>
  </si>
  <si>
    <t>05-08-2022 09:45</t>
  </si>
  <si>
    <t>05-08-2022 10:00</t>
  </si>
  <si>
    <t>05-08-2022 10:15</t>
  </si>
  <si>
    <t>05-08-2022 10:30</t>
  </si>
  <si>
    <t>05-08-2022 10:45</t>
  </si>
  <si>
    <t>05-08-2022 11:00</t>
  </si>
  <si>
    <t>05-08-2022 11:15</t>
  </si>
  <si>
    <t>05-08-2022 11:30</t>
  </si>
  <si>
    <t>05-08-2022 11:45</t>
  </si>
  <si>
    <t>05-08-2022 12:00</t>
  </si>
  <si>
    <t>05-08-2022 12:15</t>
  </si>
  <si>
    <t>05-08-2022 12:30</t>
  </si>
  <si>
    <t>05-08-2022 12:45</t>
  </si>
  <si>
    <t>05-08-2022 13:00</t>
  </si>
  <si>
    <t>05-08-2022 13:15</t>
  </si>
  <si>
    <t>05-08-2022 13:30</t>
  </si>
  <si>
    <t>05-08-2022 13:45</t>
  </si>
  <si>
    <t>05-08-2022 14:00</t>
  </si>
  <si>
    <t>05-08-2022 14:15</t>
  </si>
  <si>
    <t>05-08-2022 14:30</t>
  </si>
  <si>
    <t>05-08-2022 14:45</t>
  </si>
  <si>
    <t>05-08-2022 15:00</t>
  </si>
  <si>
    <t>05-08-2022 15:15</t>
  </si>
  <si>
    <t>05-08-2022 15:30</t>
  </si>
  <si>
    <t>05-08-2022 15:45</t>
  </si>
  <si>
    <t>05-08-2022 16:00</t>
  </si>
  <si>
    <t>05-08-2022 16:15</t>
  </si>
  <si>
    <t>05-08-2022 16:30</t>
  </si>
  <si>
    <t>05-08-2022 16:45</t>
  </si>
  <si>
    <t>05-08-2022 17:00</t>
  </si>
  <si>
    <t>05-08-2022 17:15</t>
  </si>
  <si>
    <t>05-08-2022 17:30</t>
  </si>
  <si>
    <t>05-08-2022 17:45</t>
  </si>
  <si>
    <t>05-08-2022 18:00</t>
  </si>
  <si>
    <t>05-08-2022 18:15</t>
  </si>
  <si>
    <t>05-08-2022 18:30</t>
  </si>
  <si>
    <t>05-08-2022 18:45</t>
  </si>
  <si>
    <t>05-08-2022 19:00</t>
  </si>
  <si>
    <t>05-08-2022 19:15</t>
  </si>
  <si>
    <t>05-08-2022 19:30</t>
  </si>
  <si>
    <t>05-08-2022 19:45</t>
  </si>
  <si>
    <t>05-08-2022 20:00</t>
  </si>
  <si>
    <t>05-08-2022 20:15</t>
  </si>
  <si>
    <t>05-08-2022 20:30</t>
  </si>
  <si>
    <t>05-08-2022 20:45</t>
  </si>
  <si>
    <t>05-08-2022 21:00</t>
  </si>
  <si>
    <t>05-08-2022 21:15</t>
  </si>
  <si>
    <t>05-08-2022 21:30</t>
  </si>
  <si>
    <t>05-08-2022 21:45</t>
  </si>
  <si>
    <t>05-08-2022 22:00</t>
  </si>
  <si>
    <t>05-08-2022 22:15</t>
  </si>
  <si>
    <t>05-08-2022 22:30</t>
  </si>
  <si>
    <t>05-08-2022 22:45</t>
  </si>
  <si>
    <t>05-08-2022 23:00</t>
  </si>
  <si>
    <t>05-08-2022 23:15</t>
  </si>
  <si>
    <t>05-08-2022 23:30</t>
  </si>
  <si>
    <t>05-08-2022 23:45</t>
  </si>
  <si>
    <t>05-08-2022 24:00</t>
  </si>
  <si>
    <t>06-08-2022 00:15</t>
  </si>
  <si>
    <t>06-08-2022 00:30</t>
  </si>
  <si>
    <t>06-08-2022 00:45</t>
  </si>
  <si>
    <t>06-08-2022 01:00</t>
  </si>
  <si>
    <t>06-08-2022 01:15</t>
  </si>
  <si>
    <t>06-08-2022 01:30</t>
  </si>
  <si>
    <t>06-08-2022 01:45</t>
  </si>
  <si>
    <t>06-08-2022 02:00</t>
  </si>
  <si>
    <t>06-08-2022 02:15</t>
  </si>
  <si>
    <t>06-08-2022 02:30</t>
  </si>
  <si>
    <t>06-08-2022 02:45</t>
  </si>
  <si>
    <t>06-08-2022 03:00</t>
  </si>
  <si>
    <t>06-08-2022 03:15</t>
  </si>
  <si>
    <t>06-08-2022 03:30</t>
  </si>
  <si>
    <t>06-08-2022 03:45</t>
  </si>
  <si>
    <t>06-08-2022 04:00</t>
  </si>
  <si>
    <t>06-08-2022 04:15</t>
  </si>
  <si>
    <t>06-08-2022 04:30</t>
  </si>
  <si>
    <t>06-08-2022 04:45</t>
  </si>
  <si>
    <t>06-08-2022 05:00</t>
  </si>
  <si>
    <t>06-08-2022 05:15</t>
  </si>
  <si>
    <t>06-08-2022 05:30</t>
  </si>
  <si>
    <t>06-08-2022 05:45</t>
  </si>
  <si>
    <t>06-08-2022 06:00</t>
  </si>
  <si>
    <t>06-08-2022 06:15</t>
  </si>
  <si>
    <t>06-08-2022 06:30</t>
  </si>
  <si>
    <t>06-08-2022 06:45</t>
  </si>
  <si>
    <t>06-08-2022 07:00</t>
  </si>
  <si>
    <t>06-08-2022 07:15</t>
  </si>
  <si>
    <t>06-08-2022 07:30</t>
  </si>
  <si>
    <t>06-08-2022 07:45</t>
  </si>
  <si>
    <t>06-08-2022 08:00</t>
  </si>
  <si>
    <t>06-08-2022 08:15</t>
  </si>
  <si>
    <t>06-08-2022 08:30</t>
  </si>
  <si>
    <t>06-08-2022 08:45</t>
  </si>
  <si>
    <t>06-08-2022 09:00</t>
  </si>
  <si>
    <t>06-08-2022 09:15</t>
  </si>
  <si>
    <t>06-08-2022 09:30</t>
  </si>
  <si>
    <t>06-08-2022 09:45</t>
  </si>
  <si>
    <t>06-08-2022 10:00</t>
  </si>
  <si>
    <t>06-08-2022 10:15</t>
  </si>
  <si>
    <t>06-08-2022 10:30</t>
  </si>
  <si>
    <t>06-08-2022 10:45</t>
  </si>
  <si>
    <t>06-08-2022 11:00</t>
  </si>
  <si>
    <t>06-08-2022 11:15</t>
  </si>
  <si>
    <t>06-08-2022 11:30</t>
  </si>
  <si>
    <t>06-08-2022 11:45</t>
  </si>
  <si>
    <t>06-08-2022 12:00</t>
  </si>
  <si>
    <t>06-08-2022 12:15</t>
  </si>
  <si>
    <t>06-08-2022 12:30</t>
  </si>
  <si>
    <t>06-08-2022 12:45</t>
  </si>
  <si>
    <t>06-08-2022 13:00</t>
  </si>
  <si>
    <t>06-08-2022 13:15</t>
  </si>
  <si>
    <t>06-08-2022 13:30</t>
  </si>
  <si>
    <t>06-08-2022 13:45</t>
  </si>
  <si>
    <t>06-08-2022 14:00</t>
  </si>
  <si>
    <t>06-08-2022 14:15</t>
  </si>
  <si>
    <t>06-08-2022 14:30</t>
  </si>
  <si>
    <t>06-08-2022 14:45</t>
  </si>
  <si>
    <t>06-08-2022 15:00</t>
  </si>
  <si>
    <t>06-08-2022 15:15</t>
  </si>
  <si>
    <t>06-08-2022 15:30</t>
  </si>
  <si>
    <t>06-08-2022 15:45</t>
  </si>
  <si>
    <t>06-08-2022 16:00</t>
  </si>
  <si>
    <t>06-08-2022 16:15</t>
  </si>
  <si>
    <t>06-08-2022 16:30</t>
  </si>
  <si>
    <t>06-08-2022 16:45</t>
  </si>
  <si>
    <t>06-08-2022 17:00</t>
  </si>
  <si>
    <t>06-08-2022 17:15</t>
  </si>
  <si>
    <t>06-08-2022 17:30</t>
  </si>
  <si>
    <t>06-08-2022 17:45</t>
  </si>
  <si>
    <t>06-08-2022 18:00</t>
  </si>
  <si>
    <t>06-08-2022 18:15</t>
  </si>
  <si>
    <t>06-08-2022 18:30</t>
  </si>
  <si>
    <t>06-08-2022 18:45</t>
  </si>
  <si>
    <t>06-08-2022 19:00</t>
  </si>
  <si>
    <t>06-08-2022 19:15</t>
  </si>
  <si>
    <t>06-08-2022 19:30</t>
  </si>
  <si>
    <t>06-08-2022 19:45</t>
  </si>
  <si>
    <t>06-08-2022 20:00</t>
  </si>
  <si>
    <t>06-08-2022 20:15</t>
  </si>
  <si>
    <t>06-08-2022 20:30</t>
  </si>
  <si>
    <t>06-08-2022 20:45</t>
  </si>
  <si>
    <t>06-08-2022 21:00</t>
  </si>
  <si>
    <t>06-08-2022 21:15</t>
  </si>
  <si>
    <t>06-08-2022 21:30</t>
  </si>
  <si>
    <t>06-08-2022 21:45</t>
  </si>
  <si>
    <t>06-08-2022 22:00</t>
  </si>
  <si>
    <t>06-08-2022 22:15</t>
  </si>
  <si>
    <t>06-08-2022 22:30</t>
  </si>
  <si>
    <t>06-08-2022 22:45</t>
  </si>
  <si>
    <t>06-08-2022 23:00</t>
  </si>
  <si>
    <t>06-08-2022 23:15</t>
  </si>
  <si>
    <t>06-08-2022 23:30</t>
  </si>
  <si>
    <t>06-08-2022 23:45</t>
  </si>
  <si>
    <t>06-08-2022 24:00</t>
  </si>
  <si>
    <t>07-08-2022 00:15</t>
  </si>
  <si>
    <t>07-08-2022 00:30</t>
  </si>
  <si>
    <t>07-08-2022 00:45</t>
  </si>
  <si>
    <t>07-08-2022 01:00</t>
  </si>
  <si>
    <t>07-08-2022 01:15</t>
  </si>
  <si>
    <t>07-08-2022 01:30</t>
  </si>
  <si>
    <t>07-08-2022 01:45</t>
  </si>
  <si>
    <t>07-08-2022 02:00</t>
  </si>
  <si>
    <t>07-08-2022 02:15</t>
  </si>
  <si>
    <t>07-08-2022 02:30</t>
  </si>
  <si>
    <t>07-08-2022 02:45</t>
  </si>
  <si>
    <t>07-08-2022 03:00</t>
  </si>
  <si>
    <t>07-08-2022 03:15</t>
  </si>
  <si>
    <t>07-08-2022 03:30</t>
  </si>
  <si>
    <t>07-08-2022 03:45</t>
  </si>
  <si>
    <t>07-08-2022 04:00</t>
  </si>
  <si>
    <t>07-08-2022 04:15</t>
  </si>
  <si>
    <t>07-08-2022 04:30</t>
  </si>
  <si>
    <t>07-08-2022 04:45</t>
  </si>
  <si>
    <t>07-08-2022 05:00</t>
  </si>
  <si>
    <t>07-08-2022 05:15</t>
  </si>
  <si>
    <t>07-08-2022 05:30</t>
  </si>
  <si>
    <t>07-08-2022 05:45</t>
  </si>
  <si>
    <t>07-08-2022 06:00</t>
  </si>
  <si>
    <t>07-08-2022 06:15</t>
  </si>
  <si>
    <t>07-08-2022 06:30</t>
  </si>
  <si>
    <t>07-08-2022 06:45</t>
  </si>
  <si>
    <t>07-08-2022 07:00</t>
  </si>
  <si>
    <t>07-08-2022 07:15</t>
  </si>
  <si>
    <t>07-08-2022 07:30</t>
  </si>
  <si>
    <t>07-08-2022 07:45</t>
  </si>
  <si>
    <t>07-08-2022 08:00</t>
  </si>
  <si>
    <t>07-08-2022 08:15</t>
  </si>
  <si>
    <t>07-08-2022 08:30</t>
  </si>
  <si>
    <t>07-08-2022 08:45</t>
  </si>
  <si>
    <t>07-08-2022 09:00</t>
  </si>
  <si>
    <t>07-08-2022 09:15</t>
  </si>
  <si>
    <t>07-08-2022 09:30</t>
  </si>
  <si>
    <t>07-08-2022 09:45</t>
  </si>
  <si>
    <t>07-08-2022 10:00</t>
  </si>
  <si>
    <t>07-08-2022 10:15</t>
  </si>
  <si>
    <t>07-08-2022 10:30</t>
  </si>
  <si>
    <t>07-08-2022 10:45</t>
  </si>
  <si>
    <t>07-08-2022 11:00</t>
  </si>
  <si>
    <t>07-08-2022 11:15</t>
  </si>
  <si>
    <t>07-08-2022 11:30</t>
  </si>
  <si>
    <t>07-08-2022 11:45</t>
  </si>
  <si>
    <t>07-08-2022 12:00</t>
  </si>
  <si>
    <t>07-08-2022 12:15</t>
  </si>
  <si>
    <t>07-08-2022 12:30</t>
  </si>
  <si>
    <t>07-08-2022 12:45</t>
  </si>
  <si>
    <t>07-08-2022 13:00</t>
  </si>
  <si>
    <t>07-08-2022 13:15</t>
  </si>
  <si>
    <t>07-08-2022 13:30</t>
  </si>
  <si>
    <t>07-08-2022 13:45</t>
  </si>
  <si>
    <t>07-08-2022 14:00</t>
  </si>
  <si>
    <t>07-08-2022 14:15</t>
  </si>
  <si>
    <t>07-08-2022 14:30</t>
  </si>
  <si>
    <t>07-08-2022 14:45</t>
  </si>
  <si>
    <t>07-08-2022 15:00</t>
  </si>
  <si>
    <t>07-08-2022 15:15</t>
  </si>
  <si>
    <t>07-08-2022 15:30</t>
  </si>
  <si>
    <t>07-08-2022 15:45</t>
  </si>
  <si>
    <t>07-08-2022 16:00</t>
  </si>
  <si>
    <t>07-08-2022 16:15</t>
  </si>
  <si>
    <t>07-08-2022 16:30</t>
  </si>
  <si>
    <t>07-08-2022 16:45</t>
  </si>
  <si>
    <t>07-08-2022 17:00</t>
  </si>
  <si>
    <t>07-08-2022 17:15</t>
  </si>
  <si>
    <t>07-08-2022 17:30</t>
  </si>
  <si>
    <t>07-08-2022 17:45</t>
  </si>
  <si>
    <t>07-08-2022 18:00</t>
  </si>
  <si>
    <t>07-08-2022 18:15</t>
  </si>
  <si>
    <t>07-08-2022 18:30</t>
  </si>
  <si>
    <t>07-08-2022 18:45</t>
  </si>
  <si>
    <t>07-08-2022 19:00</t>
  </si>
  <si>
    <t>07-08-2022 19:15</t>
  </si>
  <si>
    <t>07-08-2022 19:30</t>
  </si>
  <si>
    <t>07-08-2022 19:45</t>
  </si>
  <si>
    <t>07-08-2022 20:00</t>
  </si>
  <si>
    <t>07-08-2022 20:15</t>
  </si>
  <si>
    <t>07-08-2022 20:30</t>
  </si>
  <si>
    <t>07-08-2022 20:45</t>
  </si>
  <si>
    <t>07-08-2022 21:00</t>
  </si>
  <si>
    <t>07-08-2022 21:15</t>
  </si>
  <si>
    <t>07-08-2022 21:30</t>
  </si>
  <si>
    <t>07-08-2022 21:45</t>
  </si>
  <si>
    <t>07-08-2022 22:00</t>
  </si>
  <si>
    <t>07-08-2022 22:15</t>
  </si>
  <si>
    <t>07-08-2022 22:30</t>
  </si>
  <si>
    <t>07-08-2022 22:45</t>
  </si>
  <si>
    <t>07-08-2022 23:00</t>
  </si>
  <si>
    <t>07-08-2022 23:15</t>
  </si>
  <si>
    <t>07-08-2022 23:30</t>
  </si>
  <si>
    <t>07-08-2022 23:45</t>
  </si>
  <si>
    <t>07-08-2022 24:00</t>
  </si>
  <si>
    <t>08-08-2022 00:15</t>
  </si>
  <si>
    <t>08-08-2022 00:30</t>
  </si>
  <si>
    <t>08-08-2022 00:45</t>
  </si>
  <si>
    <t>08-08-2022 01:00</t>
  </si>
  <si>
    <t>08-08-2022 01:15</t>
  </si>
  <si>
    <t>08-08-2022 01:30</t>
  </si>
  <si>
    <t>08-08-2022 01:45</t>
  </si>
  <si>
    <t>08-08-2022 02:00</t>
  </si>
  <si>
    <t>08-08-2022 02:15</t>
  </si>
  <si>
    <t>08-08-2022 02:30</t>
  </si>
  <si>
    <t>08-08-2022 02:45</t>
  </si>
  <si>
    <t>08-08-2022 03:00</t>
  </si>
  <si>
    <t>08-08-2022 03:15</t>
  </si>
  <si>
    <t>08-08-2022 03:30</t>
  </si>
  <si>
    <t>08-08-2022 03:45</t>
  </si>
  <si>
    <t>08-08-2022 04:00</t>
  </si>
  <si>
    <t>08-08-2022 04:15</t>
  </si>
  <si>
    <t>08-08-2022 04:30</t>
  </si>
  <si>
    <t>08-08-2022 04:45</t>
  </si>
  <si>
    <t>08-08-2022 05:00</t>
  </si>
  <si>
    <t>08-08-2022 05:15</t>
  </si>
  <si>
    <t>08-08-2022 05:30</t>
  </si>
  <si>
    <t>08-08-2022 05:45</t>
  </si>
  <si>
    <t>08-08-2022 06:00</t>
  </si>
  <si>
    <t>08-08-2022 06:15</t>
  </si>
  <si>
    <t>08-08-2022 06:30</t>
  </si>
  <si>
    <t>08-08-2022 06:45</t>
  </si>
  <si>
    <t>08-08-2022 07:00</t>
  </si>
  <si>
    <t>08-08-2022 07:15</t>
  </si>
  <si>
    <t>08-08-2022 07:30</t>
  </si>
  <si>
    <t>08-08-2022 07:45</t>
  </si>
  <si>
    <t>08-08-2022 08:00</t>
  </si>
  <si>
    <t>08-08-2022 08:15</t>
  </si>
  <si>
    <t>08-08-2022 08:30</t>
  </si>
  <si>
    <t>08-08-2022 08:45</t>
  </si>
  <si>
    <t>08-08-2022 09:00</t>
  </si>
  <si>
    <t>08-08-2022 09:15</t>
  </si>
  <si>
    <t>08-08-2022 09:30</t>
  </si>
  <si>
    <t>08-08-2022 09:45</t>
  </si>
  <si>
    <t>08-08-2022 10:00</t>
  </si>
  <si>
    <t>08-08-2022 10:15</t>
  </si>
  <si>
    <t>08-08-2022 10:30</t>
  </si>
  <si>
    <t>08-08-2022 10:45</t>
  </si>
  <si>
    <t>08-08-2022 11:00</t>
  </si>
  <si>
    <t>08-08-2022 11:15</t>
  </si>
  <si>
    <t>08-08-2022 11:30</t>
  </si>
  <si>
    <t>08-08-2022 11:45</t>
  </si>
  <si>
    <t>08-08-2022 12:00</t>
  </si>
  <si>
    <t>08-08-2022 12:15</t>
  </si>
  <si>
    <t>08-08-2022 12:30</t>
  </si>
  <si>
    <t>08-08-2022 12:45</t>
  </si>
  <si>
    <t>08-08-2022 13:00</t>
  </si>
  <si>
    <t>08-08-2022 13:15</t>
  </si>
  <si>
    <t>08-08-2022 13:30</t>
  </si>
  <si>
    <t>08-08-2022 13:45</t>
  </si>
  <si>
    <t>08-08-2022 14:00</t>
  </si>
  <si>
    <t>08-08-2022 14:15</t>
  </si>
  <si>
    <t>08-08-2022 14:30</t>
  </si>
  <si>
    <t>08-08-2022 14:45</t>
  </si>
  <si>
    <t>08-08-2022 15:00</t>
  </si>
  <si>
    <t>08-08-2022 15:15</t>
  </si>
  <si>
    <t>08-08-2022 15:30</t>
  </si>
  <si>
    <t>08-08-2022 15:45</t>
  </si>
  <si>
    <t>08-08-2022 16:00</t>
  </si>
  <si>
    <t>08-08-2022 16:15</t>
  </si>
  <si>
    <t>08-08-2022 16:30</t>
  </si>
  <si>
    <t>08-08-2022 16:45</t>
  </si>
  <si>
    <t>08-08-2022 17:00</t>
  </si>
  <si>
    <t>08-08-2022 17:15</t>
  </si>
  <si>
    <t>08-08-2022 17:30</t>
  </si>
  <si>
    <t>08-08-2022 17:45</t>
  </si>
  <si>
    <t>08-08-2022 18:00</t>
  </si>
  <si>
    <t>08-08-2022 18:15</t>
  </si>
  <si>
    <t>08-08-2022 18:30</t>
  </si>
  <si>
    <t>08-08-2022 18:45</t>
  </si>
  <si>
    <t>08-08-2022 19:00</t>
  </si>
  <si>
    <t>08-08-2022 19:15</t>
  </si>
  <si>
    <t>08-08-2022 19:30</t>
  </si>
  <si>
    <t>08-08-2022 19:45</t>
  </si>
  <si>
    <t>08-08-2022 20:00</t>
  </si>
  <si>
    <t>08-08-2022 20:15</t>
  </si>
  <si>
    <t>08-08-2022 20:30</t>
  </si>
  <si>
    <t>08-08-2022 20:45</t>
  </si>
  <si>
    <t>08-08-2022 21:00</t>
  </si>
  <si>
    <t>08-08-2022 21:15</t>
  </si>
  <si>
    <t>08-08-2022 21:30</t>
  </si>
  <si>
    <t>08-08-2022 21:45</t>
  </si>
  <si>
    <t>08-08-2022 22:00</t>
  </si>
  <si>
    <t>08-08-2022 22:15</t>
  </si>
  <si>
    <t>08-08-2022 22:30</t>
  </si>
  <si>
    <t>08-08-2022 22:45</t>
  </si>
  <si>
    <t>08-08-2022 23:00</t>
  </si>
  <si>
    <t>08-08-2022 23:15</t>
  </si>
  <si>
    <t>08-08-2022 23:30</t>
  </si>
  <si>
    <t>08-08-2022 23:45</t>
  </si>
  <si>
    <t>08-08-2022 24:00</t>
  </si>
  <si>
    <t>09-08-2022 00:15</t>
  </si>
  <si>
    <t>09-08-2022 00:30</t>
  </si>
  <si>
    <t>09-08-2022 00:45</t>
  </si>
  <si>
    <t>09-08-2022 01:00</t>
  </si>
  <si>
    <t>09-08-2022 01:15</t>
  </si>
  <si>
    <t>09-08-2022 01:30</t>
  </si>
  <si>
    <t>09-08-2022 01:45</t>
  </si>
  <si>
    <t>09-08-2022 02:00</t>
  </si>
  <si>
    <t>09-08-2022 02:15</t>
  </si>
  <si>
    <t>09-08-2022 02:30</t>
  </si>
  <si>
    <t>09-08-2022 02:45</t>
  </si>
  <si>
    <t>09-08-2022 03:00</t>
  </si>
  <si>
    <t>09-08-2022 03:15</t>
  </si>
  <si>
    <t>09-08-2022 03:30</t>
  </si>
  <si>
    <t>09-08-2022 03:45</t>
  </si>
  <si>
    <t>09-08-2022 04:00</t>
  </si>
  <si>
    <t>09-08-2022 04:15</t>
  </si>
  <si>
    <t>09-08-2022 04:30</t>
  </si>
  <si>
    <t>09-08-2022 04:45</t>
  </si>
  <si>
    <t>09-08-2022 05:00</t>
  </si>
  <si>
    <t>09-08-2022 05:15</t>
  </si>
  <si>
    <t>09-08-2022 05:30</t>
  </si>
  <si>
    <t>09-08-2022 05:45</t>
  </si>
  <si>
    <t>09-08-2022 06:00</t>
  </si>
  <si>
    <t>09-08-2022 06:15</t>
  </si>
  <si>
    <t>09-08-2022 06:30</t>
  </si>
  <si>
    <t>09-08-2022 06:45</t>
  </si>
  <si>
    <t>09-08-2022 07:00</t>
  </si>
  <si>
    <t>09-08-2022 07:15</t>
  </si>
  <si>
    <t>09-08-2022 07:30</t>
  </si>
  <si>
    <t>09-08-2022 07:45</t>
  </si>
  <si>
    <t>09-08-2022 08:00</t>
  </si>
  <si>
    <t>09-08-2022 08:15</t>
  </si>
  <si>
    <t>09-08-2022 08:30</t>
  </si>
  <si>
    <t>09-08-2022 08:45</t>
  </si>
  <si>
    <t>09-08-2022 09:00</t>
  </si>
  <si>
    <t>09-08-2022 09:15</t>
  </si>
  <si>
    <t>09-08-2022 09:30</t>
  </si>
  <si>
    <t>09-08-2022 09:45</t>
  </si>
  <si>
    <t>09-08-2022 10:00</t>
  </si>
  <si>
    <t>09-08-2022 10:15</t>
  </si>
  <si>
    <t>09-08-2022 10:30</t>
  </si>
  <si>
    <t>09-08-2022 10:45</t>
  </si>
  <si>
    <t>09-08-2022 11:00</t>
  </si>
  <si>
    <t>09-08-2022 11:15</t>
  </si>
  <si>
    <t>09-08-2022 11:30</t>
  </si>
  <si>
    <t>09-08-2022 11:45</t>
  </si>
  <si>
    <t>09-08-2022 12:00</t>
  </si>
  <si>
    <t>09-08-2022 12:15</t>
  </si>
  <si>
    <t>09-08-2022 12:30</t>
  </si>
  <si>
    <t>09-08-2022 12:45</t>
  </si>
  <si>
    <t>09-08-2022 13:00</t>
  </si>
  <si>
    <t>09-08-2022 13:15</t>
  </si>
  <si>
    <t>09-08-2022 13:30</t>
  </si>
  <si>
    <t>09-08-2022 13:45</t>
  </si>
  <si>
    <t>09-08-2022 14:00</t>
  </si>
  <si>
    <t>09-08-2022 14:15</t>
  </si>
  <si>
    <t>09-08-2022 14:30</t>
  </si>
  <si>
    <t>09-08-2022 14:45</t>
  </si>
  <si>
    <t>09-08-2022 15:00</t>
  </si>
  <si>
    <t>09-08-2022 15:15</t>
  </si>
  <si>
    <t>09-08-2022 15:30</t>
  </si>
  <si>
    <t>09-08-2022 15:45</t>
  </si>
  <si>
    <t>09-08-2022 16:00</t>
  </si>
  <si>
    <t>09-08-2022 16:15</t>
  </si>
  <si>
    <t>09-08-2022 16:30</t>
  </si>
  <si>
    <t>09-08-2022 16:45</t>
  </si>
  <si>
    <t>09-08-2022 17:00</t>
  </si>
  <si>
    <t>09-08-2022 17:15</t>
  </si>
  <si>
    <t>09-08-2022 17:30</t>
  </si>
  <si>
    <t>09-08-2022 17:45</t>
  </si>
  <si>
    <t>09-08-2022 18:00</t>
  </si>
  <si>
    <t>09-08-2022 18:15</t>
  </si>
  <si>
    <t>09-08-2022 18:30</t>
  </si>
  <si>
    <t>09-08-2022 18:45</t>
  </si>
  <si>
    <t>09-08-2022 19:00</t>
  </si>
  <si>
    <t>09-08-2022 19:15</t>
  </si>
  <si>
    <t>09-08-2022 19:30</t>
  </si>
  <si>
    <t>09-08-2022 19:45</t>
  </si>
  <si>
    <t>09-08-2022 20:00</t>
  </si>
  <si>
    <t>09-08-2022 20:15</t>
  </si>
  <si>
    <t>09-08-2022 20:30</t>
  </si>
  <si>
    <t>09-08-2022 20:45</t>
  </si>
  <si>
    <t>09-08-2022 21:00</t>
  </si>
  <si>
    <t>09-08-2022 21:15</t>
  </si>
  <si>
    <t>09-08-2022 21:30</t>
  </si>
  <si>
    <t>09-08-2022 21:45</t>
  </si>
  <si>
    <t>09-08-2022 22:00</t>
  </si>
  <si>
    <t>09-08-2022 22:15</t>
  </si>
  <si>
    <t>09-08-2022 22:30</t>
  </si>
  <si>
    <t>09-08-2022 22:45</t>
  </si>
  <si>
    <t>09-08-2022 23:00</t>
  </si>
  <si>
    <t>09-08-2022 23:15</t>
  </si>
  <si>
    <t>09-08-2022 23:30</t>
  </si>
  <si>
    <t>09-08-2022 23:45</t>
  </si>
  <si>
    <t>09-08-2022 24:00</t>
  </si>
  <si>
    <t>10-08-2022 00:15</t>
  </si>
  <si>
    <t>10-08-2022 00:30</t>
  </si>
  <si>
    <t>10-08-2022 00:45</t>
  </si>
  <si>
    <t>10-08-2022 01:00</t>
  </si>
  <si>
    <t>10-08-2022 01:15</t>
  </si>
  <si>
    <t>10-08-2022 01:30</t>
  </si>
  <si>
    <t>10-08-2022 01:45</t>
  </si>
  <si>
    <t>10-08-2022 02:00</t>
  </si>
  <si>
    <t>10-08-2022 02:15</t>
  </si>
  <si>
    <t>10-08-2022 02:30</t>
  </si>
  <si>
    <t>10-08-2022 02:45</t>
  </si>
  <si>
    <t>10-08-2022 03:00</t>
  </si>
  <si>
    <t>10-08-2022 03:15</t>
  </si>
  <si>
    <t>10-08-2022 03:30</t>
  </si>
  <si>
    <t>10-08-2022 03:45</t>
  </si>
  <si>
    <t>10-08-2022 04:00</t>
  </si>
  <si>
    <t>10-08-2022 04:15</t>
  </si>
  <si>
    <t>10-08-2022 04:30</t>
  </si>
  <si>
    <t>10-08-2022 04:45</t>
  </si>
  <si>
    <t>10-08-2022 05:00</t>
  </si>
  <si>
    <t>10-08-2022 05:15</t>
  </si>
  <si>
    <t>10-08-2022 05:30</t>
  </si>
  <si>
    <t>10-08-2022 05:45</t>
  </si>
  <si>
    <t>10-08-2022 06:00</t>
  </si>
  <si>
    <t>10-08-2022 06:15</t>
  </si>
  <si>
    <t>10-08-2022 06:30</t>
  </si>
  <si>
    <t>10-08-2022 06:45</t>
  </si>
  <si>
    <t>10-08-2022 07:00</t>
  </si>
  <si>
    <t>10-08-2022 07:15</t>
  </si>
  <si>
    <t>10-08-2022 07:30</t>
  </si>
  <si>
    <t>10-08-2022 07:45</t>
  </si>
  <si>
    <t>10-08-2022 08:00</t>
  </si>
  <si>
    <t>10-08-2022 08:15</t>
  </si>
  <si>
    <t>10-08-2022 08:30</t>
  </si>
  <si>
    <t>10-08-2022 08:45</t>
  </si>
  <si>
    <t>10-08-2022 09:00</t>
  </si>
  <si>
    <t>10-08-2022 09:15</t>
  </si>
  <si>
    <t>10-08-2022 09:30</t>
  </si>
  <si>
    <t>10-08-2022 09:45</t>
  </si>
  <si>
    <t>10-08-2022 10:00</t>
  </si>
  <si>
    <t>10-08-2022 10:15</t>
  </si>
  <si>
    <t>10-08-2022 10:30</t>
  </si>
  <si>
    <t>10-08-2022 10:45</t>
  </si>
  <si>
    <t>10-08-2022 11:00</t>
  </si>
  <si>
    <t>10-08-2022 11:15</t>
  </si>
  <si>
    <t>10-08-2022 11:30</t>
  </si>
  <si>
    <t>10-08-2022 11:45</t>
  </si>
  <si>
    <t>10-08-2022 12:00</t>
  </si>
  <si>
    <t>10-08-2022 12:15</t>
  </si>
  <si>
    <t>10-08-2022 12:30</t>
  </si>
  <si>
    <t>10-08-2022 12:45</t>
  </si>
  <si>
    <t>10-08-2022 13:00</t>
  </si>
  <si>
    <t>10-08-2022 13:15</t>
  </si>
  <si>
    <t>10-08-2022 13:30</t>
  </si>
  <si>
    <t>10-08-2022 13:45</t>
  </si>
  <si>
    <t>10-08-2022 14:00</t>
  </si>
  <si>
    <t>10-08-2022 14:15</t>
  </si>
  <si>
    <t>10-08-2022 14:30</t>
  </si>
  <si>
    <t>10-08-2022 14:45</t>
  </si>
  <si>
    <t>10-08-2022 15:00</t>
  </si>
  <si>
    <t>10-08-2022 15:15</t>
  </si>
  <si>
    <t>10-08-2022 15:30</t>
  </si>
  <si>
    <t>10-08-2022 15:45</t>
  </si>
  <si>
    <t>10-08-2022 16:00</t>
  </si>
  <si>
    <t>10-08-2022 16:15</t>
  </si>
  <si>
    <t>10-08-2022 16:30</t>
  </si>
  <si>
    <t>10-08-2022 16:45</t>
  </si>
  <si>
    <t>10-08-2022 17:00</t>
  </si>
  <si>
    <t>10-08-2022 17:15</t>
  </si>
  <si>
    <t>10-08-2022 17:30</t>
  </si>
  <si>
    <t>10-08-2022 17:45</t>
  </si>
  <si>
    <t>10-08-2022 18:00</t>
  </si>
  <si>
    <t>10-08-2022 18:15</t>
  </si>
  <si>
    <t>10-08-2022 18:30</t>
  </si>
  <si>
    <t>10-08-2022 18:45</t>
  </si>
  <si>
    <t>10-08-2022 19:00</t>
  </si>
  <si>
    <t>10-08-2022 19:15</t>
  </si>
  <si>
    <t>10-08-2022 19:30</t>
  </si>
  <si>
    <t>10-08-2022 19:45</t>
  </si>
  <si>
    <t>10-08-2022 20:00</t>
  </si>
  <si>
    <t>10-08-2022 20:15</t>
  </si>
  <si>
    <t>10-08-2022 20:30</t>
  </si>
  <si>
    <t>10-08-2022 20:45</t>
  </si>
  <si>
    <t>10-08-2022 21:00</t>
  </si>
  <si>
    <t>10-08-2022 21:15</t>
  </si>
  <si>
    <t>10-08-2022 21:30</t>
  </si>
  <si>
    <t>10-08-2022 21:45</t>
  </si>
  <si>
    <t>10-08-2022 22:00</t>
  </si>
  <si>
    <t>10-08-2022 22:15</t>
  </si>
  <si>
    <t>10-08-2022 22:30</t>
  </si>
  <si>
    <t>10-08-2022 22:45</t>
  </si>
  <si>
    <t>10-08-2022 23:00</t>
  </si>
  <si>
    <t>10-08-2022 23:15</t>
  </si>
  <si>
    <t>10-08-2022 23:30</t>
  </si>
  <si>
    <t>10-08-2022 23:45</t>
  </si>
  <si>
    <t>10-08-2022 24:00</t>
  </si>
  <si>
    <t>11-08-2022 00:15</t>
  </si>
  <si>
    <t>11-08-2022 00:30</t>
  </si>
  <si>
    <t>11-08-2022 00:45</t>
  </si>
  <si>
    <t>11-08-2022 01:00</t>
  </si>
  <si>
    <t>11-08-2022 01:15</t>
  </si>
  <si>
    <t>11-08-2022 01:30</t>
  </si>
  <si>
    <t>11-08-2022 01:45</t>
  </si>
  <si>
    <t>11-08-2022 02:00</t>
  </si>
  <si>
    <t>11-08-2022 02:15</t>
  </si>
  <si>
    <t>11-08-2022 02:30</t>
  </si>
  <si>
    <t>11-08-2022 02:45</t>
  </si>
  <si>
    <t>11-08-2022 03:00</t>
  </si>
  <si>
    <t>11-08-2022 03:15</t>
  </si>
  <si>
    <t>11-08-2022 03:30</t>
  </si>
  <si>
    <t>11-08-2022 03:45</t>
  </si>
  <si>
    <t>11-08-2022 04:00</t>
  </si>
  <si>
    <t>11-08-2022 04:15</t>
  </si>
  <si>
    <t>11-08-2022 04:30</t>
  </si>
  <si>
    <t>11-08-2022 04:45</t>
  </si>
  <si>
    <t>11-08-2022 05:00</t>
  </si>
  <si>
    <t>11-08-2022 05:15</t>
  </si>
  <si>
    <t>11-08-2022 05:30</t>
  </si>
  <si>
    <t>11-08-2022 05:45</t>
  </si>
  <si>
    <t>11-08-2022 06:00</t>
  </si>
  <si>
    <t>11-08-2022 06:15</t>
  </si>
  <si>
    <t>11-08-2022 06:30</t>
  </si>
  <si>
    <t>11-08-2022 06:45</t>
  </si>
  <si>
    <t>11-08-2022 07:00</t>
  </si>
  <si>
    <t>11-08-2022 07:15</t>
  </si>
  <si>
    <t>11-08-2022 07:30</t>
  </si>
  <si>
    <t>11-08-2022 07:45</t>
  </si>
  <si>
    <t>11-08-2022 08:00</t>
  </si>
  <si>
    <t>11-08-2022 08:15</t>
  </si>
  <si>
    <t>11-08-2022 08:30</t>
  </si>
  <si>
    <t>11-08-2022 08:45</t>
  </si>
  <si>
    <t>11-08-2022 09:00</t>
  </si>
  <si>
    <t>11-08-2022 09:15</t>
  </si>
  <si>
    <t>11-08-2022 09:30</t>
  </si>
  <si>
    <t>11-08-2022 09:45</t>
  </si>
  <si>
    <t>11-08-2022 10:00</t>
  </si>
  <si>
    <t>11-08-2022 10:15</t>
  </si>
  <si>
    <t>11-08-2022 10:30</t>
  </si>
  <si>
    <t>11-08-2022 10:45</t>
  </si>
  <si>
    <t>11-08-2022 11:00</t>
  </si>
  <si>
    <t>11-08-2022 11:15</t>
  </si>
  <si>
    <t>11-08-2022 11:30</t>
  </si>
  <si>
    <t>11-08-2022 11:45</t>
  </si>
  <si>
    <t>11-08-2022 12:00</t>
  </si>
  <si>
    <t>11-08-2022 12:15</t>
  </si>
  <si>
    <t>11-08-2022 12:30</t>
  </si>
  <si>
    <t>11-08-2022 12:45</t>
  </si>
  <si>
    <t>11-08-2022 13:00</t>
  </si>
  <si>
    <t>11-08-2022 13:15</t>
  </si>
  <si>
    <t>11-08-2022 13:30</t>
  </si>
  <si>
    <t>11-08-2022 13:45</t>
  </si>
  <si>
    <t>11-08-2022 14:00</t>
  </si>
  <si>
    <t>11-08-2022 14:15</t>
  </si>
  <si>
    <t>11-08-2022 14:30</t>
  </si>
  <si>
    <t>11-08-2022 14:45</t>
  </si>
  <si>
    <t>11-08-2022 15:00</t>
  </si>
  <si>
    <t>11-08-2022 15:15</t>
  </si>
  <si>
    <t>11-08-2022 15:30</t>
  </si>
  <si>
    <t>11-08-2022 15:45</t>
  </si>
  <si>
    <t>11-08-2022 16:00</t>
  </si>
  <si>
    <t>11-08-2022 16:15</t>
  </si>
  <si>
    <t>11-08-2022 16:30</t>
  </si>
  <si>
    <t>11-08-2022 16:45</t>
  </si>
  <si>
    <t>11-08-2022 17:00</t>
  </si>
  <si>
    <t>11-08-2022 17:15</t>
  </si>
  <si>
    <t>11-08-2022 17:30</t>
  </si>
  <si>
    <t>11-08-2022 17:45</t>
  </si>
  <si>
    <t>11-08-2022 18:00</t>
  </si>
  <si>
    <t>11-08-2022 18:15</t>
  </si>
  <si>
    <t>11-08-2022 18:30</t>
  </si>
  <si>
    <t>11-08-2022 18:45</t>
  </si>
  <si>
    <t>11-08-2022 19:00</t>
  </si>
  <si>
    <t>11-08-2022 19:15</t>
  </si>
  <si>
    <t>11-08-2022 19:30</t>
  </si>
  <si>
    <t>11-08-2022 19:45</t>
  </si>
  <si>
    <t>11-08-2022 20:00</t>
  </si>
  <si>
    <t>11-08-2022 20:15</t>
  </si>
  <si>
    <t>11-08-2022 20:30</t>
  </si>
  <si>
    <t>11-08-2022 20:45</t>
  </si>
  <si>
    <t>11-08-2022 21:00</t>
  </si>
  <si>
    <t>11-08-2022 21:15</t>
  </si>
  <si>
    <t>11-08-2022 21:30</t>
  </si>
  <si>
    <t>11-08-2022 21:45</t>
  </si>
  <si>
    <t>11-08-2022 22:00</t>
  </si>
  <si>
    <t>11-08-2022 22:15</t>
  </si>
  <si>
    <t>11-08-2022 22:30</t>
  </si>
  <si>
    <t>11-08-2022 22:45</t>
  </si>
  <si>
    <t>11-08-2022 23:00</t>
  </si>
  <si>
    <t>11-08-2022 23:15</t>
  </si>
  <si>
    <t>11-08-2022 23:30</t>
  </si>
  <si>
    <t>11-08-2022 23:45</t>
  </si>
  <si>
    <t>11-08-2022 24:00</t>
  </si>
  <si>
    <t>12-08-2022 00:15</t>
  </si>
  <si>
    <t>12-08-2022 00:30</t>
  </si>
  <si>
    <t>12-08-2022 00:45</t>
  </si>
  <si>
    <t>12-08-2022 01:00</t>
  </si>
  <si>
    <t>12-08-2022 01:15</t>
  </si>
  <si>
    <t>12-08-2022 01:30</t>
  </si>
  <si>
    <t>12-08-2022 01:45</t>
  </si>
  <si>
    <t>12-08-2022 02:00</t>
  </si>
  <si>
    <t>12-08-2022 02:15</t>
  </si>
  <si>
    <t>12-08-2022 02:30</t>
  </si>
  <si>
    <t>12-08-2022 02:45</t>
  </si>
  <si>
    <t>12-08-2022 03:00</t>
  </si>
  <si>
    <t>12-08-2022 03:15</t>
  </si>
  <si>
    <t>12-08-2022 03:30</t>
  </si>
  <si>
    <t>12-08-2022 03:45</t>
  </si>
  <si>
    <t>12-08-2022 04:00</t>
  </si>
  <si>
    <t>12-08-2022 04:15</t>
  </si>
  <si>
    <t>12-08-2022 04:30</t>
  </si>
  <si>
    <t>12-08-2022 04:45</t>
  </si>
  <si>
    <t>12-08-2022 05:00</t>
  </si>
  <si>
    <t>12-08-2022 05:15</t>
  </si>
  <si>
    <t>12-08-2022 05:30</t>
  </si>
  <si>
    <t>12-08-2022 05:45</t>
  </si>
  <si>
    <t>12-08-2022 06:00</t>
  </si>
  <si>
    <t>12-08-2022 06:15</t>
  </si>
  <si>
    <t>12-08-2022 06:30</t>
  </si>
  <si>
    <t>12-08-2022 06:45</t>
  </si>
  <si>
    <t>12-08-2022 07:00</t>
  </si>
  <si>
    <t>12-08-2022 07:15</t>
  </si>
  <si>
    <t>12-08-2022 07:30</t>
  </si>
  <si>
    <t>12-08-2022 07:45</t>
  </si>
  <si>
    <t>12-08-2022 08:00</t>
  </si>
  <si>
    <t>12-08-2022 08:15</t>
  </si>
  <si>
    <t>12-08-2022 08:30</t>
  </si>
  <si>
    <t>12-08-2022 08:45</t>
  </si>
  <si>
    <t>12-08-2022 09:00</t>
  </si>
  <si>
    <t>12-08-2022 09:15</t>
  </si>
  <si>
    <t>12-08-2022 09:30</t>
  </si>
  <si>
    <t>12-08-2022 09:45</t>
  </si>
  <si>
    <t>12-08-2022 10:00</t>
  </si>
  <si>
    <t>12-08-2022 10:15</t>
  </si>
  <si>
    <t>12-08-2022 10:30</t>
  </si>
  <si>
    <t>12-08-2022 10:45</t>
  </si>
  <si>
    <t>12-08-2022 11:00</t>
  </si>
  <si>
    <t>12-08-2022 11:15</t>
  </si>
  <si>
    <t>12-08-2022 11:30</t>
  </si>
  <si>
    <t>12-08-2022 11:45</t>
  </si>
  <si>
    <t>12-08-2022 12:00</t>
  </si>
  <si>
    <t>12-08-2022 12:15</t>
  </si>
  <si>
    <t>12-08-2022 12:30</t>
  </si>
  <si>
    <t>12-08-2022 12:45</t>
  </si>
  <si>
    <t>12-08-2022 13:00</t>
  </si>
  <si>
    <t>12-08-2022 13:15</t>
  </si>
  <si>
    <t>12-08-2022 13:30</t>
  </si>
  <si>
    <t>12-08-2022 13:45</t>
  </si>
  <si>
    <t>12-08-2022 14:00</t>
  </si>
  <si>
    <t>12-08-2022 14:15</t>
  </si>
  <si>
    <t>12-08-2022 14:30</t>
  </si>
  <si>
    <t>12-08-2022 14:45</t>
  </si>
  <si>
    <t>12-08-2022 15:00</t>
  </si>
  <si>
    <t>12-08-2022 15:15</t>
  </si>
  <si>
    <t>12-08-2022 15:30</t>
  </si>
  <si>
    <t>12-08-2022 15:45</t>
  </si>
  <si>
    <t>12-08-2022 16:00</t>
  </si>
  <si>
    <t>12-08-2022 16:15</t>
  </si>
  <si>
    <t>12-08-2022 16:30</t>
  </si>
  <si>
    <t>12-08-2022 16:45</t>
  </si>
  <si>
    <t>12-08-2022 17:00</t>
  </si>
  <si>
    <t>12-08-2022 17:15</t>
  </si>
  <si>
    <t>12-08-2022 17:30</t>
  </si>
  <si>
    <t>12-08-2022 17:45</t>
  </si>
  <si>
    <t>12-08-2022 18:00</t>
  </si>
  <si>
    <t>12-08-2022 18:15</t>
  </si>
  <si>
    <t>12-08-2022 18:30</t>
  </si>
  <si>
    <t>12-08-2022 18:45</t>
  </si>
  <si>
    <t>12-08-2022 19:00</t>
  </si>
  <si>
    <t>12-08-2022 19:15</t>
  </si>
  <si>
    <t>12-08-2022 19:30</t>
  </si>
  <si>
    <t>12-08-2022 19:45</t>
  </si>
  <si>
    <t>12-08-2022 20:00</t>
  </si>
  <si>
    <t>12-08-2022 20:15</t>
  </si>
  <si>
    <t>12-08-2022 20:30</t>
  </si>
  <si>
    <t>12-08-2022 20:45</t>
  </si>
  <si>
    <t>12-08-2022 21:00</t>
  </si>
  <si>
    <t>12-08-2022 21:15</t>
  </si>
  <si>
    <t>12-08-2022 21:30</t>
  </si>
  <si>
    <t>12-08-2022 21:45</t>
  </si>
  <si>
    <t>12-08-2022 22:00</t>
  </si>
  <si>
    <t>12-08-2022 22:15</t>
  </si>
  <si>
    <t>12-08-2022 22:30</t>
  </si>
  <si>
    <t>12-08-2022 22:45</t>
  </si>
  <si>
    <t>12-08-2022 23:00</t>
  </si>
  <si>
    <t>12-08-2022 23:15</t>
  </si>
  <si>
    <t>12-08-2022 23:30</t>
  </si>
  <si>
    <t>12-08-2022 23:45</t>
  </si>
  <si>
    <t>12-08-2022 24:00</t>
  </si>
  <si>
    <t>13-08-2022 00:15</t>
  </si>
  <si>
    <t>13-08-2022 00:30</t>
  </si>
  <si>
    <t>13-08-2022 00:45</t>
  </si>
  <si>
    <t>13-08-2022 01:00</t>
  </si>
  <si>
    <t>13-08-2022 01:15</t>
  </si>
  <si>
    <t>13-08-2022 01:30</t>
  </si>
  <si>
    <t>13-08-2022 01:45</t>
  </si>
  <si>
    <t>13-08-2022 02:00</t>
  </si>
  <si>
    <t>13-08-2022 02:15</t>
  </si>
  <si>
    <t>13-08-2022 02:30</t>
  </si>
  <si>
    <t>13-08-2022 02:45</t>
  </si>
  <si>
    <t>13-08-2022 03:00</t>
  </si>
  <si>
    <t>13-08-2022 03:15</t>
  </si>
  <si>
    <t>13-08-2022 03:30</t>
  </si>
  <si>
    <t>13-08-2022 03:45</t>
  </si>
  <si>
    <t>13-08-2022 04:00</t>
  </si>
  <si>
    <t>13-08-2022 04:15</t>
  </si>
  <si>
    <t>13-08-2022 04:30</t>
  </si>
  <si>
    <t>13-08-2022 04:45</t>
  </si>
  <si>
    <t>13-08-2022 05:00</t>
  </si>
  <si>
    <t>13-08-2022 05:15</t>
  </si>
  <si>
    <t>13-08-2022 05:30</t>
  </si>
  <si>
    <t>13-08-2022 05:45</t>
  </si>
  <si>
    <t>13-08-2022 06:00</t>
  </si>
  <si>
    <t>13-08-2022 06:15</t>
  </si>
  <si>
    <t>13-08-2022 06:30</t>
  </si>
  <si>
    <t>13-08-2022 06:45</t>
  </si>
  <si>
    <t>13-08-2022 07:00</t>
  </si>
  <si>
    <t>13-08-2022 07:15</t>
  </si>
  <si>
    <t>13-08-2022 07:30</t>
  </si>
  <si>
    <t>13-08-2022 07:45</t>
  </si>
  <si>
    <t>13-08-2022 08:00</t>
  </si>
  <si>
    <t>13-08-2022 08:15</t>
  </si>
  <si>
    <t>13-08-2022 08:30</t>
  </si>
  <si>
    <t>13-08-2022 08:45</t>
  </si>
  <si>
    <t>13-08-2022 09:00</t>
  </si>
  <si>
    <t>13-08-2022 09:15</t>
  </si>
  <si>
    <t>13-08-2022 09:30</t>
  </si>
  <si>
    <t>13-08-2022 09:45</t>
  </si>
  <si>
    <t>13-08-2022 10:00</t>
  </si>
  <si>
    <t>13-08-2022 10:15</t>
  </si>
  <si>
    <t>13-08-2022 10:30</t>
  </si>
  <si>
    <t>13-08-2022 10:45</t>
  </si>
  <si>
    <t>13-08-2022 11:00</t>
  </si>
  <si>
    <t>13-08-2022 11:15</t>
  </si>
  <si>
    <t>13-08-2022 11:30</t>
  </si>
  <si>
    <t>13-08-2022 11:45</t>
  </si>
  <si>
    <t>13-08-2022 12:00</t>
  </si>
  <si>
    <t>13-08-2022 12:15</t>
  </si>
  <si>
    <t>13-08-2022 12:30</t>
  </si>
  <si>
    <t>13-08-2022 12:45</t>
  </si>
  <si>
    <t>13-08-2022 13:00</t>
  </si>
  <si>
    <t>13-08-2022 13:15</t>
  </si>
  <si>
    <t>13-08-2022 13:30</t>
  </si>
  <si>
    <t>13-08-2022 13:45</t>
  </si>
  <si>
    <t>13-08-2022 14:00</t>
  </si>
  <si>
    <t>13-08-2022 14:15</t>
  </si>
  <si>
    <t>13-08-2022 14:30</t>
  </si>
  <si>
    <t>13-08-2022 14:45</t>
  </si>
  <si>
    <t>13-08-2022 15:00</t>
  </si>
  <si>
    <t>13-08-2022 15:15</t>
  </si>
  <si>
    <t>13-08-2022 15:30</t>
  </si>
  <si>
    <t>13-08-2022 15:45</t>
  </si>
  <si>
    <t>13-08-2022 16:00</t>
  </si>
  <si>
    <t>13-08-2022 16:15</t>
  </si>
  <si>
    <t>13-08-2022 16:30</t>
  </si>
  <si>
    <t>13-08-2022 16:45</t>
  </si>
  <si>
    <t>13-08-2022 17:00</t>
  </si>
  <si>
    <t>13-08-2022 17:15</t>
  </si>
  <si>
    <t>13-08-2022 17:30</t>
  </si>
  <si>
    <t>13-08-2022 17:45</t>
  </si>
  <si>
    <t>13-08-2022 18:00</t>
  </si>
  <si>
    <t>13-08-2022 18:15</t>
  </si>
  <si>
    <t>13-08-2022 18:30</t>
  </si>
  <si>
    <t>13-08-2022 18:45</t>
  </si>
  <si>
    <t>13-08-2022 19:00</t>
  </si>
  <si>
    <t>13-08-2022 19:15</t>
  </si>
  <si>
    <t>13-08-2022 19:30</t>
  </si>
  <si>
    <t>13-08-2022 19:45</t>
  </si>
  <si>
    <t>13-08-2022 20:00</t>
  </si>
  <si>
    <t>13-08-2022 20:15</t>
  </si>
  <si>
    <t>13-08-2022 20:30</t>
  </si>
  <si>
    <t>13-08-2022 20:45</t>
  </si>
  <si>
    <t>13-08-2022 21:00</t>
  </si>
  <si>
    <t>13-08-2022 21:15</t>
  </si>
  <si>
    <t>13-08-2022 21:30</t>
  </si>
  <si>
    <t>13-08-2022 21:45</t>
  </si>
  <si>
    <t>13-08-2022 22:00</t>
  </si>
  <si>
    <t>13-08-2022 22:15</t>
  </si>
  <si>
    <t>13-08-2022 22:30</t>
  </si>
  <si>
    <t>13-08-2022 22:45</t>
  </si>
  <si>
    <t>13-08-2022 23:00</t>
  </si>
  <si>
    <t>13-08-2022 23:15</t>
  </si>
  <si>
    <t>13-08-2022 23:30</t>
  </si>
  <si>
    <t>13-08-2022 23:45</t>
  </si>
  <si>
    <t>13-08-2022 24:00</t>
  </si>
  <si>
    <t>14-08-2022 00:15</t>
  </si>
  <si>
    <t>14-08-2022 00:30</t>
  </si>
  <si>
    <t>14-08-2022 00:45</t>
  </si>
  <si>
    <t>14-08-2022 01:00</t>
  </si>
  <si>
    <t>14-08-2022 01:15</t>
  </si>
  <si>
    <t>14-08-2022 01:30</t>
  </si>
  <si>
    <t>14-08-2022 01:45</t>
  </si>
  <si>
    <t>14-08-2022 02:00</t>
  </si>
  <si>
    <t>14-08-2022 02:15</t>
  </si>
  <si>
    <t>14-08-2022 02:30</t>
  </si>
  <si>
    <t>14-08-2022 02:45</t>
  </si>
  <si>
    <t>14-08-2022 03:00</t>
  </si>
  <si>
    <t>14-08-2022 03:15</t>
  </si>
  <si>
    <t>14-08-2022 03:30</t>
  </si>
  <si>
    <t>14-08-2022 03:45</t>
  </si>
  <si>
    <t>14-08-2022 04:00</t>
  </si>
  <si>
    <t>14-08-2022 04:15</t>
  </si>
  <si>
    <t>14-08-2022 04:30</t>
  </si>
  <si>
    <t>14-08-2022 04:45</t>
  </si>
  <si>
    <t>14-08-2022 05:00</t>
  </si>
  <si>
    <t>14-08-2022 05:15</t>
  </si>
  <si>
    <t>14-08-2022 05:30</t>
  </si>
  <si>
    <t>14-08-2022 05:45</t>
  </si>
  <si>
    <t>14-08-2022 06:00</t>
  </si>
  <si>
    <t>14-08-2022 06:15</t>
  </si>
  <si>
    <t>14-08-2022 06:30</t>
  </si>
  <si>
    <t>14-08-2022 06:45</t>
  </si>
  <si>
    <t>14-08-2022 07:00</t>
  </si>
  <si>
    <t>14-08-2022 07:15</t>
  </si>
  <si>
    <t>14-08-2022 07:30</t>
  </si>
  <si>
    <t>14-08-2022 07:45</t>
  </si>
  <si>
    <t>14-08-2022 08:00</t>
  </si>
  <si>
    <t>14-08-2022 08:15</t>
  </si>
  <si>
    <t>14-08-2022 08:30</t>
  </si>
  <si>
    <t>14-08-2022 08:45</t>
  </si>
  <si>
    <t>14-08-2022 09:00</t>
  </si>
  <si>
    <t>14-08-2022 09:15</t>
  </si>
  <si>
    <t>14-08-2022 09:30</t>
  </si>
  <si>
    <t>14-08-2022 09:45</t>
  </si>
  <si>
    <t>14-08-2022 10:00</t>
  </si>
  <si>
    <t>14-08-2022 10:15</t>
  </si>
  <si>
    <t>14-08-2022 10:30</t>
  </si>
  <si>
    <t>14-08-2022 10:45</t>
  </si>
  <si>
    <t>14-08-2022 11:00</t>
  </si>
  <si>
    <t>14-08-2022 11:15</t>
  </si>
  <si>
    <t>14-08-2022 11:30</t>
  </si>
  <si>
    <t>14-08-2022 11:45</t>
  </si>
  <si>
    <t>14-08-2022 12:00</t>
  </si>
  <si>
    <t>14-08-2022 12:15</t>
  </si>
  <si>
    <t>14-08-2022 12:30</t>
  </si>
  <si>
    <t>14-08-2022 12:45</t>
  </si>
  <si>
    <t>14-08-2022 13:00</t>
  </si>
  <si>
    <t>14-08-2022 13:15</t>
  </si>
  <si>
    <t>14-08-2022 13:30</t>
  </si>
  <si>
    <t>14-08-2022 13:45</t>
  </si>
  <si>
    <t>14-08-2022 14:00</t>
  </si>
  <si>
    <t>14-08-2022 14:15</t>
  </si>
  <si>
    <t>14-08-2022 14:30</t>
  </si>
  <si>
    <t>14-08-2022 14:45</t>
  </si>
  <si>
    <t>14-08-2022 15:00</t>
  </si>
  <si>
    <t>14-08-2022 15:15</t>
  </si>
  <si>
    <t>14-08-2022 15:30</t>
  </si>
  <si>
    <t>14-08-2022 15:45</t>
  </si>
  <si>
    <t>14-08-2022 16:00</t>
  </si>
  <si>
    <t>14-08-2022 16:15</t>
  </si>
  <si>
    <t>14-08-2022 16:30</t>
  </si>
  <si>
    <t>14-08-2022 16:45</t>
  </si>
  <si>
    <t>14-08-2022 17:00</t>
  </si>
  <si>
    <t>14-08-2022 17:15</t>
  </si>
  <si>
    <t>14-08-2022 17:30</t>
  </si>
  <si>
    <t>14-08-2022 17:45</t>
  </si>
  <si>
    <t>14-08-2022 18:00</t>
  </si>
  <si>
    <t>14-08-2022 18:15</t>
  </si>
  <si>
    <t>14-08-2022 18:30</t>
  </si>
  <si>
    <t>14-08-2022 18:45</t>
  </si>
  <si>
    <t>14-08-2022 19:00</t>
  </si>
  <si>
    <t>14-08-2022 19:15</t>
  </si>
  <si>
    <t>14-08-2022 19:30</t>
  </si>
  <si>
    <t>14-08-2022 19:45</t>
  </si>
  <si>
    <t>14-08-2022 20:00</t>
  </si>
  <si>
    <t>14-08-2022 20:15</t>
  </si>
  <si>
    <t>14-08-2022 20:30</t>
  </si>
  <si>
    <t>14-08-2022 20:45</t>
  </si>
  <si>
    <t>14-08-2022 21:00</t>
  </si>
  <si>
    <t>14-08-2022 21:15</t>
  </si>
  <si>
    <t>14-08-2022 21:30</t>
  </si>
  <si>
    <t>14-08-2022 21:45</t>
  </si>
  <si>
    <t>14-08-2022 22:00</t>
  </si>
  <si>
    <t>14-08-2022 22:15</t>
  </si>
  <si>
    <t>14-08-2022 22:30</t>
  </si>
  <si>
    <t>14-08-2022 22:45</t>
  </si>
  <si>
    <t>14-08-2022 23:00</t>
  </si>
  <si>
    <t>14-08-2022 23:15</t>
  </si>
  <si>
    <t>14-08-2022 23:30</t>
  </si>
  <si>
    <t>14-08-2022 23:45</t>
  </si>
  <si>
    <t>14-08-2022 24:00</t>
  </si>
  <si>
    <t>15-08-2022 00:15</t>
  </si>
  <si>
    <t>15-08-2022 00:30</t>
  </si>
  <si>
    <t>15-08-2022 00:45</t>
  </si>
  <si>
    <t>15-08-2022 01:00</t>
  </si>
  <si>
    <t>15-08-2022 01:15</t>
  </si>
  <si>
    <t>15-08-2022 01:30</t>
  </si>
  <si>
    <t>15-08-2022 01:45</t>
  </si>
  <si>
    <t>15-08-2022 02:00</t>
  </si>
  <si>
    <t>15-08-2022 02:15</t>
  </si>
  <si>
    <t>15-08-2022 02:30</t>
  </si>
  <si>
    <t>15-08-2022 02:45</t>
  </si>
  <si>
    <t>15-08-2022 03:00</t>
  </si>
  <si>
    <t>15-08-2022 03:15</t>
  </si>
  <si>
    <t>15-08-2022 03:30</t>
  </si>
  <si>
    <t>15-08-2022 03:45</t>
  </si>
  <si>
    <t>15-08-2022 04:00</t>
  </si>
  <si>
    <t>15-08-2022 04:15</t>
  </si>
  <si>
    <t>15-08-2022 04:30</t>
  </si>
  <si>
    <t>15-08-2022 04:45</t>
  </si>
  <si>
    <t>15-08-2022 05:00</t>
  </si>
  <si>
    <t>15-08-2022 05:15</t>
  </si>
  <si>
    <t>15-08-2022 05:30</t>
  </si>
  <si>
    <t>15-08-2022 05:45</t>
  </si>
  <si>
    <t>15-08-2022 06:00</t>
  </si>
  <si>
    <t>15-08-2022 06:15</t>
  </si>
  <si>
    <t>15-08-2022 06:30</t>
  </si>
  <si>
    <t>15-08-2022 06:45</t>
  </si>
  <si>
    <t>15-08-2022 07:00</t>
  </si>
  <si>
    <t>15-08-2022 07:15</t>
  </si>
  <si>
    <t>15-08-2022 07:30</t>
  </si>
  <si>
    <t>15-08-2022 07:45</t>
  </si>
  <si>
    <t>15-08-2022 08:00</t>
  </si>
  <si>
    <t>15-08-2022 08:15</t>
  </si>
  <si>
    <t>15-08-2022 08:30</t>
  </si>
  <si>
    <t>15-08-2022 08:45</t>
  </si>
  <si>
    <t>15-08-2022 09:00</t>
  </si>
  <si>
    <t>15-08-2022 09:15</t>
  </si>
  <si>
    <t>15-08-2022 09:30</t>
  </si>
  <si>
    <t>15-08-2022 09:45</t>
  </si>
  <si>
    <t>15-08-2022 10:00</t>
  </si>
  <si>
    <t>15-08-2022 10:15</t>
  </si>
  <si>
    <t>15-08-2022 10:30</t>
  </si>
  <si>
    <t>15-08-2022 10:45</t>
  </si>
  <si>
    <t>15-08-2022 11:00</t>
  </si>
  <si>
    <t>15-08-2022 11:15</t>
  </si>
  <si>
    <t>15-08-2022 11:30</t>
  </si>
  <si>
    <t>15-08-2022 11:45</t>
  </si>
  <si>
    <t>15-08-2022 12:00</t>
  </si>
  <si>
    <t>15-08-2022 12:15</t>
  </si>
  <si>
    <t>15-08-2022 12:30</t>
  </si>
  <si>
    <t>15-08-2022 12:45</t>
  </si>
  <si>
    <t>15-08-2022 13:00</t>
  </si>
  <si>
    <t>15-08-2022 13:15</t>
  </si>
  <si>
    <t>15-08-2022 13:30</t>
  </si>
  <si>
    <t>15-08-2022 13:45</t>
  </si>
  <si>
    <t>15-08-2022 14:00</t>
  </si>
  <si>
    <t>15-08-2022 14:15</t>
  </si>
  <si>
    <t>15-08-2022 14:30</t>
  </si>
  <si>
    <t>15-08-2022 14:45</t>
  </si>
  <si>
    <t>15-08-2022 15:00</t>
  </si>
  <si>
    <t>15-08-2022 15:15</t>
  </si>
  <si>
    <t>15-08-2022 15:30</t>
  </si>
  <si>
    <t>15-08-2022 15:45</t>
  </si>
  <si>
    <t>15-08-2022 16:00</t>
  </si>
  <si>
    <t>15-08-2022 16:15</t>
  </si>
  <si>
    <t>15-08-2022 16:30</t>
  </si>
  <si>
    <t>15-08-2022 16:45</t>
  </si>
  <si>
    <t>15-08-2022 17:00</t>
  </si>
  <si>
    <t>15-08-2022 17:15</t>
  </si>
  <si>
    <t>15-08-2022 17:30</t>
  </si>
  <si>
    <t>15-08-2022 17:45</t>
  </si>
  <si>
    <t>15-08-2022 18:00</t>
  </si>
  <si>
    <t>15-08-2022 18:15</t>
  </si>
  <si>
    <t>15-08-2022 18:30</t>
  </si>
  <si>
    <t>15-08-2022 18:45</t>
  </si>
  <si>
    <t>15-08-2022 19:00</t>
  </si>
  <si>
    <t>15-08-2022 19:15</t>
  </si>
  <si>
    <t>15-08-2022 19:30</t>
  </si>
  <si>
    <t>15-08-2022 19:45</t>
  </si>
  <si>
    <t>15-08-2022 20:00</t>
  </si>
  <si>
    <t>15-08-2022 20:15</t>
  </si>
  <si>
    <t>15-08-2022 20:30</t>
  </si>
  <si>
    <t>15-08-2022 20:45</t>
  </si>
  <si>
    <t>15-08-2022 21:00</t>
  </si>
  <si>
    <t>15-08-2022 21:15</t>
  </si>
  <si>
    <t>15-08-2022 21:30</t>
  </si>
  <si>
    <t>15-08-2022 21:45</t>
  </si>
  <si>
    <t>15-08-2022 22:00</t>
  </si>
  <si>
    <t>15-08-2022 22:15</t>
  </si>
  <si>
    <t>15-08-2022 22:30</t>
  </si>
  <si>
    <t>15-08-2022 22:45</t>
  </si>
  <si>
    <t>15-08-2022 23:00</t>
  </si>
  <si>
    <t>15-08-2022 23:15</t>
  </si>
  <si>
    <t>15-08-2022 23:30</t>
  </si>
  <si>
    <t>15-08-2022 23:45</t>
  </si>
  <si>
    <t>15-08-2022 24:00</t>
  </si>
  <si>
    <t>16-08-2022 00:15</t>
  </si>
  <si>
    <t>16-08-2022 00:30</t>
  </si>
  <si>
    <t>16-08-2022 00:45</t>
  </si>
  <si>
    <t>16-08-2022 01:00</t>
  </si>
  <si>
    <t>16-08-2022 01:15</t>
  </si>
  <si>
    <t>16-08-2022 01:30</t>
  </si>
  <si>
    <t>16-08-2022 01:45</t>
  </si>
  <si>
    <t>16-08-2022 02:00</t>
  </si>
  <si>
    <t>16-08-2022 02:15</t>
  </si>
  <si>
    <t>16-08-2022 02:30</t>
  </si>
  <si>
    <t>16-08-2022 02:45</t>
  </si>
  <si>
    <t>16-08-2022 03:00</t>
  </si>
  <si>
    <t>16-08-2022 03:15</t>
  </si>
  <si>
    <t>16-08-2022 03:30</t>
  </si>
  <si>
    <t>16-08-2022 03:45</t>
  </si>
  <si>
    <t>16-08-2022 04:00</t>
  </si>
  <si>
    <t>16-08-2022 04:15</t>
  </si>
  <si>
    <t>16-08-2022 04:30</t>
  </si>
  <si>
    <t>16-08-2022 04:45</t>
  </si>
  <si>
    <t>16-08-2022 05:00</t>
  </si>
  <si>
    <t>16-08-2022 05:15</t>
  </si>
  <si>
    <t>16-08-2022 05:30</t>
  </si>
  <si>
    <t>16-08-2022 05:45</t>
  </si>
  <si>
    <t>16-08-2022 06:00</t>
  </si>
  <si>
    <t>16-08-2022 06:15</t>
  </si>
  <si>
    <t>16-08-2022 06:30</t>
  </si>
  <si>
    <t>16-08-2022 06:45</t>
  </si>
  <si>
    <t>16-08-2022 07:00</t>
  </si>
  <si>
    <t>16-08-2022 07:15</t>
  </si>
  <si>
    <t>16-08-2022 07:30</t>
  </si>
  <si>
    <t>16-08-2022 07:45</t>
  </si>
  <si>
    <t>16-08-2022 08:00</t>
  </si>
  <si>
    <t>16-08-2022 08:15</t>
  </si>
  <si>
    <t>16-08-2022 08:30</t>
  </si>
  <si>
    <t>16-08-2022 08:45</t>
  </si>
  <si>
    <t>16-08-2022 09:00</t>
  </si>
  <si>
    <t>16-08-2022 09:15</t>
  </si>
  <si>
    <t>16-08-2022 09:30</t>
  </si>
  <si>
    <t>16-08-2022 09:45</t>
  </si>
  <si>
    <t>16-08-2022 10:00</t>
  </si>
  <si>
    <t>16-08-2022 10:15</t>
  </si>
  <si>
    <t>16-08-2022 10:30</t>
  </si>
  <si>
    <t>16-08-2022 10:45</t>
  </si>
  <si>
    <t>16-08-2022 11:00</t>
  </si>
  <si>
    <t>16-08-2022 11:15</t>
  </si>
  <si>
    <t>16-08-2022 11:30</t>
  </si>
  <si>
    <t>16-08-2022 11:45</t>
  </si>
  <si>
    <t>16-08-2022 12:00</t>
  </si>
  <si>
    <t>16-08-2022 12:15</t>
  </si>
  <si>
    <t>16-08-2022 12:30</t>
  </si>
  <si>
    <t>16-08-2022 12:45</t>
  </si>
  <si>
    <t>16-08-2022 13:00</t>
  </si>
  <si>
    <t>16-08-2022 13:15</t>
  </si>
  <si>
    <t>16-08-2022 13:30</t>
  </si>
  <si>
    <t>16-08-2022 13:45</t>
  </si>
  <si>
    <t>16-08-2022 14:00</t>
  </si>
  <si>
    <t>16-08-2022 14:15</t>
  </si>
  <si>
    <t>16-08-2022 14:30</t>
  </si>
  <si>
    <t>16-08-2022 14:45</t>
  </si>
  <si>
    <t>16-08-2022 15:00</t>
  </si>
  <si>
    <t>16-08-2022 15:15</t>
  </si>
  <si>
    <t>16-08-2022 15:30</t>
  </si>
  <si>
    <t>16-08-2022 15:45</t>
  </si>
  <si>
    <t>16-08-2022 16:00</t>
  </si>
  <si>
    <t>16-08-2022 16:15</t>
  </si>
  <si>
    <t>16-08-2022 16:30</t>
  </si>
  <si>
    <t>16-08-2022 16:45</t>
  </si>
  <si>
    <t>16-08-2022 17:00</t>
  </si>
  <si>
    <t>16-08-2022 17:15</t>
  </si>
  <si>
    <t>16-08-2022 17:30</t>
  </si>
  <si>
    <t>16-08-2022 17:45</t>
  </si>
  <si>
    <t>16-08-2022 18:00</t>
  </si>
  <si>
    <t>16-08-2022 18:15</t>
  </si>
  <si>
    <t>16-08-2022 18:30</t>
  </si>
  <si>
    <t>16-08-2022 18:45</t>
  </si>
  <si>
    <t>16-08-2022 19:00</t>
  </si>
  <si>
    <t>16-08-2022 19:15</t>
  </si>
  <si>
    <t>16-08-2022 19:30</t>
  </si>
  <si>
    <t>16-08-2022 19:45</t>
  </si>
  <si>
    <t>16-08-2022 20:00</t>
  </si>
  <si>
    <t>16-08-2022 20:15</t>
  </si>
  <si>
    <t>16-08-2022 20:30</t>
  </si>
  <si>
    <t>16-08-2022 20:45</t>
  </si>
  <si>
    <t>16-08-2022 21:00</t>
  </si>
  <si>
    <t>16-08-2022 21:15</t>
  </si>
  <si>
    <t>16-08-2022 21:30</t>
  </si>
  <si>
    <t>16-08-2022 21:45</t>
  </si>
  <si>
    <t>16-08-2022 22:00</t>
  </si>
  <si>
    <t>16-08-2022 22:15</t>
  </si>
  <si>
    <t>16-08-2022 22:30</t>
  </si>
  <si>
    <t>16-08-2022 22:45</t>
  </si>
  <si>
    <t>16-08-2022 23:00</t>
  </si>
  <si>
    <t>16-08-2022 23:15</t>
  </si>
  <si>
    <t>16-08-2022 23:30</t>
  </si>
  <si>
    <t>16-08-2022 23:45</t>
  </si>
  <si>
    <t>16-08-2022 24:00</t>
  </si>
  <si>
    <t>17-08-2022 00:15</t>
  </si>
  <si>
    <t>17-08-2022 00:30</t>
  </si>
  <si>
    <t>17-08-2022 00:45</t>
  </si>
  <si>
    <t>17-08-2022 01:00</t>
  </si>
  <si>
    <t>17-08-2022 01:15</t>
  </si>
  <si>
    <t>17-08-2022 01:30</t>
  </si>
  <si>
    <t>17-08-2022 01:45</t>
  </si>
  <si>
    <t>17-08-2022 02:00</t>
  </si>
  <si>
    <t>17-08-2022 02:15</t>
  </si>
  <si>
    <t>17-08-2022 02:30</t>
  </si>
  <si>
    <t>17-08-2022 02:45</t>
  </si>
  <si>
    <t>17-08-2022 03:00</t>
  </si>
  <si>
    <t>17-08-2022 03:15</t>
  </si>
  <si>
    <t>17-08-2022 03:30</t>
  </si>
  <si>
    <t>17-08-2022 03:45</t>
  </si>
  <si>
    <t>17-08-2022 04:00</t>
  </si>
  <si>
    <t>17-08-2022 04:15</t>
  </si>
  <si>
    <t>17-08-2022 04:30</t>
  </si>
  <si>
    <t>17-08-2022 04:45</t>
  </si>
  <si>
    <t>17-08-2022 05:00</t>
  </si>
  <si>
    <t>17-08-2022 05:15</t>
  </si>
  <si>
    <t>17-08-2022 05:30</t>
  </si>
  <si>
    <t>17-08-2022 05:45</t>
  </si>
  <si>
    <t>17-08-2022 06:00</t>
  </si>
  <si>
    <t>17-08-2022 06:15</t>
  </si>
  <si>
    <t>17-08-2022 06:30</t>
  </si>
  <si>
    <t>17-08-2022 06:45</t>
  </si>
  <si>
    <t>17-08-2022 07:00</t>
  </si>
  <si>
    <t>17-08-2022 07:15</t>
  </si>
  <si>
    <t>17-08-2022 07:30</t>
  </si>
  <si>
    <t>17-08-2022 07:45</t>
  </si>
  <si>
    <t>17-08-2022 08:00</t>
  </si>
  <si>
    <t>17-08-2022 08:15</t>
  </si>
  <si>
    <t>17-08-2022 08:30</t>
  </si>
  <si>
    <t>17-08-2022 08:45</t>
  </si>
  <si>
    <t>17-08-2022 09:00</t>
  </si>
  <si>
    <t>17-08-2022 09:15</t>
  </si>
  <si>
    <t>17-08-2022 09:30</t>
  </si>
  <si>
    <t>17-08-2022 09:45</t>
  </si>
  <si>
    <t>17-08-2022 10:00</t>
  </si>
  <si>
    <t>17-08-2022 10:15</t>
  </si>
  <si>
    <t>17-08-2022 10:30</t>
  </si>
  <si>
    <t>17-08-2022 10:45</t>
  </si>
  <si>
    <t>17-08-2022 11:00</t>
  </si>
  <si>
    <t>17-08-2022 11:15</t>
  </si>
  <si>
    <t>17-08-2022 11:30</t>
  </si>
  <si>
    <t>17-08-2022 11:45</t>
  </si>
  <si>
    <t>17-08-2022 12:00</t>
  </si>
  <si>
    <t>17-08-2022 12:15</t>
  </si>
  <si>
    <t>17-08-2022 12:30</t>
  </si>
  <si>
    <t>17-08-2022 12:45</t>
  </si>
  <si>
    <t>17-08-2022 13:00</t>
  </si>
  <si>
    <t>17-08-2022 13:15</t>
  </si>
  <si>
    <t>17-08-2022 13:30</t>
  </si>
  <si>
    <t>17-08-2022 13:45</t>
  </si>
  <si>
    <t>17-08-2022 14:00</t>
  </si>
  <si>
    <t>17-08-2022 14:15</t>
  </si>
  <si>
    <t>17-08-2022 14:30</t>
  </si>
  <si>
    <t>17-08-2022 14:45</t>
  </si>
  <si>
    <t>17-08-2022 15:00</t>
  </si>
  <si>
    <t>17-08-2022 15:15</t>
  </si>
  <si>
    <t>17-08-2022 15:30</t>
  </si>
  <si>
    <t>17-08-2022 15:45</t>
  </si>
  <si>
    <t>17-08-2022 16:00</t>
  </si>
  <si>
    <t>17-08-2022 16:15</t>
  </si>
  <si>
    <t>17-08-2022 16:30</t>
  </si>
  <si>
    <t>17-08-2022 16:45</t>
  </si>
  <si>
    <t>17-08-2022 17:00</t>
  </si>
  <si>
    <t>17-08-2022 17:15</t>
  </si>
  <si>
    <t>17-08-2022 17:30</t>
  </si>
  <si>
    <t>17-08-2022 17:45</t>
  </si>
  <si>
    <t>17-08-2022 18:00</t>
  </si>
  <si>
    <t>17-08-2022 18:15</t>
  </si>
  <si>
    <t>17-08-2022 18:30</t>
  </si>
  <si>
    <t>17-08-2022 18:45</t>
  </si>
  <si>
    <t>17-08-2022 19:00</t>
  </si>
  <si>
    <t>17-08-2022 19:15</t>
  </si>
  <si>
    <t>17-08-2022 19:30</t>
  </si>
  <si>
    <t>17-08-2022 19:45</t>
  </si>
  <si>
    <t>17-08-2022 20:00</t>
  </si>
  <si>
    <t>17-08-2022 20:15</t>
  </si>
  <si>
    <t>17-08-2022 20:30</t>
  </si>
  <si>
    <t>17-08-2022 20:45</t>
  </si>
  <si>
    <t>17-08-2022 21:00</t>
  </si>
  <si>
    <t>17-08-2022 21:15</t>
  </si>
  <si>
    <t>17-08-2022 21:30</t>
  </si>
  <si>
    <t>17-08-2022 21:45</t>
  </si>
  <si>
    <t>17-08-2022 22:00</t>
  </si>
  <si>
    <t>17-08-2022 22:15</t>
  </si>
  <si>
    <t>17-08-2022 22:30</t>
  </si>
  <si>
    <t>17-08-2022 22:45</t>
  </si>
  <si>
    <t>17-08-2022 23:00</t>
  </si>
  <si>
    <t>17-08-2022 23:15</t>
  </si>
  <si>
    <t>17-08-2022 23:30</t>
  </si>
  <si>
    <t>17-08-2022 23:45</t>
  </si>
  <si>
    <t>17-08-2022 24:00</t>
  </si>
  <si>
    <t>18-08-2022 00:15</t>
  </si>
  <si>
    <t>18-08-2022 00:30</t>
  </si>
  <si>
    <t>18-08-2022 00:45</t>
  </si>
  <si>
    <t>18-08-2022 01:00</t>
  </si>
  <si>
    <t>18-08-2022 01:15</t>
  </si>
  <si>
    <t>18-08-2022 01:30</t>
  </si>
  <si>
    <t>18-08-2022 01:45</t>
  </si>
  <si>
    <t>18-08-2022 02:00</t>
  </si>
  <si>
    <t>18-08-2022 02:15</t>
  </si>
  <si>
    <t>18-08-2022 02:30</t>
  </si>
  <si>
    <t>18-08-2022 02:45</t>
  </si>
  <si>
    <t>18-08-2022 03:00</t>
  </si>
  <si>
    <t>18-08-2022 03:15</t>
  </si>
  <si>
    <t>18-08-2022 03:30</t>
  </si>
  <si>
    <t>18-08-2022 03:45</t>
  </si>
  <si>
    <t>18-08-2022 04:00</t>
  </si>
  <si>
    <t>18-08-2022 04:15</t>
  </si>
  <si>
    <t>18-08-2022 04:30</t>
  </si>
  <si>
    <t>18-08-2022 04:45</t>
  </si>
  <si>
    <t>18-08-2022 05:00</t>
  </si>
  <si>
    <t>18-08-2022 05:15</t>
  </si>
  <si>
    <t>18-08-2022 05:30</t>
  </si>
  <si>
    <t>18-08-2022 05:45</t>
  </si>
  <si>
    <t>18-08-2022 06:00</t>
  </si>
  <si>
    <t>18-08-2022 06:15</t>
  </si>
  <si>
    <t>18-08-2022 06:30</t>
  </si>
  <si>
    <t>18-08-2022 06:45</t>
  </si>
  <si>
    <t>18-08-2022 07:00</t>
  </si>
  <si>
    <t>18-08-2022 07:15</t>
  </si>
  <si>
    <t>18-08-2022 07:30</t>
  </si>
  <si>
    <t>18-08-2022 07:45</t>
  </si>
  <si>
    <t>18-08-2022 08:00</t>
  </si>
  <si>
    <t>18-08-2022 08:15</t>
  </si>
  <si>
    <t>18-08-2022 08:30</t>
  </si>
  <si>
    <t>18-08-2022 08:45</t>
  </si>
  <si>
    <t>18-08-2022 09:00</t>
  </si>
  <si>
    <t>18-08-2022 09:15</t>
  </si>
  <si>
    <t>18-08-2022 09:30</t>
  </si>
  <si>
    <t>18-08-2022 09:45</t>
  </si>
  <si>
    <t>18-08-2022 10:00</t>
  </si>
  <si>
    <t>18-08-2022 10:15</t>
  </si>
  <si>
    <t>18-08-2022 10:30</t>
  </si>
  <si>
    <t>18-08-2022 10:45</t>
  </si>
  <si>
    <t>18-08-2022 11:00</t>
  </si>
  <si>
    <t>18-08-2022 11:15</t>
  </si>
  <si>
    <t>18-08-2022 11:30</t>
  </si>
  <si>
    <t>18-08-2022 11:45</t>
  </si>
  <si>
    <t>18-08-2022 12:00</t>
  </si>
  <si>
    <t>18-08-2022 12:15</t>
  </si>
  <si>
    <t>18-08-2022 12:30</t>
  </si>
  <si>
    <t>18-08-2022 12:45</t>
  </si>
  <si>
    <t>18-08-2022 13:00</t>
  </si>
  <si>
    <t>18-08-2022 13:15</t>
  </si>
  <si>
    <t>18-08-2022 13:30</t>
  </si>
  <si>
    <t>18-08-2022 13:45</t>
  </si>
  <si>
    <t>18-08-2022 14:00</t>
  </si>
  <si>
    <t>18-08-2022 14:15</t>
  </si>
  <si>
    <t>18-08-2022 14:30</t>
  </si>
  <si>
    <t>18-08-2022 14:45</t>
  </si>
  <si>
    <t>18-08-2022 15:00</t>
  </si>
  <si>
    <t>18-08-2022 15:15</t>
  </si>
  <si>
    <t>18-08-2022 15:30</t>
  </si>
  <si>
    <t>18-08-2022 15:45</t>
  </si>
  <si>
    <t>18-08-2022 16:00</t>
  </si>
  <si>
    <t>18-08-2022 16:15</t>
  </si>
  <si>
    <t>18-08-2022 16:30</t>
  </si>
  <si>
    <t>18-08-2022 16:45</t>
  </si>
  <si>
    <t>18-08-2022 17:00</t>
  </si>
  <si>
    <t>18-08-2022 17:15</t>
  </si>
  <si>
    <t>18-08-2022 17:30</t>
  </si>
  <si>
    <t>18-08-2022 17:45</t>
  </si>
  <si>
    <t>18-08-2022 18:00</t>
  </si>
  <si>
    <t>18-08-2022 18:15</t>
  </si>
  <si>
    <t>18-08-2022 18:30</t>
  </si>
  <si>
    <t>18-08-2022 18:45</t>
  </si>
  <si>
    <t>18-08-2022 19:00</t>
  </si>
  <si>
    <t>18-08-2022 19:15</t>
  </si>
  <si>
    <t>18-08-2022 19:30</t>
  </si>
  <si>
    <t>18-08-2022 19:45</t>
  </si>
  <si>
    <t>18-08-2022 20:00</t>
  </si>
  <si>
    <t>18-08-2022 20:15</t>
  </si>
  <si>
    <t>18-08-2022 20:30</t>
  </si>
  <si>
    <t>18-08-2022 20:45</t>
  </si>
  <si>
    <t>18-08-2022 21:00</t>
  </si>
  <si>
    <t>18-08-2022 21:15</t>
  </si>
  <si>
    <t>18-08-2022 21:30</t>
  </si>
  <si>
    <t>18-08-2022 21:45</t>
  </si>
  <si>
    <t>18-08-2022 22:00</t>
  </si>
  <si>
    <t>18-08-2022 22:15</t>
  </si>
  <si>
    <t>18-08-2022 22:30</t>
  </si>
  <si>
    <t>18-08-2022 22:45</t>
  </si>
  <si>
    <t>18-08-2022 23:00</t>
  </si>
  <si>
    <t>18-08-2022 23:15</t>
  </si>
  <si>
    <t>18-08-2022 23:30</t>
  </si>
  <si>
    <t>18-08-2022 23:45</t>
  </si>
  <si>
    <t>18-08-2022 24:00</t>
  </si>
  <si>
    <t>19-08-2022 00:15</t>
  </si>
  <si>
    <t>19-08-2022 00:30</t>
  </si>
  <si>
    <t>19-08-2022 00:45</t>
  </si>
  <si>
    <t>19-08-2022 01:00</t>
  </si>
  <si>
    <t>19-08-2022 01:15</t>
  </si>
  <si>
    <t>19-08-2022 01:30</t>
  </si>
  <si>
    <t>19-08-2022 01:45</t>
  </si>
  <si>
    <t>19-08-2022 02:00</t>
  </si>
  <si>
    <t>19-08-2022 02:15</t>
  </si>
  <si>
    <t>19-08-2022 02:30</t>
  </si>
  <si>
    <t>19-08-2022 02:45</t>
  </si>
  <si>
    <t>19-08-2022 03:00</t>
  </si>
  <si>
    <t>19-08-2022 03:15</t>
  </si>
  <si>
    <t>19-08-2022 03:30</t>
  </si>
  <si>
    <t>19-08-2022 03:45</t>
  </si>
  <si>
    <t>19-08-2022 04:00</t>
  </si>
  <si>
    <t>19-08-2022 04:15</t>
  </si>
  <si>
    <t>19-08-2022 04:30</t>
  </si>
  <si>
    <t>19-08-2022 04:45</t>
  </si>
  <si>
    <t>19-08-2022 05:00</t>
  </si>
  <si>
    <t>19-08-2022 05:15</t>
  </si>
  <si>
    <t>19-08-2022 05:30</t>
  </si>
  <si>
    <t>19-08-2022 05:45</t>
  </si>
  <si>
    <t>19-08-2022 06:00</t>
  </si>
  <si>
    <t>19-08-2022 06:15</t>
  </si>
  <si>
    <t>19-08-2022 06:30</t>
  </si>
  <si>
    <t>19-08-2022 06:45</t>
  </si>
  <si>
    <t>19-08-2022 07:00</t>
  </si>
  <si>
    <t>19-08-2022 07:15</t>
  </si>
  <si>
    <t>19-08-2022 07:30</t>
  </si>
  <si>
    <t>19-08-2022 07:45</t>
  </si>
  <si>
    <t>19-08-2022 08:00</t>
  </si>
  <si>
    <t>19-08-2022 08:15</t>
  </si>
  <si>
    <t>19-08-2022 08:30</t>
  </si>
  <si>
    <t>19-08-2022 08:45</t>
  </si>
  <si>
    <t>19-08-2022 09:00</t>
  </si>
  <si>
    <t>19-08-2022 09:15</t>
  </si>
  <si>
    <t>19-08-2022 09:30</t>
  </si>
  <si>
    <t>19-08-2022 09:45</t>
  </si>
  <si>
    <t>19-08-2022 10:00</t>
  </si>
  <si>
    <t>19-08-2022 10:15</t>
  </si>
  <si>
    <t>19-08-2022 10:30</t>
  </si>
  <si>
    <t>19-08-2022 10:45</t>
  </si>
  <si>
    <t>19-08-2022 11:00</t>
  </si>
  <si>
    <t>19-08-2022 11:15</t>
  </si>
  <si>
    <t>19-08-2022 11:30</t>
  </si>
  <si>
    <t>19-08-2022 11:45</t>
  </si>
  <si>
    <t>19-08-2022 12:00</t>
  </si>
  <si>
    <t>19-08-2022 12:15</t>
  </si>
  <si>
    <t>19-08-2022 12:30</t>
  </si>
  <si>
    <t>19-08-2022 12:45</t>
  </si>
  <si>
    <t>19-08-2022 13:00</t>
  </si>
  <si>
    <t>19-08-2022 13:15</t>
  </si>
  <si>
    <t>19-08-2022 13:30</t>
  </si>
  <si>
    <t>19-08-2022 13:45</t>
  </si>
  <si>
    <t>19-08-2022 14:00</t>
  </si>
  <si>
    <t>19-08-2022 14:15</t>
  </si>
  <si>
    <t>19-08-2022 14:30</t>
  </si>
  <si>
    <t>19-08-2022 14:45</t>
  </si>
  <si>
    <t>19-08-2022 15:00</t>
  </si>
  <si>
    <t>19-08-2022 15:15</t>
  </si>
  <si>
    <t>19-08-2022 15:30</t>
  </si>
  <si>
    <t>19-08-2022 15:45</t>
  </si>
  <si>
    <t>19-08-2022 16:00</t>
  </si>
  <si>
    <t>19-08-2022 16:15</t>
  </si>
  <si>
    <t>19-08-2022 16:30</t>
  </si>
  <si>
    <t>19-08-2022 16:45</t>
  </si>
  <si>
    <t>19-08-2022 17:00</t>
  </si>
  <si>
    <t>19-08-2022 17:15</t>
  </si>
  <si>
    <t>19-08-2022 17:30</t>
  </si>
  <si>
    <t>19-08-2022 17:45</t>
  </si>
  <si>
    <t>19-08-2022 18:00</t>
  </si>
  <si>
    <t>19-08-2022 18:15</t>
  </si>
  <si>
    <t>19-08-2022 18:30</t>
  </si>
  <si>
    <t>19-08-2022 18:45</t>
  </si>
  <si>
    <t>19-08-2022 19:00</t>
  </si>
  <si>
    <t>19-08-2022 19:15</t>
  </si>
  <si>
    <t>19-08-2022 19:30</t>
  </si>
  <si>
    <t>19-08-2022 19:45</t>
  </si>
  <si>
    <t>19-08-2022 20:00</t>
  </si>
  <si>
    <t>19-08-2022 20:15</t>
  </si>
  <si>
    <t>19-08-2022 20:30</t>
  </si>
  <si>
    <t>19-08-2022 20:45</t>
  </si>
  <si>
    <t>19-08-2022 21:00</t>
  </si>
  <si>
    <t>19-08-2022 21:15</t>
  </si>
  <si>
    <t>19-08-2022 21:30</t>
  </si>
  <si>
    <t>19-08-2022 21:45</t>
  </si>
  <si>
    <t>19-08-2022 22:00</t>
  </si>
  <si>
    <t>19-08-2022 22:15</t>
  </si>
  <si>
    <t>19-08-2022 22:30</t>
  </si>
  <si>
    <t>19-08-2022 22:45</t>
  </si>
  <si>
    <t>19-08-2022 23:00</t>
  </si>
  <si>
    <t>19-08-2022 23:15</t>
  </si>
  <si>
    <t>19-08-2022 23:30</t>
  </si>
  <si>
    <t>19-08-2022 23:45</t>
  </si>
  <si>
    <t>19-08-2022 24:00</t>
  </si>
  <si>
    <t>20-08-2022 00:15</t>
  </si>
  <si>
    <t>20-08-2022 00:30</t>
  </si>
  <si>
    <t>20-08-2022 00:45</t>
  </si>
  <si>
    <t>20-08-2022 01:00</t>
  </si>
  <si>
    <t>20-08-2022 01:15</t>
  </si>
  <si>
    <t>20-08-2022 01:30</t>
  </si>
  <si>
    <t>20-08-2022 01:45</t>
  </si>
  <si>
    <t>20-08-2022 02:00</t>
  </si>
  <si>
    <t>20-08-2022 02:15</t>
  </si>
  <si>
    <t>20-08-2022 02:30</t>
  </si>
  <si>
    <t>20-08-2022 02:45</t>
  </si>
  <si>
    <t>20-08-2022 03:00</t>
  </si>
  <si>
    <t>20-08-2022 03:15</t>
  </si>
  <si>
    <t>20-08-2022 03:30</t>
  </si>
  <si>
    <t>20-08-2022 03:45</t>
  </si>
  <si>
    <t>20-08-2022 04:00</t>
  </si>
  <si>
    <t>20-08-2022 04:15</t>
  </si>
  <si>
    <t>20-08-2022 04:30</t>
  </si>
  <si>
    <t>20-08-2022 04:45</t>
  </si>
  <si>
    <t>20-08-2022 05:00</t>
  </si>
  <si>
    <t>20-08-2022 05:15</t>
  </si>
  <si>
    <t>20-08-2022 05:30</t>
  </si>
  <si>
    <t>20-08-2022 05:45</t>
  </si>
  <si>
    <t>20-08-2022 06:00</t>
  </si>
  <si>
    <t>20-08-2022 06:15</t>
  </si>
  <si>
    <t>20-08-2022 06:30</t>
  </si>
  <si>
    <t>20-08-2022 06:45</t>
  </si>
  <si>
    <t>20-08-2022 07:00</t>
  </si>
  <si>
    <t>20-08-2022 07:15</t>
  </si>
  <si>
    <t>20-08-2022 07:30</t>
  </si>
  <si>
    <t>20-08-2022 07:45</t>
  </si>
  <si>
    <t>20-08-2022 08:00</t>
  </si>
  <si>
    <t>20-08-2022 08:15</t>
  </si>
  <si>
    <t>20-08-2022 08:30</t>
  </si>
  <si>
    <t>20-08-2022 08:45</t>
  </si>
  <si>
    <t>20-08-2022 09:00</t>
  </si>
  <si>
    <t>20-08-2022 09:15</t>
  </si>
  <si>
    <t>20-08-2022 09:30</t>
  </si>
  <si>
    <t>20-08-2022 09:45</t>
  </si>
  <si>
    <t>20-08-2022 10:00</t>
  </si>
  <si>
    <t>20-08-2022 10:15</t>
  </si>
  <si>
    <t>20-08-2022 10:30</t>
  </si>
  <si>
    <t>20-08-2022 10:45</t>
  </si>
  <si>
    <t>20-08-2022 11:00</t>
  </si>
  <si>
    <t>20-08-2022 11:15</t>
  </si>
  <si>
    <t>20-08-2022 11:30</t>
  </si>
  <si>
    <t>20-08-2022 11:45</t>
  </si>
  <si>
    <t>20-08-2022 12:00</t>
  </si>
  <si>
    <t>20-08-2022 12:15</t>
  </si>
  <si>
    <t>20-08-2022 12:30</t>
  </si>
  <si>
    <t>20-08-2022 12:45</t>
  </si>
  <si>
    <t>20-08-2022 13:00</t>
  </si>
  <si>
    <t>20-08-2022 13:15</t>
  </si>
  <si>
    <t>20-08-2022 13:30</t>
  </si>
  <si>
    <t>20-08-2022 13:45</t>
  </si>
  <si>
    <t>20-08-2022 14:00</t>
  </si>
  <si>
    <t>20-08-2022 14:15</t>
  </si>
  <si>
    <t>20-08-2022 14:30</t>
  </si>
  <si>
    <t>20-08-2022 14:45</t>
  </si>
  <si>
    <t>20-08-2022 15:00</t>
  </si>
  <si>
    <t>20-08-2022 15:15</t>
  </si>
  <si>
    <t>20-08-2022 15:30</t>
  </si>
  <si>
    <t>20-08-2022 15:45</t>
  </si>
  <si>
    <t>20-08-2022 16:00</t>
  </si>
  <si>
    <t>20-08-2022 16:15</t>
  </si>
  <si>
    <t>20-08-2022 16:30</t>
  </si>
  <si>
    <t>20-08-2022 16:45</t>
  </si>
  <si>
    <t>20-08-2022 17:00</t>
  </si>
  <si>
    <t>20-08-2022 17:15</t>
  </si>
  <si>
    <t>20-08-2022 17:30</t>
  </si>
  <si>
    <t>20-08-2022 17:45</t>
  </si>
  <si>
    <t>20-08-2022 18:00</t>
  </si>
  <si>
    <t>20-08-2022 18:15</t>
  </si>
  <si>
    <t>20-08-2022 18:30</t>
  </si>
  <si>
    <t>20-08-2022 18:45</t>
  </si>
  <si>
    <t>20-08-2022 19:00</t>
  </si>
  <si>
    <t>20-08-2022 19:15</t>
  </si>
  <si>
    <t>20-08-2022 19:30</t>
  </si>
  <si>
    <t>20-08-2022 19:45</t>
  </si>
  <si>
    <t>20-08-2022 20:00</t>
  </si>
  <si>
    <t>20-08-2022 20:15</t>
  </si>
  <si>
    <t>20-08-2022 20:30</t>
  </si>
  <si>
    <t>20-08-2022 20:45</t>
  </si>
  <si>
    <t>20-08-2022 21:00</t>
  </si>
  <si>
    <t>20-08-2022 21:15</t>
  </si>
  <si>
    <t>20-08-2022 21:30</t>
  </si>
  <si>
    <t>20-08-2022 21:45</t>
  </si>
  <si>
    <t>20-08-2022 22:00</t>
  </si>
  <si>
    <t>20-08-2022 22:15</t>
  </si>
  <si>
    <t>20-08-2022 22:30</t>
  </si>
  <si>
    <t>20-08-2022 22:45</t>
  </si>
  <si>
    <t>20-08-2022 23:00</t>
  </si>
  <si>
    <t>20-08-2022 23:15</t>
  </si>
  <si>
    <t>20-08-2022 23:30</t>
  </si>
  <si>
    <t>20-08-2022 23:45</t>
  </si>
  <si>
    <t>20-08-2022 24:00</t>
  </si>
  <si>
    <t>21-08-2022 00:15</t>
  </si>
  <si>
    <t>21-08-2022 00:30</t>
  </si>
  <si>
    <t>21-08-2022 00:45</t>
  </si>
  <si>
    <t>21-08-2022 01:00</t>
  </si>
  <si>
    <t>21-08-2022 01:15</t>
  </si>
  <si>
    <t>21-08-2022 01:30</t>
  </si>
  <si>
    <t>21-08-2022 01:45</t>
  </si>
  <si>
    <t>21-08-2022 02:00</t>
  </si>
  <si>
    <t>21-08-2022 02:15</t>
  </si>
  <si>
    <t>21-08-2022 02:30</t>
  </si>
  <si>
    <t>21-08-2022 02:45</t>
  </si>
  <si>
    <t>21-08-2022 03:00</t>
  </si>
  <si>
    <t>21-08-2022 03:15</t>
  </si>
  <si>
    <t>21-08-2022 03:30</t>
  </si>
  <si>
    <t>21-08-2022 03:45</t>
  </si>
  <si>
    <t>21-08-2022 04:00</t>
  </si>
  <si>
    <t>21-08-2022 04:15</t>
  </si>
  <si>
    <t>21-08-2022 04:30</t>
  </si>
  <si>
    <t>21-08-2022 04:45</t>
  </si>
  <si>
    <t>21-08-2022 05:00</t>
  </si>
  <si>
    <t>21-08-2022 05:15</t>
  </si>
  <si>
    <t>21-08-2022 05:30</t>
  </si>
  <si>
    <t>21-08-2022 05:45</t>
  </si>
  <si>
    <t>21-08-2022 06:00</t>
  </si>
  <si>
    <t>21-08-2022 06:15</t>
  </si>
  <si>
    <t>21-08-2022 06:30</t>
  </si>
  <si>
    <t>21-08-2022 06:45</t>
  </si>
  <si>
    <t>21-08-2022 07:00</t>
  </si>
  <si>
    <t>21-08-2022 07:15</t>
  </si>
  <si>
    <t>21-08-2022 07:30</t>
  </si>
  <si>
    <t>21-08-2022 07:45</t>
  </si>
  <si>
    <t>21-08-2022 08:00</t>
  </si>
  <si>
    <t>21-08-2022 08:15</t>
  </si>
  <si>
    <t>21-08-2022 08:30</t>
  </si>
  <si>
    <t>21-08-2022 08:45</t>
  </si>
  <si>
    <t>21-08-2022 09:00</t>
  </si>
  <si>
    <t>21-08-2022 09:15</t>
  </si>
  <si>
    <t>21-08-2022 09:30</t>
  </si>
  <si>
    <t>21-08-2022 09:45</t>
  </si>
  <si>
    <t>21-08-2022 10:00</t>
  </si>
  <si>
    <t>21-08-2022 10:15</t>
  </si>
  <si>
    <t>21-08-2022 10:30</t>
  </si>
  <si>
    <t>21-08-2022 10:45</t>
  </si>
  <si>
    <t>21-08-2022 11:00</t>
  </si>
  <si>
    <t>21-08-2022 11:15</t>
  </si>
  <si>
    <t>21-08-2022 11:30</t>
  </si>
  <si>
    <t>21-08-2022 11:45</t>
  </si>
  <si>
    <t>21-08-2022 12:00</t>
  </si>
  <si>
    <t>21-08-2022 12:15</t>
  </si>
  <si>
    <t>21-08-2022 12:30</t>
  </si>
  <si>
    <t>21-08-2022 12:45</t>
  </si>
  <si>
    <t>21-08-2022 13:00</t>
  </si>
  <si>
    <t>21-08-2022 13:15</t>
  </si>
  <si>
    <t>21-08-2022 13:30</t>
  </si>
  <si>
    <t>21-08-2022 13:45</t>
  </si>
  <si>
    <t>21-08-2022 14:00</t>
  </si>
  <si>
    <t>21-08-2022 14:15</t>
  </si>
  <si>
    <t>21-08-2022 14:30</t>
  </si>
  <si>
    <t>21-08-2022 14:45</t>
  </si>
  <si>
    <t>21-08-2022 15:00</t>
  </si>
  <si>
    <t>21-08-2022 15:15</t>
  </si>
  <si>
    <t>21-08-2022 15:30</t>
  </si>
  <si>
    <t>21-08-2022 15:45</t>
  </si>
  <si>
    <t>21-08-2022 16:00</t>
  </si>
  <si>
    <t>21-08-2022 16:15</t>
  </si>
  <si>
    <t>21-08-2022 16:30</t>
  </si>
  <si>
    <t>21-08-2022 16:45</t>
  </si>
  <si>
    <t>21-08-2022 17:00</t>
  </si>
  <si>
    <t>21-08-2022 17:15</t>
  </si>
  <si>
    <t>21-08-2022 17:30</t>
  </si>
  <si>
    <t>21-08-2022 17:45</t>
  </si>
  <si>
    <t>21-08-2022 18:00</t>
  </si>
  <si>
    <t>21-08-2022 18:15</t>
  </si>
  <si>
    <t>21-08-2022 18:30</t>
  </si>
  <si>
    <t>21-08-2022 18:45</t>
  </si>
  <si>
    <t>21-08-2022 19:00</t>
  </si>
  <si>
    <t>21-08-2022 19:15</t>
  </si>
  <si>
    <t>21-08-2022 19:30</t>
  </si>
  <si>
    <t>21-08-2022 19:45</t>
  </si>
  <si>
    <t>21-08-2022 20:00</t>
  </si>
  <si>
    <t>21-08-2022 20:15</t>
  </si>
  <si>
    <t>21-08-2022 20:30</t>
  </si>
  <si>
    <t>21-08-2022 20:45</t>
  </si>
  <si>
    <t>21-08-2022 21:00</t>
  </si>
  <si>
    <t>21-08-2022 21:15</t>
  </si>
  <si>
    <t>21-08-2022 21:30</t>
  </si>
  <si>
    <t>21-08-2022 21:45</t>
  </si>
  <si>
    <t>21-08-2022 22:00</t>
  </si>
  <si>
    <t>21-08-2022 22:15</t>
  </si>
  <si>
    <t>21-08-2022 22:30</t>
  </si>
  <si>
    <t>21-08-2022 22:45</t>
  </si>
  <si>
    <t>21-08-2022 23:00</t>
  </si>
  <si>
    <t>21-08-2022 23:15</t>
  </si>
  <si>
    <t>21-08-2022 23:30</t>
  </si>
  <si>
    <t>21-08-2022 23:45</t>
  </si>
  <si>
    <t>21-08-2022 24:00</t>
  </si>
  <si>
    <t>22-08-2022 00:15</t>
  </si>
  <si>
    <t>22-08-2022 00:30</t>
  </si>
  <si>
    <t>22-08-2022 00:45</t>
  </si>
  <si>
    <t>22-08-2022 01:00</t>
  </si>
  <si>
    <t>22-08-2022 01:15</t>
  </si>
  <si>
    <t>22-08-2022 01:30</t>
  </si>
  <si>
    <t>22-08-2022 01:45</t>
  </si>
  <si>
    <t>22-08-2022 02:00</t>
  </si>
  <si>
    <t>22-08-2022 02:15</t>
  </si>
  <si>
    <t>22-08-2022 02:30</t>
  </si>
  <si>
    <t>22-08-2022 02:45</t>
  </si>
  <si>
    <t>22-08-2022 03:00</t>
  </si>
  <si>
    <t>22-08-2022 03:15</t>
  </si>
  <si>
    <t>22-08-2022 03:30</t>
  </si>
  <si>
    <t>22-08-2022 03:45</t>
  </si>
  <si>
    <t>22-08-2022 04:00</t>
  </si>
  <si>
    <t>22-08-2022 04:15</t>
  </si>
  <si>
    <t>22-08-2022 04:30</t>
  </si>
  <si>
    <t>22-08-2022 04:45</t>
  </si>
  <si>
    <t>22-08-2022 05:00</t>
  </si>
  <si>
    <t>22-08-2022 05:15</t>
  </si>
  <si>
    <t>22-08-2022 05:30</t>
  </si>
  <si>
    <t>22-08-2022 05:45</t>
  </si>
  <si>
    <t>22-08-2022 06:00</t>
  </si>
  <si>
    <t>22-08-2022 06:15</t>
  </si>
  <si>
    <t>22-08-2022 06:30</t>
  </si>
  <si>
    <t>22-08-2022 06:45</t>
  </si>
  <si>
    <t>22-08-2022 07:00</t>
  </si>
  <si>
    <t>22-08-2022 07:15</t>
  </si>
  <si>
    <t>22-08-2022 07:30</t>
  </si>
  <si>
    <t>22-08-2022 07:45</t>
  </si>
  <si>
    <t>22-08-2022 08:00</t>
  </si>
  <si>
    <t>22-08-2022 08:15</t>
  </si>
  <si>
    <t>22-08-2022 08:30</t>
  </si>
  <si>
    <t>22-08-2022 08:45</t>
  </si>
  <si>
    <t>22-08-2022 09:00</t>
  </si>
  <si>
    <t>22-08-2022 09:15</t>
  </si>
  <si>
    <t>22-08-2022 09:30</t>
  </si>
  <si>
    <t>22-08-2022 09:45</t>
  </si>
  <si>
    <t>22-08-2022 10:00</t>
  </si>
  <si>
    <t>22-08-2022 10:15</t>
  </si>
  <si>
    <t>22-08-2022 10:30</t>
  </si>
  <si>
    <t>22-08-2022 10:45</t>
  </si>
  <si>
    <t>22-08-2022 11:00</t>
  </si>
  <si>
    <t>22-08-2022 11:15</t>
  </si>
  <si>
    <t>22-08-2022 11:30</t>
  </si>
  <si>
    <t>22-08-2022 11:45</t>
  </si>
  <si>
    <t>22-08-2022 12:00</t>
  </si>
  <si>
    <t>22-08-2022 12:15</t>
  </si>
  <si>
    <t>22-08-2022 12:30</t>
  </si>
  <si>
    <t>22-08-2022 12:45</t>
  </si>
  <si>
    <t>22-08-2022 13:00</t>
  </si>
  <si>
    <t>22-08-2022 13:15</t>
  </si>
  <si>
    <t>22-08-2022 13:30</t>
  </si>
  <si>
    <t>22-08-2022 13:45</t>
  </si>
  <si>
    <t>22-08-2022 14:00</t>
  </si>
  <si>
    <t>22-08-2022 14:15</t>
  </si>
  <si>
    <t>22-08-2022 14:30</t>
  </si>
  <si>
    <t>22-08-2022 14:45</t>
  </si>
  <si>
    <t>22-08-2022 15:00</t>
  </si>
  <si>
    <t>22-08-2022 15:15</t>
  </si>
  <si>
    <t>22-08-2022 15:30</t>
  </si>
  <si>
    <t>22-08-2022 15:45</t>
  </si>
  <si>
    <t>22-08-2022 16:00</t>
  </si>
  <si>
    <t>22-08-2022 16:15</t>
  </si>
  <si>
    <t>22-08-2022 16:30</t>
  </si>
  <si>
    <t>22-08-2022 16:45</t>
  </si>
  <si>
    <t>22-08-2022 17:00</t>
  </si>
  <si>
    <t>22-08-2022 17:15</t>
  </si>
  <si>
    <t>22-08-2022 17:30</t>
  </si>
  <si>
    <t>22-08-2022 17:45</t>
  </si>
  <si>
    <t>22-08-2022 18:00</t>
  </si>
  <si>
    <t>22-08-2022 18:15</t>
  </si>
  <si>
    <t>22-08-2022 18:30</t>
  </si>
  <si>
    <t>22-08-2022 18:45</t>
  </si>
  <si>
    <t>22-08-2022 19:00</t>
  </si>
  <si>
    <t>22-08-2022 19:15</t>
  </si>
  <si>
    <t>22-08-2022 19:30</t>
  </si>
  <si>
    <t>22-08-2022 19:45</t>
  </si>
  <si>
    <t>22-08-2022 20:00</t>
  </si>
  <si>
    <t>22-08-2022 20:15</t>
  </si>
  <si>
    <t>22-08-2022 20:30</t>
  </si>
  <si>
    <t>22-08-2022 20:45</t>
  </si>
  <si>
    <t>22-08-2022 21:00</t>
  </si>
  <si>
    <t>22-08-2022 21:15</t>
  </si>
  <si>
    <t>22-08-2022 21:30</t>
  </si>
  <si>
    <t>22-08-2022 21:45</t>
  </si>
  <si>
    <t>22-08-2022 22:00</t>
  </si>
  <si>
    <t>22-08-2022 22:15</t>
  </si>
  <si>
    <t>22-08-2022 22:30</t>
  </si>
  <si>
    <t>22-08-2022 22:45</t>
  </si>
  <si>
    <t>22-08-2022 23:00</t>
  </si>
  <si>
    <t>22-08-2022 23:15</t>
  </si>
  <si>
    <t>22-08-2022 23:30</t>
  </si>
  <si>
    <t>22-08-2022 23:45</t>
  </si>
  <si>
    <t>22-08-2022 24:00</t>
  </si>
  <si>
    <t>23-08-2022 00:15</t>
  </si>
  <si>
    <t>23-08-2022 00:30</t>
  </si>
  <si>
    <t>23-08-2022 00:45</t>
  </si>
  <si>
    <t>23-08-2022 01:00</t>
  </si>
  <si>
    <t>23-08-2022 01:15</t>
  </si>
  <si>
    <t>23-08-2022 01:30</t>
  </si>
  <si>
    <t>23-08-2022 01:45</t>
  </si>
  <si>
    <t>23-08-2022 02:00</t>
  </si>
  <si>
    <t>23-08-2022 02:15</t>
  </si>
  <si>
    <t>23-08-2022 02:30</t>
  </si>
  <si>
    <t>23-08-2022 02:45</t>
  </si>
  <si>
    <t>23-08-2022 03:00</t>
  </si>
  <si>
    <t>23-08-2022 03:15</t>
  </si>
  <si>
    <t>23-08-2022 03:30</t>
  </si>
  <si>
    <t>23-08-2022 03:45</t>
  </si>
  <si>
    <t>23-08-2022 04:00</t>
  </si>
  <si>
    <t>23-08-2022 04:15</t>
  </si>
  <si>
    <t>23-08-2022 04:30</t>
  </si>
  <si>
    <t>23-08-2022 04:45</t>
  </si>
  <si>
    <t>23-08-2022 05:00</t>
  </si>
  <si>
    <t>23-08-2022 05:15</t>
  </si>
  <si>
    <t>23-08-2022 05:30</t>
  </si>
  <si>
    <t>23-08-2022 05:45</t>
  </si>
  <si>
    <t>23-08-2022 06:00</t>
  </si>
  <si>
    <t>23-08-2022 06:15</t>
  </si>
  <si>
    <t>23-08-2022 06:30</t>
  </si>
  <si>
    <t>23-08-2022 06:45</t>
  </si>
  <si>
    <t>23-08-2022 07:00</t>
  </si>
  <si>
    <t>23-08-2022 07:15</t>
  </si>
  <si>
    <t>23-08-2022 07:30</t>
  </si>
  <si>
    <t>23-08-2022 07:45</t>
  </si>
  <si>
    <t>23-08-2022 08:00</t>
  </si>
  <si>
    <t>23-08-2022 08:15</t>
  </si>
  <si>
    <t>23-08-2022 08:30</t>
  </si>
  <si>
    <t>23-08-2022 08:45</t>
  </si>
  <si>
    <t>23-08-2022 09:00</t>
  </si>
  <si>
    <t>23-08-2022 09:15</t>
  </si>
  <si>
    <t>23-08-2022 09:30</t>
  </si>
  <si>
    <t>23-08-2022 09:45</t>
  </si>
  <si>
    <t>23-08-2022 10:00</t>
  </si>
  <si>
    <t>23-08-2022 10:15</t>
  </si>
  <si>
    <t>23-08-2022 10:30</t>
  </si>
  <si>
    <t>23-08-2022 10:45</t>
  </si>
  <si>
    <t>23-08-2022 11:00</t>
  </si>
  <si>
    <t>23-08-2022 11:15</t>
  </si>
  <si>
    <t>23-08-2022 11:30</t>
  </si>
  <si>
    <t>23-08-2022 11:45</t>
  </si>
  <si>
    <t>23-08-2022 12:00</t>
  </si>
  <si>
    <t>23-08-2022 12:15</t>
  </si>
  <si>
    <t>23-08-2022 12:30</t>
  </si>
  <si>
    <t>23-08-2022 12:45</t>
  </si>
  <si>
    <t>23-08-2022 13:00</t>
  </si>
  <si>
    <t>23-08-2022 13:15</t>
  </si>
  <si>
    <t>23-08-2022 13:30</t>
  </si>
  <si>
    <t>23-08-2022 13:45</t>
  </si>
  <si>
    <t>23-08-2022 14:00</t>
  </si>
  <si>
    <t>23-08-2022 14:15</t>
  </si>
  <si>
    <t>23-08-2022 14:30</t>
  </si>
  <si>
    <t>23-08-2022 14:45</t>
  </si>
  <si>
    <t>23-08-2022 15:00</t>
  </si>
  <si>
    <t>23-08-2022 15:15</t>
  </si>
  <si>
    <t>23-08-2022 15:30</t>
  </si>
  <si>
    <t>23-08-2022 15:45</t>
  </si>
  <si>
    <t>23-08-2022 16:00</t>
  </si>
  <si>
    <t>23-08-2022 16:15</t>
  </si>
  <si>
    <t>23-08-2022 16:30</t>
  </si>
  <si>
    <t>23-08-2022 16:45</t>
  </si>
  <si>
    <t>23-08-2022 17:00</t>
  </si>
  <si>
    <t>23-08-2022 17:15</t>
  </si>
  <si>
    <t>23-08-2022 17:30</t>
  </si>
  <si>
    <t>23-08-2022 17:45</t>
  </si>
  <si>
    <t>23-08-2022 18:00</t>
  </si>
  <si>
    <t>23-08-2022 18:15</t>
  </si>
  <si>
    <t>23-08-2022 18:30</t>
  </si>
  <si>
    <t>23-08-2022 18:45</t>
  </si>
  <si>
    <t>23-08-2022 19:00</t>
  </si>
  <si>
    <t>23-08-2022 19:15</t>
  </si>
  <si>
    <t>23-08-2022 19:30</t>
  </si>
  <si>
    <t>23-08-2022 19:45</t>
  </si>
  <si>
    <t>23-08-2022 20:00</t>
  </si>
  <si>
    <t>23-08-2022 20:15</t>
  </si>
  <si>
    <t>23-08-2022 20:30</t>
  </si>
  <si>
    <t>23-08-2022 20:45</t>
  </si>
  <si>
    <t>23-08-2022 21:00</t>
  </si>
  <si>
    <t>23-08-2022 21:15</t>
  </si>
  <si>
    <t>23-08-2022 21:30</t>
  </si>
  <si>
    <t>23-08-2022 21:45</t>
  </si>
  <si>
    <t>23-08-2022 22:00</t>
  </si>
  <si>
    <t>23-08-2022 22:15</t>
  </si>
  <si>
    <t>23-08-2022 22:30</t>
  </si>
  <si>
    <t>23-08-2022 22:45</t>
  </si>
  <si>
    <t>23-08-2022 23:00</t>
  </si>
  <si>
    <t>23-08-2022 23:15</t>
  </si>
  <si>
    <t>23-08-2022 23:30</t>
  </si>
  <si>
    <t>23-08-2022 23:45</t>
  </si>
  <si>
    <t>23-08-2022 24:00</t>
  </si>
  <si>
    <t>24-08-2022 00:15</t>
  </si>
  <si>
    <t>24-08-2022 00:30</t>
  </si>
  <si>
    <t>24-08-2022 00:45</t>
  </si>
  <si>
    <t>24-08-2022 01:00</t>
  </si>
  <si>
    <t>24-08-2022 01:15</t>
  </si>
  <si>
    <t>24-08-2022 01:30</t>
  </si>
  <si>
    <t>24-08-2022 01:45</t>
  </si>
  <si>
    <t>24-08-2022 02:00</t>
  </si>
  <si>
    <t>24-08-2022 02:15</t>
  </si>
  <si>
    <t>24-08-2022 02:30</t>
  </si>
  <si>
    <t>24-08-2022 02:45</t>
  </si>
  <si>
    <t>24-08-2022 03:00</t>
  </si>
  <si>
    <t>24-08-2022 03:15</t>
  </si>
  <si>
    <t>24-08-2022 03:30</t>
  </si>
  <si>
    <t>24-08-2022 03:45</t>
  </si>
  <si>
    <t>24-08-2022 04:00</t>
  </si>
  <si>
    <t>24-08-2022 04:15</t>
  </si>
  <si>
    <t>24-08-2022 04:30</t>
  </si>
  <si>
    <t>24-08-2022 04:45</t>
  </si>
  <si>
    <t>24-08-2022 05:00</t>
  </si>
  <si>
    <t>24-08-2022 05:15</t>
  </si>
  <si>
    <t>24-08-2022 05:30</t>
  </si>
  <si>
    <t>24-08-2022 05:45</t>
  </si>
  <si>
    <t>24-08-2022 06:00</t>
  </si>
  <si>
    <t>24-08-2022 06:15</t>
  </si>
  <si>
    <t>24-08-2022 06:30</t>
  </si>
  <si>
    <t>24-08-2022 06:45</t>
  </si>
  <si>
    <t>24-08-2022 07:00</t>
  </si>
  <si>
    <t>24-08-2022 07:15</t>
  </si>
  <si>
    <t>24-08-2022 07:30</t>
  </si>
  <si>
    <t>24-08-2022 07:45</t>
  </si>
  <si>
    <t>24-08-2022 08:00</t>
  </si>
  <si>
    <t>24-08-2022 08:15</t>
  </si>
  <si>
    <t>24-08-2022 08:30</t>
  </si>
  <si>
    <t>24-08-2022 08:45</t>
  </si>
  <si>
    <t>24-08-2022 09:00</t>
  </si>
  <si>
    <t>24-08-2022 09:15</t>
  </si>
  <si>
    <t>24-08-2022 09:30</t>
  </si>
  <si>
    <t>24-08-2022 09:45</t>
  </si>
  <si>
    <t>24-08-2022 10:00</t>
  </si>
  <si>
    <t>24-08-2022 10:15</t>
  </si>
  <si>
    <t>24-08-2022 10:30</t>
  </si>
  <si>
    <t>24-08-2022 10:45</t>
  </si>
  <si>
    <t>24-08-2022 11:00</t>
  </si>
  <si>
    <t>24-08-2022 11:15</t>
  </si>
  <si>
    <t>24-08-2022 11:30</t>
  </si>
  <si>
    <t>24-08-2022 11:45</t>
  </si>
  <si>
    <t>24-08-2022 12:00</t>
  </si>
  <si>
    <t>24-08-2022 12:15</t>
  </si>
  <si>
    <t>24-08-2022 12:30</t>
  </si>
  <si>
    <t>24-08-2022 12:45</t>
  </si>
  <si>
    <t>24-08-2022 13:00</t>
  </si>
  <si>
    <t>24-08-2022 13:15</t>
  </si>
  <si>
    <t>24-08-2022 13:30</t>
  </si>
  <si>
    <t>24-08-2022 13:45</t>
  </si>
  <si>
    <t>24-08-2022 14:00</t>
  </si>
  <si>
    <t>24-08-2022 14:15</t>
  </si>
  <si>
    <t>24-08-2022 14:30</t>
  </si>
  <si>
    <t>24-08-2022 14:45</t>
  </si>
  <si>
    <t>24-08-2022 15:00</t>
  </si>
  <si>
    <t>24-08-2022 15:15</t>
  </si>
  <si>
    <t>24-08-2022 15:30</t>
  </si>
  <si>
    <t>24-08-2022 15:45</t>
  </si>
  <si>
    <t>24-08-2022 16:00</t>
  </si>
  <si>
    <t>24-08-2022 16:15</t>
  </si>
  <si>
    <t>24-08-2022 16:30</t>
  </si>
  <si>
    <t>24-08-2022 16:45</t>
  </si>
  <si>
    <t>24-08-2022 17:00</t>
  </si>
  <si>
    <t>24-08-2022 17:15</t>
  </si>
  <si>
    <t>24-08-2022 17:30</t>
  </si>
  <si>
    <t>24-08-2022 17:45</t>
  </si>
  <si>
    <t>24-08-2022 18:00</t>
  </si>
  <si>
    <t>24-08-2022 18:15</t>
  </si>
  <si>
    <t>24-08-2022 18:30</t>
  </si>
  <si>
    <t>24-08-2022 18:45</t>
  </si>
  <si>
    <t>24-08-2022 19:00</t>
  </si>
  <si>
    <t>24-08-2022 19:15</t>
  </si>
  <si>
    <t>24-08-2022 19:30</t>
  </si>
  <si>
    <t>24-08-2022 19:45</t>
  </si>
  <si>
    <t>24-08-2022 20:00</t>
  </si>
  <si>
    <t>24-08-2022 20:15</t>
  </si>
  <si>
    <t>24-08-2022 20:30</t>
  </si>
  <si>
    <t>24-08-2022 20:45</t>
  </si>
  <si>
    <t>24-08-2022 21:00</t>
  </si>
  <si>
    <t>24-08-2022 21:15</t>
  </si>
  <si>
    <t>24-08-2022 21:30</t>
  </si>
  <si>
    <t>24-08-2022 21:45</t>
  </si>
  <si>
    <t>24-08-2022 22:00</t>
  </si>
  <si>
    <t>24-08-2022 22:15</t>
  </si>
  <si>
    <t>24-08-2022 22:30</t>
  </si>
  <si>
    <t>24-08-2022 22:45</t>
  </si>
  <si>
    <t>24-08-2022 23:00</t>
  </si>
  <si>
    <t>24-08-2022 23:15</t>
  </si>
  <si>
    <t>24-08-2022 23:30</t>
  </si>
  <si>
    <t>24-08-2022 23:45</t>
  </si>
  <si>
    <t>24-08-2022 24:00</t>
  </si>
  <si>
    <t>25-08-2022 00:15</t>
  </si>
  <si>
    <t>25-08-2022 00:30</t>
  </si>
  <si>
    <t>25-08-2022 00:45</t>
  </si>
  <si>
    <t>25-08-2022 01:00</t>
  </si>
  <si>
    <t>25-08-2022 01:15</t>
  </si>
  <si>
    <t>25-08-2022 01:30</t>
  </si>
  <si>
    <t>25-08-2022 01:45</t>
  </si>
  <si>
    <t>25-08-2022 02:00</t>
  </si>
  <si>
    <t>25-08-2022 02:15</t>
  </si>
  <si>
    <t>25-08-2022 02:30</t>
  </si>
  <si>
    <t>25-08-2022 02:45</t>
  </si>
  <si>
    <t>25-08-2022 03:00</t>
  </si>
  <si>
    <t>25-08-2022 03:15</t>
  </si>
  <si>
    <t>25-08-2022 03:30</t>
  </si>
  <si>
    <t>25-08-2022 03:45</t>
  </si>
  <si>
    <t>25-08-2022 04:00</t>
  </si>
  <si>
    <t>25-08-2022 04:15</t>
  </si>
  <si>
    <t>25-08-2022 04:30</t>
  </si>
  <si>
    <t>25-08-2022 04:45</t>
  </si>
  <si>
    <t>25-08-2022 05:00</t>
  </si>
  <si>
    <t>25-08-2022 05:15</t>
  </si>
  <si>
    <t>25-08-2022 05:30</t>
  </si>
  <si>
    <t>25-08-2022 05:45</t>
  </si>
  <si>
    <t>25-08-2022 06:00</t>
  </si>
  <si>
    <t>25-08-2022 06:15</t>
  </si>
  <si>
    <t>25-08-2022 06:30</t>
  </si>
  <si>
    <t>25-08-2022 06:45</t>
  </si>
  <si>
    <t>25-08-2022 07:00</t>
  </si>
  <si>
    <t>25-08-2022 07:15</t>
  </si>
  <si>
    <t>25-08-2022 07:30</t>
  </si>
  <si>
    <t>25-08-2022 07:45</t>
  </si>
  <si>
    <t>25-08-2022 08:00</t>
  </si>
  <si>
    <t>25-08-2022 08:15</t>
  </si>
  <si>
    <t>25-08-2022 08:30</t>
  </si>
  <si>
    <t>25-08-2022 08:45</t>
  </si>
  <si>
    <t>25-08-2022 09:00</t>
  </si>
  <si>
    <t>25-08-2022 09:15</t>
  </si>
  <si>
    <t>25-08-2022 09:30</t>
  </si>
  <si>
    <t>25-08-2022 09:45</t>
  </si>
  <si>
    <t>25-08-2022 10:00</t>
  </si>
  <si>
    <t>25-08-2022 10:15</t>
  </si>
  <si>
    <t>25-08-2022 10:30</t>
  </si>
  <si>
    <t>25-08-2022 10:45</t>
  </si>
  <si>
    <t>25-08-2022 11:00</t>
  </si>
  <si>
    <t>25-08-2022 11:15</t>
  </si>
  <si>
    <t>25-08-2022 11:30</t>
  </si>
  <si>
    <t>25-08-2022 11:45</t>
  </si>
  <si>
    <t>25-08-2022 12:00</t>
  </si>
  <si>
    <t>25-08-2022 12:15</t>
  </si>
  <si>
    <t>25-08-2022 12:30</t>
  </si>
  <si>
    <t>25-08-2022 12:45</t>
  </si>
  <si>
    <t>25-08-2022 13:00</t>
  </si>
  <si>
    <t>25-08-2022 13:15</t>
  </si>
  <si>
    <t>25-08-2022 13:30</t>
  </si>
  <si>
    <t>25-08-2022 13:45</t>
  </si>
  <si>
    <t>25-08-2022 14:00</t>
  </si>
  <si>
    <t>25-08-2022 14:15</t>
  </si>
  <si>
    <t>25-08-2022 14:30</t>
  </si>
  <si>
    <t>25-08-2022 14:45</t>
  </si>
  <si>
    <t>25-08-2022 15:00</t>
  </si>
  <si>
    <t>25-08-2022 15:15</t>
  </si>
  <si>
    <t>25-08-2022 15:30</t>
  </si>
  <si>
    <t>25-08-2022 15:45</t>
  </si>
  <si>
    <t>25-08-2022 16:00</t>
  </si>
  <si>
    <t>25-08-2022 16:15</t>
  </si>
  <si>
    <t>25-08-2022 16:30</t>
  </si>
  <si>
    <t>25-08-2022 16:45</t>
  </si>
  <si>
    <t>25-08-2022 17:00</t>
  </si>
  <si>
    <t>25-08-2022 17:15</t>
  </si>
  <si>
    <t>25-08-2022 17:30</t>
  </si>
  <si>
    <t>25-08-2022 17:45</t>
  </si>
  <si>
    <t>25-08-2022 18:00</t>
  </si>
  <si>
    <t>25-08-2022 18:15</t>
  </si>
  <si>
    <t>25-08-2022 18:30</t>
  </si>
  <si>
    <t>25-08-2022 18:45</t>
  </si>
  <si>
    <t>25-08-2022 19:00</t>
  </si>
  <si>
    <t>25-08-2022 19:15</t>
  </si>
  <si>
    <t>25-08-2022 19:30</t>
  </si>
  <si>
    <t>25-08-2022 19:45</t>
  </si>
  <si>
    <t>25-08-2022 20:00</t>
  </si>
  <si>
    <t>25-08-2022 20:15</t>
  </si>
  <si>
    <t>25-08-2022 20:30</t>
  </si>
  <si>
    <t>25-08-2022 20:45</t>
  </si>
  <si>
    <t>25-08-2022 21:00</t>
  </si>
  <si>
    <t>25-08-2022 21:15</t>
  </si>
  <si>
    <t>25-08-2022 21:30</t>
  </si>
  <si>
    <t>25-08-2022 21:45</t>
  </si>
  <si>
    <t>25-08-2022 22:00</t>
  </si>
  <si>
    <t>25-08-2022 22:15</t>
  </si>
  <si>
    <t>25-08-2022 22:30</t>
  </si>
  <si>
    <t>25-08-2022 22:45</t>
  </si>
  <si>
    <t>25-08-2022 23:00</t>
  </si>
  <si>
    <t>25-08-2022 23:15</t>
  </si>
  <si>
    <t>25-08-2022 23:30</t>
  </si>
  <si>
    <t>25-08-2022 23:45</t>
  </si>
  <si>
    <t>25-08-2022 24:00</t>
  </si>
  <si>
    <t>26-08-2022 00:15</t>
  </si>
  <si>
    <t>26-08-2022 00:30</t>
  </si>
  <si>
    <t>26-08-2022 00:45</t>
  </si>
  <si>
    <t>26-08-2022 01:00</t>
  </si>
  <si>
    <t>26-08-2022 01:15</t>
  </si>
  <si>
    <t>26-08-2022 01:30</t>
  </si>
  <si>
    <t>26-08-2022 01:45</t>
  </si>
  <si>
    <t>26-08-2022 02:00</t>
  </si>
  <si>
    <t>26-08-2022 02:15</t>
  </si>
  <si>
    <t>26-08-2022 02:30</t>
  </si>
  <si>
    <t>26-08-2022 02:45</t>
  </si>
  <si>
    <t>26-08-2022 03:00</t>
  </si>
  <si>
    <t>26-08-2022 03:15</t>
  </si>
  <si>
    <t>26-08-2022 03:30</t>
  </si>
  <si>
    <t>26-08-2022 03:45</t>
  </si>
  <si>
    <t>26-08-2022 04:00</t>
  </si>
  <si>
    <t>26-08-2022 04:15</t>
  </si>
  <si>
    <t>26-08-2022 04:30</t>
  </si>
  <si>
    <t>26-08-2022 04:45</t>
  </si>
  <si>
    <t>26-08-2022 05:00</t>
  </si>
  <si>
    <t>26-08-2022 05:15</t>
  </si>
  <si>
    <t>26-08-2022 05:30</t>
  </si>
  <si>
    <t>26-08-2022 05:45</t>
  </si>
  <si>
    <t>26-08-2022 06:00</t>
  </si>
  <si>
    <t>26-08-2022 06:15</t>
  </si>
  <si>
    <t>26-08-2022 06:30</t>
  </si>
  <si>
    <t>26-08-2022 06:45</t>
  </si>
  <si>
    <t>26-08-2022 07:00</t>
  </si>
  <si>
    <t>26-08-2022 07:15</t>
  </si>
  <si>
    <t>26-08-2022 07:30</t>
  </si>
  <si>
    <t>26-08-2022 07:45</t>
  </si>
  <si>
    <t>26-08-2022 08:00</t>
  </si>
  <si>
    <t>26-08-2022 08:15</t>
  </si>
  <si>
    <t>26-08-2022 08:30</t>
  </si>
  <si>
    <t>26-08-2022 08:45</t>
  </si>
  <si>
    <t>26-08-2022 09:00</t>
  </si>
  <si>
    <t>26-08-2022 09:15</t>
  </si>
  <si>
    <t>26-08-2022 09:30</t>
  </si>
  <si>
    <t>26-08-2022 09:45</t>
  </si>
  <si>
    <t>26-08-2022 10:00</t>
  </si>
  <si>
    <t>26-08-2022 10:15</t>
  </si>
  <si>
    <t>26-08-2022 10:30</t>
  </si>
  <si>
    <t>26-08-2022 10:45</t>
  </si>
  <si>
    <t>26-08-2022 11:00</t>
  </si>
  <si>
    <t>26-08-2022 11:15</t>
  </si>
  <si>
    <t>26-08-2022 11:30</t>
  </si>
  <si>
    <t>26-08-2022 11:45</t>
  </si>
  <si>
    <t>26-08-2022 12:00</t>
  </si>
  <si>
    <t>26-08-2022 12:15</t>
  </si>
  <si>
    <t>26-08-2022 12:30</t>
  </si>
  <si>
    <t>26-08-2022 12:45</t>
  </si>
  <si>
    <t>26-08-2022 13:00</t>
  </si>
  <si>
    <t>26-08-2022 13:15</t>
  </si>
  <si>
    <t>26-08-2022 13:30</t>
  </si>
  <si>
    <t>26-08-2022 13:45</t>
  </si>
  <si>
    <t>26-08-2022 14:00</t>
  </si>
  <si>
    <t>26-08-2022 14:15</t>
  </si>
  <si>
    <t>26-08-2022 14:30</t>
  </si>
  <si>
    <t>26-08-2022 14:45</t>
  </si>
  <si>
    <t>26-08-2022 15:00</t>
  </si>
  <si>
    <t>26-08-2022 15:15</t>
  </si>
  <si>
    <t>26-08-2022 15:30</t>
  </si>
  <si>
    <t>26-08-2022 15:45</t>
  </si>
  <si>
    <t>26-08-2022 16:00</t>
  </si>
  <si>
    <t>26-08-2022 16:15</t>
  </si>
  <si>
    <t>26-08-2022 16:30</t>
  </si>
  <si>
    <t>26-08-2022 16:45</t>
  </si>
  <si>
    <t>26-08-2022 17:00</t>
  </si>
  <si>
    <t>26-08-2022 17:15</t>
  </si>
  <si>
    <t>26-08-2022 17:30</t>
  </si>
  <si>
    <t>26-08-2022 17:45</t>
  </si>
  <si>
    <t>26-08-2022 18:00</t>
  </si>
  <si>
    <t>26-08-2022 18:15</t>
  </si>
  <si>
    <t>26-08-2022 18:30</t>
  </si>
  <si>
    <t>26-08-2022 18:45</t>
  </si>
  <si>
    <t>26-08-2022 19:00</t>
  </si>
  <si>
    <t>26-08-2022 19:15</t>
  </si>
  <si>
    <t>26-08-2022 19:30</t>
  </si>
  <si>
    <t>26-08-2022 19:45</t>
  </si>
  <si>
    <t>26-08-2022 20:00</t>
  </si>
  <si>
    <t>26-08-2022 20:15</t>
  </si>
  <si>
    <t>26-08-2022 20:30</t>
  </si>
  <si>
    <t>26-08-2022 20:45</t>
  </si>
  <si>
    <t>26-08-2022 21:00</t>
  </si>
  <si>
    <t>26-08-2022 21:15</t>
  </si>
  <si>
    <t>26-08-2022 21:30</t>
  </si>
  <si>
    <t>26-08-2022 21:45</t>
  </si>
  <si>
    <t>26-08-2022 22:00</t>
  </si>
  <si>
    <t>26-08-2022 22:15</t>
  </si>
  <si>
    <t>26-08-2022 22:30</t>
  </si>
  <si>
    <t>26-08-2022 22:45</t>
  </si>
  <si>
    <t>26-08-2022 23:00</t>
  </si>
  <si>
    <t>26-08-2022 23:15</t>
  </si>
  <si>
    <t>26-08-2022 23:30</t>
  </si>
  <si>
    <t>26-08-2022 23:45</t>
  </si>
  <si>
    <t>26-08-2022 24:00</t>
  </si>
  <si>
    <t>27-08-2022 00:15</t>
  </si>
  <si>
    <t>27-08-2022 00:30</t>
  </si>
  <si>
    <t>27-08-2022 00:45</t>
  </si>
  <si>
    <t>27-08-2022 01:00</t>
  </si>
  <si>
    <t>27-08-2022 01:15</t>
  </si>
  <si>
    <t>27-08-2022 01:30</t>
  </si>
  <si>
    <t>27-08-2022 01:45</t>
  </si>
  <si>
    <t>27-08-2022 02:00</t>
  </si>
  <si>
    <t>27-08-2022 02:15</t>
  </si>
  <si>
    <t>27-08-2022 02:30</t>
  </si>
  <si>
    <t>27-08-2022 02:45</t>
  </si>
  <si>
    <t>27-08-2022 03:00</t>
  </si>
  <si>
    <t>27-08-2022 03:15</t>
  </si>
  <si>
    <t>27-08-2022 03:30</t>
  </si>
  <si>
    <t>27-08-2022 03:45</t>
  </si>
  <si>
    <t>27-08-2022 04:00</t>
  </si>
  <si>
    <t>27-08-2022 04:15</t>
  </si>
  <si>
    <t>27-08-2022 04:30</t>
  </si>
  <si>
    <t>27-08-2022 04:45</t>
  </si>
  <si>
    <t>27-08-2022 05:00</t>
  </si>
  <si>
    <t>27-08-2022 05:15</t>
  </si>
  <si>
    <t>27-08-2022 05:30</t>
  </si>
  <si>
    <t>27-08-2022 05:45</t>
  </si>
  <si>
    <t>27-08-2022 06:00</t>
  </si>
  <si>
    <t>27-08-2022 06:15</t>
  </si>
  <si>
    <t>27-08-2022 06:30</t>
  </si>
  <si>
    <t>27-08-2022 06:45</t>
  </si>
  <si>
    <t>27-08-2022 07:00</t>
  </si>
  <si>
    <t>27-08-2022 07:15</t>
  </si>
  <si>
    <t>27-08-2022 07:30</t>
  </si>
  <si>
    <t>27-08-2022 07:45</t>
  </si>
  <si>
    <t>27-08-2022 08:00</t>
  </si>
  <si>
    <t>27-08-2022 08:15</t>
  </si>
  <si>
    <t>27-08-2022 08:30</t>
  </si>
  <si>
    <t>27-08-2022 08:45</t>
  </si>
  <si>
    <t>27-08-2022 09:00</t>
  </si>
  <si>
    <t>27-08-2022 09:15</t>
  </si>
  <si>
    <t>27-08-2022 09:30</t>
  </si>
  <si>
    <t>27-08-2022 09:45</t>
  </si>
  <si>
    <t>27-08-2022 10:00</t>
  </si>
  <si>
    <t>27-08-2022 10:15</t>
  </si>
  <si>
    <t>27-08-2022 10:30</t>
  </si>
  <si>
    <t>27-08-2022 10:45</t>
  </si>
  <si>
    <t>27-08-2022 11:00</t>
  </si>
  <si>
    <t>27-08-2022 11:15</t>
  </si>
  <si>
    <t>27-08-2022 11:30</t>
  </si>
  <si>
    <t>27-08-2022 11:45</t>
  </si>
  <si>
    <t>27-08-2022 12:00</t>
  </si>
  <si>
    <t>27-08-2022 12:15</t>
  </si>
  <si>
    <t>27-08-2022 12:30</t>
  </si>
  <si>
    <t>27-08-2022 12:45</t>
  </si>
  <si>
    <t>27-08-2022 13:00</t>
  </si>
  <si>
    <t>27-08-2022 13:15</t>
  </si>
  <si>
    <t>27-08-2022 13:30</t>
  </si>
  <si>
    <t>27-08-2022 13:45</t>
  </si>
  <si>
    <t>27-08-2022 14:00</t>
  </si>
  <si>
    <t>27-08-2022 14:15</t>
  </si>
  <si>
    <t>27-08-2022 14:30</t>
  </si>
  <si>
    <t>27-08-2022 14:45</t>
  </si>
  <si>
    <t>27-08-2022 15:00</t>
  </si>
  <si>
    <t>27-08-2022 15:15</t>
  </si>
  <si>
    <t>27-08-2022 15:30</t>
  </si>
  <si>
    <t>27-08-2022 15:45</t>
  </si>
  <si>
    <t>27-08-2022 16:00</t>
  </si>
  <si>
    <t>27-08-2022 16:15</t>
  </si>
  <si>
    <t>27-08-2022 16:30</t>
  </si>
  <si>
    <t>27-08-2022 16:45</t>
  </si>
  <si>
    <t>27-08-2022 17:00</t>
  </si>
  <si>
    <t>27-08-2022 17:15</t>
  </si>
  <si>
    <t>27-08-2022 17:30</t>
  </si>
  <si>
    <t>27-08-2022 17:45</t>
  </si>
  <si>
    <t>27-08-2022 18:00</t>
  </si>
  <si>
    <t>27-08-2022 18:15</t>
  </si>
  <si>
    <t>27-08-2022 18:30</t>
  </si>
  <si>
    <t>27-08-2022 18:45</t>
  </si>
  <si>
    <t>27-08-2022 19:00</t>
  </si>
  <si>
    <t>27-08-2022 19:15</t>
  </si>
  <si>
    <t>27-08-2022 19:30</t>
  </si>
  <si>
    <t>27-08-2022 19:45</t>
  </si>
  <si>
    <t>27-08-2022 20:00</t>
  </si>
  <si>
    <t>27-08-2022 20:15</t>
  </si>
  <si>
    <t>27-08-2022 20:30</t>
  </si>
  <si>
    <t>27-08-2022 20:45</t>
  </si>
  <si>
    <t>27-08-2022 21:00</t>
  </si>
  <si>
    <t>27-08-2022 21:15</t>
  </si>
  <si>
    <t>27-08-2022 21:30</t>
  </si>
  <si>
    <t>27-08-2022 21:45</t>
  </si>
  <si>
    <t>27-08-2022 22:00</t>
  </si>
  <si>
    <t>27-08-2022 22:15</t>
  </si>
  <si>
    <t>27-08-2022 22:30</t>
  </si>
  <si>
    <t>27-08-2022 22:45</t>
  </si>
  <si>
    <t>27-08-2022 23:00</t>
  </si>
  <si>
    <t>27-08-2022 23:15</t>
  </si>
  <si>
    <t>27-08-2022 23:30</t>
  </si>
  <si>
    <t>27-08-2022 23:45</t>
  </si>
  <si>
    <t>27-08-2022 24:00</t>
  </si>
  <si>
    <t>28-08-2022 00:15</t>
  </si>
  <si>
    <t>28-08-2022 00:30</t>
  </si>
  <si>
    <t>28-08-2022 00:45</t>
  </si>
  <si>
    <t>28-08-2022 01:00</t>
  </si>
  <si>
    <t>28-08-2022 01:15</t>
  </si>
  <si>
    <t>28-08-2022 01:30</t>
  </si>
  <si>
    <t>28-08-2022 01:45</t>
  </si>
  <si>
    <t>28-08-2022 02:00</t>
  </si>
  <si>
    <t>28-08-2022 02:15</t>
  </si>
  <si>
    <t>28-08-2022 02:30</t>
  </si>
  <si>
    <t>28-08-2022 02:45</t>
  </si>
  <si>
    <t>28-08-2022 03:00</t>
  </si>
  <si>
    <t>28-08-2022 03:15</t>
  </si>
  <si>
    <t>28-08-2022 03:30</t>
  </si>
  <si>
    <t>28-08-2022 03:45</t>
  </si>
  <si>
    <t>28-08-2022 04:00</t>
  </si>
  <si>
    <t>28-08-2022 04:15</t>
  </si>
  <si>
    <t>28-08-2022 04:30</t>
  </si>
  <si>
    <t>28-08-2022 04:45</t>
  </si>
  <si>
    <t>28-08-2022 05:00</t>
  </si>
  <si>
    <t>28-08-2022 05:15</t>
  </si>
  <si>
    <t>28-08-2022 05:30</t>
  </si>
  <si>
    <t>28-08-2022 05:45</t>
  </si>
  <si>
    <t>28-08-2022 06:00</t>
  </si>
  <si>
    <t>28-08-2022 06:15</t>
  </si>
  <si>
    <t>28-08-2022 06:30</t>
  </si>
  <si>
    <t>28-08-2022 06:45</t>
  </si>
  <si>
    <t>28-08-2022 07:00</t>
  </si>
  <si>
    <t>28-08-2022 07:15</t>
  </si>
  <si>
    <t>28-08-2022 07:30</t>
  </si>
  <si>
    <t>28-08-2022 07:45</t>
  </si>
  <si>
    <t>28-08-2022 08:00</t>
  </si>
  <si>
    <t>28-08-2022 08:15</t>
  </si>
  <si>
    <t>28-08-2022 08:30</t>
  </si>
  <si>
    <t>28-08-2022 08:45</t>
  </si>
  <si>
    <t>28-08-2022 09:00</t>
  </si>
  <si>
    <t>28-08-2022 09:15</t>
  </si>
  <si>
    <t>28-08-2022 09:30</t>
  </si>
  <si>
    <t>28-08-2022 09:45</t>
  </si>
  <si>
    <t>28-08-2022 10:00</t>
  </si>
  <si>
    <t>28-08-2022 10:15</t>
  </si>
  <si>
    <t>28-08-2022 10:30</t>
  </si>
  <si>
    <t>28-08-2022 10:45</t>
  </si>
  <si>
    <t>28-08-2022 11:00</t>
  </si>
  <si>
    <t>28-08-2022 11:15</t>
  </si>
  <si>
    <t>28-08-2022 11:30</t>
  </si>
  <si>
    <t>28-08-2022 11:45</t>
  </si>
  <si>
    <t>28-08-2022 12:00</t>
  </si>
  <si>
    <t>28-08-2022 12:15</t>
  </si>
  <si>
    <t>28-08-2022 12:30</t>
  </si>
  <si>
    <t>28-08-2022 12:45</t>
  </si>
  <si>
    <t>28-08-2022 13:00</t>
  </si>
  <si>
    <t>28-08-2022 13:15</t>
  </si>
  <si>
    <t>28-08-2022 13:30</t>
  </si>
  <si>
    <t>28-08-2022 13:45</t>
  </si>
  <si>
    <t>28-08-2022 14:00</t>
  </si>
  <si>
    <t>28-08-2022 14:15</t>
  </si>
  <si>
    <t>28-08-2022 14:30</t>
  </si>
  <si>
    <t>28-08-2022 14:45</t>
  </si>
  <si>
    <t>28-08-2022 15:00</t>
  </si>
  <si>
    <t>28-08-2022 15:15</t>
  </si>
  <si>
    <t>28-08-2022 15:30</t>
  </si>
  <si>
    <t>28-08-2022 15:45</t>
  </si>
  <si>
    <t>28-08-2022 16:00</t>
  </si>
  <si>
    <t>28-08-2022 16:15</t>
  </si>
  <si>
    <t>28-08-2022 16:30</t>
  </si>
  <si>
    <t>28-08-2022 16:45</t>
  </si>
  <si>
    <t>28-08-2022 17:00</t>
  </si>
  <si>
    <t>28-08-2022 17:15</t>
  </si>
  <si>
    <t>28-08-2022 17:30</t>
  </si>
  <si>
    <t>28-08-2022 17:45</t>
  </si>
  <si>
    <t>28-08-2022 18:00</t>
  </si>
  <si>
    <t>28-08-2022 18:15</t>
  </si>
  <si>
    <t>28-08-2022 18:30</t>
  </si>
  <si>
    <t>28-08-2022 18:45</t>
  </si>
  <si>
    <t>28-08-2022 19:00</t>
  </si>
  <si>
    <t>28-08-2022 19:15</t>
  </si>
  <si>
    <t>28-08-2022 19:30</t>
  </si>
  <si>
    <t>28-08-2022 19:45</t>
  </si>
  <si>
    <t>28-08-2022 20:00</t>
  </si>
  <si>
    <t>28-08-2022 20:15</t>
  </si>
  <si>
    <t>28-08-2022 20:30</t>
  </si>
  <si>
    <t>28-08-2022 20:45</t>
  </si>
  <si>
    <t>28-08-2022 21:00</t>
  </si>
  <si>
    <t>28-08-2022 21:15</t>
  </si>
  <si>
    <t>28-08-2022 21:30</t>
  </si>
  <si>
    <t>28-08-2022 21:45</t>
  </si>
  <si>
    <t>28-08-2022 22:00</t>
  </si>
  <si>
    <t>28-08-2022 22:15</t>
  </si>
  <si>
    <t>28-08-2022 22:30</t>
  </si>
  <si>
    <t>28-08-2022 22:45</t>
  </si>
  <si>
    <t>28-08-2022 23:00</t>
  </si>
  <si>
    <t>28-08-2022 23:15</t>
  </si>
  <si>
    <t>28-08-2022 23:30</t>
  </si>
  <si>
    <t>28-08-2022 23:45</t>
  </si>
  <si>
    <t>28-08-2022 24:00</t>
  </si>
  <si>
    <t>29-08-2022 00:15</t>
  </si>
  <si>
    <t>29-08-2022 00:30</t>
  </si>
  <si>
    <t>29-08-2022 00:45</t>
  </si>
  <si>
    <t>29-08-2022 01:00</t>
  </si>
  <si>
    <t>29-08-2022 01:15</t>
  </si>
  <si>
    <t>29-08-2022 01:30</t>
  </si>
  <si>
    <t>29-08-2022 01:45</t>
  </si>
  <si>
    <t>29-08-2022 02:00</t>
  </si>
  <si>
    <t>29-08-2022 02:15</t>
  </si>
  <si>
    <t>29-08-2022 02:30</t>
  </si>
  <si>
    <t>29-08-2022 02:45</t>
  </si>
  <si>
    <t>29-08-2022 03:00</t>
  </si>
  <si>
    <t>29-08-2022 03:15</t>
  </si>
  <si>
    <t>29-08-2022 03:30</t>
  </si>
  <si>
    <t>29-08-2022 03:45</t>
  </si>
  <si>
    <t>29-08-2022 04:00</t>
  </si>
  <si>
    <t>29-08-2022 04:15</t>
  </si>
  <si>
    <t>29-08-2022 04:30</t>
  </si>
  <si>
    <t>29-08-2022 04:45</t>
  </si>
  <si>
    <t>29-08-2022 05:00</t>
  </si>
  <si>
    <t>29-08-2022 05:15</t>
  </si>
  <si>
    <t>29-08-2022 05:30</t>
  </si>
  <si>
    <t>29-08-2022 05:45</t>
  </si>
  <si>
    <t>29-08-2022 06:00</t>
  </si>
  <si>
    <t>29-08-2022 06:15</t>
  </si>
  <si>
    <t>29-08-2022 06:30</t>
  </si>
  <si>
    <t>29-08-2022 06:45</t>
  </si>
  <si>
    <t>29-08-2022 07:00</t>
  </si>
  <si>
    <t>29-08-2022 07:15</t>
  </si>
  <si>
    <t>29-08-2022 07:30</t>
  </si>
  <si>
    <t>29-08-2022 07:45</t>
  </si>
  <si>
    <t>29-08-2022 08:00</t>
  </si>
  <si>
    <t>29-08-2022 08:15</t>
  </si>
  <si>
    <t>29-08-2022 08:30</t>
  </si>
  <si>
    <t>29-08-2022 08:45</t>
  </si>
  <si>
    <t>29-08-2022 09:00</t>
  </si>
  <si>
    <t>29-08-2022 09:15</t>
  </si>
  <si>
    <t>29-08-2022 09:30</t>
  </si>
  <si>
    <t>29-08-2022 09:45</t>
  </si>
  <si>
    <t>29-08-2022 10:00</t>
  </si>
  <si>
    <t>29-08-2022 10:15</t>
  </si>
  <si>
    <t>29-08-2022 10:30</t>
  </si>
  <si>
    <t>29-08-2022 10:45</t>
  </si>
  <si>
    <t>29-08-2022 11:00</t>
  </si>
  <si>
    <t>29-08-2022 11:15</t>
  </si>
  <si>
    <t>29-08-2022 11:30</t>
  </si>
  <si>
    <t>29-08-2022 11:45</t>
  </si>
  <si>
    <t>29-08-2022 12:00</t>
  </si>
  <si>
    <t>29-08-2022 12:15</t>
  </si>
  <si>
    <t>29-08-2022 12:30</t>
  </si>
  <si>
    <t>29-08-2022 12:45</t>
  </si>
  <si>
    <t>29-08-2022 13:00</t>
  </si>
  <si>
    <t>29-08-2022 13:15</t>
  </si>
  <si>
    <t>29-08-2022 13:30</t>
  </si>
  <si>
    <t>29-08-2022 13:45</t>
  </si>
  <si>
    <t>29-08-2022 14:00</t>
  </si>
  <si>
    <t>29-08-2022 14:15</t>
  </si>
  <si>
    <t>29-08-2022 14:30</t>
  </si>
  <si>
    <t>29-08-2022 14:45</t>
  </si>
  <si>
    <t>29-08-2022 15:00</t>
  </si>
  <si>
    <t>29-08-2022 15:15</t>
  </si>
  <si>
    <t>29-08-2022 15:30</t>
  </si>
  <si>
    <t>29-08-2022 15:45</t>
  </si>
  <si>
    <t>29-08-2022 16:00</t>
  </si>
  <si>
    <t>29-08-2022 16:15</t>
  </si>
  <si>
    <t>29-08-2022 16:30</t>
  </si>
  <si>
    <t>29-08-2022 16:45</t>
  </si>
  <si>
    <t>29-08-2022 17:00</t>
  </si>
  <si>
    <t>29-08-2022 17:15</t>
  </si>
  <si>
    <t>29-08-2022 17:30</t>
  </si>
  <si>
    <t>29-08-2022 17:45</t>
  </si>
  <si>
    <t>29-08-2022 18:00</t>
  </si>
  <si>
    <t>29-08-2022 18:15</t>
  </si>
  <si>
    <t>29-08-2022 18:30</t>
  </si>
  <si>
    <t>29-08-2022 18:45</t>
  </si>
  <si>
    <t>29-08-2022 19:00</t>
  </si>
  <si>
    <t>29-08-2022 19:15</t>
  </si>
  <si>
    <t>29-08-2022 19:30</t>
  </si>
  <si>
    <t>29-08-2022 19:45</t>
  </si>
  <si>
    <t>29-08-2022 20:00</t>
  </si>
  <si>
    <t>29-08-2022 20:15</t>
  </si>
  <si>
    <t>29-08-2022 20:30</t>
  </si>
  <si>
    <t>29-08-2022 20:45</t>
  </si>
  <si>
    <t>29-08-2022 21:00</t>
  </si>
  <si>
    <t>29-08-2022 21:15</t>
  </si>
  <si>
    <t>29-08-2022 21:30</t>
  </si>
  <si>
    <t>29-08-2022 21:45</t>
  </si>
  <si>
    <t>29-08-2022 22:00</t>
  </si>
  <si>
    <t>29-08-2022 22:15</t>
  </si>
  <si>
    <t>29-08-2022 22:30</t>
  </si>
  <si>
    <t>29-08-2022 22:45</t>
  </si>
  <si>
    <t>29-08-2022 23:00</t>
  </si>
  <si>
    <t>29-08-2022 23:15</t>
  </si>
  <si>
    <t>29-08-2022 23:30</t>
  </si>
  <si>
    <t>29-08-2022 23:45</t>
  </si>
  <si>
    <t>29-08-2022 24:00</t>
  </si>
  <si>
    <t>30-08-2022 00:15</t>
  </si>
  <si>
    <t>30-08-2022 00:30</t>
  </si>
  <si>
    <t>30-08-2022 00:45</t>
  </si>
  <si>
    <t>30-08-2022 01:00</t>
  </si>
  <si>
    <t>30-08-2022 01:15</t>
  </si>
  <si>
    <t>30-08-2022 01:30</t>
  </si>
  <si>
    <t>30-08-2022 01:45</t>
  </si>
  <si>
    <t>30-08-2022 02:00</t>
  </si>
  <si>
    <t>30-08-2022 02:15</t>
  </si>
  <si>
    <t>30-08-2022 02:30</t>
  </si>
  <si>
    <t>30-08-2022 02:45</t>
  </si>
  <si>
    <t>30-08-2022 03:00</t>
  </si>
  <si>
    <t>30-08-2022 03:15</t>
  </si>
  <si>
    <t>30-08-2022 03:30</t>
  </si>
  <si>
    <t>30-08-2022 03:45</t>
  </si>
  <si>
    <t>30-08-2022 04:00</t>
  </si>
  <si>
    <t>30-08-2022 04:15</t>
  </si>
  <si>
    <t>30-08-2022 04:30</t>
  </si>
  <si>
    <t>30-08-2022 04:45</t>
  </si>
  <si>
    <t>30-08-2022 05:00</t>
  </si>
  <si>
    <t>30-08-2022 05:15</t>
  </si>
  <si>
    <t>30-08-2022 05:30</t>
  </si>
  <si>
    <t>30-08-2022 05:45</t>
  </si>
  <si>
    <t>30-08-2022 06:00</t>
  </si>
  <si>
    <t>30-08-2022 06:15</t>
  </si>
  <si>
    <t>30-08-2022 06:30</t>
  </si>
  <si>
    <t>30-08-2022 06:45</t>
  </si>
  <si>
    <t>30-08-2022 07:00</t>
  </si>
  <si>
    <t>30-08-2022 07:15</t>
  </si>
  <si>
    <t>30-08-2022 07:30</t>
  </si>
  <si>
    <t>30-08-2022 07:45</t>
  </si>
  <si>
    <t>30-08-2022 08:00</t>
  </si>
  <si>
    <t>30-08-2022 08:15</t>
  </si>
  <si>
    <t>30-08-2022 08:30</t>
  </si>
  <si>
    <t>30-08-2022 08:45</t>
  </si>
  <si>
    <t>30-08-2022 09:00</t>
  </si>
  <si>
    <t>30-08-2022 09:15</t>
  </si>
  <si>
    <t>30-08-2022 09:30</t>
  </si>
  <si>
    <t>30-08-2022 09:45</t>
  </si>
  <si>
    <t>30-08-2022 10:00</t>
  </si>
  <si>
    <t>30-08-2022 10:15</t>
  </si>
  <si>
    <t>30-08-2022 10:30</t>
  </si>
  <si>
    <t>30-08-2022 10:45</t>
  </si>
  <si>
    <t>30-08-2022 11:00</t>
  </si>
  <si>
    <t>30-08-2022 11:15</t>
  </si>
  <si>
    <t>30-08-2022 11:30</t>
  </si>
  <si>
    <t>30-08-2022 11:45</t>
  </si>
  <si>
    <t>30-08-2022 12:00</t>
  </si>
  <si>
    <t>30-08-2022 12:15</t>
  </si>
  <si>
    <t>30-08-2022 12:30</t>
  </si>
  <si>
    <t>30-08-2022 12:45</t>
  </si>
  <si>
    <t>30-08-2022 13:00</t>
  </si>
  <si>
    <t>30-08-2022 13:15</t>
  </si>
  <si>
    <t>30-08-2022 13:30</t>
  </si>
  <si>
    <t>30-08-2022 13:45</t>
  </si>
  <si>
    <t>30-08-2022 14:00</t>
  </si>
  <si>
    <t>30-08-2022 14:15</t>
  </si>
  <si>
    <t>30-08-2022 14:30</t>
  </si>
  <si>
    <t>30-08-2022 14:45</t>
  </si>
  <si>
    <t>30-08-2022 15:00</t>
  </si>
  <si>
    <t>30-08-2022 15:15</t>
  </si>
  <si>
    <t>30-08-2022 15:30</t>
  </si>
  <si>
    <t>30-08-2022 15:45</t>
  </si>
  <si>
    <t>30-08-2022 16:00</t>
  </si>
  <si>
    <t>30-08-2022 16:15</t>
  </si>
  <si>
    <t>30-08-2022 16:30</t>
  </si>
  <si>
    <t>30-08-2022 16:45</t>
  </si>
  <si>
    <t>30-08-2022 17:00</t>
  </si>
  <si>
    <t>30-08-2022 17:15</t>
  </si>
  <si>
    <t>30-08-2022 17:30</t>
  </si>
  <si>
    <t>30-08-2022 17:45</t>
  </si>
  <si>
    <t>30-08-2022 18:00</t>
  </si>
  <si>
    <t>30-08-2022 18:15</t>
  </si>
  <si>
    <t>30-08-2022 18:30</t>
  </si>
  <si>
    <t>30-08-2022 18:45</t>
  </si>
  <si>
    <t>30-08-2022 19:00</t>
  </si>
  <si>
    <t>30-08-2022 19:15</t>
  </si>
  <si>
    <t>30-08-2022 19:30</t>
  </si>
  <si>
    <t>30-08-2022 19:45</t>
  </si>
  <si>
    <t>30-08-2022 20:00</t>
  </si>
  <si>
    <t>30-08-2022 20:15</t>
  </si>
  <si>
    <t>30-08-2022 20:30</t>
  </si>
  <si>
    <t>30-08-2022 20:45</t>
  </si>
  <si>
    <t>30-08-2022 21:00</t>
  </si>
  <si>
    <t>30-08-2022 21:15</t>
  </si>
  <si>
    <t>30-08-2022 21:30</t>
  </si>
  <si>
    <t>30-08-2022 21:45</t>
  </si>
  <si>
    <t>30-08-2022 22:00</t>
  </si>
  <si>
    <t>30-08-2022 22:15</t>
  </si>
  <si>
    <t>30-08-2022 22:30</t>
  </si>
  <si>
    <t>30-08-2022 22:45</t>
  </si>
  <si>
    <t>30-08-2022 23:00</t>
  </si>
  <si>
    <t>30-08-2022 23:15</t>
  </si>
  <si>
    <t>30-08-2022 23:30</t>
  </si>
  <si>
    <t>30-08-2022 23:45</t>
  </si>
  <si>
    <t>30-08-2022 24:00</t>
  </si>
  <si>
    <t>31-08-2022 00:15</t>
  </si>
  <si>
    <t>31-08-2022 00:30</t>
  </si>
  <si>
    <t>31-08-2022 00:45</t>
  </si>
  <si>
    <t>31-08-2022 01:00</t>
  </si>
  <si>
    <t>31-08-2022 01:15</t>
  </si>
  <si>
    <t>31-08-2022 01:30</t>
  </si>
  <si>
    <t>31-08-2022 01:45</t>
  </si>
  <si>
    <t>31-08-2022 02:00</t>
  </si>
  <si>
    <t>31-08-2022 02:15</t>
  </si>
  <si>
    <t>31-08-2022 02:30</t>
  </si>
  <si>
    <t>31-08-2022 02:45</t>
  </si>
  <si>
    <t>31-08-2022 03:00</t>
  </si>
  <si>
    <t>31-08-2022 03:15</t>
  </si>
  <si>
    <t>31-08-2022 03:30</t>
  </si>
  <si>
    <t>31-08-2022 03:45</t>
  </si>
  <si>
    <t>31-08-2022 04:00</t>
  </si>
  <si>
    <t>31-08-2022 04:15</t>
  </si>
  <si>
    <t>31-08-2022 04:30</t>
  </si>
  <si>
    <t>31-08-2022 04:45</t>
  </si>
  <si>
    <t>31-08-2022 05:00</t>
  </si>
  <si>
    <t>31-08-2022 05:15</t>
  </si>
  <si>
    <t>31-08-2022 05:30</t>
  </si>
  <si>
    <t>31-08-2022 05:45</t>
  </si>
  <si>
    <t>31-08-2022 06:00</t>
  </si>
  <si>
    <t>31-08-2022 06:15</t>
  </si>
  <si>
    <t>31-08-2022 06:30</t>
  </si>
  <si>
    <t>31-08-2022 06:45</t>
  </si>
  <si>
    <t>31-08-2022 07:00</t>
  </si>
  <si>
    <t>31-08-2022 07:15</t>
  </si>
  <si>
    <t>31-08-2022 07:30</t>
  </si>
  <si>
    <t>31-08-2022 07:45</t>
  </si>
  <si>
    <t>31-08-2022 08:00</t>
  </si>
  <si>
    <t>31-08-2022 08:15</t>
  </si>
  <si>
    <t>31-08-2022 08:30</t>
  </si>
  <si>
    <t>31-08-2022 08:45</t>
  </si>
  <si>
    <t>31-08-2022 09:00</t>
  </si>
  <si>
    <t>31-08-2022 09:15</t>
  </si>
  <si>
    <t>31-08-2022 09:30</t>
  </si>
  <si>
    <t>31-08-2022 09:45</t>
  </si>
  <si>
    <t>31-08-2022 10:00</t>
  </si>
  <si>
    <t>31-08-2022 10:15</t>
  </si>
  <si>
    <t>31-08-2022 10:30</t>
  </si>
  <si>
    <t>31-08-2022 10:45</t>
  </si>
  <si>
    <t>31-08-2022 11:00</t>
  </si>
  <si>
    <t>31-08-2022 11:15</t>
  </si>
  <si>
    <t>31-08-2022 11:30</t>
  </si>
  <si>
    <t>31-08-2022 11:45</t>
  </si>
  <si>
    <t>31-08-2022 12:00</t>
  </si>
  <si>
    <t>31-08-2022 12:15</t>
  </si>
  <si>
    <t>31-08-2022 12:30</t>
  </si>
  <si>
    <t>31-08-2022 12:45</t>
  </si>
  <si>
    <t>31-08-2022 13:00</t>
  </si>
  <si>
    <t>31-08-2022 13:15</t>
  </si>
  <si>
    <t>31-08-2022 13:30</t>
  </si>
  <si>
    <t>31-08-2022 13:45</t>
  </si>
  <si>
    <t>31-08-2022 14:00</t>
  </si>
  <si>
    <t>31-08-2022 14:15</t>
  </si>
  <si>
    <t>31-08-2022 14:30</t>
  </si>
  <si>
    <t>31-08-2022 14:45</t>
  </si>
  <si>
    <t>31-08-2022 15:00</t>
  </si>
  <si>
    <t>31-08-2022 15:15</t>
  </si>
  <si>
    <t>31-08-2022 15:30</t>
  </si>
  <si>
    <t>31-08-2022 15:45</t>
  </si>
  <si>
    <t>31-08-2022 16:00</t>
  </si>
  <si>
    <t>31-08-2022 16:15</t>
  </si>
  <si>
    <t>31-08-2022 16:30</t>
  </si>
  <si>
    <t>31-08-2022 16:45</t>
  </si>
  <si>
    <t>31-08-2022 17:00</t>
  </si>
  <si>
    <t>31-08-2022 17:15</t>
  </si>
  <si>
    <t>31-08-2022 17:30</t>
  </si>
  <si>
    <t>31-08-2022 17:45</t>
  </si>
  <si>
    <t>31-08-2022 18:00</t>
  </si>
  <si>
    <t>31-08-2022 18:15</t>
  </si>
  <si>
    <t>31-08-2022 18:30</t>
  </si>
  <si>
    <t>31-08-2022 18:45</t>
  </si>
  <si>
    <t>31-08-2022 19:00</t>
  </si>
  <si>
    <t>31-08-2022 19:15</t>
  </si>
  <si>
    <t>31-08-2022 19:30</t>
  </si>
  <si>
    <t>31-08-2022 19:45</t>
  </si>
  <si>
    <t>31-08-2022 20:00</t>
  </si>
  <si>
    <t>31-08-2022 20:15</t>
  </si>
  <si>
    <t>31-08-2022 20:30</t>
  </si>
  <si>
    <t>31-08-2022 20:45</t>
  </si>
  <si>
    <t>31-08-2022 21:00</t>
  </si>
  <si>
    <t>31-08-2022 21:15</t>
  </si>
  <si>
    <t>31-08-2022 21:30</t>
  </si>
  <si>
    <t>31-08-2022 21:45</t>
  </si>
  <si>
    <t>31-08-2022 22:00</t>
  </si>
  <si>
    <t>31-08-2022 22:15</t>
  </si>
  <si>
    <t>31-08-2022 22:30</t>
  </si>
  <si>
    <t>31-08-2022 22:45</t>
  </si>
  <si>
    <t>31-08-2022 23:00</t>
  </si>
  <si>
    <t>31-08-2022 23:15</t>
  </si>
  <si>
    <t>31-08-2022 23:30</t>
  </si>
  <si>
    <t>31-08-2022 23:45</t>
  </si>
  <si>
    <t>31-08-2022 24:00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</si>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</sst>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sz val="16"/>
      <color theme="0"/>
      <name val="Arial Black"/>
      <family val="2"/>
    </font>
    <font>
      <b/>
      <sz val="16"/>
      <color theme="0"/>
      <name val="Arial Black"/>
      <family val="2"/>
    </font>
    <font>
      <b/>
      <sz val="24"/>
      <color theme="1"/>
      <name val="Arial Black"/>
      <family val="2"/>
    </font>
    <font>
      <b/>
      <sz val="22"/>
      <color theme="1"/>
      <name val="Arial Black"/>
      <family val="2"/>
    </font>
    <font>
      <b/>
      <sz val="26"/>
      <color theme="1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5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3" xfId="0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14" fillId="0" borderId="0" xfId="0" applyFont="1" applyAlignment="1">
      <alignment horizontal="center" vertical="center"/>
    </xf>
    <xf numFmtId="17" fontId="39" fillId="13" borderId="0" xfId="0" applyNumberFormat="1" applyFont="1" applyFill="1" applyAlignment="1">
      <alignment horizontal="center" vertical="center"/>
    </xf>
    <xf numFmtId="0" fontId="40" fillId="13" borderId="0" xfId="0" applyFont="1" applyFill="1" applyAlignment="1">
      <alignment horizontal="center" vertical="center"/>
    </xf>
    <xf numFmtId="0" fontId="41" fillId="12" borderId="37" xfId="0" applyFont="1" applyFill="1" applyBorder="1" applyAlignment="1">
      <alignment horizontal="center" vertical="center"/>
    </xf>
    <xf numFmtId="0" fontId="41" fillId="12" borderId="21" xfId="0" applyFont="1" applyFill="1" applyBorder="1" applyAlignment="1">
      <alignment horizontal="center" vertical="center"/>
    </xf>
    <xf numFmtId="0" fontId="6" fillId="12" borderId="38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0" fontId="42" fillId="12" borderId="1" xfId="0" applyFont="1" applyFill="1" applyBorder="1" applyAlignment="1">
      <alignment horizontal="center" vertical="center"/>
    </xf>
    <xf numFmtId="0" fontId="42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18" xfId="0" applyFont="1" applyFill="1" applyBorder="1" applyAlignment="1">
      <alignment horizontal="center"/>
    </xf>
    <xf numFmtId="0" fontId="41" fillId="12" borderId="39" xfId="0" applyFont="1" applyFill="1" applyBorder="1" applyAlignment="1">
      <alignment horizontal="center" vertical="center"/>
    </xf>
    <xf numFmtId="0" fontId="41" fillId="12" borderId="32" xfId="0" applyFont="1" applyFill="1" applyBorder="1" applyAlignment="1">
      <alignment horizontal="center" vertical="center"/>
    </xf>
    <xf numFmtId="0" fontId="6" fillId="12" borderId="29" xfId="0" applyFont="1" applyFill="1" applyBorder="1" applyAlignment="1">
      <alignment horizontal="center"/>
    </xf>
    <xf numFmtId="0" fontId="43" fillId="12" borderId="40" xfId="0" applyFont="1" applyFill="1" applyBorder="1" applyAlignment="1">
      <alignment horizontal="center" vertical="center"/>
    </xf>
    <xf numFmtId="0" fontId="43" fillId="12" borderId="25" xfId="0" applyFont="1" applyFill="1" applyBorder="1" applyAlignment="1">
      <alignment horizontal="center" vertical="center"/>
    </xf>
    <xf numFmtId="0" fontId="6" fillId="12" borderId="41" xfId="0" applyFont="1" applyFill="1" applyBorder="1" applyAlignment="1">
      <alignment horizontal="center"/>
    </xf>
    <xf numFmtId="0" fontId="6" fillId="12" borderId="42" xfId="0" applyFont="1" applyFill="1" applyBorder="1" applyAlignment="1">
      <alignment horizontal="center"/>
    </xf>
    <xf numFmtId="0" fontId="41" fillId="12" borderId="40" xfId="0" applyFont="1" applyFill="1" applyBorder="1" applyAlignment="1">
      <alignment horizontal="center" vertical="center"/>
    </xf>
    <xf numFmtId="0" fontId="41" fillId="12" borderId="25" xfId="0" applyFont="1" applyFill="1" applyBorder="1" applyAlignment="1">
      <alignment horizontal="center" vertical="center"/>
    </xf>
    <xf numFmtId="0" fontId="42" fillId="1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F110" sqref="F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6.42578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7.140625" style="54" customWidth="1"/>
    <col min="15" max="15" width="9.85546875" style="54" customWidth="1"/>
    <col min="16" max="16" width="14.7109375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01-08-2022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246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248</v>
      </c>
      <c r="B9" s="60">
        <v>28.92</v>
      </c>
      <c r="C9" s="60">
        <v>13.69</v>
      </c>
      <c r="D9" s="60">
        <v>42.61</v>
      </c>
      <c r="E9" s="60">
        <v>5.39</v>
      </c>
      <c r="F9" s="60">
        <v>0.28000000000000003</v>
      </c>
      <c r="G9" s="215" t="s">
        <v>36</v>
      </c>
      <c r="H9" s="60">
        <v>46.34</v>
      </c>
      <c r="I9" s="60">
        <v>11.32</v>
      </c>
      <c r="J9" s="60">
        <v>0.13</v>
      </c>
      <c r="K9" s="60">
        <v>314.58</v>
      </c>
      <c r="L9" s="9" t="s">
        <v>36</v>
      </c>
      <c r="M9" s="60">
        <v>89.12</v>
      </c>
      <c r="N9" s="60">
        <v>15</v>
      </c>
      <c r="O9" s="60">
        <v>0</v>
      </c>
      <c r="P9" s="60">
        <v>4.3</v>
      </c>
      <c r="Q9" s="60">
        <v>13.16</v>
      </c>
      <c r="R9" s="210"/>
      <c r="S9" s="211"/>
      <c r="T9" s="209"/>
      <c r="U9" s="60"/>
    </row>
    <row r="10" spans="1:21" s="12" customFormat="1" x14ac:dyDescent="0.25">
      <c r="A10" s="200" t="s">
        <v>249</v>
      </c>
      <c r="B10" s="60">
        <v>27.67</v>
      </c>
      <c r="C10" s="60">
        <v>13.96</v>
      </c>
      <c r="D10" s="60">
        <v>41.63</v>
      </c>
      <c r="E10" s="60">
        <v>5.37</v>
      </c>
      <c r="F10" s="60">
        <v>7.0000000000000007E-2</v>
      </c>
      <c r="G10" s="215" t="s">
        <v>36</v>
      </c>
      <c r="H10" s="60">
        <v>41.58</v>
      </c>
      <c r="I10" s="60">
        <v>11.1</v>
      </c>
      <c r="J10" s="60">
        <v>0.12</v>
      </c>
      <c r="K10" s="60">
        <v>222.8</v>
      </c>
      <c r="L10" s="9" t="s">
        <v>36</v>
      </c>
      <c r="M10" s="60">
        <v>90.85</v>
      </c>
      <c r="N10" s="60">
        <v>15</v>
      </c>
      <c r="O10" s="60">
        <v>0</v>
      </c>
      <c r="P10" s="60">
        <v>4.2699999999999996</v>
      </c>
      <c r="Q10" s="60">
        <v>13.05</v>
      </c>
      <c r="R10" s="138"/>
      <c r="S10" s="212"/>
      <c r="T10" s="209"/>
      <c r="U10" s="60"/>
    </row>
    <row r="11" spans="1:21" s="12" customFormat="1" x14ac:dyDescent="0.25">
      <c r="A11" s="200" t="s">
        <v>250</v>
      </c>
      <c r="B11" s="60">
        <v>26.98</v>
      </c>
      <c r="C11" s="60">
        <v>13.61</v>
      </c>
      <c r="D11" s="60">
        <v>40.6</v>
      </c>
      <c r="E11" s="60">
        <v>5.38</v>
      </c>
      <c r="F11" s="60">
        <v>0.21</v>
      </c>
      <c r="G11" s="215" t="s">
        <v>36</v>
      </c>
      <c r="H11" s="60">
        <v>41.58</v>
      </c>
      <c r="I11" s="60">
        <v>10.89</v>
      </c>
      <c r="J11" s="60">
        <v>0.13</v>
      </c>
      <c r="K11" s="60">
        <v>220.22</v>
      </c>
      <c r="L11" s="9" t="s">
        <v>36</v>
      </c>
      <c r="M11" s="60">
        <v>89.86</v>
      </c>
      <c r="N11" s="60">
        <v>14.9</v>
      </c>
      <c r="O11" s="60">
        <v>0</v>
      </c>
      <c r="P11" s="60">
        <v>4.22</v>
      </c>
      <c r="Q11" s="60">
        <v>12.76</v>
      </c>
      <c r="R11" s="138"/>
      <c r="S11" s="212"/>
      <c r="T11" s="209"/>
      <c r="U11" s="60"/>
    </row>
    <row r="12" spans="1:21" s="12" customFormat="1" x14ac:dyDescent="0.25">
      <c r="A12" s="200" t="s">
        <v>251</v>
      </c>
      <c r="B12" s="60">
        <v>25.58</v>
      </c>
      <c r="C12" s="60">
        <v>13.7</v>
      </c>
      <c r="D12" s="60">
        <v>39.28</v>
      </c>
      <c r="E12" s="60">
        <v>5.26</v>
      </c>
      <c r="F12" s="60">
        <v>0.09</v>
      </c>
      <c r="G12" s="215" t="s">
        <v>36</v>
      </c>
      <c r="H12" s="60">
        <v>41.58</v>
      </c>
      <c r="I12" s="60">
        <v>10.74</v>
      </c>
      <c r="J12" s="60">
        <v>7.0000000000000007E-2</v>
      </c>
      <c r="K12" s="60">
        <v>204.82</v>
      </c>
      <c r="L12" s="9" t="s">
        <v>36</v>
      </c>
      <c r="M12" s="60">
        <v>92.02</v>
      </c>
      <c r="N12" s="60">
        <v>14.9</v>
      </c>
      <c r="O12" s="60">
        <v>0</v>
      </c>
      <c r="P12" s="60">
        <v>4.17</v>
      </c>
      <c r="Q12" s="60">
        <v>12.22</v>
      </c>
      <c r="R12" s="138"/>
      <c r="S12" s="212"/>
      <c r="T12" s="209"/>
      <c r="U12" s="60"/>
    </row>
    <row r="13" spans="1:21" s="12" customFormat="1" x14ac:dyDescent="0.25">
      <c r="A13" s="200" t="s">
        <v>252</v>
      </c>
      <c r="B13" s="60">
        <v>23.78</v>
      </c>
      <c r="C13" s="60">
        <v>13.5</v>
      </c>
      <c r="D13" s="60">
        <v>37.28</v>
      </c>
      <c r="E13" s="60">
        <v>5.56</v>
      </c>
      <c r="F13" s="215" t="s">
        <v>36</v>
      </c>
      <c r="G13" s="215" t="s">
        <v>36</v>
      </c>
      <c r="H13" s="60">
        <v>41.05</v>
      </c>
      <c r="I13" s="60">
        <v>10.57</v>
      </c>
      <c r="J13" s="60">
        <v>0.09</v>
      </c>
      <c r="K13" s="60">
        <v>268.66000000000003</v>
      </c>
      <c r="L13" s="9" t="s">
        <v>36</v>
      </c>
      <c r="M13" s="60">
        <v>93.98</v>
      </c>
      <c r="N13" s="60">
        <v>15</v>
      </c>
      <c r="O13" s="60">
        <v>0</v>
      </c>
      <c r="P13" s="60">
        <v>4.1100000000000003</v>
      </c>
      <c r="Q13" s="60">
        <v>11.47</v>
      </c>
      <c r="R13" s="138"/>
      <c r="S13" s="212"/>
      <c r="T13" s="209"/>
      <c r="U13" s="60"/>
    </row>
    <row r="14" spans="1:21" s="12" customFormat="1" x14ac:dyDescent="0.25">
      <c r="A14" s="200" t="s">
        <v>253</v>
      </c>
      <c r="B14" s="60">
        <v>22.45</v>
      </c>
      <c r="C14" s="60">
        <v>13.39</v>
      </c>
      <c r="D14" s="60">
        <v>35.85</v>
      </c>
      <c r="E14" s="60">
        <v>5.64</v>
      </c>
      <c r="F14" s="60">
        <v>7.0000000000000007E-2</v>
      </c>
      <c r="G14" s="215" t="s">
        <v>36</v>
      </c>
      <c r="H14" s="60">
        <v>39.76</v>
      </c>
      <c r="I14" s="60">
        <v>10.34</v>
      </c>
      <c r="J14" s="60">
        <v>0.05</v>
      </c>
      <c r="K14" s="60">
        <v>254.1</v>
      </c>
      <c r="L14" s="9" t="s">
        <v>36</v>
      </c>
      <c r="M14" s="60">
        <v>95.19</v>
      </c>
      <c r="N14" s="60">
        <v>15</v>
      </c>
      <c r="O14" s="60">
        <v>0</v>
      </c>
      <c r="P14" s="60">
        <v>4.0599999999999996</v>
      </c>
      <c r="Q14" s="60">
        <v>10.52</v>
      </c>
      <c r="R14" s="138"/>
      <c r="S14" s="212"/>
      <c r="T14" s="209"/>
      <c r="U14" s="60"/>
    </row>
    <row r="15" spans="1:21" s="12" customFormat="1" x14ac:dyDescent="0.25">
      <c r="A15" s="200" t="s">
        <v>254</v>
      </c>
      <c r="B15" s="60">
        <v>21.47</v>
      </c>
      <c r="C15" s="60">
        <v>13.12</v>
      </c>
      <c r="D15" s="60">
        <v>34.6</v>
      </c>
      <c r="E15" s="60">
        <v>5.89</v>
      </c>
      <c r="F15" s="60">
        <v>0.02</v>
      </c>
      <c r="G15" s="215" t="s">
        <v>36</v>
      </c>
      <c r="H15" s="60">
        <v>39.76</v>
      </c>
      <c r="I15" s="60">
        <v>9.9600000000000009</v>
      </c>
      <c r="J15" s="60">
        <v>0.06</v>
      </c>
      <c r="K15" s="60">
        <v>223.96</v>
      </c>
      <c r="L15" s="9" t="s">
        <v>36</v>
      </c>
      <c r="M15" s="60">
        <v>95.76</v>
      </c>
      <c r="N15" s="60">
        <v>14.8</v>
      </c>
      <c r="O15" s="60">
        <v>0</v>
      </c>
      <c r="P15" s="60">
        <v>4.0199999999999996</v>
      </c>
      <c r="Q15" s="60">
        <v>10</v>
      </c>
      <c r="R15" s="138"/>
      <c r="S15" s="212"/>
      <c r="T15" s="209"/>
      <c r="U15" s="60"/>
    </row>
    <row r="16" spans="1:21" s="12" customFormat="1" x14ac:dyDescent="0.25">
      <c r="A16" s="200" t="s">
        <v>255</v>
      </c>
      <c r="B16" s="60">
        <v>20.94</v>
      </c>
      <c r="C16" s="60">
        <v>12.19</v>
      </c>
      <c r="D16" s="60">
        <v>33.119999999999997</v>
      </c>
      <c r="E16" s="60">
        <v>5.58</v>
      </c>
      <c r="F16" s="60">
        <v>0.09</v>
      </c>
      <c r="G16" s="215" t="s">
        <v>36</v>
      </c>
      <c r="H16" s="60">
        <v>39.76</v>
      </c>
      <c r="I16" s="60">
        <v>8.9700000000000006</v>
      </c>
      <c r="J16" s="60">
        <v>0.09</v>
      </c>
      <c r="K16" s="60">
        <v>278.83</v>
      </c>
      <c r="L16" s="9" t="s">
        <v>36</v>
      </c>
      <c r="M16" s="60">
        <v>96.65</v>
      </c>
      <c r="N16" s="60">
        <v>14.9</v>
      </c>
      <c r="O16" s="60">
        <v>0</v>
      </c>
      <c r="P16" s="60">
        <v>4</v>
      </c>
      <c r="Q16" s="60">
        <v>9.3699999999999992</v>
      </c>
      <c r="R16" s="138"/>
      <c r="S16" s="212"/>
      <c r="T16" s="209"/>
      <c r="U16" s="60"/>
    </row>
    <row r="17" spans="1:21" s="12" customFormat="1" x14ac:dyDescent="0.25">
      <c r="A17" s="200" t="s">
        <v>256</v>
      </c>
      <c r="B17" s="60">
        <v>20.41</v>
      </c>
      <c r="C17" s="60">
        <v>11.79</v>
      </c>
      <c r="D17" s="60">
        <v>32.200000000000003</v>
      </c>
      <c r="E17" s="60">
        <v>5.65</v>
      </c>
      <c r="F17" s="60">
        <v>0.03</v>
      </c>
      <c r="G17" s="215" t="s">
        <v>36</v>
      </c>
      <c r="H17" s="60">
        <v>39.53</v>
      </c>
      <c r="I17" s="60">
        <v>8.68</v>
      </c>
      <c r="J17" s="60">
        <v>0.09</v>
      </c>
      <c r="K17" s="60">
        <v>213.84</v>
      </c>
      <c r="L17" s="9" t="s">
        <v>36</v>
      </c>
      <c r="M17" s="60">
        <v>93.97</v>
      </c>
      <c r="N17" s="60">
        <v>14.9</v>
      </c>
      <c r="O17" s="60">
        <v>0</v>
      </c>
      <c r="P17" s="60">
        <v>3.98</v>
      </c>
      <c r="Q17" s="60">
        <v>8.9499999999999993</v>
      </c>
      <c r="R17" s="138"/>
      <c r="S17" s="212"/>
      <c r="T17" s="209"/>
      <c r="U17" s="60"/>
    </row>
    <row r="18" spans="1:21" s="12" customFormat="1" x14ac:dyDescent="0.25">
      <c r="A18" s="200" t="s">
        <v>257</v>
      </c>
      <c r="B18" s="60">
        <v>19.829999999999998</v>
      </c>
      <c r="C18" s="60">
        <v>11.89</v>
      </c>
      <c r="D18" s="60">
        <v>31.73</v>
      </c>
      <c r="E18" s="60">
        <v>6.15</v>
      </c>
      <c r="F18" s="60">
        <v>0.08</v>
      </c>
      <c r="G18" s="215" t="s">
        <v>36</v>
      </c>
      <c r="H18" s="60">
        <v>38.979999999999997</v>
      </c>
      <c r="I18" s="60">
        <v>8.9700000000000006</v>
      </c>
      <c r="J18" s="60">
        <v>0.14000000000000001</v>
      </c>
      <c r="K18" s="60">
        <v>311.69</v>
      </c>
      <c r="L18" s="9" t="s">
        <v>36</v>
      </c>
      <c r="M18" s="60">
        <v>95.59</v>
      </c>
      <c r="N18" s="60">
        <v>15</v>
      </c>
      <c r="O18" s="60">
        <v>0</v>
      </c>
      <c r="P18" s="60">
        <v>3.95</v>
      </c>
      <c r="Q18" s="60">
        <v>8.76</v>
      </c>
      <c r="R18" s="138"/>
      <c r="S18" s="212"/>
      <c r="T18" s="209"/>
      <c r="U18" s="60"/>
    </row>
    <row r="19" spans="1:21" s="12" customFormat="1" x14ac:dyDescent="0.25">
      <c r="A19" s="200" t="s">
        <v>258</v>
      </c>
      <c r="B19" s="60">
        <v>19.38</v>
      </c>
      <c r="C19" s="60">
        <v>11.59</v>
      </c>
      <c r="D19" s="60">
        <v>30.97</v>
      </c>
      <c r="E19" s="60">
        <v>6.14</v>
      </c>
      <c r="F19" s="60">
        <v>0.03</v>
      </c>
      <c r="G19" s="215" t="s">
        <v>36</v>
      </c>
      <c r="H19" s="60">
        <v>38.979999999999997</v>
      </c>
      <c r="I19" s="60">
        <v>9.0399999999999991</v>
      </c>
      <c r="J19" s="60">
        <v>0.12</v>
      </c>
      <c r="K19" s="60">
        <v>295.87</v>
      </c>
      <c r="L19" s="9" t="s">
        <v>36</v>
      </c>
      <c r="M19" s="60">
        <v>97.3</v>
      </c>
      <c r="N19" s="60">
        <v>14.9</v>
      </c>
      <c r="O19" s="60">
        <v>0</v>
      </c>
      <c r="P19" s="60">
        <v>3.94</v>
      </c>
      <c r="Q19" s="60">
        <v>8.49</v>
      </c>
      <c r="R19" s="138"/>
      <c r="S19" s="212"/>
      <c r="T19" s="209"/>
      <c r="U19" s="60"/>
    </row>
    <row r="20" spans="1:21" s="12" customFormat="1" x14ac:dyDescent="0.25">
      <c r="A20" s="200" t="s">
        <v>259</v>
      </c>
      <c r="B20" s="60">
        <v>19.059999999999999</v>
      </c>
      <c r="C20" s="60">
        <v>11.11</v>
      </c>
      <c r="D20" s="60">
        <v>30.17</v>
      </c>
      <c r="E20" s="60">
        <v>6.16</v>
      </c>
      <c r="F20" s="60">
        <v>0.01</v>
      </c>
      <c r="G20" s="215" t="s">
        <v>36</v>
      </c>
      <c r="H20" s="60">
        <v>38.979999999999997</v>
      </c>
      <c r="I20" s="60">
        <v>8.66</v>
      </c>
      <c r="J20" s="60">
        <v>0.08</v>
      </c>
      <c r="K20" s="60">
        <v>3.89</v>
      </c>
      <c r="L20" s="9" t="s">
        <v>36</v>
      </c>
      <c r="M20" s="60">
        <v>97.95</v>
      </c>
      <c r="N20" s="60">
        <v>15</v>
      </c>
      <c r="O20" s="60">
        <v>0</v>
      </c>
      <c r="P20" s="60">
        <v>3.93</v>
      </c>
      <c r="Q20" s="60">
        <v>8.2899999999999991</v>
      </c>
      <c r="R20" s="138"/>
      <c r="S20" s="212"/>
      <c r="T20" s="209"/>
      <c r="U20" s="60"/>
    </row>
    <row r="21" spans="1:21" s="12" customFormat="1" x14ac:dyDescent="0.25">
      <c r="A21" s="200" t="s">
        <v>260</v>
      </c>
      <c r="B21" s="60">
        <v>18.690000000000001</v>
      </c>
      <c r="C21" s="60">
        <v>11.25</v>
      </c>
      <c r="D21" s="60">
        <v>29.94</v>
      </c>
      <c r="E21" s="60">
        <v>6.46</v>
      </c>
      <c r="F21" s="215" t="s">
        <v>36</v>
      </c>
      <c r="G21" s="215" t="s">
        <v>36</v>
      </c>
      <c r="H21" s="60">
        <v>35.6</v>
      </c>
      <c r="I21" s="60">
        <v>8.7200000000000006</v>
      </c>
      <c r="J21" s="60">
        <v>0.08</v>
      </c>
      <c r="K21" s="60">
        <v>213.92</v>
      </c>
      <c r="L21" s="9" t="s">
        <v>36</v>
      </c>
      <c r="M21" s="60">
        <v>97.45</v>
      </c>
      <c r="N21" s="60">
        <v>15</v>
      </c>
      <c r="O21" s="60">
        <v>0</v>
      </c>
      <c r="P21" s="60">
        <v>3.91</v>
      </c>
      <c r="Q21" s="60">
        <v>8.2799999999999994</v>
      </c>
      <c r="R21" s="138"/>
      <c r="S21" s="212"/>
      <c r="T21" s="209"/>
      <c r="U21" s="60"/>
    </row>
    <row r="22" spans="1:21" s="12" customFormat="1" x14ac:dyDescent="0.25">
      <c r="A22" s="200" t="s">
        <v>261</v>
      </c>
      <c r="B22" s="60">
        <v>18.04</v>
      </c>
      <c r="C22" s="60">
        <v>10.7</v>
      </c>
      <c r="D22" s="60">
        <v>28.74</v>
      </c>
      <c r="E22" s="60">
        <v>6.12</v>
      </c>
      <c r="F22" s="60">
        <v>0.31</v>
      </c>
      <c r="G22" s="215" t="s">
        <v>36</v>
      </c>
      <c r="H22" s="60">
        <v>27.27</v>
      </c>
      <c r="I22" s="60">
        <v>8.91</v>
      </c>
      <c r="J22" s="60">
        <v>0.09</v>
      </c>
      <c r="K22" s="60">
        <v>222.46</v>
      </c>
      <c r="L22" s="9" t="s">
        <v>36</v>
      </c>
      <c r="M22" s="60">
        <v>93.34</v>
      </c>
      <c r="N22" s="60">
        <v>15</v>
      </c>
      <c r="O22" s="60">
        <v>0</v>
      </c>
      <c r="P22" s="60">
        <v>3.86</v>
      </c>
      <c r="Q22" s="60">
        <v>8.6999999999999993</v>
      </c>
      <c r="R22" s="138"/>
      <c r="S22" s="212"/>
      <c r="T22" s="209"/>
      <c r="U22" s="60"/>
    </row>
    <row r="23" spans="1:21" s="12" customFormat="1" x14ac:dyDescent="0.25">
      <c r="A23" s="200" t="s">
        <v>262</v>
      </c>
      <c r="B23" s="60">
        <v>16.940000000000001</v>
      </c>
      <c r="C23" s="60">
        <v>10.92</v>
      </c>
      <c r="D23" s="60">
        <v>27.86</v>
      </c>
      <c r="E23" s="60">
        <v>6.18</v>
      </c>
      <c r="F23" s="60">
        <v>0.06</v>
      </c>
      <c r="G23" s="215" t="s">
        <v>36</v>
      </c>
      <c r="H23" s="60">
        <v>27.27</v>
      </c>
      <c r="I23" s="60">
        <v>9.0500000000000007</v>
      </c>
      <c r="J23" s="60">
        <v>0.1</v>
      </c>
      <c r="K23" s="60">
        <v>234.88</v>
      </c>
      <c r="L23" s="9" t="s">
        <v>36</v>
      </c>
      <c r="M23" s="60">
        <v>92.86</v>
      </c>
      <c r="N23" s="60">
        <v>14.9</v>
      </c>
      <c r="O23" s="60">
        <v>0</v>
      </c>
      <c r="P23" s="60">
        <v>3.83</v>
      </c>
      <c r="Q23" s="60">
        <v>9.1199999999999992</v>
      </c>
      <c r="R23" s="138"/>
      <c r="S23" s="212"/>
      <c r="T23" s="209"/>
      <c r="U23" s="60"/>
    </row>
    <row r="24" spans="1:21" s="12" customFormat="1" x14ac:dyDescent="0.25">
      <c r="A24" s="200" t="s">
        <v>263</v>
      </c>
      <c r="B24" s="60">
        <v>15.86</v>
      </c>
      <c r="C24" s="60">
        <v>10.76</v>
      </c>
      <c r="D24" s="60">
        <v>26.62</v>
      </c>
      <c r="E24" s="60">
        <v>2.88</v>
      </c>
      <c r="F24" s="60">
        <v>0.08</v>
      </c>
      <c r="G24" s="215" t="s">
        <v>36</v>
      </c>
      <c r="H24" s="60">
        <v>27.27</v>
      </c>
      <c r="I24" s="60">
        <v>9.02</v>
      </c>
      <c r="J24" s="60">
        <v>0.06</v>
      </c>
      <c r="K24" s="60">
        <v>245.81</v>
      </c>
      <c r="L24" s="9" t="s">
        <v>36</v>
      </c>
      <c r="M24" s="60">
        <v>90.99</v>
      </c>
      <c r="N24" s="60">
        <v>15</v>
      </c>
      <c r="O24" s="60">
        <v>0</v>
      </c>
      <c r="P24" s="60">
        <v>3.79</v>
      </c>
      <c r="Q24" s="60">
        <v>8.94</v>
      </c>
      <c r="R24" s="138"/>
      <c r="S24" s="212"/>
      <c r="T24" s="209"/>
      <c r="U24" s="60"/>
    </row>
    <row r="25" spans="1:21" s="12" customFormat="1" x14ac:dyDescent="0.25">
      <c r="A25" s="200" t="s">
        <v>264</v>
      </c>
      <c r="B25" s="60">
        <v>14.87</v>
      </c>
      <c r="C25" s="60">
        <v>11.09</v>
      </c>
      <c r="D25" s="60">
        <v>25.96</v>
      </c>
      <c r="E25" s="60">
        <v>5.92</v>
      </c>
      <c r="F25" s="60">
        <v>0.11</v>
      </c>
      <c r="G25" s="215" t="s">
        <v>36</v>
      </c>
      <c r="H25" s="60">
        <v>28.13</v>
      </c>
      <c r="I25" s="60">
        <v>8.76</v>
      </c>
      <c r="J25" s="60">
        <v>0.13</v>
      </c>
      <c r="K25" s="60">
        <v>301.45999999999998</v>
      </c>
      <c r="L25" s="9" t="s">
        <v>36</v>
      </c>
      <c r="M25" s="60">
        <v>93.4</v>
      </c>
      <c r="N25" s="60">
        <v>15</v>
      </c>
      <c r="O25" s="60">
        <v>0</v>
      </c>
      <c r="P25" s="60">
        <v>3.75</v>
      </c>
      <c r="Q25" s="60">
        <v>8.67</v>
      </c>
      <c r="R25" s="138"/>
      <c r="S25" s="212"/>
      <c r="T25" s="209"/>
      <c r="U25" s="60"/>
    </row>
    <row r="26" spans="1:21" s="12" customFormat="1" x14ac:dyDescent="0.25">
      <c r="A26" s="200" t="s">
        <v>265</v>
      </c>
      <c r="B26" s="60">
        <v>14.3</v>
      </c>
      <c r="C26" s="60">
        <v>11.34</v>
      </c>
      <c r="D26" s="60">
        <v>25.64</v>
      </c>
      <c r="E26" s="60">
        <v>6.26</v>
      </c>
      <c r="F26" s="60">
        <v>0.04</v>
      </c>
      <c r="G26" s="215" t="s">
        <v>36</v>
      </c>
      <c r="H26" s="60">
        <v>30.27</v>
      </c>
      <c r="I26" s="60">
        <v>8.49</v>
      </c>
      <c r="J26" s="60">
        <v>0.13</v>
      </c>
      <c r="K26" s="60">
        <v>351.34</v>
      </c>
      <c r="L26" s="9" t="s">
        <v>36</v>
      </c>
      <c r="M26" s="60">
        <v>95.85</v>
      </c>
      <c r="N26" s="60">
        <v>15</v>
      </c>
      <c r="O26" s="60">
        <v>0</v>
      </c>
      <c r="P26" s="60">
        <v>3.73</v>
      </c>
      <c r="Q26" s="60">
        <v>8.41</v>
      </c>
      <c r="R26" s="138"/>
      <c r="S26" s="212"/>
      <c r="T26" s="209"/>
      <c r="U26" s="60"/>
    </row>
    <row r="27" spans="1:21" s="12" customFormat="1" x14ac:dyDescent="0.25">
      <c r="A27" s="200" t="s">
        <v>266</v>
      </c>
      <c r="B27" s="60">
        <v>14.13</v>
      </c>
      <c r="C27" s="60">
        <v>11.26</v>
      </c>
      <c r="D27" s="60">
        <v>25.39</v>
      </c>
      <c r="E27" s="60">
        <v>6.28</v>
      </c>
      <c r="F27" s="60">
        <v>0.03</v>
      </c>
      <c r="G27" s="215" t="s">
        <v>36</v>
      </c>
      <c r="H27" s="60">
        <v>30.27</v>
      </c>
      <c r="I27" s="60">
        <v>8.26</v>
      </c>
      <c r="J27" s="60">
        <v>0.1</v>
      </c>
      <c r="K27" s="60">
        <v>276.88</v>
      </c>
      <c r="L27" s="9" t="s">
        <v>36</v>
      </c>
      <c r="M27" s="60">
        <v>96.98</v>
      </c>
      <c r="N27" s="60">
        <v>15</v>
      </c>
      <c r="O27" s="60">
        <v>0</v>
      </c>
      <c r="P27" s="60">
        <v>3.72</v>
      </c>
      <c r="Q27" s="60">
        <v>8.2899999999999991</v>
      </c>
      <c r="R27" s="138"/>
      <c r="S27" s="212"/>
      <c r="T27" s="209"/>
      <c r="U27" s="60"/>
    </row>
    <row r="28" spans="1:21" s="12" customFormat="1" x14ac:dyDescent="0.25">
      <c r="A28" s="200" t="s">
        <v>267</v>
      </c>
      <c r="B28" s="60">
        <v>14.75</v>
      </c>
      <c r="C28" s="60">
        <v>11.53</v>
      </c>
      <c r="D28" s="60">
        <v>26.29</v>
      </c>
      <c r="E28" s="60">
        <v>6.2</v>
      </c>
      <c r="F28" s="60">
        <v>0.87</v>
      </c>
      <c r="G28" s="215" t="s">
        <v>36</v>
      </c>
      <c r="H28" s="60">
        <v>30.27</v>
      </c>
      <c r="I28" s="60">
        <v>8.14</v>
      </c>
      <c r="J28" s="60">
        <v>0.14000000000000001</v>
      </c>
      <c r="K28" s="60">
        <v>287.23</v>
      </c>
      <c r="L28" s="9" t="s">
        <v>36</v>
      </c>
      <c r="M28" s="60">
        <v>96.38</v>
      </c>
      <c r="N28" s="60">
        <v>14.9</v>
      </c>
      <c r="O28" s="60">
        <v>0</v>
      </c>
      <c r="P28" s="60">
        <v>3.71</v>
      </c>
      <c r="Q28" s="60">
        <v>8.35</v>
      </c>
      <c r="R28" s="138"/>
      <c r="S28" s="212"/>
      <c r="T28" s="209"/>
      <c r="U28" s="60"/>
    </row>
    <row r="29" spans="1:21" s="12" customFormat="1" x14ac:dyDescent="0.25">
      <c r="A29" s="200" t="s">
        <v>268</v>
      </c>
      <c r="B29" s="60">
        <v>15.34</v>
      </c>
      <c r="C29" s="60">
        <v>11.13</v>
      </c>
      <c r="D29" s="60">
        <v>26.47</v>
      </c>
      <c r="E29" s="60">
        <v>6.66</v>
      </c>
      <c r="F29" s="60">
        <v>0.11</v>
      </c>
      <c r="G29" s="215" t="s">
        <v>36</v>
      </c>
      <c r="H29" s="60">
        <v>29.3</v>
      </c>
      <c r="I29" s="60">
        <v>7.97</v>
      </c>
      <c r="J29" s="60">
        <v>0.05</v>
      </c>
      <c r="K29" s="60">
        <v>209.6</v>
      </c>
      <c r="L29" s="9" t="s">
        <v>36</v>
      </c>
      <c r="M29" s="60">
        <v>96.57</v>
      </c>
      <c r="N29" s="60">
        <v>14.8</v>
      </c>
      <c r="O29" s="60">
        <v>0</v>
      </c>
      <c r="P29" s="60">
        <v>3.71</v>
      </c>
      <c r="Q29" s="60">
        <v>7.89</v>
      </c>
      <c r="R29" s="138"/>
      <c r="S29" s="212"/>
      <c r="T29" s="209"/>
      <c r="U29" s="60"/>
    </row>
    <row r="30" spans="1:21" s="12" customFormat="1" x14ac:dyDescent="0.25">
      <c r="A30" s="200" t="s">
        <v>269</v>
      </c>
      <c r="B30" s="60">
        <v>15.81</v>
      </c>
      <c r="C30" s="60">
        <v>11.05</v>
      </c>
      <c r="D30" s="60">
        <v>26.86</v>
      </c>
      <c r="E30" s="60">
        <v>6.29</v>
      </c>
      <c r="F30" s="60">
        <v>0.21</v>
      </c>
      <c r="G30" s="215" t="s">
        <v>36</v>
      </c>
      <c r="H30" s="60">
        <v>26.91</v>
      </c>
      <c r="I30" s="60">
        <v>7.38</v>
      </c>
      <c r="J30" s="60">
        <v>0.1</v>
      </c>
      <c r="K30" s="60">
        <v>219.38</v>
      </c>
      <c r="L30" s="9" t="s">
        <v>36</v>
      </c>
      <c r="M30" s="60">
        <v>93.88</v>
      </c>
      <c r="N30" s="60">
        <v>15.2</v>
      </c>
      <c r="O30" s="60">
        <v>0</v>
      </c>
      <c r="P30" s="60">
        <v>3.69</v>
      </c>
      <c r="Q30" s="60">
        <v>7.88</v>
      </c>
      <c r="R30" s="138"/>
      <c r="S30" s="212"/>
      <c r="T30" s="209"/>
      <c r="U30" s="60"/>
    </row>
    <row r="31" spans="1:21" s="12" customFormat="1" x14ac:dyDescent="0.25">
      <c r="A31" s="200" t="s">
        <v>270</v>
      </c>
      <c r="B31" s="60">
        <v>15.85</v>
      </c>
      <c r="C31" s="60">
        <v>10.98</v>
      </c>
      <c r="D31" s="60">
        <v>26.83</v>
      </c>
      <c r="E31" s="60">
        <v>6.64</v>
      </c>
      <c r="F31" s="60">
        <v>0.08</v>
      </c>
      <c r="G31" s="215" t="s">
        <v>36</v>
      </c>
      <c r="H31" s="60">
        <v>26.91</v>
      </c>
      <c r="I31" s="60">
        <v>7.44</v>
      </c>
      <c r="J31" s="60">
        <v>0.12</v>
      </c>
      <c r="K31" s="60">
        <v>208.71</v>
      </c>
      <c r="L31" s="9" t="s">
        <v>36</v>
      </c>
      <c r="M31" s="60">
        <v>96.5</v>
      </c>
      <c r="N31" s="60">
        <v>17.899999999999999</v>
      </c>
      <c r="O31" s="60">
        <v>0</v>
      </c>
      <c r="P31" s="60">
        <v>3.68</v>
      </c>
      <c r="Q31" s="60">
        <v>7.66</v>
      </c>
      <c r="R31" s="138"/>
      <c r="S31" s="212"/>
      <c r="T31" s="209"/>
      <c r="U31" s="60"/>
    </row>
    <row r="32" spans="1:21" s="12" customFormat="1" x14ac:dyDescent="0.25">
      <c r="A32" s="200" t="s">
        <v>271</v>
      </c>
      <c r="B32" s="60">
        <v>15.63</v>
      </c>
      <c r="C32" s="60">
        <v>10.55</v>
      </c>
      <c r="D32" s="60">
        <v>26.18</v>
      </c>
      <c r="E32" s="60">
        <v>6.26</v>
      </c>
      <c r="F32" s="60">
        <v>0.1</v>
      </c>
      <c r="G32" s="215" t="s">
        <v>36</v>
      </c>
      <c r="H32" s="60">
        <v>26.91</v>
      </c>
      <c r="I32" s="60">
        <v>7.32</v>
      </c>
      <c r="J32" s="60">
        <v>0.13</v>
      </c>
      <c r="K32" s="60">
        <v>204.62</v>
      </c>
      <c r="L32" s="9" t="s">
        <v>36</v>
      </c>
      <c r="M32" s="60">
        <v>97.15</v>
      </c>
      <c r="N32" s="60">
        <v>28.3</v>
      </c>
      <c r="O32" s="60">
        <v>0</v>
      </c>
      <c r="P32" s="60">
        <v>3.66</v>
      </c>
      <c r="Q32" s="60">
        <v>7.38</v>
      </c>
      <c r="R32" s="138"/>
      <c r="S32" s="212"/>
      <c r="T32" s="209"/>
      <c r="U32" s="60"/>
    </row>
    <row r="33" spans="1:21" s="12" customFormat="1" x14ac:dyDescent="0.25">
      <c r="A33" s="200" t="s">
        <v>272</v>
      </c>
      <c r="B33" s="60">
        <v>15.53</v>
      </c>
      <c r="C33" s="60">
        <v>10.15</v>
      </c>
      <c r="D33" s="60">
        <v>25.67</v>
      </c>
      <c r="E33" s="60">
        <v>6.16</v>
      </c>
      <c r="F33" s="60">
        <v>0.02</v>
      </c>
      <c r="G33" s="215" t="s">
        <v>36</v>
      </c>
      <c r="H33" s="60">
        <v>26.72</v>
      </c>
      <c r="I33" s="60">
        <v>6.93</v>
      </c>
      <c r="J33" s="60">
        <v>0.16</v>
      </c>
      <c r="K33" s="60">
        <v>206.23</v>
      </c>
      <c r="L33" s="9" t="s">
        <v>36</v>
      </c>
      <c r="M33" s="60">
        <v>97.09</v>
      </c>
      <c r="N33" s="60">
        <v>51.1</v>
      </c>
      <c r="O33" s="60">
        <v>0</v>
      </c>
      <c r="P33" s="60">
        <v>3.64</v>
      </c>
      <c r="Q33" s="60">
        <v>7.11</v>
      </c>
      <c r="R33" s="138"/>
      <c r="S33" s="212"/>
      <c r="T33" s="209"/>
      <c r="U33" s="60"/>
    </row>
    <row r="34" spans="1:21" s="12" customFormat="1" x14ac:dyDescent="0.25">
      <c r="A34" s="200" t="s">
        <v>273</v>
      </c>
      <c r="B34" s="60">
        <v>15.29</v>
      </c>
      <c r="C34" s="60">
        <v>10.43</v>
      </c>
      <c r="D34" s="60">
        <v>25.72</v>
      </c>
      <c r="E34" s="60">
        <v>6.46</v>
      </c>
      <c r="F34" s="60">
        <v>0.02</v>
      </c>
      <c r="G34" s="215" t="s">
        <v>36</v>
      </c>
      <c r="H34" s="60">
        <v>26.27</v>
      </c>
      <c r="I34" s="60">
        <v>6.88</v>
      </c>
      <c r="J34" s="60">
        <v>0.19</v>
      </c>
      <c r="K34" s="60">
        <v>209.96</v>
      </c>
      <c r="L34" s="9" t="s">
        <v>36</v>
      </c>
      <c r="M34" s="60">
        <v>96.96</v>
      </c>
      <c r="N34" s="60">
        <v>77.2</v>
      </c>
      <c r="O34" s="60">
        <v>0</v>
      </c>
      <c r="P34" s="60">
        <v>3.62</v>
      </c>
      <c r="Q34" s="60">
        <v>7.14</v>
      </c>
      <c r="R34" s="138"/>
      <c r="S34" s="212"/>
      <c r="T34" s="209"/>
      <c r="U34" s="60"/>
    </row>
    <row r="35" spans="1:21" s="12" customFormat="1" x14ac:dyDescent="0.25">
      <c r="A35" s="200" t="s">
        <v>274</v>
      </c>
      <c r="B35" s="60">
        <v>15.16</v>
      </c>
      <c r="C35" s="60">
        <v>10.15</v>
      </c>
      <c r="D35" s="60">
        <v>25.31</v>
      </c>
      <c r="E35" s="60">
        <v>6.65</v>
      </c>
      <c r="F35" s="60">
        <v>0.09</v>
      </c>
      <c r="G35" s="215" t="s">
        <v>36</v>
      </c>
      <c r="H35" s="60">
        <v>26.27</v>
      </c>
      <c r="I35" s="60">
        <v>7.06</v>
      </c>
      <c r="J35" s="60">
        <v>0.35</v>
      </c>
      <c r="K35" s="60">
        <v>177.56</v>
      </c>
      <c r="L35" s="9" t="s">
        <v>36</v>
      </c>
      <c r="M35" s="60">
        <v>96.48</v>
      </c>
      <c r="N35" s="60">
        <v>100</v>
      </c>
      <c r="O35" s="60">
        <v>0</v>
      </c>
      <c r="P35" s="60">
        <v>3.61</v>
      </c>
      <c r="Q35" s="60">
        <v>7.07</v>
      </c>
      <c r="R35" s="138"/>
      <c r="S35" s="212"/>
      <c r="T35" s="209"/>
      <c r="U35" s="60"/>
    </row>
    <row r="36" spans="1:21" s="12" customFormat="1" x14ac:dyDescent="0.25">
      <c r="A36" s="200" t="s">
        <v>275</v>
      </c>
      <c r="B36" s="60">
        <v>14.9</v>
      </c>
      <c r="C36" s="60">
        <v>10.33</v>
      </c>
      <c r="D36" s="60">
        <v>25.22</v>
      </c>
      <c r="E36" s="60">
        <v>6.63</v>
      </c>
      <c r="F36" s="60">
        <v>0.13</v>
      </c>
      <c r="G36" s="215" t="s">
        <v>36</v>
      </c>
      <c r="H36" s="60">
        <v>26.27</v>
      </c>
      <c r="I36" s="60">
        <v>6.59</v>
      </c>
      <c r="J36" s="60">
        <v>0.41</v>
      </c>
      <c r="K36" s="60">
        <v>170.62</v>
      </c>
      <c r="L36" s="9" t="s">
        <v>36</v>
      </c>
      <c r="M36" s="60">
        <v>94.06</v>
      </c>
      <c r="N36" s="60">
        <v>126.9</v>
      </c>
      <c r="O36" s="60">
        <v>0</v>
      </c>
      <c r="P36" s="60">
        <v>3.59</v>
      </c>
      <c r="Q36" s="60">
        <v>7.43</v>
      </c>
      <c r="R36" s="138"/>
      <c r="S36" s="212"/>
      <c r="T36" s="209"/>
      <c r="U36" s="60"/>
    </row>
    <row r="37" spans="1:21" s="12" customFormat="1" x14ac:dyDescent="0.25">
      <c r="A37" s="200" t="s">
        <v>276</v>
      </c>
      <c r="B37" s="60">
        <v>14.4</v>
      </c>
      <c r="C37" s="60">
        <v>9.9600000000000009</v>
      </c>
      <c r="D37" s="60">
        <v>24.36</v>
      </c>
      <c r="E37" s="60">
        <v>6.44</v>
      </c>
      <c r="F37" s="60">
        <v>0.36</v>
      </c>
      <c r="G37" s="215" t="s">
        <v>36</v>
      </c>
      <c r="H37" s="60">
        <v>25.73</v>
      </c>
      <c r="I37" s="60">
        <v>6.96</v>
      </c>
      <c r="J37" s="60">
        <v>0.02</v>
      </c>
      <c r="K37" s="60">
        <v>250.95</v>
      </c>
      <c r="L37" s="9" t="s">
        <v>36</v>
      </c>
      <c r="M37" s="60">
        <v>88.98</v>
      </c>
      <c r="N37" s="60">
        <v>190.2</v>
      </c>
      <c r="O37" s="60">
        <v>0</v>
      </c>
      <c r="P37" s="60">
        <v>3.56</v>
      </c>
      <c r="Q37" s="60">
        <v>8.08</v>
      </c>
      <c r="R37" s="138"/>
      <c r="S37" s="212"/>
      <c r="T37" s="209"/>
      <c r="U37" s="60"/>
    </row>
    <row r="38" spans="1:21" s="12" customFormat="1" x14ac:dyDescent="0.25">
      <c r="A38" s="200" t="s">
        <v>277</v>
      </c>
      <c r="B38" s="60">
        <v>14.13</v>
      </c>
      <c r="C38" s="60">
        <v>10.89</v>
      </c>
      <c r="D38" s="60">
        <v>25.02</v>
      </c>
      <c r="E38" s="60">
        <v>6.42</v>
      </c>
      <c r="F38" s="60">
        <v>0.1</v>
      </c>
      <c r="G38" s="215" t="s">
        <v>36</v>
      </c>
      <c r="H38" s="60">
        <v>24.41</v>
      </c>
      <c r="I38" s="60">
        <v>7.28</v>
      </c>
      <c r="J38" s="60">
        <v>7.0000000000000007E-2</v>
      </c>
      <c r="K38" s="60">
        <v>314.61</v>
      </c>
      <c r="L38" s="9" t="s">
        <v>36</v>
      </c>
      <c r="M38" s="60">
        <v>81.77</v>
      </c>
      <c r="N38" s="60">
        <v>284</v>
      </c>
      <c r="O38" s="60">
        <v>0</v>
      </c>
      <c r="P38" s="60">
        <v>3.55</v>
      </c>
      <c r="Q38" s="60">
        <v>8.2799999999999994</v>
      </c>
      <c r="R38" s="138"/>
      <c r="S38" s="212"/>
      <c r="T38" s="209"/>
      <c r="U38" s="60"/>
    </row>
    <row r="39" spans="1:21" s="12" customFormat="1" x14ac:dyDescent="0.25">
      <c r="A39" s="200" t="s">
        <v>278</v>
      </c>
      <c r="B39" s="60">
        <v>13.51</v>
      </c>
      <c r="C39" s="60">
        <v>11.71</v>
      </c>
      <c r="D39" s="60">
        <v>25.22</v>
      </c>
      <c r="E39" s="60">
        <v>6.04</v>
      </c>
      <c r="F39" s="60">
        <v>0.15</v>
      </c>
      <c r="G39" s="215" t="s">
        <v>36</v>
      </c>
      <c r="H39" s="60">
        <v>24.41</v>
      </c>
      <c r="I39" s="60">
        <v>7.13</v>
      </c>
      <c r="J39" s="60">
        <v>0.1</v>
      </c>
      <c r="K39" s="60">
        <v>327.08999999999997</v>
      </c>
      <c r="L39" s="9" t="s">
        <v>36</v>
      </c>
      <c r="M39" s="60">
        <v>80.930000000000007</v>
      </c>
      <c r="N39" s="60">
        <v>250.6</v>
      </c>
      <c r="O39" s="60">
        <v>0</v>
      </c>
      <c r="P39" s="60">
        <v>3.54</v>
      </c>
      <c r="Q39" s="60">
        <v>8.25</v>
      </c>
      <c r="R39" s="138"/>
      <c r="S39" s="212"/>
      <c r="T39" s="209"/>
      <c r="U39" s="60"/>
    </row>
    <row r="40" spans="1:21" s="12" customFormat="1" x14ac:dyDescent="0.25">
      <c r="A40" s="200" t="s">
        <v>279</v>
      </c>
      <c r="B40" s="60">
        <v>13.14</v>
      </c>
      <c r="C40" s="60">
        <v>12.49</v>
      </c>
      <c r="D40" s="60">
        <v>25.63</v>
      </c>
      <c r="E40" s="60">
        <v>3.18</v>
      </c>
      <c r="F40" s="60">
        <v>0.06</v>
      </c>
      <c r="G40" s="215" t="s">
        <v>36</v>
      </c>
      <c r="H40" s="60">
        <v>24.41</v>
      </c>
      <c r="I40" s="60">
        <v>6.99</v>
      </c>
      <c r="J40" s="60">
        <v>0.15</v>
      </c>
      <c r="K40" s="60">
        <v>315.95</v>
      </c>
      <c r="L40" s="9" t="s">
        <v>36</v>
      </c>
      <c r="M40" s="60">
        <v>76.930000000000007</v>
      </c>
      <c r="N40" s="60">
        <v>236.4</v>
      </c>
      <c r="O40" s="60">
        <v>0</v>
      </c>
      <c r="P40" s="60">
        <v>3.54</v>
      </c>
      <c r="Q40" s="60">
        <v>8.25</v>
      </c>
      <c r="R40" s="138"/>
      <c r="S40" s="212"/>
      <c r="T40" s="209"/>
      <c r="U40" s="60"/>
    </row>
    <row r="41" spans="1:21" s="12" customFormat="1" x14ac:dyDescent="0.25">
      <c r="A41" s="200" t="s">
        <v>280</v>
      </c>
      <c r="B41" s="60">
        <v>12.93</v>
      </c>
      <c r="C41" s="60">
        <v>13.09</v>
      </c>
      <c r="D41" s="60">
        <v>26.01</v>
      </c>
      <c r="E41" s="60">
        <v>5.78</v>
      </c>
      <c r="F41" s="60">
        <v>0.18</v>
      </c>
      <c r="G41" s="215" t="s">
        <v>36</v>
      </c>
      <c r="H41" s="60">
        <v>24.14</v>
      </c>
      <c r="I41" s="60">
        <v>6.85</v>
      </c>
      <c r="J41" s="60">
        <v>0.11</v>
      </c>
      <c r="K41" s="60">
        <v>352.3</v>
      </c>
      <c r="L41" s="9" t="s">
        <v>36</v>
      </c>
      <c r="M41" s="60">
        <v>79.69</v>
      </c>
      <c r="N41" s="60">
        <v>269.60000000000002</v>
      </c>
      <c r="O41" s="60">
        <v>0</v>
      </c>
      <c r="P41" s="60">
        <v>3.54</v>
      </c>
      <c r="Q41" s="60">
        <v>8.2200000000000006</v>
      </c>
      <c r="R41" s="138"/>
      <c r="S41" s="212"/>
      <c r="T41" s="209"/>
      <c r="U41" s="60"/>
    </row>
    <row r="42" spans="1:21" s="12" customFormat="1" x14ac:dyDescent="0.25">
      <c r="A42" s="200" t="s">
        <v>281</v>
      </c>
      <c r="B42" s="60">
        <v>12.16</v>
      </c>
      <c r="C42" s="60">
        <v>14.17</v>
      </c>
      <c r="D42" s="60">
        <v>26.33</v>
      </c>
      <c r="E42" s="60">
        <v>5.98</v>
      </c>
      <c r="F42" s="60">
        <v>0.06</v>
      </c>
      <c r="G42" s="215" t="s">
        <v>36</v>
      </c>
      <c r="H42" s="60">
        <v>23.46</v>
      </c>
      <c r="I42" s="60">
        <v>6.81</v>
      </c>
      <c r="J42" s="60">
        <v>0.19</v>
      </c>
      <c r="K42" s="60">
        <v>334.8</v>
      </c>
      <c r="L42" s="9" t="s">
        <v>36</v>
      </c>
      <c r="M42" s="60">
        <v>74.069999999999993</v>
      </c>
      <c r="N42" s="60">
        <v>457.8</v>
      </c>
      <c r="O42" s="60">
        <v>0</v>
      </c>
      <c r="P42" s="60">
        <v>3.55</v>
      </c>
      <c r="Q42" s="60">
        <v>8.01</v>
      </c>
      <c r="R42" s="138"/>
      <c r="S42" s="212"/>
      <c r="T42" s="209"/>
      <c r="U42" s="60"/>
    </row>
    <row r="43" spans="1:21" s="12" customFormat="1" x14ac:dyDescent="0.25">
      <c r="A43" s="200" t="s">
        <v>282</v>
      </c>
      <c r="B43" s="60">
        <v>11.19</v>
      </c>
      <c r="C43" s="60">
        <v>14.56</v>
      </c>
      <c r="D43" s="60">
        <v>25.75</v>
      </c>
      <c r="E43" s="60">
        <v>5.51</v>
      </c>
      <c r="F43" s="60">
        <v>0.04</v>
      </c>
      <c r="G43" s="215" t="s">
        <v>36</v>
      </c>
      <c r="H43" s="60">
        <v>23.46</v>
      </c>
      <c r="I43" s="60">
        <v>6.88</v>
      </c>
      <c r="J43" s="60">
        <v>0.02</v>
      </c>
      <c r="K43" s="60">
        <v>194.8</v>
      </c>
      <c r="L43" s="9" t="s">
        <v>36</v>
      </c>
      <c r="M43" s="60">
        <v>72.94</v>
      </c>
      <c r="N43" s="60">
        <v>500.7</v>
      </c>
      <c r="O43" s="60">
        <v>0</v>
      </c>
      <c r="P43" s="60">
        <v>3.54</v>
      </c>
      <c r="Q43" s="60">
        <v>7.18</v>
      </c>
      <c r="R43" s="138"/>
      <c r="S43" s="212"/>
      <c r="T43" s="209"/>
      <c r="U43" s="60"/>
    </row>
    <row r="44" spans="1:21" s="12" customFormat="1" x14ac:dyDescent="0.25">
      <c r="A44" s="200" t="s">
        <v>283</v>
      </c>
      <c r="B44" s="60">
        <v>10.130000000000001</v>
      </c>
      <c r="C44" s="60">
        <v>15.15</v>
      </c>
      <c r="D44" s="60">
        <v>25.28</v>
      </c>
      <c r="E44" s="60">
        <v>6.01</v>
      </c>
      <c r="F44" s="60">
        <v>0.05</v>
      </c>
      <c r="G44" s="215" t="s">
        <v>36</v>
      </c>
      <c r="H44" s="60">
        <v>23.46</v>
      </c>
      <c r="I44" s="60">
        <v>7.03</v>
      </c>
      <c r="J44" s="60">
        <v>0.1</v>
      </c>
      <c r="K44" s="60">
        <v>295.87</v>
      </c>
      <c r="L44" s="9" t="s">
        <v>36</v>
      </c>
      <c r="M44" s="60">
        <v>70.95</v>
      </c>
      <c r="N44" s="60">
        <v>602.9</v>
      </c>
      <c r="O44" s="60">
        <v>0</v>
      </c>
      <c r="P44" s="60">
        <v>3.57</v>
      </c>
      <c r="Q44" s="60">
        <v>6.88</v>
      </c>
      <c r="R44" s="138"/>
      <c r="S44" s="212"/>
      <c r="T44" s="209"/>
      <c r="U44" s="60"/>
    </row>
    <row r="45" spans="1:21" s="12" customFormat="1" x14ac:dyDescent="0.25">
      <c r="A45" s="200" t="s">
        <v>284</v>
      </c>
      <c r="B45" s="60">
        <v>9.15</v>
      </c>
      <c r="C45" s="60">
        <v>15.47</v>
      </c>
      <c r="D45" s="60">
        <v>24.62</v>
      </c>
      <c r="E45" s="60">
        <v>5.74</v>
      </c>
      <c r="F45" s="60">
        <v>0.21</v>
      </c>
      <c r="G45" s="215" t="s">
        <v>36</v>
      </c>
      <c r="H45" s="60">
        <v>25.16</v>
      </c>
      <c r="I45" s="60">
        <v>7.16</v>
      </c>
      <c r="J45" s="60">
        <v>0.08</v>
      </c>
      <c r="K45" s="60">
        <v>255.05</v>
      </c>
      <c r="L45" s="9" t="s">
        <v>36</v>
      </c>
      <c r="M45" s="60">
        <v>70.16</v>
      </c>
      <c r="N45" s="60">
        <v>598.5</v>
      </c>
      <c r="O45" s="60">
        <v>0</v>
      </c>
      <c r="P45" s="60">
        <v>3.59</v>
      </c>
      <c r="Q45" s="60">
        <v>6.24</v>
      </c>
      <c r="R45" s="138"/>
      <c r="S45" s="212"/>
      <c r="T45" s="209"/>
      <c r="U45" s="60"/>
    </row>
    <row r="46" spans="1:21" s="12" customFormat="1" x14ac:dyDescent="0.25">
      <c r="A46" s="200" t="s">
        <v>285</v>
      </c>
      <c r="B46" s="60">
        <v>7.96</v>
      </c>
      <c r="C46" s="60">
        <v>17.100000000000001</v>
      </c>
      <c r="D46" s="60">
        <v>25.06</v>
      </c>
      <c r="E46" s="60">
        <v>5.87</v>
      </c>
      <c r="F46" s="60">
        <v>0.41</v>
      </c>
      <c r="G46" s="215" t="s">
        <v>36</v>
      </c>
      <c r="H46" s="60">
        <v>29.33</v>
      </c>
      <c r="I46" s="60">
        <v>7.32</v>
      </c>
      <c r="J46" s="60">
        <v>0.16</v>
      </c>
      <c r="K46" s="60">
        <v>328.69</v>
      </c>
      <c r="L46" s="9" t="s">
        <v>36</v>
      </c>
      <c r="M46" s="60">
        <v>64.73</v>
      </c>
      <c r="N46" s="60">
        <v>602.6</v>
      </c>
      <c r="O46" s="60">
        <v>0</v>
      </c>
      <c r="P46" s="60">
        <v>3.6</v>
      </c>
      <c r="Q46" s="60">
        <v>6.13</v>
      </c>
      <c r="R46" s="138"/>
      <c r="S46" s="212"/>
      <c r="T46" s="209"/>
      <c r="U46" s="60"/>
    </row>
    <row r="47" spans="1:21" s="12" customFormat="1" x14ac:dyDescent="0.25">
      <c r="A47" s="200" t="s">
        <v>286</v>
      </c>
      <c r="B47" s="60">
        <v>6.74</v>
      </c>
      <c r="C47" s="60">
        <v>17.77</v>
      </c>
      <c r="D47" s="60">
        <v>24.52</v>
      </c>
      <c r="E47" s="60">
        <v>5.57</v>
      </c>
      <c r="F47" s="60">
        <v>0.46</v>
      </c>
      <c r="G47" s="215" t="s">
        <v>36</v>
      </c>
      <c r="H47" s="60">
        <v>29.33</v>
      </c>
      <c r="I47" s="60">
        <v>7.6</v>
      </c>
      <c r="J47" s="60">
        <v>0.11</v>
      </c>
      <c r="K47" s="60">
        <v>197.6</v>
      </c>
      <c r="L47" s="9" t="s">
        <v>36</v>
      </c>
      <c r="M47" s="60">
        <v>69.56</v>
      </c>
      <c r="N47" s="60">
        <v>554.1</v>
      </c>
      <c r="O47" s="60">
        <v>0</v>
      </c>
      <c r="P47" s="60">
        <v>3.64</v>
      </c>
      <c r="Q47" s="60">
        <v>5.68</v>
      </c>
      <c r="R47" s="138"/>
      <c r="S47" s="212"/>
      <c r="T47" s="209"/>
      <c r="U47" s="60"/>
    </row>
    <row r="48" spans="1:21" s="12" customFormat="1" x14ac:dyDescent="0.25">
      <c r="A48" s="200" t="s">
        <v>287</v>
      </c>
      <c r="B48" s="60">
        <v>5.0599999999999996</v>
      </c>
      <c r="C48" s="60">
        <v>18.670000000000002</v>
      </c>
      <c r="D48" s="60">
        <v>23.74</v>
      </c>
      <c r="E48" s="60">
        <v>5.42</v>
      </c>
      <c r="F48" s="60">
        <v>0.76</v>
      </c>
      <c r="G48" s="215" t="s">
        <v>36</v>
      </c>
      <c r="H48" s="60">
        <v>29.33</v>
      </c>
      <c r="I48" s="60">
        <v>7.96</v>
      </c>
      <c r="J48" s="60">
        <v>0.02</v>
      </c>
      <c r="K48" s="60">
        <v>220.18</v>
      </c>
      <c r="L48" s="9" t="s">
        <v>36</v>
      </c>
      <c r="M48" s="60">
        <v>71.069999999999993</v>
      </c>
      <c r="N48" s="60">
        <v>391.5</v>
      </c>
      <c r="O48" s="60">
        <v>0</v>
      </c>
      <c r="P48" s="60">
        <v>3.66</v>
      </c>
      <c r="Q48" s="60">
        <v>5.21</v>
      </c>
      <c r="R48" s="138"/>
      <c r="S48" s="212"/>
      <c r="T48" s="209"/>
      <c r="U48" s="60"/>
    </row>
    <row r="49" spans="1:21" s="12" customFormat="1" x14ac:dyDescent="0.25">
      <c r="A49" s="200" t="s">
        <v>288</v>
      </c>
      <c r="B49" s="60">
        <v>3.56</v>
      </c>
      <c r="C49" s="60">
        <v>19.98</v>
      </c>
      <c r="D49" s="60">
        <v>23.54</v>
      </c>
      <c r="E49" s="60">
        <v>5.69</v>
      </c>
      <c r="F49" s="60">
        <v>5.67</v>
      </c>
      <c r="G49" s="215" t="s">
        <v>36</v>
      </c>
      <c r="H49" s="60">
        <v>30.2</v>
      </c>
      <c r="I49" s="60">
        <v>8.25</v>
      </c>
      <c r="J49" s="60">
        <v>0.19</v>
      </c>
      <c r="K49" s="60">
        <v>144.25</v>
      </c>
      <c r="L49" s="9" t="s">
        <v>36</v>
      </c>
      <c r="M49" s="60">
        <v>70.23</v>
      </c>
      <c r="N49" s="60">
        <v>366.1</v>
      </c>
      <c r="O49" s="60">
        <v>0</v>
      </c>
      <c r="P49" s="60">
        <v>3.67</v>
      </c>
      <c r="Q49" s="60">
        <v>5.01</v>
      </c>
      <c r="R49" s="138"/>
      <c r="S49" s="212"/>
      <c r="T49" s="209"/>
      <c r="U49" s="60"/>
    </row>
    <row r="50" spans="1:21" s="12" customFormat="1" x14ac:dyDescent="0.25">
      <c r="A50" s="200" t="s">
        <v>289</v>
      </c>
      <c r="B50" s="60">
        <v>1.08</v>
      </c>
      <c r="C50" s="60">
        <v>20.74</v>
      </c>
      <c r="D50" s="60">
        <v>21.82</v>
      </c>
      <c r="E50" s="60">
        <v>3.74</v>
      </c>
      <c r="F50" s="60">
        <v>9.19</v>
      </c>
      <c r="G50" s="215" t="s">
        <v>36</v>
      </c>
      <c r="H50" s="60">
        <v>32.340000000000003</v>
      </c>
      <c r="I50" s="60">
        <v>8.33</v>
      </c>
      <c r="J50" s="60">
        <v>0.03</v>
      </c>
      <c r="K50" s="60">
        <v>267.26</v>
      </c>
      <c r="L50" s="9" t="s">
        <v>36</v>
      </c>
      <c r="M50" s="60">
        <v>71.75</v>
      </c>
      <c r="N50" s="60">
        <v>359.2</v>
      </c>
      <c r="O50" s="60">
        <v>0</v>
      </c>
      <c r="P50" s="60">
        <v>3.62</v>
      </c>
      <c r="Q50" s="60">
        <v>3.91</v>
      </c>
      <c r="R50" s="138"/>
      <c r="S50" s="212"/>
      <c r="T50" s="209"/>
      <c r="U50" s="60"/>
    </row>
    <row r="51" spans="1:21" s="12" customFormat="1" x14ac:dyDescent="0.25">
      <c r="A51" s="200" t="s">
        <v>290</v>
      </c>
      <c r="B51" s="60">
        <v>1.22</v>
      </c>
      <c r="C51" s="60">
        <v>22.34</v>
      </c>
      <c r="D51" s="60">
        <v>23.56</v>
      </c>
      <c r="E51" s="60">
        <v>2.8</v>
      </c>
      <c r="F51" s="60">
        <v>4.78</v>
      </c>
      <c r="G51" s="215" t="s">
        <v>36</v>
      </c>
      <c r="H51" s="60">
        <v>32.340000000000003</v>
      </c>
      <c r="I51" s="60">
        <v>8.2799999999999994</v>
      </c>
      <c r="J51" s="60">
        <v>0.13</v>
      </c>
      <c r="K51" s="60">
        <v>263.06</v>
      </c>
      <c r="L51" s="9" t="s">
        <v>36</v>
      </c>
      <c r="M51" s="60">
        <v>68.36</v>
      </c>
      <c r="N51" s="60">
        <v>337.7</v>
      </c>
      <c r="O51" s="60">
        <v>0</v>
      </c>
      <c r="P51" s="60">
        <v>3.66</v>
      </c>
      <c r="Q51" s="60">
        <v>4.43</v>
      </c>
      <c r="R51" s="138"/>
      <c r="S51" s="212"/>
      <c r="T51" s="209"/>
      <c r="U51" s="60"/>
    </row>
    <row r="52" spans="1:21" s="12" customFormat="1" x14ac:dyDescent="0.25">
      <c r="A52" s="200" t="s">
        <v>291</v>
      </c>
      <c r="B52" s="60">
        <v>1.38</v>
      </c>
      <c r="C52" s="60">
        <v>24.07</v>
      </c>
      <c r="D52" s="60">
        <v>25.45</v>
      </c>
      <c r="E52" s="60">
        <v>2.76</v>
      </c>
      <c r="F52" s="60">
        <v>4.0999999999999996</v>
      </c>
      <c r="G52" s="215" t="s">
        <v>36</v>
      </c>
      <c r="H52" s="60">
        <v>32.340000000000003</v>
      </c>
      <c r="I52" s="60">
        <v>7.56</v>
      </c>
      <c r="J52" s="60">
        <v>0.45</v>
      </c>
      <c r="K52" s="60">
        <v>321.43</v>
      </c>
      <c r="L52" s="9" t="s">
        <v>36</v>
      </c>
      <c r="M52" s="60">
        <v>68.47</v>
      </c>
      <c r="N52" s="60">
        <v>290</v>
      </c>
      <c r="O52" s="60">
        <v>0</v>
      </c>
      <c r="P52" s="60">
        <v>3.69</v>
      </c>
      <c r="Q52" s="60">
        <v>5.15</v>
      </c>
      <c r="R52" s="138"/>
      <c r="S52" s="212"/>
      <c r="T52" s="209"/>
      <c r="U52" s="60"/>
    </row>
    <row r="53" spans="1:21" s="12" customFormat="1" x14ac:dyDescent="0.25">
      <c r="A53" s="200" t="s">
        <v>292</v>
      </c>
      <c r="B53" s="60">
        <v>2.2599999999999998</v>
      </c>
      <c r="C53" s="60">
        <v>24.64</v>
      </c>
      <c r="D53" s="60">
        <v>26.9</v>
      </c>
      <c r="E53" s="60">
        <v>2.42</v>
      </c>
      <c r="F53" s="60">
        <v>3.61</v>
      </c>
      <c r="G53" s="215" t="s">
        <v>36</v>
      </c>
      <c r="H53" s="60">
        <v>32.76</v>
      </c>
      <c r="I53" s="60">
        <v>7.59</v>
      </c>
      <c r="J53" s="60">
        <v>1.48</v>
      </c>
      <c r="K53" s="60">
        <v>326.24</v>
      </c>
      <c r="L53" s="9" t="s">
        <v>36</v>
      </c>
      <c r="M53" s="60">
        <v>61.59</v>
      </c>
      <c r="N53" s="60">
        <v>463.3</v>
      </c>
      <c r="O53" s="60">
        <v>0</v>
      </c>
      <c r="P53" s="60">
        <v>3.68</v>
      </c>
      <c r="Q53" s="60">
        <v>5.66</v>
      </c>
      <c r="R53" s="138"/>
      <c r="S53" s="212"/>
      <c r="T53" s="209"/>
      <c r="U53" s="60"/>
    </row>
    <row r="54" spans="1:21" s="12" customFormat="1" x14ac:dyDescent="0.25">
      <c r="A54" s="200" t="s">
        <v>293</v>
      </c>
      <c r="B54" s="60">
        <v>3.51</v>
      </c>
      <c r="C54" s="60">
        <v>24.93</v>
      </c>
      <c r="D54" s="60">
        <v>28.43</v>
      </c>
      <c r="E54" s="60">
        <v>2.13</v>
      </c>
      <c r="F54" s="60">
        <v>2.3199999999999998</v>
      </c>
      <c r="G54" s="215" t="s">
        <v>36</v>
      </c>
      <c r="H54" s="60">
        <v>33.78</v>
      </c>
      <c r="I54" s="60">
        <v>7.49</v>
      </c>
      <c r="J54" s="60">
        <v>1.1200000000000001</v>
      </c>
      <c r="K54" s="60">
        <v>327.45</v>
      </c>
      <c r="L54" s="9" t="s">
        <v>36</v>
      </c>
      <c r="M54" s="60">
        <v>58.46</v>
      </c>
      <c r="N54" s="60">
        <v>496.3</v>
      </c>
      <c r="O54" s="60">
        <v>0</v>
      </c>
      <c r="P54" s="60">
        <v>3.66</v>
      </c>
      <c r="Q54" s="60">
        <v>6.08</v>
      </c>
      <c r="R54" s="138"/>
      <c r="S54" s="212"/>
      <c r="T54" s="209"/>
      <c r="U54" s="60"/>
    </row>
    <row r="55" spans="1:21" s="12" customFormat="1" x14ac:dyDescent="0.25">
      <c r="A55" s="200" t="s">
        <v>294</v>
      </c>
      <c r="B55" s="60">
        <v>5.98</v>
      </c>
      <c r="C55" s="60">
        <v>26.85</v>
      </c>
      <c r="D55" s="60">
        <v>32.83</v>
      </c>
      <c r="E55" s="60">
        <v>2.67</v>
      </c>
      <c r="F55" s="60">
        <v>1.44</v>
      </c>
      <c r="G55" s="215" t="s">
        <v>36</v>
      </c>
      <c r="H55" s="60">
        <v>33.78</v>
      </c>
      <c r="I55" s="60">
        <v>6.88</v>
      </c>
      <c r="J55" s="60">
        <v>0.45</v>
      </c>
      <c r="K55" s="60">
        <v>327.93</v>
      </c>
      <c r="L55" s="9" t="s">
        <v>36</v>
      </c>
      <c r="M55" s="60">
        <v>57.93</v>
      </c>
      <c r="N55" s="60">
        <v>467.1</v>
      </c>
      <c r="O55" s="60">
        <v>0</v>
      </c>
      <c r="P55" s="60">
        <v>3.69</v>
      </c>
      <c r="Q55" s="60">
        <v>6.92</v>
      </c>
      <c r="R55" s="138"/>
      <c r="S55" s="212"/>
      <c r="T55" s="209"/>
      <c r="U55" s="60"/>
    </row>
    <row r="56" spans="1:21" s="12" customFormat="1" x14ac:dyDescent="0.25">
      <c r="A56" s="200" t="s">
        <v>295</v>
      </c>
      <c r="B56" s="60">
        <v>7.4</v>
      </c>
      <c r="C56" s="60">
        <v>30.12</v>
      </c>
      <c r="D56" s="60">
        <v>37.520000000000003</v>
      </c>
      <c r="E56" s="60">
        <v>1.47</v>
      </c>
      <c r="F56" s="60">
        <v>1.61</v>
      </c>
      <c r="G56" s="215" t="s">
        <v>36</v>
      </c>
      <c r="H56" s="60">
        <v>33.78</v>
      </c>
      <c r="I56" s="60">
        <v>6.38</v>
      </c>
      <c r="J56" s="60">
        <v>0.95</v>
      </c>
      <c r="K56" s="60">
        <v>342.41</v>
      </c>
      <c r="L56" s="9" t="s">
        <v>36</v>
      </c>
      <c r="M56" s="60">
        <v>59.85</v>
      </c>
      <c r="N56" s="60">
        <v>491.5</v>
      </c>
      <c r="O56" s="60">
        <v>0</v>
      </c>
      <c r="P56" s="60">
        <v>3.73</v>
      </c>
      <c r="Q56" s="60">
        <v>7.92</v>
      </c>
      <c r="R56" s="138"/>
      <c r="S56" s="212"/>
      <c r="T56" s="209"/>
      <c r="U56" s="60"/>
    </row>
    <row r="57" spans="1:21" s="12" customFormat="1" x14ac:dyDescent="0.25">
      <c r="A57" s="200" t="s">
        <v>296</v>
      </c>
      <c r="B57" s="60">
        <v>6.03</v>
      </c>
      <c r="C57" s="60">
        <v>32.74</v>
      </c>
      <c r="D57" s="60">
        <v>38.76</v>
      </c>
      <c r="E57" s="60">
        <v>3.04</v>
      </c>
      <c r="F57" s="60">
        <v>1.88</v>
      </c>
      <c r="G57" s="215" t="s">
        <v>36</v>
      </c>
      <c r="H57" s="60">
        <v>35.340000000000003</v>
      </c>
      <c r="I57" s="60">
        <v>5.91</v>
      </c>
      <c r="J57" s="60">
        <v>0.35</v>
      </c>
      <c r="K57" s="60">
        <v>35.630000000000003</v>
      </c>
      <c r="L57" s="9" t="s">
        <v>36</v>
      </c>
      <c r="M57" s="60">
        <v>62.05</v>
      </c>
      <c r="N57" s="60">
        <v>417.7</v>
      </c>
      <c r="O57" s="60">
        <v>0</v>
      </c>
      <c r="P57" s="60">
        <v>3.74</v>
      </c>
      <c r="Q57" s="60">
        <v>8.1199999999999992</v>
      </c>
      <c r="R57" s="138"/>
      <c r="S57" s="212"/>
      <c r="T57" s="209"/>
      <c r="U57" s="60"/>
    </row>
    <row r="58" spans="1:21" s="12" customFormat="1" x14ac:dyDescent="0.25">
      <c r="A58" s="200" t="s">
        <v>297</v>
      </c>
      <c r="B58" s="60">
        <v>4.43</v>
      </c>
      <c r="C58" s="60">
        <v>35.15</v>
      </c>
      <c r="D58" s="60">
        <v>39.58</v>
      </c>
      <c r="E58" s="60">
        <v>2.93</v>
      </c>
      <c r="F58" s="60">
        <v>2.37</v>
      </c>
      <c r="G58" s="215" t="s">
        <v>36</v>
      </c>
      <c r="H58" s="60">
        <v>39.159999999999997</v>
      </c>
      <c r="I58" s="60">
        <v>5.89</v>
      </c>
      <c r="J58" s="60">
        <v>0.95</v>
      </c>
      <c r="K58" s="60">
        <v>0.12</v>
      </c>
      <c r="L58" s="9" t="s">
        <v>36</v>
      </c>
      <c r="M58" s="60">
        <v>66.36</v>
      </c>
      <c r="N58" s="60">
        <v>292.2</v>
      </c>
      <c r="O58" s="60">
        <v>0</v>
      </c>
      <c r="P58" s="60">
        <v>3.74</v>
      </c>
      <c r="Q58" s="60">
        <v>7.57</v>
      </c>
      <c r="R58" s="138"/>
      <c r="S58" s="212"/>
      <c r="T58" s="209"/>
      <c r="U58" s="60"/>
    </row>
    <row r="59" spans="1:21" s="12" customFormat="1" x14ac:dyDescent="0.25">
      <c r="A59" s="200" t="s">
        <v>298</v>
      </c>
      <c r="B59" s="60">
        <v>4.2300000000000004</v>
      </c>
      <c r="C59" s="60">
        <v>36.770000000000003</v>
      </c>
      <c r="D59" s="60">
        <v>41</v>
      </c>
      <c r="E59" s="60">
        <v>2.59</v>
      </c>
      <c r="F59" s="60">
        <v>2.56</v>
      </c>
      <c r="G59" s="215" t="s">
        <v>36</v>
      </c>
      <c r="H59" s="60">
        <v>39.159999999999997</v>
      </c>
      <c r="I59" s="60">
        <v>5.71</v>
      </c>
      <c r="J59" s="60">
        <v>0.6</v>
      </c>
      <c r="K59" s="60">
        <v>46.56</v>
      </c>
      <c r="L59" s="9" t="s">
        <v>36</v>
      </c>
      <c r="M59" s="60">
        <v>69.28</v>
      </c>
      <c r="N59" s="60">
        <v>308.2</v>
      </c>
      <c r="O59" s="60">
        <v>0</v>
      </c>
      <c r="P59" s="60">
        <v>3.83</v>
      </c>
      <c r="Q59" s="60">
        <v>7.59</v>
      </c>
      <c r="R59" s="138"/>
      <c r="S59" s="212"/>
      <c r="T59" s="209"/>
      <c r="U59" s="60"/>
    </row>
    <row r="60" spans="1:21" s="12" customFormat="1" x14ac:dyDescent="0.25">
      <c r="A60" s="200" t="s">
        <v>299</v>
      </c>
      <c r="B60" s="60">
        <v>3.77</v>
      </c>
      <c r="C60" s="60">
        <v>37.07</v>
      </c>
      <c r="D60" s="60">
        <v>40.840000000000003</v>
      </c>
      <c r="E60" s="60">
        <v>1.25</v>
      </c>
      <c r="F60" s="60">
        <v>2.0499999999999998</v>
      </c>
      <c r="G60" s="215" t="s">
        <v>36</v>
      </c>
      <c r="H60" s="60">
        <v>39.159999999999997</v>
      </c>
      <c r="I60" s="60">
        <v>5.82</v>
      </c>
      <c r="J60" s="60">
        <v>0.59</v>
      </c>
      <c r="K60" s="60">
        <v>36.57</v>
      </c>
      <c r="L60" s="9" t="s">
        <v>36</v>
      </c>
      <c r="M60" s="60">
        <v>67.8</v>
      </c>
      <c r="N60" s="60">
        <v>455.3</v>
      </c>
      <c r="O60" s="60">
        <v>0</v>
      </c>
      <c r="P60" s="60">
        <v>3.85</v>
      </c>
      <c r="Q60" s="60">
        <v>7.64</v>
      </c>
      <c r="R60" s="138"/>
      <c r="S60" s="212"/>
      <c r="T60" s="209"/>
      <c r="U60" s="60"/>
    </row>
    <row r="61" spans="1:21" s="12" customFormat="1" x14ac:dyDescent="0.25">
      <c r="A61" s="200" t="s">
        <v>300</v>
      </c>
      <c r="B61" s="60">
        <v>4.0199999999999996</v>
      </c>
      <c r="C61" s="60">
        <v>37.49</v>
      </c>
      <c r="D61" s="60">
        <v>41.51</v>
      </c>
      <c r="E61" s="60">
        <v>1.69</v>
      </c>
      <c r="F61" s="60">
        <v>2.2999999999999998</v>
      </c>
      <c r="G61" s="215" t="s">
        <v>36</v>
      </c>
      <c r="H61" s="60">
        <v>37.590000000000003</v>
      </c>
      <c r="I61" s="60">
        <v>6.28</v>
      </c>
      <c r="J61" s="60">
        <v>0.68</v>
      </c>
      <c r="K61" s="60">
        <v>356.26</v>
      </c>
      <c r="L61" s="9" t="s">
        <v>36</v>
      </c>
      <c r="M61" s="60">
        <v>63.17</v>
      </c>
      <c r="N61" s="60">
        <v>484.5</v>
      </c>
      <c r="O61" s="60">
        <v>0</v>
      </c>
      <c r="P61" s="60">
        <v>3.86</v>
      </c>
      <c r="Q61" s="60">
        <v>7.67</v>
      </c>
      <c r="R61" s="138"/>
      <c r="S61" s="212"/>
      <c r="T61" s="209"/>
      <c r="U61" s="60"/>
    </row>
    <row r="62" spans="1:21" s="12" customFormat="1" x14ac:dyDescent="0.25">
      <c r="A62" s="200" t="s">
        <v>301</v>
      </c>
      <c r="B62" s="60">
        <v>3.59</v>
      </c>
      <c r="C62" s="60">
        <v>37.93</v>
      </c>
      <c r="D62" s="60">
        <v>41.52</v>
      </c>
      <c r="E62" s="60">
        <v>2.29</v>
      </c>
      <c r="F62" s="60">
        <v>2.5299999999999998</v>
      </c>
      <c r="G62" s="215" t="s">
        <v>36</v>
      </c>
      <c r="H62" s="60">
        <v>33.72</v>
      </c>
      <c r="I62" s="60">
        <v>6.45</v>
      </c>
      <c r="J62" s="60">
        <v>0.98</v>
      </c>
      <c r="K62" s="60">
        <v>335.64</v>
      </c>
      <c r="L62" s="9" t="s">
        <v>36</v>
      </c>
      <c r="M62" s="60">
        <v>60.35</v>
      </c>
      <c r="N62" s="60">
        <v>558.4</v>
      </c>
      <c r="O62" s="60">
        <v>0</v>
      </c>
      <c r="P62" s="60">
        <v>3.87</v>
      </c>
      <c r="Q62" s="60">
        <v>7.74</v>
      </c>
      <c r="R62" s="138"/>
      <c r="S62" s="212"/>
      <c r="T62" s="209"/>
      <c r="U62" s="60"/>
    </row>
    <row r="63" spans="1:21" s="12" customFormat="1" x14ac:dyDescent="0.25">
      <c r="A63" s="200" t="s">
        <v>302</v>
      </c>
      <c r="B63" s="60">
        <v>2.92</v>
      </c>
      <c r="C63" s="60">
        <v>36.74</v>
      </c>
      <c r="D63" s="60">
        <v>39.659999999999997</v>
      </c>
      <c r="E63" s="60">
        <v>2.3199999999999998</v>
      </c>
      <c r="F63" s="60">
        <v>3.79</v>
      </c>
      <c r="G63" s="215" t="s">
        <v>36</v>
      </c>
      <c r="H63" s="60">
        <v>33.72</v>
      </c>
      <c r="I63" s="60">
        <v>6.27</v>
      </c>
      <c r="J63" s="60">
        <v>1.17</v>
      </c>
      <c r="K63" s="60">
        <v>335.74</v>
      </c>
      <c r="L63" s="9" t="s">
        <v>36</v>
      </c>
      <c r="M63" s="60">
        <v>57.19</v>
      </c>
      <c r="N63" s="60">
        <v>537.29999999999995</v>
      </c>
      <c r="O63" s="60">
        <v>0</v>
      </c>
      <c r="P63" s="60">
        <v>3.8</v>
      </c>
      <c r="Q63" s="60">
        <v>6.81</v>
      </c>
      <c r="R63" s="138"/>
      <c r="S63" s="212"/>
      <c r="T63" s="209"/>
      <c r="U63" s="60"/>
    </row>
    <row r="64" spans="1:21" s="12" customFormat="1" x14ac:dyDescent="0.25">
      <c r="A64" s="200" t="s">
        <v>303</v>
      </c>
      <c r="B64" s="60">
        <v>2.5499999999999998</v>
      </c>
      <c r="C64" s="60">
        <v>34.770000000000003</v>
      </c>
      <c r="D64" s="60">
        <v>37.32</v>
      </c>
      <c r="E64" s="60">
        <v>1.88</v>
      </c>
      <c r="F64" s="60">
        <v>3.29</v>
      </c>
      <c r="G64" s="215" t="s">
        <v>36</v>
      </c>
      <c r="H64" s="60">
        <v>33.72</v>
      </c>
      <c r="I64" s="60">
        <v>6.35</v>
      </c>
      <c r="J64" s="60">
        <v>1.44</v>
      </c>
      <c r="K64" s="60">
        <v>344.04</v>
      </c>
      <c r="L64" s="9" t="s">
        <v>36</v>
      </c>
      <c r="M64" s="60">
        <v>59.24</v>
      </c>
      <c r="N64" s="60">
        <v>415.1</v>
      </c>
      <c r="O64" s="60">
        <v>0</v>
      </c>
      <c r="P64" s="60">
        <v>3.75</v>
      </c>
      <c r="Q64" s="60">
        <v>6.55</v>
      </c>
      <c r="R64" s="138"/>
      <c r="S64" s="212"/>
      <c r="T64" s="209"/>
      <c r="U64" s="60"/>
    </row>
    <row r="65" spans="1:21" s="12" customFormat="1" x14ac:dyDescent="0.25">
      <c r="A65" s="200" t="s">
        <v>304</v>
      </c>
      <c r="B65" s="60">
        <v>2.57</v>
      </c>
      <c r="C65" s="60">
        <v>33.29</v>
      </c>
      <c r="D65" s="60">
        <v>35.86</v>
      </c>
      <c r="E65" s="60">
        <v>1.73</v>
      </c>
      <c r="F65" s="60">
        <v>1.82</v>
      </c>
      <c r="G65" s="215" t="s">
        <v>36</v>
      </c>
      <c r="H65" s="60">
        <v>33.299999999999997</v>
      </c>
      <c r="I65" s="60">
        <v>5.8</v>
      </c>
      <c r="J65" s="60">
        <v>1.3</v>
      </c>
      <c r="K65" s="60">
        <v>332.97</v>
      </c>
      <c r="L65" s="9" t="s">
        <v>36</v>
      </c>
      <c r="M65" s="60">
        <v>59.78</v>
      </c>
      <c r="N65" s="60">
        <v>393.7</v>
      </c>
      <c r="O65" s="60">
        <v>0</v>
      </c>
      <c r="P65" s="60">
        <v>3.72</v>
      </c>
      <c r="Q65" s="60">
        <v>6.39</v>
      </c>
      <c r="R65" s="138"/>
      <c r="S65" s="212"/>
      <c r="T65" s="209"/>
      <c r="U65" s="60"/>
    </row>
    <row r="66" spans="1:21" s="12" customFormat="1" x14ac:dyDescent="0.25">
      <c r="A66" s="200" t="s">
        <v>305</v>
      </c>
      <c r="B66" s="60">
        <v>3.19</v>
      </c>
      <c r="C66" s="60">
        <v>29.62</v>
      </c>
      <c r="D66" s="60">
        <v>32.82</v>
      </c>
      <c r="E66" s="60">
        <v>1.96</v>
      </c>
      <c r="F66" s="60">
        <v>1.55</v>
      </c>
      <c r="G66" s="215" t="s">
        <v>36</v>
      </c>
      <c r="H66" s="60">
        <v>32.270000000000003</v>
      </c>
      <c r="I66" s="60">
        <v>5.66</v>
      </c>
      <c r="J66" s="60">
        <v>1.2</v>
      </c>
      <c r="K66" s="60">
        <v>334.61</v>
      </c>
      <c r="L66" s="9" t="s">
        <v>36</v>
      </c>
      <c r="M66" s="60">
        <v>56.57</v>
      </c>
      <c r="N66" s="60">
        <v>417.6</v>
      </c>
      <c r="O66" s="60">
        <v>0</v>
      </c>
      <c r="P66" s="60">
        <v>3.71</v>
      </c>
      <c r="Q66" s="60">
        <v>6.34</v>
      </c>
      <c r="R66" s="138"/>
      <c r="S66" s="212"/>
      <c r="T66" s="209"/>
      <c r="U66" s="60"/>
    </row>
    <row r="67" spans="1:21" s="12" customFormat="1" x14ac:dyDescent="0.25">
      <c r="A67" s="200" t="s">
        <v>306</v>
      </c>
      <c r="B67" s="60">
        <v>5.49</v>
      </c>
      <c r="C67" s="60">
        <v>28.44</v>
      </c>
      <c r="D67" s="60">
        <v>33.93</v>
      </c>
      <c r="E67" s="60">
        <v>1.72</v>
      </c>
      <c r="F67" s="60">
        <v>1.48</v>
      </c>
      <c r="G67" s="215" t="s">
        <v>36</v>
      </c>
      <c r="H67" s="60">
        <v>32.270000000000003</v>
      </c>
      <c r="I67" s="60">
        <v>5.98</v>
      </c>
      <c r="J67" s="60">
        <v>1.39</v>
      </c>
      <c r="K67" s="60">
        <v>342.5</v>
      </c>
      <c r="L67" s="9" t="s">
        <v>36</v>
      </c>
      <c r="M67" s="60">
        <v>56.58</v>
      </c>
      <c r="N67" s="60">
        <v>380.9</v>
      </c>
      <c r="O67" s="60">
        <v>0</v>
      </c>
      <c r="P67" s="60">
        <v>3.69</v>
      </c>
      <c r="Q67" s="60">
        <v>7.33</v>
      </c>
      <c r="R67" s="138"/>
      <c r="S67" s="212"/>
      <c r="T67" s="209"/>
      <c r="U67" s="60"/>
    </row>
    <row r="68" spans="1:21" s="12" customFormat="1" x14ac:dyDescent="0.25">
      <c r="A68" s="200" t="s">
        <v>307</v>
      </c>
      <c r="B68" s="60">
        <v>8.4499999999999993</v>
      </c>
      <c r="C68" s="60">
        <v>26.99</v>
      </c>
      <c r="D68" s="60">
        <v>35.44</v>
      </c>
      <c r="E68" s="60">
        <v>2.21</v>
      </c>
      <c r="F68" s="60">
        <v>0.99</v>
      </c>
      <c r="G68" s="215" t="s">
        <v>36</v>
      </c>
      <c r="H68" s="60">
        <v>32.270000000000003</v>
      </c>
      <c r="I68" s="60">
        <v>5.94</v>
      </c>
      <c r="J68" s="60">
        <v>1.43</v>
      </c>
      <c r="K68" s="60">
        <v>326.18</v>
      </c>
      <c r="L68" s="9" t="s">
        <v>36</v>
      </c>
      <c r="M68" s="60">
        <v>55.67</v>
      </c>
      <c r="N68" s="60">
        <v>377.9</v>
      </c>
      <c r="O68" s="60">
        <v>0</v>
      </c>
      <c r="P68" s="60">
        <v>3.68</v>
      </c>
      <c r="Q68" s="60">
        <v>8.14</v>
      </c>
      <c r="R68" s="138"/>
      <c r="S68" s="212"/>
      <c r="T68" s="209"/>
      <c r="U68" s="60"/>
    </row>
    <row r="69" spans="1:21" s="12" customFormat="1" x14ac:dyDescent="0.25">
      <c r="A69" s="200" t="s">
        <v>308</v>
      </c>
      <c r="B69" s="60">
        <v>9.52</v>
      </c>
      <c r="C69" s="60">
        <v>25.77</v>
      </c>
      <c r="D69" s="60">
        <v>35.29</v>
      </c>
      <c r="E69" s="60">
        <v>2.34</v>
      </c>
      <c r="F69" s="60">
        <v>0.53</v>
      </c>
      <c r="G69" s="215" t="s">
        <v>36</v>
      </c>
      <c r="H69" s="60">
        <v>31.95</v>
      </c>
      <c r="I69" s="60">
        <v>5.69</v>
      </c>
      <c r="J69" s="60">
        <v>0.66</v>
      </c>
      <c r="K69" s="60">
        <v>331.64</v>
      </c>
      <c r="L69" s="9" t="s">
        <v>36</v>
      </c>
      <c r="M69" s="60">
        <v>56.3</v>
      </c>
      <c r="N69" s="60">
        <v>387.7</v>
      </c>
      <c r="O69" s="60">
        <v>0</v>
      </c>
      <c r="P69" s="60">
        <v>3.64</v>
      </c>
      <c r="Q69" s="60">
        <v>8.36</v>
      </c>
      <c r="R69" s="138"/>
      <c r="S69" s="212"/>
      <c r="T69" s="209"/>
      <c r="U69" s="60"/>
    </row>
    <row r="70" spans="1:21" s="12" customFormat="1" x14ac:dyDescent="0.25">
      <c r="A70" s="200" t="s">
        <v>309</v>
      </c>
      <c r="B70" s="60">
        <v>8.25</v>
      </c>
      <c r="C70" s="60">
        <v>26.1</v>
      </c>
      <c r="D70" s="60">
        <v>34.35</v>
      </c>
      <c r="E70" s="60">
        <v>2.2200000000000002</v>
      </c>
      <c r="F70" s="60">
        <v>0.62</v>
      </c>
      <c r="G70" s="215" t="s">
        <v>36</v>
      </c>
      <c r="H70" s="60">
        <v>31.17</v>
      </c>
      <c r="I70" s="60">
        <v>5.56</v>
      </c>
      <c r="J70" s="60">
        <v>0.56000000000000005</v>
      </c>
      <c r="K70" s="60">
        <v>325.54000000000002</v>
      </c>
      <c r="L70" s="9" t="s">
        <v>36</v>
      </c>
      <c r="M70" s="60">
        <v>56.45</v>
      </c>
      <c r="N70" s="60">
        <v>398.2</v>
      </c>
      <c r="O70" s="60">
        <v>0</v>
      </c>
      <c r="P70" s="60">
        <v>3.59</v>
      </c>
      <c r="Q70" s="60">
        <v>7.83</v>
      </c>
      <c r="R70" s="138"/>
      <c r="S70" s="212"/>
      <c r="T70" s="209"/>
      <c r="U70" s="60"/>
    </row>
    <row r="71" spans="1:21" s="12" customFormat="1" x14ac:dyDescent="0.25">
      <c r="A71" s="200" t="s">
        <v>310</v>
      </c>
      <c r="B71" s="60">
        <v>7.17</v>
      </c>
      <c r="C71" s="60">
        <v>25.16</v>
      </c>
      <c r="D71" s="60">
        <v>32.340000000000003</v>
      </c>
      <c r="E71" s="60">
        <v>2.46</v>
      </c>
      <c r="F71" s="60">
        <v>0.6</v>
      </c>
      <c r="G71" s="215" t="s">
        <v>36</v>
      </c>
      <c r="H71" s="60">
        <v>31.17</v>
      </c>
      <c r="I71" s="60">
        <v>5.42</v>
      </c>
      <c r="J71" s="60">
        <v>0.63</v>
      </c>
      <c r="K71" s="60">
        <v>319.02999999999997</v>
      </c>
      <c r="L71" s="9" t="s">
        <v>36</v>
      </c>
      <c r="M71" s="60">
        <v>56.7</v>
      </c>
      <c r="N71" s="60">
        <v>315.5</v>
      </c>
      <c r="O71" s="60">
        <v>0</v>
      </c>
      <c r="P71" s="60">
        <v>3.57</v>
      </c>
      <c r="Q71" s="60">
        <v>7.32</v>
      </c>
      <c r="R71" s="138"/>
      <c r="S71" s="212"/>
      <c r="T71" s="209"/>
      <c r="U71" s="60"/>
    </row>
    <row r="72" spans="1:21" s="12" customFormat="1" x14ac:dyDescent="0.25">
      <c r="A72" s="200" t="s">
        <v>311</v>
      </c>
      <c r="B72" s="60">
        <v>6.62</v>
      </c>
      <c r="C72" s="60">
        <v>23.29</v>
      </c>
      <c r="D72" s="60">
        <v>29.91</v>
      </c>
      <c r="E72" s="60">
        <v>1.34</v>
      </c>
      <c r="F72" s="60">
        <v>0.6</v>
      </c>
      <c r="G72" s="215" t="s">
        <v>36</v>
      </c>
      <c r="H72" s="60">
        <v>31.17</v>
      </c>
      <c r="I72" s="60">
        <v>5.13</v>
      </c>
      <c r="J72" s="60">
        <v>1.19</v>
      </c>
      <c r="K72" s="60">
        <v>337.52</v>
      </c>
      <c r="L72" s="9" t="s">
        <v>36</v>
      </c>
      <c r="M72" s="60">
        <v>57.4</v>
      </c>
      <c r="N72" s="60">
        <v>374.3</v>
      </c>
      <c r="O72" s="60">
        <v>0</v>
      </c>
      <c r="P72" s="60">
        <v>3.55</v>
      </c>
      <c r="Q72" s="60">
        <v>6.47</v>
      </c>
      <c r="R72" s="138"/>
      <c r="S72" s="212"/>
      <c r="T72" s="209"/>
      <c r="U72" s="60"/>
    </row>
    <row r="73" spans="1:21" s="12" customFormat="1" x14ac:dyDescent="0.25">
      <c r="A73" s="200" t="s">
        <v>312</v>
      </c>
      <c r="B73" s="60">
        <v>6.39</v>
      </c>
      <c r="C73" s="60">
        <v>21.65</v>
      </c>
      <c r="D73" s="60">
        <v>28.04</v>
      </c>
      <c r="E73" s="60">
        <v>2.63</v>
      </c>
      <c r="F73" s="60">
        <v>0.32</v>
      </c>
      <c r="G73" s="215" t="s">
        <v>36</v>
      </c>
      <c r="H73" s="60">
        <v>30.72</v>
      </c>
      <c r="I73" s="60">
        <v>5.08</v>
      </c>
      <c r="J73" s="60">
        <v>1</v>
      </c>
      <c r="K73" s="60">
        <v>336.82</v>
      </c>
      <c r="L73" s="9" t="s">
        <v>36</v>
      </c>
      <c r="M73" s="60">
        <v>58.83</v>
      </c>
      <c r="N73" s="60">
        <v>279.3</v>
      </c>
      <c r="O73" s="60">
        <v>0</v>
      </c>
      <c r="P73" s="60">
        <v>3.55</v>
      </c>
      <c r="Q73" s="60">
        <v>6.04</v>
      </c>
      <c r="R73" s="138"/>
      <c r="S73" s="212"/>
      <c r="T73" s="209"/>
      <c r="U73" s="60"/>
    </row>
    <row r="74" spans="1:21" s="12" customFormat="1" x14ac:dyDescent="0.25">
      <c r="A74" s="200" t="s">
        <v>313</v>
      </c>
      <c r="B74" s="60">
        <v>6.52</v>
      </c>
      <c r="C74" s="60">
        <v>20.62</v>
      </c>
      <c r="D74" s="60">
        <v>27.14</v>
      </c>
      <c r="E74" s="60">
        <v>2.63</v>
      </c>
      <c r="F74" s="60">
        <v>0.44</v>
      </c>
      <c r="G74" s="215" t="s">
        <v>36</v>
      </c>
      <c r="H74" s="60">
        <v>29.63</v>
      </c>
      <c r="I74" s="60">
        <v>5.04</v>
      </c>
      <c r="J74" s="60">
        <v>0.88</v>
      </c>
      <c r="K74" s="60">
        <v>346.24</v>
      </c>
      <c r="L74" s="9" t="s">
        <v>36</v>
      </c>
      <c r="M74" s="60">
        <v>60.03</v>
      </c>
      <c r="N74" s="60">
        <v>178.7</v>
      </c>
      <c r="O74" s="60">
        <v>0</v>
      </c>
      <c r="P74" s="60">
        <v>3.55</v>
      </c>
      <c r="Q74" s="60">
        <v>5.53</v>
      </c>
      <c r="R74" s="138"/>
      <c r="S74" s="212"/>
      <c r="T74" s="209"/>
      <c r="U74" s="60"/>
    </row>
    <row r="75" spans="1:21" s="12" customFormat="1" x14ac:dyDescent="0.25">
      <c r="A75" s="200" t="s">
        <v>314</v>
      </c>
      <c r="B75" s="60">
        <v>7.05</v>
      </c>
      <c r="C75" s="60">
        <v>19.93</v>
      </c>
      <c r="D75" s="60">
        <v>26.99</v>
      </c>
      <c r="E75" s="60">
        <v>3.63</v>
      </c>
      <c r="F75" s="60">
        <v>0.21</v>
      </c>
      <c r="G75" s="215" t="s">
        <v>36</v>
      </c>
      <c r="H75" s="60">
        <v>29.63</v>
      </c>
      <c r="I75" s="60">
        <v>5.09</v>
      </c>
      <c r="J75" s="60">
        <v>0.98</v>
      </c>
      <c r="K75" s="60">
        <v>324.02999999999997</v>
      </c>
      <c r="L75" s="9" t="s">
        <v>36</v>
      </c>
      <c r="M75" s="60">
        <v>60.11</v>
      </c>
      <c r="N75" s="60">
        <v>186.8</v>
      </c>
      <c r="O75" s="60">
        <v>0</v>
      </c>
      <c r="P75" s="60">
        <v>3.57</v>
      </c>
      <c r="Q75" s="60">
        <v>5.55</v>
      </c>
      <c r="R75" s="138"/>
      <c r="S75" s="212"/>
      <c r="T75" s="209"/>
      <c r="U75" s="60"/>
    </row>
    <row r="76" spans="1:21" s="12" customFormat="1" x14ac:dyDescent="0.25">
      <c r="A76" s="200" t="s">
        <v>315</v>
      </c>
      <c r="B76" s="60">
        <v>7.37</v>
      </c>
      <c r="C76" s="60">
        <v>18.940000000000001</v>
      </c>
      <c r="D76" s="60">
        <v>26.31</v>
      </c>
      <c r="E76" s="60">
        <v>3.82</v>
      </c>
      <c r="F76" s="60">
        <v>0.57999999999999996</v>
      </c>
      <c r="G76" s="215" t="s">
        <v>36</v>
      </c>
      <c r="H76" s="60">
        <v>29.63</v>
      </c>
      <c r="I76" s="60">
        <v>5.13</v>
      </c>
      <c r="J76" s="60">
        <v>0.51</v>
      </c>
      <c r="K76" s="60">
        <v>331.46</v>
      </c>
      <c r="L76" s="9" t="s">
        <v>36</v>
      </c>
      <c r="M76" s="60">
        <v>60.35</v>
      </c>
      <c r="N76" s="60">
        <v>162.6</v>
      </c>
      <c r="O76" s="60">
        <v>0</v>
      </c>
      <c r="P76" s="60">
        <v>3.57</v>
      </c>
      <c r="Q76" s="60">
        <v>5.15</v>
      </c>
      <c r="R76" s="138"/>
      <c r="S76" s="212"/>
      <c r="T76" s="209"/>
      <c r="U76" s="60"/>
    </row>
    <row r="77" spans="1:21" s="12" customFormat="1" x14ac:dyDescent="0.25">
      <c r="A77" s="200" t="s">
        <v>316</v>
      </c>
      <c r="B77" s="60">
        <v>7.71</v>
      </c>
      <c r="C77" s="60">
        <v>18.91</v>
      </c>
      <c r="D77" s="60">
        <v>26.62</v>
      </c>
      <c r="E77" s="60">
        <v>3.28</v>
      </c>
      <c r="F77" s="60">
        <v>0.35</v>
      </c>
      <c r="G77" s="215" t="s">
        <v>36</v>
      </c>
      <c r="H77" s="60">
        <v>28.38</v>
      </c>
      <c r="I77" s="60">
        <v>5.26</v>
      </c>
      <c r="J77" s="60">
        <v>0.85</v>
      </c>
      <c r="K77" s="60">
        <v>318.51</v>
      </c>
      <c r="L77" s="9" t="s">
        <v>36</v>
      </c>
      <c r="M77" s="60">
        <v>61.23</v>
      </c>
      <c r="N77" s="60">
        <v>118</v>
      </c>
      <c r="O77" s="60">
        <v>0</v>
      </c>
      <c r="P77" s="60">
        <v>3.57</v>
      </c>
      <c r="Q77" s="60">
        <v>5.22</v>
      </c>
      <c r="R77" s="138"/>
      <c r="S77" s="212"/>
      <c r="T77" s="209"/>
      <c r="U77" s="60"/>
    </row>
    <row r="78" spans="1:21" s="12" customFormat="1" x14ac:dyDescent="0.25">
      <c r="A78" s="200" t="s">
        <v>317</v>
      </c>
      <c r="B78" s="60">
        <v>8.2100000000000009</v>
      </c>
      <c r="C78" s="60">
        <v>18.39</v>
      </c>
      <c r="D78" s="60">
        <v>26.6</v>
      </c>
      <c r="E78" s="60">
        <v>3.47</v>
      </c>
      <c r="F78" s="60">
        <v>0.28000000000000003</v>
      </c>
      <c r="G78" s="215" t="s">
        <v>36</v>
      </c>
      <c r="H78" s="60">
        <v>25.3</v>
      </c>
      <c r="I78" s="60">
        <v>5.24</v>
      </c>
      <c r="J78" s="60">
        <v>0.75</v>
      </c>
      <c r="K78" s="60">
        <v>318.5</v>
      </c>
      <c r="L78" s="9" t="s">
        <v>36</v>
      </c>
      <c r="M78" s="60">
        <v>64.34</v>
      </c>
      <c r="N78" s="60">
        <v>79.3</v>
      </c>
      <c r="O78" s="60">
        <v>0</v>
      </c>
      <c r="P78" s="60">
        <v>3.59</v>
      </c>
      <c r="Q78" s="60">
        <v>5.18</v>
      </c>
      <c r="R78" s="138"/>
      <c r="S78" s="212"/>
      <c r="T78" s="209"/>
      <c r="U78" s="60"/>
    </row>
    <row r="79" spans="1:21" s="12" customFormat="1" x14ac:dyDescent="0.25">
      <c r="A79" s="200" t="s">
        <v>318</v>
      </c>
      <c r="B79" s="60">
        <v>8.61</v>
      </c>
      <c r="C79" s="60">
        <v>18.28</v>
      </c>
      <c r="D79" s="60">
        <v>26.89</v>
      </c>
      <c r="E79" s="60">
        <v>3.92</v>
      </c>
      <c r="F79" s="60">
        <v>0.22</v>
      </c>
      <c r="G79" s="215" t="s">
        <v>36</v>
      </c>
      <c r="H79" s="60">
        <v>25.3</v>
      </c>
      <c r="I79" s="60">
        <v>5.29</v>
      </c>
      <c r="J79" s="60">
        <v>0.66</v>
      </c>
      <c r="K79" s="60">
        <v>322.25</v>
      </c>
      <c r="L79" s="9" t="s">
        <v>36</v>
      </c>
      <c r="M79" s="60">
        <v>69.84</v>
      </c>
      <c r="N79" s="60">
        <v>68.7</v>
      </c>
      <c r="O79" s="60">
        <v>0</v>
      </c>
      <c r="P79" s="60">
        <v>3.59</v>
      </c>
      <c r="Q79" s="60">
        <v>5.31</v>
      </c>
      <c r="R79" s="138"/>
      <c r="S79" s="212"/>
      <c r="T79" s="209"/>
      <c r="U79" s="60"/>
    </row>
    <row r="80" spans="1:21" s="12" customFormat="1" x14ac:dyDescent="0.25">
      <c r="A80" s="200" t="s">
        <v>319</v>
      </c>
      <c r="B80" s="60">
        <v>8.6199999999999992</v>
      </c>
      <c r="C80" s="60">
        <v>18.03</v>
      </c>
      <c r="D80" s="60">
        <v>26.65</v>
      </c>
      <c r="E80" s="60">
        <v>4.01</v>
      </c>
      <c r="F80" s="60">
        <v>0.42</v>
      </c>
      <c r="G80" s="215" t="s">
        <v>36</v>
      </c>
      <c r="H80" s="60">
        <v>25.3</v>
      </c>
      <c r="I80" s="60">
        <v>5.3</v>
      </c>
      <c r="J80" s="60">
        <v>0.42</v>
      </c>
      <c r="K80" s="60">
        <v>334.94</v>
      </c>
      <c r="L80" s="9" t="s">
        <v>36</v>
      </c>
      <c r="M80" s="60">
        <v>70.95</v>
      </c>
      <c r="N80" s="60">
        <v>61.4</v>
      </c>
      <c r="O80" s="60">
        <v>0</v>
      </c>
      <c r="P80" s="60">
        <v>3.59</v>
      </c>
      <c r="Q80" s="60">
        <v>5.57</v>
      </c>
      <c r="R80" s="138"/>
      <c r="S80" s="212"/>
      <c r="T80" s="209"/>
      <c r="U80" s="60"/>
    </row>
    <row r="81" spans="1:26" s="12" customFormat="1" x14ac:dyDescent="0.25">
      <c r="A81" s="200" t="s">
        <v>320</v>
      </c>
      <c r="B81" s="60">
        <v>8.8000000000000007</v>
      </c>
      <c r="C81" s="60">
        <v>17.68</v>
      </c>
      <c r="D81" s="60">
        <v>26.48</v>
      </c>
      <c r="E81" s="60">
        <v>3.98</v>
      </c>
      <c r="F81" s="60">
        <v>0.54</v>
      </c>
      <c r="G81" s="215" t="s">
        <v>36</v>
      </c>
      <c r="H81" s="60">
        <v>25.23</v>
      </c>
      <c r="I81" s="60">
        <v>5.36</v>
      </c>
      <c r="J81" s="60">
        <v>0.47</v>
      </c>
      <c r="K81" s="60">
        <v>321.33999999999997</v>
      </c>
      <c r="L81" s="9" t="s">
        <v>36</v>
      </c>
      <c r="M81" s="60">
        <v>72.42</v>
      </c>
      <c r="N81" s="60">
        <v>50.7</v>
      </c>
      <c r="O81" s="60">
        <v>0</v>
      </c>
      <c r="P81" s="60">
        <v>3.62</v>
      </c>
      <c r="Q81" s="60">
        <v>6.17</v>
      </c>
      <c r="R81" s="138"/>
      <c r="S81" s="212"/>
      <c r="T81" s="209"/>
      <c r="U81" s="60"/>
    </row>
    <row r="82" spans="1:26" s="12" customFormat="1" x14ac:dyDescent="0.25">
      <c r="A82" s="200" t="s">
        <v>321</v>
      </c>
      <c r="B82" s="60">
        <v>9.84</v>
      </c>
      <c r="C82" s="60">
        <v>18.14</v>
      </c>
      <c r="D82" s="60">
        <v>27.98</v>
      </c>
      <c r="E82" s="60">
        <v>4.4000000000000004</v>
      </c>
      <c r="F82" s="60">
        <v>0.14000000000000001</v>
      </c>
      <c r="G82" s="215" t="s">
        <v>36</v>
      </c>
      <c r="H82" s="60">
        <v>25.07</v>
      </c>
      <c r="I82" s="60">
        <v>5.35</v>
      </c>
      <c r="J82" s="60">
        <v>0.23</v>
      </c>
      <c r="K82" s="60">
        <v>337.56</v>
      </c>
      <c r="L82" s="9" t="s">
        <v>36</v>
      </c>
      <c r="M82" s="60">
        <v>72.58</v>
      </c>
      <c r="N82" s="60">
        <v>31.3</v>
      </c>
      <c r="O82" s="60">
        <v>0</v>
      </c>
      <c r="P82" s="60">
        <v>3.66</v>
      </c>
      <c r="Q82" s="60">
        <v>7.02</v>
      </c>
      <c r="R82" s="138"/>
      <c r="S82" s="212"/>
      <c r="T82" s="209"/>
      <c r="U82" s="60"/>
    </row>
    <row r="83" spans="1:26" s="12" customFormat="1" x14ac:dyDescent="0.25">
      <c r="A83" s="200" t="s">
        <v>322</v>
      </c>
      <c r="B83" s="60">
        <v>11.07</v>
      </c>
      <c r="C83" s="60">
        <v>17.95</v>
      </c>
      <c r="D83" s="60">
        <v>29.02</v>
      </c>
      <c r="E83" s="60">
        <v>4.09</v>
      </c>
      <c r="F83" s="60">
        <v>0.42</v>
      </c>
      <c r="G83" s="215" t="s">
        <v>36</v>
      </c>
      <c r="H83" s="60">
        <v>25.07</v>
      </c>
      <c r="I83" s="60">
        <v>5.42</v>
      </c>
      <c r="J83" s="60">
        <v>0.11</v>
      </c>
      <c r="K83" s="60">
        <v>359.36</v>
      </c>
      <c r="L83" s="9" t="s">
        <v>36</v>
      </c>
      <c r="M83" s="60">
        <v>69.36</v>
      </c>
      <c r="N83" s="60">
        <v>18.2</v>
      </c>
      <c r="O83" s="60">
        <v>0</v>
      </c>
      <c r="P83" s="60">
        <v>3.68</v>
      </c>
      <c r="Q83" s="60">
        <v>7.59</v>
      </c>
      <c r="R83" s="138"/>
      <c r="S83" s="212"/>
      <c r="T83" s="209"/>
      <c r="U83" s="60"/>
    </row>
    <row r="84" spans="1:26" s="12" customFormat="1" x14ac:dyDescent="0.25">
      <c r="A84" s="200" t="s">
        <v>323</v>
      </c>
      <c r="B84" s="60">
        <v>11.79</v>
      </c>
      <c r="C84" s="60">
        <v>18.5</v>
      </c>
      <c r="D84" s="60">
        <v>30.29</v>
      </c>
      <c r="E84" s="60">
        <v>4.13</v>
      </c>
      <c r="F84" s="60">
        <v>0.05</v>
      </c>
      <c r="G84" s="215" t="s">
        <v>36</v>
      </c>
      <c r="H84" s="60">
        <v>25.07</v>
      </c>
      <c r="I84" s="60">
        <v>5.58</v>
      </c>
      <c r="J84" s="60">
        <v>0.18</v>
      </c>
      <c r="K84" s="60">
        <v>331.54</v>
      </c>
      <c r="L84" s="9" t="s">
        <v>36</v>
      </c>
      <c r="M84" s="60">
        <v>69.510000000000005</v>
      </c>
      <c r="N84" s="60">
        <v>15.5</v>
      </c>
      <c r="O84" s="60">
        <v>0</v>
      </c>
      <c r="P84" s="60">
        <v>3.73</v>
      </c>
      <c r="Q84" s="60">
        <v>8.06</v>
      </c>
      <c r="R84" s="138"/>
      <c r="S84" s="212"/>
      <c r="T84" s="209"/>
      <c r="U84" s="60"/>
    </row>
    <row r="85" spans="1:26" s="12" customFormat="1" x14ac:dyDescent="0.25">
      <c r="A85" s="200" t="s">
        <v>324</v>
      </c>
      <c r="B85" s="60">
        <v>13.12</v>
      </c>
      <c r="C85" s="60">
        <v>18.29</v>
      </c>
      <c r="D85" s="60">
        <v>31.41</v>
      </c>
      <c r="E85" s="60">
        <v>4.2</v>
      </c>
      <c r="F85" s="60">
        <v>0.28000000000000003</v>
      </c>
      <c r="G85" s="215" t="s">
        <v>36</v>
      </c>
      <c r="H85" s="60">
        <v>25.6</v>
      </c>
      <c r="I85" s="60">
        <v>5.72</v>
      </c>
      <c r="J85" s="60">
        <v>7.0000000000000007E-2</v>
      </c>
      <c r="K85" s="60">
        <v>280.95</v>
      </c>
      <c r="L85" s="9" t="s">
        <v>36</v>
      </c>
      <c r="M85" s="60">
        <v>71.319999999999993</v>
      </c>
      <c r="N85" s="60">
        <v>15.1</v>
      </c>
      <c r="O85" s="60">
        <v>0</v>
      </c>
      <c r="P85" s="60">
        <v>3.81</v>
      </c>
      <c r="Q85" s="60">
        <v>8.34</v>
      </c>
      <c r="R85" s="138"/>
      <c r="S85" s="212"/>
      <c r="T85" s="209"/>
      <c r="U85" s="60"/>
    </row>
    <row r="86" spans="1:26" s="12" customFormat="1" x14ac:dyDescent="0.25">
      <c r="A86" s="200" t="s">
        <v>325</v>
      </c>
      <c r="B86" s="60">
        <v>14.06</v>
      </c>
      <c r="C86" s="60">
        <v>18.54</v>
      </c>
      <c r="D86" s="60">
        <v>32.6</v>
      </c>
      <c r="E86" s="60">
        <v>4.22</v>
      </c>
      <c r="F86" s="60">
        <v>0.03</v>
      </c>
      <c r="G86" s="215" t="s">
        <v>36</v>
      </c>
      <c r="H86" s="60">
        <v>26.92</v>
      </c>
      <c r="I86" s="60">
        <v>5.99</v>
      </c>
      <c r="J86" s="60">
        <v>0.26</v>
      </c>
      <c r="K86" s="60">
        <v>208.01</v>
      </c>
      <c r="L86" s="9" t="s">
        <v>36</v>
      </c>
      <c r="M86" s="60">
        <v>70.11</v>
      </c>
      <c r="N86" s="60">
        <v>14.6</v>
      </c>
      <c r="O86" s="60">
        <v>0</v>
      </c>
      <c r="P86" s="60">
        <v>3.86</v>
      </c>
      <c r="Q86" s="60">
        <v>8.7899999999999991</v>
      </c>
      <c r="R86" s="138"/>
      <c r="S86" s="212"/>
      <c r="T86" s="209"/>
      <c r="U86" s="60"/>
    </row>
    <row r="87" spans="1:26" s="12" customFormat="1" x14ac:dyDescent="0.25">
      <c r="A87" s="200" t="s">
        <v>326</v>
      </c>
      <c r="B87" s="60">
        <v>14.04</v>
      </c>
      <c r="C87" s="60">
        <v>17.489999999999998</v>
      </c>
      <c r="D87" s="60">
        <v>31.52</v>
      </c>
      <c r="E87" s="60">
        <v>4.6100000000000003</v>
      </c>
      <c r="F87" s="60">
        <v>0.08</v>
      </c>
      <c r="G87" s="215" t="s">
        <v>36</v>
      </c>
      <c r="H87" s="60">
        <v>26.92</v>
      </c>
      <c r="I87" s="60">
        <v>6.19</v>
      </c>
      <c r="J87" s="60">
        <v>0.22</v>
      </c>
      <c r="K87" s="60">
        <v>207.34</v>
      </c>
      <c r="L87" s="9" t="s">
        <v>36</v>
      </c>
      <c r="M87" s="60">
        <v>72.319999999999993</v>
      </c>
      <c r="N87" s="60">
        <v>15</v>
      </c>
      <c r="O87" s="60">
        <v>0</v>
      </c>
      <c r="P87" s="60">
        <v>3.84</v>
      </c>
      <c r="Q87" s="60">
        <v>8.0500000000000007</v>
      </c>
      <c r="R87" s="138"/>
      <c r="S87" s="212"/>
      <c r="T87" s="209"/>
      <c r="U87" s="60"/>
    </row>
    <row r="88" spans="1:26" s="12" customFormat="1" x14ac:dyDescent="0.25">
      <c r="A88" s="200" t="s">
        <v>327</v>
      </c>
      <c r="B88" s="60">
        <v>13.73</v>
      </c>
      <c r="C88" s="60">
        <v>16.809999999999999</v>
      </c>
      <c r="D88" s="60">
        <v>30.53</v>
      </c>
      <c r="E88" s="60">
        <v>3.2</v>
      </c>
      <c r="F88" s="60">
        <v>0.33</v>
      </c>
      <c r="G88" s="215" t="s">
        <v>36</v>
      </c>
      <c r="H88" s="60">
        <v>26.92</v>
      </c>
      <c r="I88" s="60">
        <v>6.42</v>
      </c>
      <c r="J88" s="60">
        <v>7.0000000000000007E-2</v>
      </c>
      <c r="K88" s="60">
        <v>195.07</v>
      </c>
      <c r="L88" s="9" t="s">
        <v>36</v>
      </c>
      <c r="M88" s="60">
        <v>72.540000000000006</v>
      </c>
      <c r="N88" s="60">
        <v>14.8</v>
      </c>
      <c r="O88" s="60">
        <v>0</v>
      </c>
      <c r="P88" s="60">
        <v>3.81</v>
      </c>
      <c r="Q88" s="60">
        <v>7.49</v>
      </c>
      <c r="R88" s="138"/>
      <c r="S88" s="212"/>
      <c r="T88" s="209"/>
      <c r="U88" s="60"/>
    </row>
    <row r="89" spans="1:26" s="12" customFormat="1" x14ac:dyDescent="0.25">
      <c r="A89" s="200" t="s">
        <v>328</v>
      </c>
      <c r="B89" s="60">
        <v>13.55</v>
      </c>
      <c r="C89" s="60">
        <v>16.54</v>
      </c>
      <c r="D89" s="60">
        <v>30.09</v>
      </c>
      <c r="E89" s="60">
        <v>5.71</v>
      </c>
      <c r="F89" s="60">
        <v>7.0000000000000007E-2</v>
      </c>
      <c r="G89" s="215" t="s">
        <v>36</v>
      </c>
      <c r="H89" s="60">
        <v>27.44</v>
      </c>
      <c r="I89" s="60">
        <v>6.38</v>
      </c>
      <c r="J89" s="60">
        <v>0.08</v>
      </c>
      <c r="K89" s="60">
        <v>326.48</v>
      </c>
      <c r="L89" s="9" t="s">
        <v>36</v>
      </c>
      <c r="M89" s="60">
        <v>72.52</v>
      </c>
      <c r="N89" s="60">
        <v>14.9</v>
      </c>
      <c r="O89" s="60">
        <v>0</v>
      </c>
      <c r="P89" s="60">
        <v>3.83</v>
      </c>
      <c r="Q89" s="60">
        <v>7.29</v>
      </c>
      <c r="R89" s="138"/>
      <c r="S89" s="212"/>
      <c r="T89" s="209"/>
      <c r="U89" s="60"/>
    </row>
    <row r="90" spans="1:26" s="12" customFormat="1" x14ac:dyDescent="0.25">
      <c r="A90" s="200" t="s">
        <v>329</v>
      </c>
      <c r="B90" s="60">
        <v>13.82</v>
      </c>
      <c r="C90" s="60">
        <v>16.190000000000001</v>
      </c>
      <c r="D90" s="60">
        <v>30.01</v>
      </c>
      <c r="E90" s="60">
        <v>5.97</v>
      </c>
      <c r="F90" s="60">
        <v>0.09</v>
      </c>
      <c r="G90" s="215" t="s">
        <v>36</v>
      </c>
      <c r="H90" s="60">
        <v>28.71</v>
      </c>
      <c r="I90" s="60">
        <v>6.54</v>
      </c>
      <c r="J90" s="60">
        <v>0.13</v>
      </c>
      <c r="K90" s="60">
        <v>212.28</v>
      </c>
      <c r="L90" s="9" t="s">
        <v>36</v>
      </c>
      <c r="M90" s="60">
        <v>72.53</v>
      </c>
      <c r="N90" s="60">
        <v>14.8</v>
      </c>
      <c r="O90" s="60">
        <v>0</v>
      </c>
      <c r="P90" s="60">
        <v>3.86</v>
      </c>
      <c r="Q90" s="60">
        <v>7.29</v>
      </c>
      <c r="R90" s="138"/>
      <c r="S90" s="212"/>
      <c r="T90" s="209"/>
      <c r="U90" s="60"/>
    </row>
    <row r="91" spans="1:26" s="12" customFormat="1" x14ac:dyDescent="0.25">
      <c r="A91" s="200" t="s">
        <v>330</v>
      </c>
      <c r="B91" s="60">
        <v>14.02</v>
      </c>
      <c r="C91" s="60">
        <v>15.63</v>
      </c>
      <c r="D91" s="60">
        <v>29.65</v>
      </c>
      <c r="E91" s="60">
        <v>5.09</v>
      </c>
      <c r="F91" s="60">
        <v>0.38</v>
      </c>
      <c r="G91" s="215" t="s">
        <v>36</v>
      </c>
      <c r="H91" s="60">
        <v>28.71</v>
      </c>
      <c r="I91" s="60">
        <v>6.78</v>
      </c>
      <c r="J91" s="60">
        <v>0.17</v>
      </c>
      <c r="K91" s="60">
        <v>295.97000000000003</v>
      </c>
      <c r="L91" s="9" t="s">
        <v>36</v>
      </c>
      <c r="M91" s="60">
        <v>72.12</v>
      </c>
      <c r="N91" s="60">
        <v>14.9</v>
      </c>
      <c r="O91" s="60">
        <v>0</v>
      </c>
      <c r="P91" s="60">
        <v>3.85</v>
      </c>
      <c r="Q91" s="60">
        <v>7.05</v>
      </c>
      <c r="R91" s="138"/>
      <c r="S91" s="212"/>
      <c r="T91" s="209"/>
      <c r="U91" s="60"/>
    </row>
    <row r="92" spans="1:26" s="12" customFormat="1" x14ac:dyDescent="0.25">
      <c r="A92" s="200" t="s">
        <v>331</v>
      </c>
      <c r="B92" s="60">
        <v>14.8</v>
      </c>
      <c r="C92" s="60">
        <v>15.93</v>
      </c>
      <c r="D92" s="60">
        <v>30.73</v>
      </c>
      <c r="E92" s="60">
        <v>5.48</v>
      </c>
      <c r="F92" s="60">
        <v>0.23</v>
      </c>
      <c r="G92" s="215" t="s">
        <v>36</v>
      </c>
      <c r="H92" s="60">
        <v>28.71</v>
      </c>
      <c r="I92" s="60">
        <v>7.09</v>
      </c>
      <c r="J92" s="60">
        <v>0.31</v>
      </c>
      <c r="K92" s="60">
        <v>318.13</v>
      </c>
      <c r="L92" s="9" t="s">
        <v>36</v>
      </c>
      <c r="M92" s="60">
        <v>74.95</v>
      </c>
      <c r="N92" s="60">
        <v>14.8</v>
      </c>
      <c r="O92" s="60">
        <v>0</v>
      </c>
      <c r="P92" s="60">
        <v>3.92</v>
      </c>
      <c r="Q92" s="60">
        <v>7.41</v>
      </c>
      <c r="R92" s="138"/>
      <c r="S92" s="212"/>
      <c r="T92" s="209"/>
      <c r="U92" s="60"/>
    </row>
    <row r="93" spans="1:26" s="12" customFormat="1" x14ac:dyDescent="0.25">
      <c r="A93" s="200" t="s">
        <v>332</v>
      </c>
      <c r="B93" s="60">
        <v>15.83</v>
      </c>
      <c r="C93" s="60">
        <v>15.88</v>
      </c>
      <c r="D93" s="60">
        <v>31.71</v>
      </c>
      <c r="E93" s="60">
        <v>5.4</v>
      </c>
      <c r="F93" s="60">
        <v>0.82</v>
      </c>
      <c r="G93" s="215" t="s">
        <v>36</v>
      </c>
      <c r="H93" s="60">
        <v>27.53</v>
      </c>
      <c r="I93" s="60">
        <v>7.09</v>
      </c>
      <c r="J93" s="60">
        <v>0.11</v>
      </c>
      <c r="K93" s="60">
        <v>317.47000000000003</v>
      </c>
      <c r="L93" s="9" t="s">
        <v>36</v>
      </c>
      <c r="M93" s="60">
        <v>73.510000000000005</v>
      </c>
      <c r="N93" s="60">
        <v>15</v>
      </c>
      <c r="O93" s="60">
        <v>0</v>
      </c>
      <c r="P93" s="60">
        <v>3.96</v>
      </c>
      <c r="Q93" s="60">
        <v>7.77</v>
      </c>
      <c r="R93" s="138"/>
      <c r="S93" s="212"/>
      <c r="T93" s="209"/>
      <c r="U93" s="60"/>
    </row>
    <row r="94" spans="1:26" s="12" customFormat="1" x14ac:dyDescent="0.25">
      <c r="A94" s="200" t="s">
        <v>333</v>
      </c>
      <c r="B94" s="60">
        <v>17.420000000000002</v>
      </c>
      <c r="C94" s="60">
        <v>16.13</v>
      </c>
      <c r="D94" s="60">
        <v>33.549999999999997</v>
      </c>
      <c r="E94" s="60">
        <v>6</v>
      </c>
      <c r="F94" s="60">
        <v>0.6</v>
      </c>
      <c r="G94" s="215" t="s">
        <v>36</v>
      </c>
      <c r="H94" s="60">
        <v>24.64</v>
      </c>
      <c r="I94" s="60">
        <v>7.83</v>
      </c>
      <c r="J94" s="60">
        <v>0.21</v>
      </c>
      <c r="K94" s="60">
        <v>317.56</v>
      </c>
      <c r="L94" s="9" t="s">
        <v>36</v>
      </c>
      <c r="M94" s="60">
        <v>73.22</v>
      </c>
      <c r="N94" s="60">
        <v>14.9</v>
      </c>
      <c r="O94" s="60">
        <v>0</v>
      </c>
      <c r="P94" s="10" t="s">
        <v>43</v>
      </c>
      <c r="Q94" s="60">
        <v>8.5299999999999994</v>
      </c>
      <c r="R94" s="138"/>
      <c r="S94" s="212"/>
      <c r="T94" s="209"/>
      <c r="U94" s="60"/>
    </row>
    <row r="95" spans="1:26" s="12" customFormat="1" x14ac:dyDescent="0.25">
      <c r="A95" s="200" t="s">
        <v>334</v>
      </c>
      <c r="B95" s="60">
        <v>19.45</v>
      </c>
      <c r="C95" s="60">
        <v>16.62</v>
      </c>
      <c r="D95" s="60">
        <v>36.07</v>
      </c>
      <c r="E95" s="60">
        <v>5.44</v>
      </c>
      <c r="F95" s="60">
        <v>1.02</v>
      </c>
      <c r="G95" s="215" t="s">
        <v>36</v>
      </c>
      <c r="H95" s="60">
        <v>24.64</v>
      </c>
      <c r="I95" s="60">
        <v>8.3699999999999992</v>
      </c>
      <c r="J95" s="60">
        <v>0.1</v>
      </c>
      <c r="K95" s="60">
        <v>341.66</v>
      </c>
      <c r="L95" s="9" t="s">
        <v>36</v>
      </c>
      <c r="M95" s="60">
        <v>74.989999999999995</v>
      </c>
      <c r="N95" s="60">
        <v>15.2</v>
      </c>
      <c r="O95" s="60">
        <v>0</v>
      </c>
      <c r="P95" s="10" t="s">
        <v>43</v>
      </c>
      <c r="Q95" s="60">
        <v>10.029999999999999</v>
      </c>
      <c r="R95" s="138"/>
      <c r="S95" s="212"/>
      <c r="T95" s="209"/>
      <c r="U95" s="60"/>
    </row>
    <row r="96" spans="1:26" s="12" customFormat="1" x14ac:dyDescent="0.25">
      <c r="A96" s="200" t="s">
        <v>335</v>
      </c>
      <c r="B96" s="60">
        <v>22.4</v>
      </c>
      <c r="C96" s="60">
        <v>17.82</v>
      </c>
      <c r="D96" s="60">
        <v>40.21</v>
      </c>
      <c r="E96" s="60">
        <v>5.58</v>
      </c>
      <c r="F96" s="60">
        <v>0.14000000000000001</v>
      </c>
      <c r="G96" s="215" t="s">
        <v>36</v>
      </c>
      <c r="H96" s="60">
        <v>24.64</v>
      </c>
      <c r="I96" s="60">
        <v>8.06</v>
      </c>
      <c r="J96" s="60">
        <v>0.09</v>
      </c>
      <c r="K96" s="60">
        <v>17.079999999999998</v>
      </c>
      <c r="L96" s="9" t="s">
        <v>36</v>
      </c>
      <c r="M96" s="60">
        <v>75.319999999999993</v>
      </c>
      <c r="N96" s="60">
        <v>14.9</v>
      </c>
      <c r="O96" s="60">
        <v>0</v>
      </c>
      <c r="P96" s="10" t="s">
        <v>43</v>
      </c>
      <c r="Q96" s="60">
        <v>11.66</v>
      </c>
      <c r="R96" s="138"/>
      <c r="S96" s="212"/>
      <c r="T96" s="209"/>
      <c r="U96" s="60"/>
      <c r="Z96" s="108"/>
    </row>
    <row r="97" spans="1:33" s="12" customFormat="1" x14ac:dyDescent="0.25">
      <c r="A97" s="200" t="s">
        <v>336</v>
      </c>
      <c r="B97" s="60">
        <v>25.87</v>
      </c>
      <c r="C97" s="60">
        <v>18.190000000000001</v>
      </c>
      <c r="D97" s="60">
        <v>44.06</v>
      </c>
      <c r="E97" s="60">
        <v>6.27</v>
      </c>
      <c r="F97" s="60">
        <v>0.17</v>
      </c>
      <c r="G97" s="215" t="s">
        <v>36</v>
      </c>
      <c r="H97" s="60">
        <v>25.93</v>
      </c>
      <c r="I97" s="60">
        <v>8.32</v>
      </c>
      <c r="J97" s="60">
        <v>0.21</v>
      </c>
      <c r="K97" s="60">
        <v>52.08</v>
      </c>
      <c r="L97" s="9" t="s">
        <v>36</v>
      </c>
      <c r="M97" s="60">
        <v>74.650000000000006</v>
      </c>
      <c r="N97" s="60">
        <v>14.8</v>
      </c>
      <c r="O97" s="60">
        <v>0</v>
      </c>
      <c r="P97" s="10" t="s">
        <v>43</v>
      </c>
      <c r="Q97" s="60">
        <v>13.11</v>
      </c>
      <c r="R97" s="138"/>
      <c r="S97" s="212"/>
      <c r="T97" s="209"/>
      <c r="U97" s="60"/>
    </row>
    <row r="98" spans="1:33" s="12" customFormat="1" x14ac:dyDescent="0.25">
      <c r="A98" s="200" t="s">
        <v>337</v>
      </c>
      <c r="B98" s="60">
        <v>28.08</v>
      </c>
      <c r="C98" s="60">
        <v>18.399999999999999</v>
      </c>
      <c r="D98" s="60">
        <v>46.49</v>
      </c>
      <c r="E98" s="60">
        <v>5.75</v>
      </c>
      <c r="F98" s="60">
        <v>0.24</v>
      </c>
      <c r="G98" s="215" t="s">
        <v>36</v>
      </c>
      <c r="H98" s="60">
        <v>29.11</v>
      </c>
      <c r="I98" s="60">
        <v>8.6300000000000008</v>
      </c>
      <c r="J98" s="60">
        <v>0.49</v>
      </c>
      <c r="K98" s="60">
        <v>88.69</v>
      </c>
      <c r="L98" s="9" t="s">
        <v>36</v>
      </c>
      <c r="M98" s="60">
        <v>74.33</v>
      </c>
      <c r="N98" s="60">
        <v>14.7</v>
      </c>
      <c r="O98" s="60">
        <v>0</v>
      </c>
      <c r="P98" s="10" t="s">
        <v>43</v>
      </c>
      <c r="Q98" s="60">
        <v>13.84</v>
      </c>
      <c r="R98" s="138"/>
      <c r="S98" s="212"/>
      <c r="T98" s="209"/>
      <c r="U98" s="60"/>
    </row>
    <row r="99" spans="1:33" s="12" customFormat="1" x14ac:dyDescent="0.25">
      <c r="A99" s="200" t="s">
        <v>338</v>
      </c>
      <c r="B99" s="60">
        <v>27.5</v>
      </c>
      <c r="C99" s="60">
        <v>18.57</v>
      </c>
      <c r="D99" s="60">
        <v>46.07</v>
      </c>
      <c r="E99" s="60">
        <v>5.77</v>
      </c>
      <c r="F99" s="60">
        <v>0.15</v>
      </c>
      <c r="G99" s="215" t="s">
        <v>36</v>
      </c>
      <c r="H99" s="60">
        <v>29.11</v>
      </c>
      <c r="I99" s="60">
        <v>8.7899999999999991</v>
      </c>
      <c r="J99" s="60">
        <v>0.9</v>
      </c>
      <c r="K99" s="60">
        <v>98.98</v>
      </c>
      <c r="L99" s="9" t="s">
        <v>36</v>
      </c>
      <c r="M99" s="60">
        <v>75.63</v>
      </c>
      <c r="N99" s="60">
        <v>14.6</v>
      </c>
      <c r="O99" s="60">
        <v>0</v>
      </c>
      <c r="P99" s="10" t="s">
        <v>43</v>
      </c>
      <c r="Q99" s="60">
        <v>13.72</v>
      </c>
      <c r="R99" s="138"/>
      <c r="S99" s="212"/>
      <c r="T99" s="209"/>
      <c r="U99" s="60"/>
    </row>
    <row r="100" spans="1:33" s="12" customFormat="1" x14ac:dyDescent="0.25">
      <c r="A100" s="200" t="s">
        <v>339</v>
      </c>
      <c r="B100" s="60">
        <v>26.36</v>
      </c>
      <c r="C100" s="60">
        <v>18.38</v>
      </c>
      <c r="D100" s="60">
        <v>44.75</v>
      </c>
      <c r="E100" s="60">
        <v>5.78</v>
      </c>
      <c r="F100" s="60">
        <v>0.06</v>
      </c>
      <c r="G100" s="215" t="s">
        <v>36</v>
      </c>
      <c r="H100" s="60">
        <v>29.11</v>
      </c>
      <c r="I100" s="60">
        <v>8.91</v>
      </c>
      <c r="J100" s="60">
        <v>0.46</v>
      </c>
      <c r="K100" s="60">
        <v>107.86</v>
      </c>
      <c r="L100" s="9" t="s">
        <v>36</v>
      </c>
      <c r="M100" s="60">
        <v>76.64</v>
      </c>
      <c r="N100" s="60">
        <v>15.2</v>
      </c>
      <c r="O100" s="60">
        <v>0</v>
      </c>
      <c r="P100" s="10" t="s">
        <v>43</v>
      </c>
      <c r="Q100" s="60">
        <v>13.47</v>
      </c>
      <c r="R100" s="138"/>
      <c r="S100" s="212"/>
      <c r="T100" s="209"/>
      <c r="U100" s="60"/>
      <c r="AB100" s="109"/>
      <c r="AG100" s="108"/>
    </row>
    <row r="101" spans="1:33" s="12" customFormat="1" x14ac:dyDescent="0.25">
      <c r="A101" s="200" t="s">
        <v>340</v>
      </c>
      <c r="B101" s="60">
        <v>25.31</v>
      </c>
      <c r="C101" s="60">
        <v>17.75</v>
      </c>
      <c r="D101" s="60">
        <v>43.07</v>
      </c>
      <c r="E101" s="60">
        <v>5.9</v>
      </c>
      <c r="F101" s="60">
        <v>0.02</v>
      </c>
      <c r="G101" s="215" t="s">
        <v>36</v>
      </c>
      <c r="H101" s="60">
        <v>29.61</v>
      </c>
      <c r="I101" s="60">
        <v>9.08</v>
      </c>
      <c r="J101" s="60">
        <v>0.56000000000000005</v>
      </c>
      <c r="K101" s="60">
        <v>101.57</v>
      </c>
      <c r="L101" s="9" t="s">
        <v>36</v>
      </c>
      <c r="M101" s="60">
        <v>76.760000000000005</v>
      </c>
      <c r="N101" s="60">
        <v>15.2</v>
      </c>
      <c r="O101" s="60">
        <v>0</v>
      </c>
      <c r="P101" s="10" t="s">
        <v>43</v>
      </c>
      <c r="Q101" s="60">
        <v>12.71</v>
      </c>
      <c r="R101" s="138"/>
      <c r="S101" s="212"/>
      <c r="T101" s="209"/>
      <c r="U101" s="60"/>
    </row>
    <row r="102" spans="1:33" s="12" customFormat="1" x14ac:dyDescent="0.25">
      <c r="A102" s="200" t="s">
        <v>341</v>
      </c>
      <c r="B102" s="60">
        <v>24.41</v>
      </c>
      <c r="C102" s="60">
        <v>16.75</v>
      </c>
      <c r="D102" s="60">
        <v>41.16</v>
      </c>
      <c r="E102" s="60">
        <v>6.5</v>
      </c>
      <c r="F102" s="60">
        <v>0.05</v>
      </c>
      <c r="G102" s="215" t="s">
        <v>36</v>
      </c>
      <c r="H102" s="60">
        <v>30.83</v>
      </c>
      <c r="I102" s="60">
        <v>9.1300000000000008</v>
      </c>
      <c r="J102" s="60">
        <v>0.96</v>
      </c>
      <c r="K102" s="60">
        <v>164.34</v>
      </c>
      <c r="L102" s="9" t="s">
        <v>36</v>
      </c>
      <c r="M102" s="60">
        <v>77.44</v>
      </c>
      <c r="N102" s="60">
        <v>15</v>
      </c>
      <c r="O102" s="60">
        <v>0</v>
      </c>
      <c r="P102" s="10" t="s">
        <v>43</v>
      </c>
      <c r="Q102" s="60">
        <v>11.95</v>
      </c>
      <c r="R102" s="138"/>
      <c r="S102" s="212"/>
      <c r="T102" s="209"/>
      <c r="U102" s="60"/>
    </row>
    <row r="103" spans="1:33" s="12" customFormat="1" x14ac:dyDescent="0.25">
      <c r="A103" s="200" t="s">
        <v>342</v>
      </c>
      <c r="B103" s="60">
        <v>23.2</v>
      </c>
      <c r="C103" s="60">
        <v>16.079999999999998</v>
      </c>
      <c r="D103" s="60">
        <v>39.28</v>
      </c>
      <c r="E103" s="60">
        <v>6.43</v>
      </c>
      <c r="F103" s="60">
        <v>0.05</v>
      </c>
      <c r="G103" s="215" t="s">
        <v>36</v>
      </c>
      <c r="H103" s="60">
        <v>30.83</v>
      </c>
      <c r="I103" s="60">
        <v>8.98</v>
      </c>
      <c r="J103" s="60">
        <v>1.38</v>
      </c>
      <c r="K103" s="60">
        <v>158.94999999999999</v>
      </c>
      <c r="L103" s="9" t="s">
        <v>36</v>
      </c>
      <c r="M103" s="60">
        <v>80.61</v>
      </c>
      <c r="N103" s="60">
        <v>14.8</v>
      </c>
      <c r="O103" s="60">
        <v>0</v>
      </c>
      <c r="P103" s="10" t="s">
        <v>43</v>
      </c>
      <c r="Q103" s="60">
        <v>11.21</v>
      </c>
      <c r="R103" s="138"/>
      <c r="S103" s="212"/>
      <c r="T103" s="209"/>
      <c r="U103" s="60"/>
    </row>
    <row r="104" spans="1:33" s="12" customFormat="1" x14ac:dyDescent="0.25">
      <c r="A104" s="200" t="s">
        <v>343</v>
      </c>
      <c r="B104" s="60">
        <v>21.96</v>
      </c>
      <c r="C104" s="60">
        <v>15.41</v>
      </c>
      <c r="D104" s="60">
        <v>37.369999999999997</v>
      </c>
      <c r="E104" s="60">
        <v>2.74</v>
      </c>
      <c r="F104" s="60">
        <v>0.22</v>
      </c>
      <c r="G104" s="215" t="s">
        <v>36</v>
      </c>
      <c r="H104" s="60">
        <v>30.83</v>
      </c>
      <c r="I104" s="60">
        <v>8.81</v>
      </c>
      <c r="J104" s="60">
        <v>1.07</v>
      </c>
      <c r="K104" s="60">
        <v>157.75</v>
      </c>
      <c r="L104" s="9" t="s">
        <v>36</v>
      </c>
      <c r="M104" s="60">
        <v>87.05</v>
      </c>
      <c r="N104" s="60">
        <v>15.3</v>
      </c>
      <c r="O104" s="60">
        <v>0</v>
      </c>
      <c r="P104" s="10" t="s">
        <v>43</v>
      </c>
      <c r="Q104" s="60">
        <v>10.52</v>
      </c>
      <c r="R104" s="213"/>
      <c r="S104" s="214"/>
      <c r="T104" s="209"/>
      <c r="U104" s="60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5" t="s">
        <v>59</v>
      </c>
      <c r="B106" s="67">
        <f>MIN(B9:B104)</f>
        <v>1.08</v>
      </c>
      <c r="C106" s="67">
        <f>MIN(C9:C104)</f>
        <v>9.9600000000000009</v>
      </c>
      <c r="D106" s="67">
        <f t="shared" ref="D106:Q106" si="0">MIN(D9:D104)</f>
        <v>21.82</v>
      </c>
      <c r="E106" s="67">
        <f t="shared" si="0"/>
        <v>1.25</v>
      </c>
      <c r="F106" s="67">
        <f t="shared" si="0"/>
        <v>0.01</v>
      </c>
      <c r="G106" s="67">
        <f t="shared" si="0"/>
        <v>0</v>
      </c>
      <c r="H106" s="67">
        <f t="shared" si="0"/>
        <v>23.46</v>
      </c>
      <c r="I106" s="67">
        <f t="shared" si="0"/>
        <v>5.04</v>
      </c>
      <c r="J106" s="67">
        <f t="shared" si="0"/>
        <v>0.02</v>
      </c>
      <c r="K106" s="67">
        <f t="shared" si="0"/>
        <v>0.12</v>
      </c>
      <c r="L106" s="67">
        <f t="shared" si="0"/>
        <v>0</v>
      </c>
      <c r="M106" s="67">
        <f t="shared" si="0"/>
        <v>55.67</v>
      </c>
      <c r="N106" s="67">
        <f t="shared" si="0"/>
        <v>14.6</v>
      </c>
      <c r="O106" s="67">
        <f t="shared" si="0"/>
        <v>0</v>
      </c>
      <c r="P106" s="67">
        <f t="shared" si="0"/>
        <v>3.54</v>
      </c>
      <c r="Q106" s="67">
        <f t="shared" si="0"/>
        <v>3.91</v>
      </c>
      <c r="R106" s="198"/>
      <c r="S106" s="198"/>
      <c r="T106" s="198"/>
      <c r="U106" s="198"/>
    </row>
    <row r="107" spans="1:33" x14ac:dyDescent="0.25">
      <c r="A107" s="65" t="s">
        <v>60</v>
      </c>
      <c r="B107" s="66">
        <f>MAX(B9:B104)</f>
        <v>28.92</v>
      </c>
      <c r="C107" s="66">
        <f t="shared" ref="C107:Q107" si="1">MAX(C9:C104)</f>
        <v>37.93</v>
      </c>
      <c r="D107" s="66">
        <f t="shared" si="1"/>
        <v>46.49</v>
      </c>
      <c r="E107" s="66">
        <f t="shared" si="1"/>
        <v>6.66</v>
      </c>
      <c r="F107" s="66">
        <f t="shared" si="1"/>
        <v>9.19</v>
      </c>
      <c r="G107" s="66">
        <f t="shared" si="1"/>
        <v>0</v>
      </c>
      <c r="H107" s="66">
        <f t="shared" si="1"/>
        <v>46.34</v>
      </c>
      <c r="I107" s="66">
        <f t="shared" si="1"/>
        <v>11.32</v>
      </c>
      <c r="J107" s="66">
        <f t="shared" si="1"/>
        <v>1.48</v>
      </c>
      <c r="K107" s="66">
        <f t="shared" si="1"/>
        <v>359.36</v>
      </c>
      <c r="L107" s="66">
        <f t="shared" si="1"/>
        <v>0</v>
      </c>
      <c r="M107" s="66">
        <f t="shared" si="1"/>
        <v>97.95</v>
      </c>
      <c r="N107" s="66">
        <f t="shared" si="1"/>
        <v>602.9</v>
      </c>
      <c r="O107" s="66">
        <f t="shared" si="1"/>
        <v>0</v>
      </c>
      <c r="P107" s="66">
        <f t="shared" si="1"/>
        <v>4.3</v>
      </c>
      <c r="Q107" s="66">
        <f t="shared" si="1"/>
        <v>13.84</v>
      </c>
      <c r="R107" s="199"/>
      <c r="S107" s="199"/>
      <c r="T107" s="199"/>
      <c r="U107" s="199"/>
    </row>
    <row r="108" spans="1:33" x14ac:dyDescent="0.25">
      <c r="A108" s="65" t="s">
        <v>61</v>
      </c>
      <c r="B108" s="67">
        <f>AVERAGE(B9:B104)</f>
        <v>13.105833333333329</v>
      </c>
      <c r="C108" s="67">
        <f t="shared" ref="C108:Q108" si="2">AVERAGE(C9:C104)</f>
        <v>18.412500000000005</v>
      </c>
      <c r="D108" s="67">
        <f t="shared" si="2"/>
        <v>31.518749999999997</v>
      </c>
      <c r="E108" s="67">
        <f t="shared" si="2"/>
        <v>4.6027083333333314</v>
      </c>
      <c r="F108" s="67">
        <f t="shared" si="2"/>
        <v>0.81659574468085039</v>
      </c>
      <c r="G108" s="67" t="e">
        <f t="shared" si="2"/>
        <v>#DIV/0!</v>
      </c>
      <c r="H108" s="67">
        <f t="shared" si="2"/>
        <v>30.582812500000014</v>
      </c>
      <c r="I108" s="67">
        <f t="shared" si="2"/>
        <v>7.322916666666667</v>
      </c>
      <c r="J108" s="67">
        <f t="shared" si="2"/>
        <v>0.41093750000000018</v>
      </c>
      <c r="K108" s="67">
        <f t="shared" si="2"/>
        <v>253.67875000000004</v>
      </c>
      <c r="L108" s="67" t="e">
        <f t="shared" si="2"/>
        <v>#DIV/0!</v>
      </c>
      <c r="M108" s="67">
        <f t="shared" si="2"/>
        <v>76.266666666666623</v>
      </c>
      <c r="N108" s="67">
        <f t="shared" si="2"/>
        <v>177.12604166666674</v>
      </c>
      <c r="O108" s="67">
        <f t="shared" si="2"/>
        <v>0</v>
      </c>
      <c r="P108" s="67">
        <f t="shared" si="2"/>
        <v>3.7450588235294124</v>
      </c>
      <c r="Q108" s="67">
        <f t="shared" si="2"/>
        <v>8.0972916666666634</v>
      </c>
      <c r="R108" s="198"/>
      <c r="S108" s="198"/>
      <c r="T108" s="198"/>
      <c r="U108" s="198"/>
    </row>
    <row r="109" spans="1:33" x14ac:dyDescent="0.25">
      <c r="A109" s="65" t="s">
        <v>77</v>
      </c>
      <c r="B109" s="67">
        <f>STDEV(B9:B104)</f>
        <v>7.3792573676655202</v>
      </c>
      <c r="C109" s="67">
        <f t="shared" ref="C109:Q109" si="3">STDEV(C9:C104)</f>
        <v>7.4291171112475665</v>
      </c>
      <c r="D109" s="67">
        <f t="shared" si="3"/>
        <v>6.2895983053057529</v>
      </c>
      <c r="E109" s="67">
        <f t="shared" si="3"/>
        <v>1.6690744230934029</v>
      </c>
      <c r="F109" s="67">
        <f t="shared" si="3"/>
        <v>1.4305247951920013</v>
      </c>
      <c r="G109" s="67" t="e">
        <f t="shared" si="3"/>
        <v>#DIV/0!</v>
      </c>
      <c r="H109" s="67">
        <f t="shared" si="3"/>
        <v>5.2662106026858329</v>
      </c>
      <c r="I109" s="67">
        <f t="shared" si="3"/>
        <v>1.5611998871763086</v>
      </c>
      <c r="J109" s="67">
        <f t="shared" si="3"/>
        <v>0.420070365346218</v>
      </c>
      <c r="K109" s="67">
        <f t="shared" si="3"/>
        <v>92.816975945589689</v>
      </c>
      <c r="L109" s="67" t="e">
        <f t="shared" si="3"/>
        <v>#DIV/0!</v>
      </c>
      <c r="M109" s="67">
        <f t="shared" si="3"/>
        <v>13.784400310852639</v>
      </c>
      <c r="N109" s="67">
        <f t="shared" si="3"/>
        <v>196.50638947415084</v>
      </c>
      <c r="O109" s="67">
        <f t="shared" si="3"/>
        <v>0</v>
      </c>
      <c r="P109" s="67">
        <f t="shared" si="3"/>
        <v>0.17784171352646158</v>
      </c>
      <c r="Q109" s="67">
        <f t="shared" si="3"/>
        <v>2.2292370557832717</v>
      </c>
      <c r="R109" s="198"/>
      <c r="S109" s="198"/>
      <c r="T109" s="198"/>
      <c r="U109" s="198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COUNT(F9:F104)+2</f>
        <v>96</v>
      </c>
      <c r="G110" s="66">
        <f>COUNT(G9:G104)+96</f>
        <v>96</v>
      </c>
      <c r="H110" s="66">
        <f>COUNT(H9:H104)</f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>COUNT(L9:L104)+96</f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85</v>
      </c>
      <c r="Q110" s="66">
        <f t="shared" si="4"/>
        <v>96</v>
      </c>
      <c r="R110" s="199"/>
      <c r="S110" s="199"/>
      <c r="T110" s="199"/>
      <c r="U110" s="199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&lt;90%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LESS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218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0" activePane="bottomRight" state="frozen"/>
      <selection activeCell="A9" sqref="A9:U104"/>
      <selection pane="topRight" activeCell="A9" sqref="A9:U104"/>
      <selection pane="bottomLeft" activeCell="A9" sqref="A9:U104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02-08-2022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234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344</v>
      </c>
      <c r="B9" s="60">
        <v>20.69</v>
      </c>
      <c r="C9" s="60">
        <v>14.76</v>
      </c>
      <c r="D9" s="60">
        <v>35.450000000000003</v>
      </c>
      <c r="E9" s="60">
        <v>5.47</v>
      </c>
      <c r="F9" s="60">
        <v>1.41</v>
      </c>
      <c r="G9" s="215" t="s">
        <v>36</v>
      </c>
      <c r="H9" s="60">
        <v>29.26</v>
      </c>
      <c r="I9" s="60">
        <v>8.73</v>
      </c>
      <c r="J9" s="60">
        <v>0.66</v>
      </c>
      <c r="K9" s="60">
        <v>177.3</v>
      </c>
      <c r="L9" s="9" t="s">
        <v>36</v>
      </c>
      <c r="M9" s="60">
        <v>87.01</v>
      </c>
      <c r="N9" s="60">
        <v>15.1</v>
      </c>
      <c r="O9" s="60">
        <v>0</v>
      </c>
      <c r="P9" s="60">
        <v>3.96</v>
      </c>
      <c r="Q9" s="60">
        <v>9.81</v>
      </c>
      <c r="R9" s="197"/>
      <c r="S9" s="197"/>
      <c r="T9" s="197"/>
      <c r="U9" s="197"/>
    </row>
    <row r="10" spans="1:21" s="12" customFormat="1" x14ac:dyDescent="0.25">
      <c r="A10" s="200" t="s">
        <v>345</v>
      </c>
      <c r="B10" s="60">
        <v>19.489999999999998</v>
      </c>
      <c r="C10" s="60">
        <v>14.46</v>
      </c>
      <c r="D10" s="60">
        <v>33.950000000000003</v>
      </c>
      <c r="E10" s="60">
        <v>5.48</v>
      </c>
      <c r="F10" s="60">
        <v>0.14000000000000001</v>
      </c>
      <c r="G10" s="215" t="s">
        <v>36</v>
      </c>
      <c r="H10" s="60">
        <v>25.39</v>
      </c>
      <c r="I10" s="60">
        <v>8.52</v>
      </c>
      <c r="J10" s="60">
        <v>0.51</v>
      </c>
      <c r="K10" s="60">
        <v>175.42</v>
      </c>
      <c r="L10" s="9" t="s">
        <v>36</v>
      </c>
      <c r="M10" s="60">
        <v>87.34</v>
      </c>
      <c r="N10" s="60">
        <v>15.1</v>
      </c>
      <c r="O10" s="60">
        <v>0</v>
      </c>
      <c r="P10" s="60">
        <v>3.93</v>
      </c>
      <c r="Q10" s="60">
        <v>9.2899999999999991</v>
      </c>
      <c r="R10" s="197"/>
      <c r="S10" s="197"/>
      <c r="T10" s="197"/>
      <c r="U10" s="197"/>
    </row>
    <row r="11" spans="1:21" s="12" customFormat="1" x14ac:dyDescent="0.25">
      <c r="A11" s="200" t="s">
        <v>346</v>
      </c>
      <c r="B11" s="60">
        <v>18.38</v>
      </c>
      <c r="C11" s="60">
        <v>13.96</v>
      </c>
      <c r="D11" s="60">
        <v>32.340000000000003</v>
      </c>
      <c r="E11" s="60">
        <v>5.42</v>
      </c>
      <c r="F11" s="60">
        <v>0.18</v>
      </c>
      <c r="G11" s="215" t="s">
        <v>36</v>
      </c>
      <c r="H11" s="60">
        <v>25.39</v>
      </c>
      <c r="I11" s="60">
        <v>8.2200000000000006</v>
      </c>
      <c r="J11" s="60">
        <v>0.34</v>
      </c>
      <c r="K11" s="60">
        <v>162.32</v>
      </c>
      <c r="L11" s="9" t="s">
        <v>36</v>
      </c>
      <c r="M11" s="60">
        <v>88.37</v>
      </c>
      <c r="N11" s="60">
        <v>15.1</v>
      </c>
      <c r="O11" s="60">
        <v>0</v>
      </c>
      <c r="P11" s="60">
        <v>3.89</v>
      </c>
      <c r="Q11" s="60">
        <v>8.6999999999999993</v>
      </c>
      <c r="R11" s="197"/>
      <c r="S11" s="197"/>
      <c r="T11" s="197"/>
      <c r="U11" s="197"/>
    </row>
    <row r="12" spans="1:21" s="12" customFormat="1" x14ac:dyDescent="0.25">
      <c r="A12" s="200" t="s">
        <v>347</v>
      </c>
      <c r="B12" s="60">
        <v>17.309999999999999</v>
      </c>
      <c r="C12" s="60">
        <v>13.87</v>
      </c>
      <c r="D12" s="60">
        <v>31.18</v>
      </c>
      <c r="E12" s="60">
        <v>5.73</v>
      </c>
      <c r="F12" s="60">
        <v>0.02</v>
      </c>
      <c r="G12" s="215" t="s">
        <v>36</v>
      </c>
      <c r="H12" s="60">
        <v>25.39</v>
      </c>
      <c r="I12" s="60">
        <v>8.0299999999999994</v>
      </c>
      <c r="J12" s="60">
        <v>0.37</v>
      </c>
      <c r="K12" s="60">
        <v>177.55</v>
      </c>
      <c r="L12" s="9" t="s">
        <v>36</v>
      </c>
      <c r="M12" s="60">
        <v>88.82</v>
      </c>
      <c r="N12" s="60">
        <v>14.8</v>
      </c>
      <c r="O12" s="60">
        <v>0</v>
      </c>
      <c r="P12" s="60">
        <v>3.87</v>
      </c>
      <c r="Q12" s="60">
        <v>8.48</v>
      </c>
      <c r="R12" s="197"/>
      <c r="S12" s="197"/>
      <c r="T12" s="197"/>
      <c r="U12" s="197"/>
    </row>
    <row r="13" spans="1:21" s="12" customFormat="1" x14ac:dyDescent="0.25">
      <c r="A13" s="200" t="s">
        <v>348</v>
      </c>
      <c r="B13" s="60">
        <v>16</v>
      </c>
      <c r="C13" s="60">
        <v>13.25</v>
      </c>
      <c r="D13" s="60">
        <v>29.25</v>
      </c>
      <c r="E13" s="60">
        <v>5.4</v>
      </c>
      <c r="F13" s="60">
        <v>0.06</v>
      </c>
      <c r="G13" s="215" t="s">
        <v>36</v>
      </c>
      <c r="H13" s="60">
        <v>24.96</v>
      </c>
      <c r="I13" s="60">
        <v>7.89</v>
      </c>
      <c r="J13" s="60">
        <v>0.25</v>
      </c>
      <c r="K13" s="60">
        <v>177.12</v>
      </c>
      <c r="L13" s="9" t="s">
        <v>36</v>
      </c>
      <c r="M13" s="60">
        <v>89.23</v>
      </c>
      <c r="N13" s="60">
        <v>14.7</v>
      </c>
      <c r="O13" s="60">
        <v>0</v>
      </c>
      <c r="P13" s="60">
        <v>3.81</v>
      </c>
      <c r="Q13" s="60">
        <v>8.52</v>
      </c>
      <c r="R13" s="197"/>
      <c r="S13" s="197"/>
      <c r="T13" s="197"/>
      <c r="U13" s="197"/>
    </row>
    <row r="14" spans="1:21" s="12" customFormat="1" x14ac:dyDescent="0.25">
      <c r="A14" s="200" t="s">
        <v>349</v>
      </c>
      <c r="B14" s="60">
        <v>14.19</v>
      </c>
      <c r="C14" s="60">
        <v>12.84</v>
      </c>
      <c r="D14" s="60">
        <v>27.03</v>
      </c>
      <c r="E14" s="60">
        <v>5.7</v>
      </c>
      <c r="F14" s="60">
        <v>7.0000000000000007E-2</v>
      </c>
      <c r="G14" s="215" t="s">
        <v>36</v>
      </c>
      <c r="H14" s="60">
        <v>23.89</v>
      </c>
      <c r="I14" s="60">
        <v>7.68</v>
      </c>
      <c r="J14" s="60">
        <v>0.13</v>
      </c>
      <c r="K14" s="60">
        <v>213.86</v>
      </c>
      <c r="L14" s="9" t="s">
        <v>36</v>
      </c>
      <c r="M14" s="60">
        <v>89.49</v>
      </c>
      <c r="N14" s="60">
        <v>15</v>
      </c>
      <c r="O14" s="60">
        <v>0</v>
      </c>
      <c r="P14" s="60">
        <v>3.75</v>
      </c>
      <c r="Q14" s="60">
        <v>8.68</v>
      </c>
      <c r="R14" s="197"/>
      <c r="S14" s="197"/>
      <c r="T14" s="197"/>
      <c r="U14" s="197"/>
    </row>
    <row r="15" spans="1:21" s="12" customFormat="1" x14ac:dyDescent="0.25">
      <c r="A15" s="200" t="s">
        <v>350</v>
      </c>
      <c r="B15" s="60">
        <v>12.44</v>
      </c>
      <c r="C15" s="60">
        <v>13.18</v>
      </c>
      <c r="D15" s="60">
        <v>25.62</v>
      </c>
      <c r="E15" s="60">
        <v>5.32</v>
      </c>
      <c r="F15" s="60">
        <v>0.03</v>
      </c>
      <c r="G15" s="215" t="s">
        <v>36</v>
      </c>
      <c r="H15" s="60">
        <v>23.89</v>
      </c>
      <c r="I15" s="60">
        <v>7.51</v>
      </c>
      <c r="J15" s="60">
        <v>0.18</v>
      </c>
      <c r="K15" s="60">
        <v>182.09</v>
      </c>
      <c r="L15" s="9" t="s">
        <v>36</v>
      </c>
      <c r="M15" s="60">
        <v>90.03</v>
      </c>
      <c r="N15" s="60">
        <v>14.8</v>
      </c>
      <c r="O15" s="60">
        <v>0</v>
      </c>
      <c r="P15" s="60">
        <v>3.69</v>
      </c>
      <c r="Q15" s="60">
        <v>8.3000000000000007</v>
      </c>
      <c r="R15" s="197"/>
      <c r="S15" s="197"/>
      <c r="T15" s="197"/>
      <c r="U15" s="197"/>
    </row>
    <row r="16" spans="1:21" s="12" customFormat="1" x14ac:dyDescent="0.25">
      <c r="A16" s="200" t="s">
        <v>351</v>
      </c>
      <c r="B16" s="60">
        <v>10.9</v>
      </c>
      <c r="C16" s="60">
        <v>13.08</v>
      </c>
      <c r="D16" s="60">
        <v>23.97</v>
      </c>
      <c r="E16" s="60">
        <v>5.45</v>
      </c>
      <c r="F16" s="60">
        <v>0.01</v>
      </c>
      <c r="G16" s="215" t="s">
        <v>36</v>
      </c>
      <c r="H16" s="60">
        <v>23.89</v>
      </c>
      <c r="I16" s="60">
        <v>7.14</v>
      </c>
      <c r="J16" s="60">
        <v>0.18</v>
      </c>
      <c r="K16" s="60">
        <v>207.9</v>
      </c>
      <c r="L16" s="9" t="s">
        <v>36</v>
      </c>
      <c r="M16" s="60">
        <v>90.77</v>
      </c>
      <c r="N16" s="60">
        <v>14.8</v>
      </c>
      <c r="O16" s="60">
        <v>0</v>
      </c>
      <c r="P16" s="60">
        <v>3.65</v>
      </c>
      <c r="Q16" s="60">
        <v>7.88</v>
      </c>
      <c r="R16" s="197"/>
      <c r="S16" s="197"/>
      <c r="T16" s="197"/>
      <c r="U16" s="197"/>
    </row>
    <row r="17" spans="1:21" s="12" customFormat="1" x14ac:dyDescent="0.25">
      <c r="A17" s="200" t="s">
        <v>352</v>
      </c>
      <c r="B17" s="60">
        <v>9.5399999999999991</v>
      </c>
      <c r="C17" s="60">
        <v>12.5</v>
      </c>
      <c r="D17" s="60">
        <v>22.04</v>
      </c>
      <c r="E17" s="60">
        <v>5.54</v>
      </c>
      <c r="F17" s="60">
        <v>0.33</v>
      </c>
      <c r="G17" s="215" t="s">
        <v>36</v>
      </c>
      <c r="H17" s="60">
        <v>23.08</v>
      </c>
      <c r="I17" s="60">
        <v>6.89</v>
      </c>
      <c r="J17" s="60">
        <v>0.3</v>
      </c>
      <c r="K17" s="60">
        <v>194.42</v>
      </c>
      <c r="L17" s="9" t="s">
        <v>36</v>
      </c>
      <c r="M17" s="60">
        <v>91.74</v>
      </c>
      <c r="N17" s="60">
        <v>14.7</v>
      </c>
      <c r="O17" s="60">
        <v>0</v>
      </c>
      <c r="P17" s="60">
        <v>3.6</v>
      </c>
      <c r="Q17" s="60">
        <v>7.39</v>
      </c>
      <c r="R17" s="197"/>
      <c r="S17" s="197"/>
      <c r="T17" s="197"/>
      <c r="U17" s="197"/>
    </row>
    <row r="18" spans="1:21" s="12" customFormat="1" x14ac:dyDescent="0.25">
      <c r="A18" s="200" t="s">
        <v>353</v>
      </c>
      <c r="B18" s="60">
        <v>8.39</v>
      </c>
      <c r="C18" s="60">
        <v>12.54</v>
      </c>
      <c r="D18" s="60">
        <v>20.92</v>
      </c>
      <c r="E18" s="60">
        <v>5.24</v>
      </c>
      <c r="F18" s="60">
        <v>0.14000000000000001</v>
      </c>
      <c r="G18" s="215" t="s">
        <v>36</v>
      </c>
      <c r="H18" s="60">
        <v>21.09</v>
      </c>
      <c r="I18" s="60">
        <v>6.67</v>
      </c>
      <c r="J18" s="60">
        <v>1</v>
      </c>
      <c r="K18" s="60">
        <v>158.25</v>
      </c>
      <c r="L18" s="9" t="s">
        <v>36</v>
      </c>
      <c r="M18" s="60">
        <v>93.09</v>
      </c>
      <c r="N18" s="60">
        <v>14.6</v>
      </c>
      <c r="O18" s="60">
        <v>0</v>
      </c>
      <c r="P18" s="60">
        <v>3.57</v>
      </c>
      <c r="Q18" s="60">
        <v>6.94</v>
      </c>
      <c r="R18" s="197"/>
      <c r="S18" s="197"/>
      <c r="T18" s="197"/>
      <c r="U18" s="197"/>
    </row>
    <row r="19" spans="1:21" s="12" customFormat="1" x14ac:dyDescent="0.25">
      <c r="A19" s="200" t="s">
        <v>354</v>
      </c>
      <c r="B19" s="60">
        <v>7.31</v>
      </c>
      <c r="C19" s="60">
        <v>12.22</v>
      </c>
      <c r="D19" s="60">
        <v>19.53</v>
      </c>
      <c r="E19" s="60">
        <v>5.43</v>
      </c>
      <c r="F19" s="60">
        <v>7.0000000000000007E-2</v>
      </c>
      <c r="G19" s="215" t="s">
        <v>36</v>
      </c>
      <c r="H19" s="60">
        <v>21.09</v>
      </c>
      <c r="I19" s="60">
        <v>6.37</v>
      </c>
      <c r="J19" s="60">
        <v>1.43</v>
      </c>
      <c r="K19" s="60">
        <v>157.68</v>
      </c>
      <c r="L19" s="9" t="s">
        <v>36</v>
      </c>
      <c r="M19" s="60">
        <v>93.99</v>
      </c>
      <c r="N19" s="60">
        <v>14.7</v>
      </c>
      <c r="O19" s="60">
        <v>0</v>
      </c>
      <c r="P19" s="60">
        <v>3.53</v>
      </c>
      <c r="Q19" s="60">
        <v>6.48</v>
      </c>
      <c r="R19" s="197"/>
      <c r="S19" s="197"/>
      <c r="T19" s="197"/>
      <c r="U19" s="197"/>
    </row>
    <row r="20" spans="1:21" s="12" customFormat="1" x14ac:dyDescent="0.25">
      <c r="A20" s="200" t="s">
        <v>355</v>
      </c>
      <c r="B20" s="60">
        <v>6.54</v>
      </c>
      <c r="C20" s="60">
        <v>11.95</v>
      </c>
      <c r="D20" s="60">
        <v>18.489999999999998</v>
      </c>
      <c r="E20" s="60">
        <v>5.41</v>
      </c>
      <c r="F20" s="60">
        <v>0.14000000000000001</v>
      </c>
      <c r="G20" s="215" t="s">
        <v>36</v>
      </c>
      <c r="H20" s="60">
        <v>21.09</v>
      </c>
      <c r="I20" s="60">
        <v>6.14</v>
      </c>
      <c r="J20" s="60">
        <v>0.65</v>
      </c>
      <c r="K20" s="60">
        <v>174.87</v>
      </c>
      <c r="L20" s="9" t="s">
        <v>36</v>
      </c>
      <c r="M20" s="60">
        <v>93.47</v>
      </c>
      <c r="N20" s="60">
        <v>14.9</v>
      </c>
      <c r="O20" s="60">
        <v>0</v>
      </c>
      <c r="P20" s="60">
        <v>3.5</v>
      </c>
      <c r="Q20" s="60">
        <v>5.69</v>
      </c>
      <c r="R20" s="197"/>
      <c r="S20" s="197"/>
      <c r="T20" s="197"/>
      <c r="U20" s="197"/>
    </row>
    <row r="21" spans="1:21" s="12" customFormat="1" x14ac:dyDescent="0.25">
      <c r="A21" s="200" t="s">
        <v>356</v>
      </c>
      <c r="B21" s="60">
        <v>6.11</v>
      </c>
      <c r="C21" s="60">
        <v>11.88</v>
      </c>
      <c r="D21" s="60">
        <v>17.989999999999998</v>
      </c>
      <c r="E21" s="60">
        <v>5.58</v>
      </c>
      <c r="F21" s="60">
        <v>0.42</v>
      </c>
      <c r="G21" s="215" t="s">
        <v>36</v>
      </c>
      <c r="H21" s="60">
        <v>19.61</v>
      </c>
      <c r="I21" s="60">
        <v>5.99</v>
      </c>
      <c r="J21" s="60">
        <v>0.23</v>
      </c>
      <c r="K21" s="60">
        <v>188.58</v>
      </c>
      <c r="L21" s="9" t="s">
        <v>36</v>
      </c>
      <c r="M21" s="60">
        <v>93.56</v>
      </c>
      <c r="N21" s="60">
        <v>14.9</v>
      </c>
      <c r="O21" s="60">
        <v>0</v>
      </c>
      <c r="P21" s="60">
        <v>3.48</v>
      </c>
      <c r="Q21" s="60">
        <v>5.22</v>
      </c>
      <c r="R21" s="197"/>
      <c r="S21" s="197"/>
      <c r="T21" s="197"/>
      <c r="U21" s="197"/>
    </row>
    <row r="22" spans="1:21" s="12" customFormat="1" x14ac:dyDescent="0.25">
      <c r="A22" s="200" t="s">
        <v>357</v>
      </c>
      <c r="B22" s="60">
        <v>5.94</v>
      </c>
      <c r="C22" s="60">
        <v>11.59</v>
      </c>
      <c r="D22" s="60">
        <v>17.53</v>
      </c>
      <c r="E22" s="60">
        <v>5.62</v>
      </c>
      <c r="F22" s="60">
        <v>0.16</v>
      </c>
      <c r="G22" s="215" t="s">
        <v>36</v>
      </c>
      <c r="H22" s="60">
        <v>15.95</v>
      </c>
      <c r="I22" s="60">
        <v>5.83</v>
      </c>
      <c r="J22" s="60">
        <v>0.25</v>
      </c>
      <c r="K22" s="60">
        <v>175.27</v>
      </c>
      <c r="L22" s="9" t="s">
        <v>36</v>
      </c>
      <c r="M22" s="60">
        <v>94.72</v>
      </c>
      <c r="N22" s="60">
        <v>14.9</v>
      </c>
      <c r="O22" s="60">
        <v>0</v>
      </c>
      <c r="P22" s="60">
        <v>3.46</v>
      </c>
      <c r="Q22" s="60">
        <v>4.9000000000000004</v>
      </c>
      <c r="R22" s="197"/>
      <c r="S22" s="197"/>
      <c r="T22" s="197"/>
      <c r="U22" s="197"/>
    </row>
    <row r="23" spans="1:21" s="12" customFormat="1" x14ac:dyDescent="0.25">
      <c r="A23" s="200" t="s">
        <v>358</v>
      </c>
      <c r="B23" s="60">
        <v>5.85</v>
      </c>
      <c r="C23" s="60">
        <v>11.06</v>
      </c>
      <c r="D23" s="60">
        <v>16.91</v>
      </c>
      <c r="E23" s="60">
        <v>5.34</v>
      </c>
      <c r="F23" s="60">
        <v>0.37</v>
      </c>
      <c r="G23" s="215" t="s">
        <v>36</v>
      </c>
      <c r="H23" s="60">
        <v>15.95</v>
      </c>
      <c r="I23" s="60">
        <v>5.65</v>
      </c>
      <c r="J23" s="60">
        <v>0.23</v>
      </c>
      <c r="K23" s="60">
        <v>170.63</v>
      </c>
      <c r="L23" s="9" t="s">
        <v>36</v>
      </c>
      <c r="M23" s="60">
        <v>93.92</v>
      </c>
      <c r="N23" s="60">
        <v>14.8</v>
      </c>
      <c r="O23" s="60">
        <v>0</v>
      </c>
      <c r="P23" s="60">
        <v>3.45</v>
      </c>
      <c r="Q23" s="60">
        <v>4.6100000000000003</v>
      </c>
      <c r="R23" s="197"/>
      <c r="S23" s="197"/>
      <c r="T23" s="197"/>
      <c r="U23" s="197"/>
    </row>
    <row r="24" spans="1:21" s="12" customFormat="1" x14ac:dyDescent="0.25">
      <c r="A24" s="200" t="s">
        <v>359</v>
      </c>
      <c r="B24" s="60">
        <v>5.8</v>
      </c>
      <c r="C24" s="60">
        <v>10.61</v>
      </c>
      <c r="D24" s="60">
        <v>16.41</v>
      </c>
      <c r="E24" s="60">
        <v>2.5499999999999998</v>
      </c>
      <c r="F24" s="60">
        <v>0.77</v>
      </c>
      <c r="G24" s="215" t="s">
        <v>36</v>
      </c>
      <c r="H24" s="60">
        <v>15.95</v>
      </c>
      <c r="I24" s="60">
        <v>5.46</v>
      </c>
      <c r="J24" s="60">
        <v>0.41</v>
      </c>
      <c r="K24" s="60">
        <v>164.66</v>
      </c>
      <c r="L24" s="9" t="s">
        <v>36</v>
      </c>
      <c r="M24" s="60">
        <v>92.26</v>
      </c>
      <c r="N24" s="60">
        <v>14.8</v>
      </c>
      <c r="O24" s="60">
        <v>0</v>
      </c>
      <c r="P24" s="60">
        <v>3.44</v>
      </c>
      <c r="Q24" s="60">
        <v>4.33</v>
      </c>
      <c r="R24" s="197"/>
      <c r="S24" s="197"/>
      <c r="T24" s="197"/>
      <c r="U24" s="197"/>
    </row>
    <row r="25" spans="1:21" s="12" customFormat="1" x14ac:dyDescent="0.25">
      <c r="A25" s="200" t="s">
        <v>360</v>
      </c>
      <c r="B25" s="60">
        <v>5.7</v>
      </c>
      <c r="C25" s="60">
        <v>10.36</v>
      </c>
      <c r="D25" s="60">
        <v>16.059999999999999</v>
      </c>
      <c r="E25" s="60">
        <v>5.22</v>
      </c>
      <c r="F25" s="60">
        <v>0.5</v>
      </c>
      <c r="G25" s="215" t="s">
        <v>36</v>
      </c>
      <c r="H25" s="60">
        <v>16.170000000000002</v>
      </c>
      <c r="I25" s="60">
        <v>5.44</v>
      </c>
      <c r="J25" s="60">
        <v>0.11</v>
      </c>
      <c r="K25" s="60">
        <v>229.02</v>
      </c>
      <c r="L25" s="9" t="s">
        <v>36</v>
      </c>
      <c r="M25" s="60">
        <v>92.45</v>
      </c>
      <c r="N25" s="60">
        <v>14.8</v>
      </c>
      <c r="O25" s="60">
        <v>0</v>
      </c>
      <c r="P25" s="60">
        <v>3.43</v>
      </c>
      <c r="Q25" s="60">
        <v>4.2</v>
      </c>
      <c r="R25" s="197"/>
      <c r="S25" s="197"/>
      <c r="T25" s="197"/>
      <c r="U25" s="197"/>
    </row>
    <row r="26" spans="1:21" s="12" customFormat="1" x14ac:dyDescent="0.25">
      <c r="A26" s="200" t="s">
        <v>361</v>
      </c>
      <c r="B26" s="60">
        <v>5.71</v>
      </c>
      <c r="C26" s="60">
        <v>10.26</v>
      </c>
      <c r="D26" s="60">
        <v>15.97</v>
      </c>
      <c r="E26" s="60">
        <v>5.66</v>
      </c>
      <c r="F26" s="60">
        <v>0.19</v>
      </c>
      <c r="G26" s="215" t="s">
        <v>36</v>
      </c>
      <c r="H26" s="60">
        <v>16.690000000000001</v>
      </c>
      <c r="I26" s="60">
        <v>5.43</v>
      </c>
      <c r="J26" s="60">
        <v>0.08</v>
      </c>
      <c r="K26" s="60">
        <v>248.55</v>
      </c>
      <c r="L26" s="9" t="s">
        <v>36</v>
      </c>
      <c r="M26" s="60">
        <v>93.02</v>
      </c>
      <c r="N26" s="60">
        <v>15</v>
      </c>
      <c r="O26" s="60">
        <v>0</v>
      </c>
      <c r="P26" s="60">
        <v>3.42</v>
      </c>
      <c r="Q26" s="60">
        <v>4.18</v>
      </c>
      <c r="R26" s="197"/>
      <c r="S26" s="197"/>
      <c r="T26" s="197"/>
      <c r="U26" s="197"/>
    </row>
    <row r="27" spans="1:21" s="12" customFormat="1" x14ac:dyDescent="0.25">
      <c r="A27" s="200" t="s">
        <v>362</v>
      </c>
      <c r="B27" s="60">
        <v>5.7</v>
      </c>
      <c r="C27" s="60">
        <v>10.01</v>
      </c>
      <c r="D27" s="60">
        <v>15.71</v>
      </c>
      <c r="E27" s="60">
        <v>5.95</v>
      </c>
      <c r="F27" s="60">
        <v>0.04</v>
      </c>
      <c r="G27" s="215" t="s">
        <v>36</v>
      </c>
      <c r="H27" s="60">
        <v>16.690000000000001</v>
      </c>
      <c r="I27" s="60">
        <v>5.35</v>
      </c>
      <c r="J27" s="60">
        <v>0.11</v>
      </c>
      <c r="K27" s="60">
        <v>229.51</v>
      </c>
      <c r="L27" s="9" t="s">
        <v>36</v>
      </c>
      <c r="M27" s="60">
        <v>91.45</v>
      </c>
      <c r="N27" s="60">
        <v>14.8</v>
      </c>
      <c r="O27" s="60">
        <v>0</v>
      </c>
      <c r="P27" s="60">
        <v>3.4</v>
      </c>
      <c r="Q27" s="60">
        <v>4.3099999999999996</v>
      </c>
      <c r="R27" s="197"/>
      <c r="S27" s="197"/>
      <c r="T27" s="197"/>
      <c r="U27" s="197"/>
    </row>
    <row r="28" spans="1:21" s="12" customFormat="1" x14ac:dyDescent="0.25">
      <c r="A28" s="200" t="s">
        <v>363</v>
      </c>
      <c r="B28" s="60">
        <v>5.46</v>
      </c>
      <c r="C28" s="60">
        <v>9.7899999999999991</v>
      </c>
      <c r="D28" s="60">
        <v>15.25</v>
      </c>
      <c r="E28" s="60">
        <v>5.98</v>
      </c>
      <c r="F28" s="60">
        <v>0.12</v>
      </c>
      <c r="G28" s="215" t="s">
        <v>36</v>
      </c>
      <c r="H28" s="60">
        <v>16.690000000000001</v>
      </c>
      <c r="I28" s="60">
        <v>5.27</v>
      </c>
      <c r="J28" s="60">
        <v>0.09</v>
      </c>
      <c r="K28" s="60">
        <v>217.75</v>
      </c>
      <c r="L28" s="9" t="s">
        <v>36</v>
      </c>
      <c r="M28" s="60">
        <v>89.24</v>
      </c>
      <c r="N28" s="60">
        <v>14.7</v>
      </c>
      <c r="O28" s="60">
        <v>0</v>
      </c>
      <c r="P28" s="60">
        <v>3.38</v>
      </c>
      <c r="Q28" s="60">
        <v>4.9000000000000004</v>
      </c>
      <c r="R28" s="197"/>
      <c r="S28" s="197"/>
      <c r="T28" s="197"/>
      <c r="U28" s="197"/>
    </row>
    <row r="29" spans="1:21" s="12" customFormat="1" x14ac:dyDescent="0.25">
      <c r="A29" s="200" t="s">
        <v>364</v>
      </c>
      <c r="B29" s="60">
        <v>4.97</v>
      </c>
      <c r="C29" s="60">
        <v>10.199999999999999</v>
      </c>
      <c r="D29" s="60">
        <v>15.18</v>
      </c>
      <c r="E29" s="60">
        <v>6.25</v>
      </c>
      <c r="F29" s="60">
        <v>0.78</v>
      </c>
      <c r="G29" s="215" t="s">
        <v>36</v>
      </c>
      <c r="H29" s="60">
        <v>16.27</v>
      </c>
      <c r="I29" s="60">
        <v>5.36</v>
      </c>
      <c r="J29" s="60">
        <v>0.25</v>
      </c>
      <c r="K29" s="60">
        <v>195.6</v>
      </c>
      <c r="L29" s="9" t="s">
        <v>36</v>
      </c>
      <c r="M29" s="60">
        <v>89.04</v>
      </c>
      <c r="N29" s="60">
        <v>14.7</v>
      </c>
      <c r="O29" s="60">
        <v>0</v>
      </c>
      <c r="P29" s="60">
        <v>3.35</v>
      </c>
      <c r="Q29" s="60">
        <v>5.27</v>
      </c>
      <c r="R29" s="197"/>
      <c r="S29" s="197"/>
      <c r="T29" s="197"/>
      <c r="U29" s="197"/>
    </row>
    <row r="30" spans="1:21" s="12" customFormat="1" x14ac:dyDescent="0.25">
      <c r="A30" s="200" t="s">
        <v>365</v>
      </c>
      <c r="B30" s="60">
        <v>4.5199999999999996</v>
      </c>
      <c r="C30" s="60">
        <v>10.66</v>
      </c>
      <c r="D30" s="60">
        <v>15.18</v>
      </c>
      <c r="E30" s="60">
        <v>5.58</v>
      </c>
      <c r="F30" s="60">
        <v>0.13</v>
      </c>
      <c r="G30" s="215" t="s">
        <v>36</v>
      </c>
      <c r="H30" s="60">
        <v>15.25</v>
      </c>
      <c r="I30" s="60">
        <v>5.3</v>
      </c>
      <c r="J30" s="60">
        <v>0.17</v>
      </c>
      <c r="K30" s="60">
        <v>193.14</v>
      </c>
      <c r="L30" s="9" t="s">
        <v>36</v>
      </c>
      <c r="M30" s="60">
        <v>90.78</v>
      </c>
      <c r="N30" s="60">
        <v>15.2</v>
      </c>
      <c r="O30" s="60">
        <v>0</v>
      </c>
      <c r="P30" s="60">
        <v>3.34</v>
      </c>
      <c r="Q30" s="60">
        <v>5.43</v>
      </c>
      <c r="R30" s="197"/>
      <c r="S30" s="197"/>
      <c r="T30" s="197"/>
      <c r="U30" s="197"/>
    </row>
    <row r="31" spans="1:21" s="12" customFormat="1" x14ac:dyDescent="0.25">
      <c r="A31" s="200" t="s">
        <v>366</v>
      </c>
      <c r="B31" s="60">
        <v>4.17</v>
      </c>
      <c r="C31" s="60">
        <v>10.27</v>
      </c>
      <c r="D31" s="60">
        <v>14.44</v>
      </c>
      <c r="E31" s="60">
        <v>5.83</v>
      </c>
      <c r="F31" s="60">
        <v>0.45</v>
      </c>
      <c r="G31" s="215" t="s">
        <v>36</v>
      </c>
      <c r="H31" s="60">
        <v>15.25</v>
      </c>
      <c r="I31" s="60">
        <v>5.17</v>
      </c>
      <c r="J31" s="60">
        <v>0.11</v>
      </c>
      <c r="K31" s="60">
        <v>233.02</v>
      </c>
      <c r="L31" s="9" t="s">
        <v>36</v>
      </c>
      <c r="M31" s="60">
        <v>91.14</v>
      </c>
      <c r="N31" s="60">
        <v>18.399999999999999</v>
      </c>
      <c r="O31" s="60">
        <v>0</v>
      </c>
      <c r="P31" s="60">
        <v>3.33</v>
      </c>
      <c r="Q31" s="60">
        <v>5.39</v>
      </c>
      <c r="R31" s="197"/>
      <c r="S31" s="197"/>
      <c r="T31" s="197"/>
      <c r="U31" s="197"/>
    </row>
    <row r="32" spans="1:21" s="12" customFormat="1" x14ac:dyDescent="0.25">
      <c r="A32" s="200" t="s">
        <v>367</v>
      </c>
      <c r="B32" s="60">
        <v>3.88</v>
      </c>
      <c r="C32" s="60">
        <v>10.53</v>
      </c>
      <c r="D32" s="60">
        <v>14.41</v>
      </c>
      <c r="E32" s="60">
        <v>5.42</v>
      </c>
      <c r="F32" s="60">
        <v>0.03</v>
      </c>
      <c r="G32" s="215" t="s">
        <v>36</v>
      </c>
      <c r="H32" s="60">
        <v>15.25</v>
      </c>
      <c r="I32" s="60">
        <v>5.04</v>
      </c>
      <c r="J32" s="60">
        <v>0.11</v>
      </c>
      <c r="K32" s="60">
        <v>241.77</v>
      </c>
      <c r="L32" s="9" t="s">
        <v>36</v>
      </c>
      <c r="M32" s="60">
        <v>91.18</v>
      </c>
      <c r="N32" s="60">
        <v>30.4</v>
      </c>
      <c r="O32" s="60">
        <v>0</v>
      </c>
      <c r="P32" s="60">
        <v>3.3</v>
      </c>
      <c r="Q32" s="60">
        <v>5.17</v>
      </c>
      <c r="R32" s="197"/>
      <c r="S32" s="197"/>
      <c r="T32" s="197"/>
      <c r="U32" s="197"/>
    </row>
    <row r="33" spans="1:21" s="12" customFormat="1" x14ac:dyDescent="0.25">
      <c r="A33" s="200" t="s">
        <v>368</v>
      </c>
      <c r="B33" s="60">
        <v>3.62</v>
      </c>
      <c r="C33" s="60">
        <v>10.039999999999999</v>
      </c>
      <c r="D33" s="60">
        <v>13.67</v>
      </c>
      <c r="E33" s="60">
        <v>4.95</v>
      </c>
      <c r="F33" s="60">
        <v>0.15</v>
      </c>
      <c r="G33" s="215" t="s">
        <v>36</v>
      </c>
      <c r="H33" s="60">
        <v>15.72</v>
      </c>
      <c r="I33" s="60">
        <v>4.87</v>
      </c>
      <c r="J33" s="60">
        <v>0.03</v>
      </c>
      <c r="K33" s="60">
        <v>203.11</v>
      </c>
      <c r="L33" s="9" t="s">
        <v>36</v>
      </c>
      <c r="M33" s="60">
        <v>90.24</v>
      </c>
      <c r="N33" s="60">
        <v>47.4</v>
      </c>
      <c r="O33" s="60">
        <v>0</v>
      </c>
      <c r="P33" s="60">
        <v>3.3</v>
      </c>
      <c r="Q33" s="60">
        <v>4.99</v>
      </c>
      <c r="R33" s="197"/>
      <c r="S33" s="197"/>
      <c r="T33" s="197"/>
      <c r="U33" s="197"/>
    </row>
    <row r="34" spans="1:21" s="12" customFormat="1" x14ac:dyDescent="0.25">
      <c r="A34" s="200" t="s">
        <v>369</v>
      </c>
      <c r="B34" s="60">
        <v>3.81</v>
      </c>
      <c r="C34" s="60">
        <v>10.88</v>
      </c>
      <c r="D34" s="60">
        <v>14.7</v>
      </c>
      <c r="E34" s="60">
        <v>5.23</v>
      </c>
      <c r="F34" s="60">
        <v>0.06</v>
      </c>
      <c r="G34" s="215" t="s">
        <v>36</v>
      </c>
      <c r="H34" s="60">
        <v>16.87</v>
      </c>
      <c r="I34" s="60">
        <v>4.74</v>
      </c>
      <c r="J34" s="60">
        <v>0.08</v>
      </c>
      <c r="K34" s="60">
        <v>54.48</v>
      </c>
      <c r="L34" s="9" t="s">
        <v>36</v>
      </c>
      <c r="M34" s="60">
        <v>89.44</v>
      </c>
      <c r="N34" s="60">
        <v>67.7</v>
      </c>
      <c r="O34" s="60">
        <v>0</v>
      </c>
      <c r="P34" s="60">
        <v>3.29</v>
      </c>
      <c r="Q34" s="60">
        <v>4.7699999999999996</v>
      </c>
      <c r="R34" s="197"/>
      <c r="S34" s="197"/>
      <c r="T34" s="197"/>
      <c r="U34" s="197"/>
    </row>
    <row r="35" spans="1:21" s="12" customFormat="1" x14ac:dyDescent="0.25">
      <c r="A35" s="200" t="s">
        <v>370</v>
      </c>
      <c r="B35" s="60">
        <v>4.16</v>
      </c>
      <c r="C35" s="60">
        <v>11.28</v>
      </c>
      <c r="D35" s="60">
        <v>15.44</v>
      </c>
      <c r="E35" s="60">
        <v>5.13</v>
      </c>
      <c r="F35" s="60">
        <v>0.02</v>
      </c>
      <c r="G35" s="215" t="s">
        <v>36</v>
      </c>
      <c r="H35" s="60">
        <v>16.87</v>
      </c>
      <c r="I35" s="60">
        <v>4.6500000000000004</v>
      </c>
      <c r="J35" s="60">
        <v>0.1</v>
      </c>
      <c r="K35" s="60">
        <v>340.98</v>
      </c>
      <c r="L35" s="9" t="s">
        <v>36</v>
      </c>
      <c r="M35" s="60">
        <v>88.96</v>
      </c>
      <c r="N35" s="60">
        <v>100.9</v>
      </c>
      <c r="O35" s="60">
        <v>0</v>
      </c>
      <c r="P35" s="60">
        <v>3.29</v>
      </c>
      <c r="Q35" s="60">
        <v>4.66</v>
      </c>
      <c r="R35" s="197"/>
      <c r="S35" s="197"/>
      <c r="T35" s="197"/>
      <c r="U35" s="197"/>
    </row>
    <row r="36" spans="1:21" s="12" customFormat="1" x14ac:dyDescent="0.25">
      <c r="A36" s="200" t="s">
        <v>371</v>
      </c>
      <c r="B36" s="60">
        <v>4.55</v>
      </c>
      <c r="C36" s="60">
        <v>11.37</v>
      </c>
      <c r="D36" s="60">
        <v>15.91</v>
      </c>
      <c r="E36" s="60">
        <v>4.93</v>
      </c>
      <c r="F36" s="60">
        <v>0.05</v>
      </c>
      <c r="G36" s="215" t="s">
        <v>36</v>
      </c>
      <c r="H36" s="60">
        <v>16.87</v>
      </c>
      <c r="I36" s="60">
        <v>4.6500000000000004</v>
      </c>
      <c r="J36" s="60">
        <v>0.03</v>
      </c>
      <c r="K36" s="60">
        <v>10.89</v>
      </c>
      <c r="L36" s="9" t="s">
        <v>36</v>
      </c>
      <c r="M36" s="60">
        <v>87.04</v>
      </c>
      <c r="N36" s="60">
        <v>144.69999999999999</v>
      </c>
      <c r="O36" s="60">
        <v>0</v>
      </c>
      <c r="P36" s="60">
        <v>3.3</v>
      </c>
      <c r="Q36" s="60">
        <v>4.47</v>
      </c>
      <c r="R36" s="197"/>
      <c r="S36" s="197"/>
      <c r="T36" s="197"/>
      <c r="U36" s="197"/>
    </row>
    <row r="37" spans="1:21" s="12" customFormat="1" x14ac:dyDescent="0.25">
      <c r="A37" s="200" t="s">
        <v>372</v>
      </c>
      <c r="B37" s="60">
        <v>4.95</v>
      </c>
      <c r="C37" s="60">
        <v>11.21</v>
      </c>
      <c r="D37" s="60">
        <v>16.16</v>
      </c>
      <c r="E37" s="60">
        <v>5.01</v>
      </c>
      <c r="F37" s="60">
        <v>0.16</v>
      </c>
      <c r="G37" s="215" t="s">
        <v>36</v>
      </c>
      <c r="H37" s="60">
        <v>15.41</v>
      </c>
      <c r="I37" s="60">
        <v>4.71</v>
      </c>
      <c r="J37" s="60">
        <v>7.0000000000000007E-2</v>
      </c>
      <c r="K37" s="60">
        <v>34.369999999999997</v>
      </c>
      <c r="L37" s="9" t="s">
        <v>36</v>
      </c>
      <c r="M37" s="60">
        <v>85.83</v>
      </c>
      <c r="N37" s="60">
        <v>172.2</v>
      </c>
      <c r="O37" s="60">
        <v>0</v>
      </c>
      <c r="P37" s="60">
        <v>3.3</v>
      </c>
      <c r="Q37" s="60">
        <v>4.29</v>
      </c>
      <c r="R37" s="197"/>
      <c r="S37" s="197"/>
      <c r="T37" s="197"/>
      <c r="U37" s="197"/>
    </row>
    <row r="38" spans="1:21" s="12" customFormat="1" x14ac:dyDescent="0.25">
      <c r="A38" s="200" t="s">
        <v>373</v>
      </c>
      <c r="B38" s="60">
        <v>5.48</v>
      </c>
      <c r="C38" s="60">
        <v>11.36</v>
      </c>
      <c r="D38" s="60">
        <v>16.84</v>
      </c>
      <c r="E38" s="60">
        <v>5.41</v>
      </c>
      <c r="F38" s="60">
        <v>0.1</v>
      </c>
      <c r="G38" s="215" t="s">
        <v>36</v>
      </c>
      <c r="H38" s="60">
        <v>11.81</v>
      </c>
      <c r="I38" s="60">
        <v>4.7300000000000004</v>
      </c>
      <c r="J38" s="60">
        <v>0.13</v>
      </c>
      <c r="K38" s="60">
        <v>230.96</v>
      </c>
      <c r="L38" s="9" t="s">
        <v>36</v>
      </c>
      <c r="M38" s="60">
        <v>85.64</v>
      </c>
      <c r="N38" s="60">
        <v>203.1</v>
      </c>
      <c r="O38" s="60">
        <v>0</v>
      </c>
      <c r="P38" s="60">
        <v>3.3</v>
      </c>
      <c r="Q38" s="60">
        <v>4.3899999999999997</v>
      </c>
      <c r="R38" s="197"/>
      <c r="S38" s="197"/>
      <c r="T38" s="197"/>
      <c r="U38" s="197"/>
    </row>
    <row r="39" spans="1:21" s="12" customFormat="1" x14ac:dyDescent="0.25">
      <c r="A39" s="200" t="s">
        <v>374</v>
      </c>
      <c r="B39" s="60">
        <v>5.98</v>
      </c>
      <c r="C39" s="60">
        <v>11.54</v>
      </c>
      <c r="D39" s="60">
        <v>17.510000000000002</v>
      </c>
      <c r="E39" s="60">
        <v>5.79</v>
      </c>
      <c r="F39" s="60">
        <v>0.14000000000000001</v>
      </c>
      <c r="G39" s="215" t="s">
        <v>36</v>
      </c>
      <c r="H39" s="60">
        <v>11.81</v>
      </c>
      <c r="I39" s="60">
        <v>4.8099999999999996</v>
      </c>
      <c r="J39" s="60">
        <v>0.11</v>
      </c>
      <c r="K39" s="60">
        <v>4.1500000000000004</v>
      </c>
      <c r="L39" s="9" t="s">
        <v>36</v>
      </c>
      <c r="M39" s="60">
        <v>82.28</v>
      </c>
      <c r="N39" s="60">
        <v>277.8</v>
      </c>
      <c r="O39" s="60">
        <v>0</v>
      </c>
      <c r="P39" s="60">
        <v>3.32</v>
      </c>
      <c r="Q39" s="60">
        <v>4.5</v>
      </c>
      <c r="R39" s="197"/>
      <c r="S39" s="197"/>
      <c r="T39" s="197"/>
      <c r="U39" s="197"/>
    </row>
    <row r="40" spans="1:21" s="12" customFormat="1" x14ac:dyDescent="0.25">
      <c r="A40" s="200" t="s">
        <v>375</v>
      </c>
      <c r="B40" s="60">
        <v>6.63</v>
      </c>
      <c r="C40" s="60">
        <v>11.63</v>
      </c>
      <c r="D40" s="60">
        <v>18.260000000000002</v>
      </c>
      <c r="E40" s="60">
        <v>2.08</v>
      </c>
      <c r="F40" s="60">
        <v>0.08</v>
      </c>
      <c r="G40" s="215" t="s">
        <v>36</v>
      </c>
      <c r="H40" s="60">
        <v>11.81</v>
      </c>
      <c r="I40" s="60">
        <v>4.92</v>
      </c>
      <c r="J40" s="60">
        <v>0.28999999999999998</v>
      </c>
      <c r="K40" s="60">
        <v>318.38</v>
      </c>
      <c r="L40" s="9" t="s">
        <v>36</v>
      </c>
      <c r="M40" s="60">
        <v>76.44</v>
      </c>
      <c r="N40" s="60">
        <v>296.60000000000002</v>
      </c>
      <c r="O40" s="60">
        <v>0</v>
      </c>
      <c r="P40" s="60">
        <v>3.33</v>
      </c>
      <c r="Q40" s="60">
        <v>4.71</v>
      </c>
      <c r="R40" s="197"/>
      <c r="S40" s="197"/>
      <c r="T40" s="197"/>
      <c r="U40" s="197"/>
    </row>
    <row r="41" spans="1:21" s="12" customFormat="1" x14ac:dyDescent="0.25">
      <c r="A41" s="200" t="s">
        <v>376</v>
      </c>
      <c r="B41" s="60">
        <v>7.24</v>
      </c>
      <c r="C41" s="60">
        <v>11.55</v>
      </c>
      <c r="D41" s="60">
        <v>18.79</v>
      </c>
      <c r="E41" s="60">
        <v>4.5999999999999996</v>
      </c>
      <c r="F41" s="60">
        <v>0.2</v>
      </c>
      <c r="G41" s="215" t="s">
        <v>36</v>
      </c>
      <c r="H41" s="60">
        <v>13.78</v>
      </c>
      <c r="I41" s="60">
        <v>4.99</v>
      </c>
      <c r="J41" s="60">
        <v>0.25</v>
      </c>
      <c r="K41" s="60">
        <v>319.52999999999997</v>
      </c>
      <c r="L41" s="9" t="s">
        <v>36</v>
      </c>
      <c r="M41" s="60">
        <v>74.959999999999994</v>
      </c>
      <c r="N41" s="60">
        <v>280.60000000000002</v>
      </c>
      <c r="O41" s="60">
        <v>0</v>
      </c>
      <c r="P41" s="60">
        <v>3.35</v>
      </c>
      <c r="Q41" s="60">
        <v>4.8</v>
      </c>
      <c r="R41" s="197"/>
      <c r="S41" s="197"/>
      <c r="T41" s="197"/>
      <c r="U41" s="197"/>
    </row>
    <row r="42" spans="1:21" s="12" customFormat="1" x14ac:dyDescent="0.25">
      <c r="A42" s="200" t="s">
        <v>377</v>
      </c>
      <c r="B42" s="60">
        <v>7.85</v>
      </c>
      <c r="C42" s="60">
        <v>11.99</v>
      </c>
      <c r="D42" s="60">
        <v>19.84</v>
      </c>
      <c r="E42" s="60">
        <v>4.58</v>
      </c>
      <c r="F42" s="60">
        <v>0.15</v>
      </c>
      <c r="G42" s="215" t="s">
        <v>36</v>
      </c>
      <c r="H42" s="60">
        <v>18.63</v>
      </c>
      <c r="I42" s="60">
        <v>5.16</v>
      </c>
      <c r="J42" s="60">
        <v>0.11</v>
      </c>
      <c r="K42" s="60">
        <v>315</v>
      </c>
      <c r="L42" s="9" t="s">
        <v>36</v>
      </c>
      <c r="M42" s="60">
        <v>78.569999999999993</v>
      </c>
      <c r="N42" s="60">
        <v>275.2</v>
      </c>
      <c r="O42" s="60">
        <v>0</v>
      </c>
      <c r="P42" s="60">
        <v>3.36</v>
      </c>
      <c r="Q42" s="60">
        <v>5.4</v>
      </c>
      <c r="R42" s="197"/>
      <c r="S42" s="197"/>
      <c r="T42" s="197"/>
      <c r="U42" s="197"/>
    </row>
    <row r="43" spans="1:21" s="12" customFormat="1" x14ac:dyDescent="0.25">
      <c r="A43" s="200" t="s">
        <v>378</v>
      </c>
      <c r="B43" s="60">
        <v>8.1</v>
      </c>
      <c r="C43" s="60">
        <v>12.28</v>
      </c>
      <c r="D43" s="60">
        <v>20.38</v>
      </c>
      <c r="E43" s="60">
        <v>4.55</v>
      </c>
      <c r="F43" s="60">
        <v>0.44</v>
      </c>
      <c r="G43" s="215" t="s">
        <v>36</v>
      </c>
      <c r="H43" s="60">
        <v>18.63</v>
      </c>
      <c r="I43" s="60">
        <v>5.27</v>
      </c>
      <c r="J43" s="60">
        <v>0.27</v>
      </c>
      <c r="K43" s="60">
        <v>322.02999999999997</v>
      </c>
      <c r="L43" s="9" t="s">
        <v>36</v>
      </c>
      <c r="M43" s="60">
        <v>77.510000000000005</v>
      </c>
      <c r="N43" s="60">
        <v>290.5</v>
      </c>
      <c r="O43" s="60">
        <v>0</v>
      </c>
      <c r="P43" s="60">
        <v>3.37</v>
      </c>
      <c r="Q43" s="60">
        <v>6.28</v>
      </c>
      <c r="R43" s="197"/>
      <c r="S43" s="197"/>
      <c r="T43" s="197"/>
      <c r="U43" s="197"/>
    </row>
    <row r="44" spans="1:21" s="12" customFormat="1" x14ac:dyDescent="0.25">
      <c r="A44" s="200" t="s">
        <v>379</v>
      </c>
      <c r="B44" s="60">
        <v>8.31</v>
      </c>
      <c r="C44" s="60">
        <v>13.68</v>
      </c>
      <c r="D44" s="60">
        <v>21.99</v>
      </c>
      <c r="E44" s="60">
        <v>4.49</v>
      </c>
      <c r="F44" s="60">
        <v>7.0000000000000007E-2</v>
      </c>
      <c r="G44" s="215" t="s">
        <v>36</v>
      </c>
      <c r="H44" s="60">
        <v>18.63</v>
      </c>
      <c r="I44" s="60">
        <v>5.26</v>
      </c>
      <c r="J44" s="60">
        <v>0.06</v>
      </c>
      <c r="K44" s="60">
        <v>276.55</v>
      </c>
      <c r="L44" s="9" t="s">
        <v>36</v>
      </c>
      <c r="M44" s="60">
        <v>78.040000000000006</v>
      </c>
      <c r="N44" s="60">
        <v>306.60000000000002</v>
      </c>
      <c r="O44" s="60">
        <v>0</v>
      </c>
      <c r="P44" s="60">
        <v>3.4</v>
      </c>
      <c r="Q44" s="60">
        <v>6.92</v>
      </c>
      <c r="R44" s="197"/>
      <c r="S44" s="197"/>
      <c r="T44" s="197"/>
      <c r="U44" s="197"/>
    </row>
    <row r="45" spans="1:21" s="12" customFormat="1" x14ac:dyDescent="0.25">
      <c r="A45" s="200" t="s">
        <v>380</v>
      </c>
      <c r="B45" s="60">
        <v>8.06</v>
      </c>
      <c r="C45" s="60">
        <v>14.08</v>
      </c>
      <c r="D45" s="60">
        <v>22.13</v>
      </c>
      <c r="E45" s="60">
        <v>4.72</v>
      </c>
      <c r="F45" s="60">
        <v>0.36</v>
      </c>
      <c r="G45" s="215" t="s">
        <v>36</v>
      </c>
      <c r="H45" s="60">
        <v>19.399999999999999</v>
      </c>
      <c r="I45" s="60">
        <v>5.31</v>
      </c>
      <c r="J45" s="60">
        <v>0.1</v>
      </c>
      <c r="K45" s="60">
        <v>290.23</v>
      </c>
      <c r="L45" s="9" t="s">
        <v>36</v>
      </c>
      <c r="M45" s="60">
        <v>78.98</v>
      </c>
      <c r="N45" s="60">
        <v>322.5</v>
      </c>
      <c r="O45" s="60">
        <v>0</v>
      </c>
      <c r="P45" s="60">
        <v>3.4</v>
      </c>
      <c r="Q45" s="60">
        <v>7.11</v>
      </c>
      <c r="R45" s="197"/>
      <c r="S45" s="197"/>
      <c r="T45" s="197"/>
      <c r="U45" s="197"/>
    </row>
    <row r="46" spans="1:21" s="12" customFormat="1" x14ac:dyDescent="0.25">
      <c r="A46" s="200" t="s">
        <v>381</v>
      </c>
      <c r="B46" s="60">
        <v>7.56</v>
      </c>
      <c r="C46" s="60">
        <v>14.93</v>
      </c>
      <c r="D46" s="60">
        <v>22.49</v>
      </c>
      <c r="E46" s="60">
        <v>4.3899999999999997</v>
      </c>
      <c r="F46" s="60">
        <v>0.2</v>
      </c>
      <c r="G46" s="215" t="s">
        <v>36</v>
      </c>
      <c r="H46" s="60">
        <v>21.3</v>
      </c>
      <c r="I46" s="60">
        <v>5.39</v>
      </c>
      <c r="J46" s="60">
        <v>0.22</v>
      </c>
      <c r="K46" s="60">
        <v>329.09</v>
      </c>
      <c r="L46" s="9" t="s">
        <v>36</v>
      </c>
      <c r="M46" s="60">
        <v>78.52</v>
      </c>
      <c r="N46" s="60">
        <v>340.4</v>
      </c>
      <c r="O46" s="60">
        <v>0</v>
      </c>
      <c r="P46" s="60">
        <v>3.4</v>
      </c>
      <c r="Q46" s="60">
        <v>7.07</v>
      </c>
      <c r="R46" s="197"/>
      <c r="S46" s="197"/>
      <c r="T46" s="197"/>
      <c r="U46" s="197"/>
    </row>
    <row r="47" spans="1:21" s="12" customFormat="1" x14ac:dyDescent="0.25">
      <c r="A47" s="200" t="s">
        <v>382</v>
      </c>
      <c r="B47" s="60">
        <v>7.08</v>
      </c>
      <c r="C47" s="60">
        <v>15.59</v>
      </c>
      <c r="D47" s="60">
        <v>22.66</v>
      </c>
      <c r="E47" s="60">
        <v>4.43</v>
      </c>
      <c r="F47" s="60">
        <v>0.57999999999999996</v>
      </c>
      <c r="G47" s="215" t="s">
        <v>36</v>
      </c>
      <c r="H47" s="60">
        <v>21.3</v>
      </c>
      <c r="I47" s="60">
        <v>5.35</v>
      </c>
      <c r="J47" s="60">
        <v>0.43</v>
      </c>
      <c r="K47" s="60">
        <v>313.89999999999998</v>
      </c>
      <c r="L47" s="9" t="s">
        <v>36</v>
      </c>
      <c r="M47" s="60">
        <v>73.48</v>
      </c>
      <c r="N47" s="60">
        <v>321.89999999999998</v>
      </c>
      <c r="O47" s="60">
        <v>0</v>
      </c>
      <c r="P47" s="60">
        <v>3.44</v>
      </c>
      <c r="Q47" s="60">
        <v>6.95</v>
      </c>
      <c r="R47" s="197"/>
      <c r="S47" s="197"/>
      <c r="T47" s="197"/>
      <c r="U47" s="197"/>
    </row>
    <row r="48" spans="1:21" s="12" customFormat="1" x14ac:dyDescent="0.25">
      <c r="A48" s="200" t="s">
        <v>383</v>
      </c>
      <c r="B48" s="60">
        <v>7.31</v>
      </c>
      <c r="C48" s="60">
        <v>17.02</v>
      </c>
      <c r="D48" s="60">
        <v>24.33</v>
      </c>
      <c r="E48" s="60">
        <v>3.94</v>
      </c>
      <c r="F48" s="60">
        <v>0.24</v>
      </c>
      <c r="G48" s="215" t="s">
        <v>36</v>
      </c>
      <c r="H48" s="60">
        <v>21.3</v>
      </c>
      <c r="I48" s="60">
        <v>5.41</v>
      </c>
      <c r="J48" s="60">
        <v>0.35</v>
      </c>
      <c r="K48" s="60">
        <v>314.81</v>
      </c>
      <c r="L48" s="9" t="s">
        <v>36</v>
      </c>
      <c r="M48" s="60">
        <v>70.58</v>
      </c>
      <c r="N48" s="60">
        <v>400.2</v>
      </c>
      <c r="O48" s="60">
        <v>0</v>
      </c>
      <c r="P48" s="60">
        <v>3.47</v>
      </c>
      <c r="Q48" s="60">
        <v>7.12</v>
      </c>
      <c r="R48" s="197"/>
      <c r="S48" s="197"/>
      <c r="T48" s="197"/>
      <c r="U48" s="197"/>
    </row>
    <row r="49" spans="1:21" s="12" customFormat="1" x14ac:dyDescent="0.25">
      <c r="A49" s="200" t="s">
        <v>384</v>
      </c>
      <c r="B49" s="60">
        <v>7.37</v>
      </c>
      <c r="C49" s="60">
        <v>17.23</v>
      </c>
      <c r="D49" s="60">
        <v>24.6</v>
      </c>
      <c r="E49" s="60">
        <v>4.25</v>
      </c>
      <c r="F49" s="60">
        <v>0.38</v>
      </c>
      <c r="G49" s="215" t="s">
        <v>36</v>
      </c>
      <c r="H49" s="60">
        <v>21.72</v>
      </c>
      <c r="I49" s="60">
        <v>5.52</v>
      </c>
      <c r="J49" s="60">
        <v>0.91</v>
      </c>
      <c r="K49" s="60">
        <v>320.27</v>
      </c>
      <c r="L49" s="9" t="s">
        <v>36</v>
      </c>
      <c r="M49" s="60">
        <v>66.290000000000006</v>
      </c>
      <c r="N49" s="60">
        <v>566</v>
      </c>
      <c r="O49" s="60">
        <v>0</v>
      </c>
      <c r="P49" s="60">
        <v>3.48</v>
      </c>
      <c r="Q49" s="60">
        <v>6.65</v>
      </c>
      <c r="R49" s="197"/>
      <c r="S49" s="197"/>
      <c r="T49" s="197"/>
      <c r="U49" s="197"/>
    </row>
    <row r="50" spans="1:21" s="12" customFormat="1" x14ac:dyDescent="0.25">
      <c r="A50" s="200" t="s">
        <v>385</v>
      </c>
      <c r="B50" s="60">
        <v>7.38</v>
      </c>
      <c r="C50" s="60">
        <v>17.82</v>
      </c>
      <c r="D50" s="60">
        <v>25.2</v>
      </c>
      <c r="E50" s="60">
        <v>3.95</v>
      </c>
      <c r="F50" s="60">
        <v>0.22</v>
      </c>
      <c r="G50" s="215" t="s">
        <v>36</v>
      </c>
      <c r="H50" s="60">
        <v>22.74</v>
      </c>
      <c r="I50" s="60">
        <v>5.62</v>
      </c>
      <c r="J50" s="60">
        <v>0.98</v>
      </c>
      <c r="K50" s="60">
        <v>347.19</v>
      </c>
      <c r="L50" s="9" t="s">
        <v>36</v>
      </c>
      <c r="M50" s="60">
        <v>61</v>
      </c>
      <c r="N50" s="60">
        <v>650.29999999999995</v>
      </c>
      <c r="O50" s="60">
        <v>0</v>
      </c>
      <c r="P50" s="60">
        <v>3.5</v>
      </c>
      <c r="Q50" s="60">
        <v>6.58</v>
      </c>
      <c r="R50" s="197"/>
      <c r="S50" s="197"/>
      <c r="T50" s="197"/>
      <c r="U50" s="197"/>
    </row>
    <row r="51" spans="1:21" s="12" customFormat="1" x14ac:dyDescent="0.25">
      <c r="A51" s="200" t="s">
        <v>386</v>
      </c>
      <c r="B51" s="60">
        <v>7.5</v>
      </c>
      <c r="C51" s="60">
        <v>17.489999999999998</v>
      </c>
      <c r="D51" s="60">
        <v>24.99</v>
      </c>
      <c r="E51" s="60">
        <v>4.08</v>
      </c>
      <c r="F51" s="60">
        <v>0.34</v>
      </c>
      <c r="G51" s="215" t="s">
        <v>36</v>
      </c>
      <c r="H51" s="60">
        <v>22.74</v>
      </c>
      <c r="I51" s="60">
        <v>5.59</v>
      </c>
      <c r="J51" s="60">
        <v>0.56999999999999995</v>
      </c>
      <c r="K51" s="60">
        <v>323.52999999999997</v>
      </c>
      <c r="L51" s="9" t="s">
        <v>36</v>
      </c>
      <c r="M51" s="60">
        <v>60.46</v>
      </c>
      <c r="N51" s="60">
        <v>536.79999999999995</v>
      </c>
      <c r="O51" s="60">
        <v>0</v>
      </c>
      <c r="P51" s="60">
        <v>3.52</v>
      </c>
      <c r="Q51" s="60">
        <v>6.27</v>
      </c>
      <c r="R51" s="197"/>
      <c r="S51" s="197"/>
      <c r="T51" s="197"/>
      <c r="U51" s="197"/>
    </row>
    <row r="52" spans="1:21" s="12" customFormat="1" x14ac:dyDescent="0.25">
      <c r="A52" s="200" t="s">
        <v>387</v>
      </c>
      <c r="B52" s="60">
        <v>7.51</v>
      </c>
      <c r="C52" s="60">
        <v>17.43</v>
      </c>
      <c r="D52" s="60">
        <v>24.94</v>
      </c>
      <c r="E52" s="60">
        <v>4.47</v>
      </c>
      <c r="F52" s="60">
        <v>1.1399999999999999</v>
      </c>
      <c r="G52" s="215" t="s">
        <v>36</v>
      </c>
      <c r="H52" s="60">
        <v>22.74</v>
      </c>
      <c r="I52" s="60">
        <v>5.49</v>
      </c>
      <c r="J52" s="60">
        <v>0.66</v>
      </c>
      <c r="K52" s="60">
        <v>330.58</v>
      </c>
      <c r="L52" s="9" t="s">
        <v>36</v>
      </c>
      <c r="M52" s="60">
        <v>60.43</v>
      </c>
      <c r="N52" s="60">
        <v>503.2</v>
      </c>
      <c r="O52" s="60">
        <v>0</v>
      </c>
      <c r="P52" s="60">
        <v>3.54</v>
      </c>
      <c r="Q52" s="60">
        <v>6.01</v>
      </c>
      <c r="R52" s="197"/>
      <c r="S52" s="197"/>
      <c r="T52" s="197"/>
      <c r="U52" s="197"/>
    </row>
    <row r="53" spans="1:21" s="12" customFormat="1" x14ac:dyDescent="0.25">
      <c r="A53" s="200" t="s">
        <v>388</v>
      </c>
      <c r="B53" s="60">
        <v>7.61</v>
      </c>
      <c r="C53" s="60">
        <v>18.149999999999999</v>
      </c>
      <c r="D53" s="60">
        <v>25.76</v>
      </c>
      <c r="E53" s="60">
        <v>4.55</v>
      </c>
      <c r="F53" s="60">
        <v>0.28000000000000003</v>
      </c>
      <c r="G53" s="215" t="s">
        <v>36</v>
      </c>
      <c r="H53" s="60">
        <v>22.12</v>
      </c>
      <c r="I53" s="60">
        <v>5.72</v>
      </c>
      <c r="J53" s="60">
        <v>1.06</v>
      </c>
      <c r="K53" s="60">
        <v>320.29000000000002</v>
      </c>
      <c r="L53" s="9" t="s">
        <v>36</v>
      </c>
      <c r="M53" s="60">
        <v>58.5</v>
      </c>
      <c r="N53" s="60">
        <v>694.7</v>
      </c>
      <c r="O53" s="60">
        <v>0</v>
      </c>
      <c r="P53" s="60">
        <v>3.56</v>
      </c>
      <c r="Q53" s="60">
        <v>6.19</v>
      </c>
      <c r="R53" s="197"/>
      <c r="S53" s="197"/>
      <c r="T53" s="197"/>
      <c r="U53" s="197"/>
    </row>
    <row r="54" spans="1:21" s="12" customFormat="1" x14ac:dyDescent="0.25">
      <c r="A54" s="200" t="s">
        <v>389</v>
      </c>
      <c r="B54" s="60">
        <v>7.65</v>
      </c>
      <c r="C54" s="60">
        <v>18.38</v>
      </c>
      <c r="D54" s="60">
        <v>26.03</v>
      </c>
      <c r="E54" s="60">
        <v>4.6399999999999997</v>
      </c>
      <c r="F54" s="60">
        <v>0.48</v>
      </c>
      <c r="G54" s="215" t="s">
        <v>36</v>
      </c>
      <c r="H54" s="60">
        <v>20.6</v>
      </c>
      <c r="I54" s="60">
        <v>5.77</v>
      </c>
      <c r="J54" s="60">
        <v>1.05</v>
      </c>
      <c r="K54" s="60">
        <v>340.84</v>
      </c>
      <c r="L54" s="9" t="s">
        <v>36</v>
      </c>
      <c r="M54" s="60">
        <v>56.19</v>
      </c>
      <c r="N54" s="60">
        <v>540.9</v>
      </c>
      <c r="O54" s="60">
        <v>0</v>
      </c>
      <c r="P54" s="60">
        <v>3.57</v>
      </c>
      <c r="Q54" s="60">
        <v>6.13</v>
      </c>
      <c r="R54" s="197"/>
      <c r="S54" s="197"/>
      <c r="T54" s="197"/>
      <c r="U54" s="197"/>
    </row>
    <row r="55" spans="1:21" s="12" customFormat="1" x14ac:dyDescent="0.25">
      <c r="A55" s="200" t="s">
        <v>390</v>
      </c>
      <c r="B55" s="60">
        <v>7.29</v>
      </c>
      <c r="C55" s="60">
        <v>18.670000000000002</v>
      </c>
      <c r="D55" s="60">
        <v>25.96</v>
      </c>
      <c r="E55" s="60">
        <v>4.1900000000000004</v>
      </c>
      <c r="F55" s="60">
        <v>0.7</v>
      </c>
      <c r="G55" s="215" t="s">
        <v>36</v>
      </c>
      <c r="H55" s="60">
        <v>20.6</v>
      </c>
      <c r="I55" s="60">
        <v>5.81</v>
      </c>
      <c r="J55" s="60">
        <v>0.12</v>
      </c>
      <c r="K55" s="60">
        <v>303.24</v>
      </c>
      <c r="L55" s="9" t="s">
        <v>36</v>
      </c>
      <c r="M55" s="60">
        <v>57.76</v>
      </c>
      <c r="N55" s="60">
        <v>498</v>
      </c>
      <c r="O55" s="60">
        <v>0</v>
      </c>
      <c r="P55" s="60">
        <v>3.56</v>
      </c>
      <c r="Q55" s="60">
        <v>5.92</v>
      </c>
      <c r="R55" s="197"/>
      <c r="S55" s="197"/>
      <c r="T55" s="197"/>
      <c r="U55" s="197"/>
    </row>
    <row r="56" spans="1:21" s="12" customFormat="1" x14ac:dyDescent="0.25">
      <c r="A56" s="200" t="s">
        <v>391</v>
      </c>
      <c r="B56" s="60">
        <v>6.63</v>
      </c>
      <c r="C56" s="60">
        <v>18.87</v>
      </c>
      <c r="D56" s="60">
        <v>25.5</v>
      </c>
      <c r="E56" s="60">
        <v>2.27</v>
      </c>
      <c r="F56" s="60">
        <v>0.36</v>
      </c>
      <c r="G56" s="215" t="s">
        <v>36</v>
      </c>
      <c r="H56" s="60">
        <v>20.6</v>
      </c>
      <c r="I56" s="60">
        <v>5.81</v>
      </c>
      <c r="J56" s="60">
        <v>0.53</v>
      </c>
      <c r="K56" s="60">
        <v>318.99</v>
      </c>
      <c r="L56" s="9" t="s">
        <v>36</v>
      </c>
      <c r="M56" s="60">
        <v>56.79</v>
      </c>
      <c r="N56" s="60">
        <v>572</v>
      </c>
      <c r="O56" s="60">
        <v>0</v>
      </c>
      <c r="P56" s="60">
        <v>3.57</v>
      </c>
      <c r="Q56" s="60">
        <v>5.89</v>
      </c>
      <c r="R56" s="197"/>
      <c r="S56" s="197"/>
      <c r="T56" s="197"/>
      <c r="U56" s="197"/>
    </row>
    <row r="57" spans="1:21" s="12" customFormat="1" x14ac:dyDescent="0.25">
      <c r="A57" s="200" t="s">
        <v>392</v>
      </c>
      <c r="B57" s="60">
        <v>5.97</v>
      </c>
      <c r="C57" s="60">
        <v>19.100000000000001</v>
      </c>
      <c r="D57" s="60">
        <v>25.06</v>
      </c>
      <c r="E57" s="60">
        <v>4.45</v>
      </c>
      <c r="F57" s="60">
        <v>0.9</v>
      </c>
      <c r="G57" s="215" t="s">
        <v>36</v>
      </c>
      <c r="H57" s="60">
        <v>20.100000000000001</v>
      </c>
      <c r="I57" s="60">
        <v>5.7</v>
      </c>
      <c r="J57" s="60">
        <v>0.77</v>
      </c>
      <c r="K57" s="60">
        <v>319.93</v>
      </c>
      <c r="L57" s="9" t="s">
        <v>36</v>
      </c>
      <c r="M57" s="60">
        <v>52.7</v>
      </c>
      <c r="N57" s="60">
        <v>695.8</v>
      </c>
      <c r="O57" s="60">
        <v>0</v>
      </c>
      <c r="P57" s="60">
        <v>3.55</v>
      </c>
      <c r="Q57" s="60">
        <v>6.15</v>
      </c>
      <c r="R57" s="197"/>
      <c r="S57" s="197"/>
      <c r="T57" s="197"/>
      <c r="U57" s="197"/>
    </row>
    <row r="58" spans="1:21" s="12" customFormat="1" x14ac:dyDescent="0.25">
      <c r="A58" s="200" t="s">
        <v>393</v>
      </c>
      <c r="B58" s="60">
        <v>5.47</v>
      </c>
      <c r="C58" s="60">
        <v>19.29</v>
      </c>
      <c r="D58" s="60">
        <v>24.76</v>
      </c>
      <c r="E58" s="60">
        <v>4.8499999999999996</v>
      </c>
      <c r="F58" s="60">
        <v>1.02</v>
      </c>
      <c r="G58" s="215" t="s">
        <v>36</v>
      </c>
      <c r="H58" s="60">
        <v>18.88</v>
      </c>
      <c r="I58" s="60">
        <v>5.74</v>
      </c>
      <c r="J58" s="60">
        <v>0.72</v>
      </c>
      <c r="K58" s="60">
        <v>317.83999999999997</v>
      </c>
      <c r="L58" s="9" t="s">
        <v>36</v>
      </c>
      <c r="M58" s="60">
        <v>51.29</v>
      </c>
      <c r="N58" s="60">
        <v>573.9</v>
      </c>
      <c r="O58" s="60">
        <v>0</v>
      </c>
      <c r="P58" s="60">
        <v>3.56</v>
      </c>
      <c r="Q58" s="60">
        <v>6.79</v>
      </c>
      <c r="R58" s="197"/>
      <c r="S58" s="197"/>
      <c r="T58" s="197"/>
      <c r="U58" s="197"/>
    </row>
    <row r="59" spans="1:21" s="12" customFormat="1" x14ac:dyDescent="0.25">
      <c r="A59" s="200" t="s">
        <v>394</v>
      </c>
      <c r="B59" s="60">
        <v>4.96</v>
      </c>
      <c r="C59" s="60">
        <v>19.8</v>
      </c>
      <c r="D59" s="60">
        <v>24.76</v>
      </c>
      <c r="E59" s="60">
        <v>4.4000000000000004</v>
      </c>
      <c r="F59" s="60">
        <v>0.23</v>
      </c>
      <c r="G59" s="215" t="s">
        <v>36</v>
      </c>
      <c r="H59" s="60">
        <v>18.88</v>
      </c>
      <c r="I59" s="60">
        <v>5.6</v>
      </c>
      <c r="J59" s="60">
        <v>0.46</v>
      </c>
      <c r="K59" s="60">
        <v>317.77</v>
      </c>
      <c r="L59" s="9" t="s">
        <v>36</v>
      </c>
      <c r="M59" s="60">
        <v>53.38</v>
      </c>
      <c r="N59" s="60">
        <v>427.3</v>
      </c>
      <c r="O59" s="60">
        <v>0</v>
      </c>
      <c r="P59" s="60">
        <v>3.55</v>
      </c>
      <c r="Q59" s="60">
        <v>7.03</v>
      </c>
      <c r="R59" s="197"/>
      <c r="S59" s="197"/>
      <c r="T59" s="197"/>
      <c r="U59" s="197"/>
    </row>
    <row r="60" spans="1:21" s="12" customFormat="1" x14ac:dyDescent="0.25">
      <c r="A60" s="200" t="s">
        <v>395</v>
      </c>
      <c r="B60" s="60">
        <v>4.59</v>
      </c>
      <c r="C60" s="60">
        <v>19.690000000000001</v>
      </c>
      <c r="D60" s="60">
        <v>24.27</v>
      </c>
      <c r="E60" s="60">
        <v>3.8</v>
      </c>
      <c r="F60" s="60">
        <v>0.97</v>
      </c>
      <c r="G60" s="215" t="s">
        <v>36</v>
      </c>
      <c r="H60" s="60">
        <v>18.88</v>
      </c>
      <c r="I60" s="60">
        <v>5.48</v>
      </c>
      <c r="J60" s="60">
        <v>0.66</v>
      </c>
      <c r="K60" s="60">
        <v>317.92</v>
      </c>
      <c r="L60" s="9" t="s">
        <v>36</v>
      </c>
      <c r="M60" s="60">
        <v>54.24</v>
      </c>
      <c r="N60" s="60">
        <v>512.79999999999995</v>
      </c>
      <c r="O60" s="60">
        <v>0</v>
      </c>
      <c r="P60" s="60">
        <v>3.53</v>
      </c>
      <c r="Q60" s="60">
        <v>6.97</v>
      </c>
      <c r="R60" s="197"/>
      <c r="S60" s="197"/>
      <c r="T60" s="197"/>
      <c r="U60" s="197"/>
    </row>
    <row r="61" spans="1:21" s="12" customFormat="1" x14ac:dyDescent="0.25">
      <c r="A61" s="200" t="s">
        <v>396</v>
      </c>
      <c r="B61" s="60">
        <v>4.3499999999999996</v>
      </c>
      <c r="C61" s="60">
        <v>19.940000000000001</v>
      </c>
      <c r="D61" s="60">
        <v>24.29</v>
      </c>
      <c r="E61" s="60">
        <v>4.1399999999999997</v>
      </c>
      <c r="F61" s="60">
        <v>0.67</v>
      </c>
      <c r="G61" s="215" t="s">
        <v>36</v>
      </c>
      <c r="H61" s="60">
        <v>19.8</v>
      </c>
      <c r="I61" s="60">
        <v>5.37</v>
      </c>
      <c r="J61" s="60">
        <v>0.64</v>
      </c>
      <c r="K61" s="60">
        <v>318.58999999999997</v>
      </c>
      <c r="L61" s="9" t="s">
        <v>36</v>
      </c>
      <c r="M61" s="60">
        <v>51.68</v>
      </c>
      <c r="N61" s="60">
        <v>695.1</v>
      </c>
      <c r="O61" s="60">
        <v>0</v>
      </c>
      <c r="P61" s="60">
        <v>3.54</v>
      </c>
      <c r="Q61" s="60">
        <v>7.11</v>
      </c>
      <c r="R61" s="197"/>
      <c r="S61" s="197"/>
      <c r="T61" s="197"/>
      <c r="U61" s="197"/>
    </row>
    <row r="62" spans="1:21" s="12" customFormat="1" x14ac:dyDescent="0.25">
      <c r="A62" s="200" t="s">
        <v>397</v>
      </c>
      <c r="B62" s="60">
        <v>3.93</v>
      </c>
      <c r="C62" s="60">
        <v>19.920000000000002</v>
      </c>
      <c r="D62" s="60">
        <v>23.85</v>
      </c>
      <c r="E62" s="60">
        <v>4.16</v>
      </c>
      <c r="F62" s="60">
        <v>0.77</v>
      </c>
      <c r="G62" s="215" t="s">
        <v>36</v>
      </c>
      <c r="H62" s="60">
        <v>22.07</v>
      </c>
      <c r="I62" s="60">
        <v>5.22</v>
      </c>
      <c r="J62" s="60">
        <v>0.43</v>
      </c>
      <c r="K62" s="60">
        <v>319.16000000000003</v>
      </c>
      <c r="L62" s="9" t="s">
        <v>36</v>
      </c>
      <c r="M62" s="60">
        <v>52.59</v>
      </c>
      <c r="N62" s="60">
        <v>673.2</v>
      </c>
      <c r="O62" s="60">
        <v>0</v>
      </c>
      <c r="P62" s="60">
        <v>3.51</v>
      </c>
      <c r="Q62" s="60">
        <v>6.67</v>
      </c>
      <c r="R62" s="197"/>
      <c r="S62" s="197"/>
      <c r="T62" s="197"/>
      <c r="U62" s="197"/>
    </row>
    <row r="63" spans="1:21" s="12" customFormat="1" x14ac:dyDescent="0.25">
      <c r="A63" s="200" t="s">
        <v>398</v>
      </c>
      <c r="B63" s="60">
        <v>3.54</v>
      </c>
      <c r="C63" s="60">
        <v>20.04</v>
      </c>
      <c r="D63" s="60">
        <v>23.58</v>
      </c>
      <c r="E63" s="60">
        <v>4.1500000000000004</v>
      </c>
      <c r="F63" s="60">
        <v>0.94</v>
      </c>
      <c r="G63" s="215" t="s">
        <v>36</v>
      </c>
      <c r="H63" s="60">
        <v>22.07</v>
      </c>
      <c r="I63" s="60">
        <v>5.09</v>
      </c>
      <c r="J63" s="60">
        <v>0.45</v>
      </c>
      <c r="K63" s="60">
        <v>316.08</v>
      </c>
      <c r="L63" s="9" t="s">
        <v>36</v>
      </c>
      <c r="M63" s="60">
        <v>51.32</v>
      </c>
      <c r="N63" s="60">
        <v>591.20000000000005</v>
      </c>
      <c r="O63" s="60">
        <v>0</v>
      </c>
      <c r="P63" s="60">
        <v>3.51</v>
      </c>
      <c r="Q63" s="60">
        <v>6.27</v>
      </c>
      <c r="R63" s="197"/>
      <c r="S63" s="197"/>
      <c r="T63" s="197"/>
      <c r="U63" s="197"/>
    </row>
    <row r="64" spans="1:21" s="12" customFormat="1" x14ac:dyDescent="0.25">
      <c r="A64" s="200" t="s">
        <v>399</v>
      </c>
      <c r="B64" s="60">
        <v>3.36</v>
      </c>
      <c r="C64" s="60">
        <v>19.350000000000001</v>
      </c>
      <c r="D64" s="60">
        <v>22.71</v>
      </c>
      <c r="E64" s="60">
        <v>4.07</v>
      </c>
      <c r="F64" s="60">
        <v>0.95</v>
      </c>
      <c r="G64" s="215" t="s">
        <v>36</v>
      </c>
      <c r="H64" s="60">
        <v>22.07</v>
      </c>
      <c r="I64" s="60">
        <v>5.0199999999999996</v>
      </c>
      <c r="J64" s="60">
        <v>0.73</v>
      </c>
      <c r="K64" s="60">
        <v>313.68</v>
      </c>
      <c r="L64" s="9" t="s">
        <v>36</v>
      </c>
      <c r="M64" s="60">
        <v>50.23</v>
      </c>
      <c r="N64" s="60">
        <v>684</v>
      </c>
      <c r="O64" s="60">
        <v>0</v>
      </c>
      <c r="P64" s="60">
        <v>3.49</v>
      </c>
      <c r="Q64" s="60">
        <v>5.43</v>
      </c>
      <c r="R64" s="197"/>
      <c r="S64" s="197"/>
      <c r="T64" s="197"/>
      <c r="U64" s="197"/>
    </row>
    <row r="65" spans="1:21" s="12" customFormat="1" x14ac:dyDescent="0.25">
      <c r="A65" s="200" t="s">
        <v>400</v>
      </c>
      <c r="B65" s="60">
        <v>3.25</v>
      </c>
      <c r="C65" s="60">
        <v>19.38</v>
      </c>
      <c r="D65" s="60">
        <v>22.63</v>
      </c>
      <c r="E65" s="60">
        <v>3.48</v>
      </c>
      <c r="F65" s="60">
        <v>0.89</v>
      </c>
      <c r="G65" s="215" t="s">
        <v>36</v>
      </c>
      <c r="H65" s="60">
        <v>21.89</v>
      </c>
      <c r="I65" s="60">
        <v>4.91</v>
      </c>
      <c r="J65" s="60">
        <v>0.8</v>
      </c>
      <c r="K65" s="60">
        <v>314.14999999999998</v>
      </c>
      <c r="L65" s="9" t="s">
        <v>36</v>
      </c>
      <c r="M65" s="60">
        <v>49.17</v>
      </c>
      <c r="N65" s="60">
        <v>610.79999999999995</v>
      </c>
      <c r="O65" s="60">
        <v>0</v>
      </c>
      <c r="P65" s="60">
        <v>3.47</v>
      </c>
      <c r="Q65" s="60">
        <v>5.22</v>
      </c>
      <c r="R65" s="197"/>
      <c r="S65" s="197"/>
      <c r="T65" s="197"/>
      <c r="U65" s="197"/>
    </row>
    <row r="66" spans="1:21" s="12" customFormat="1" x14ac:dyDescent="0.25">
      <c r="A66" s="200" t="s">
        <v>401</v>
      </c>
      <c r="B66" s="60">
        <v>3.23</v>
      </c>
      <c r="C66" s="60">
        <v>19.13</v>
      </c>
      <c r="D66" s="60">
        <v>22.37</v>
      </c>
      <c r="E66" s="60">
        <v>4.12</v>
      </c>
      <c r="F66" s="60">
        <v>0.46</v>
      </c>
      <c r="G66" s="215" t="s">
        <v>36</v>
      </c>
      <c r="H66" s="60">
        <v>21.44</v>
      </c>
      <c r="I66" s="60">
        <v>4.7699999999999996</v>
      </c>
      <c r="J66" s="60">
        <v>0.98</v>
      </c>
      <c r="K66" s="60">
        <v>313.93</v>
      </c>
      <c r="L66" s="9" t="s">
        <v>36</v>
      </c>
      <c r="M66" s="60">
        <v>49.14</v>
      </c>
      <c r="N66" s="60">
        <v>527.5</v>
      </c>
      <c r="O66" s="60">
        <v>0</v>
      </c>
      <c r="P66" s="60">
        <v>3.46</v>
      </c>
      <c r="Q66" s="60">
        <v>5.0199999999999996</v>
      </c>
      <c r="R66" s="197"/>
      <c r="S66" s="197"/>
      <c r="T66" s="197"/>
      <c r="U66" s="197"/>
    </row>
    <row r="67" spans="1:21" s="12" customFormat="1" x14ac:dyDescent="0.25">
      <c r="A67" s="200" t="s">
        <v>402</v>
      </c>
      <c r="B67" s="60">
        <v>3.23</v>
      </c>
      <c r="C67" s="60">
        <v>18.12</v>
      </c>
      <c r="D67" s="60">
        <v>21.35</v>
      </c>
      <c r="E67" s="60">
        <v>4.0599999999999996</v>
      </c>
      <c r="F67" s="60">
        <v>0.79</v>
      </c>
      <c r="G67" s="215" t="s">
        <v>36</v>
      </c>
      <c r="H67" s="60">
        <v>21.44</v>
      </c>
      <c r="I67" s="60">
        <v>4.7300000000000004</v>
      </c>
      <c r="J67" s="60">
        <v>0.86</v>
      </c>
      <c r="K67" s="60">
        <v>313.3</v>
      </c>
      <c r="L67" s="9" t="s">
        <v>36</v>
      </c>
      <c r="M67" s="60">
        <v>51.4</v>
      </c>
      <c r="N67" s="60">
        <v>441</v>
      </c>
      <c r="O67" s="60">
        <v>0</v>
      </c>
      <c r="P67" s="60">
        <v>3.46</v>
      </c>
      <c r="Q67" s="60">
        <v>4.43</v>
      </c>
      <c r="R67" s="197"/>
      <c r="S67" s="197"/>
      <c r="T67" s="197"/>
      <c r="U67" s="197"/>
    </row>
    <row r="68" spans="1:21" s="12" customFormat="1" x14ac:dyDescent="0.25">
      <c r="A68" s="200" t="s">
        <v>403</v>
      </c>
      <c r="B68" s="60">
        <v>3.22</v>
      </c>
      <c r="C68" s="60">
        <v>18.329999999999998</v>
      </c>
      <c r="D68" s="60">
        <v>21.54</v>
      </c>
      <c r="E68" s="60">
        <v>4.1500000000000004</v>
      </c>
      <c r="F68" s="60">
        <v>0.57999999999999996</v>
      </c>
      <c r="G68" s="215" t="s">
        <v>36</v>
      </c>
      <c r="H68" s="60">
        <v>21.44</v>
      </c>
      <c r="I68" s="60">
        <v>4.68</v>
      </c>
      <c r="J68" s="60">
        <v>1.42</v>
      </c>
      <c r="K68" s="60">
        <v>318.39999999999998</v>
      </c>
      <c r="L68" s="9" t="s">
        <v>36</v>
      </c>
      <c r="M68" s="60">
        <v>51.15</v>
      </c>
      <c r="N68" s="60">
        <v>441.8</v>
      </c>
      <c r="O68" s="60">
        <v>0</v>
      </c>
      <c r="P68" s="60">
        <v>3.45</v>
      </c>
      <c r="Q68" s="60">
        <v>4.53</v>
      </c>
      <c r="R68" s="197"/>
      <c r="S68" s="197"/>
      <c r="T68" s="197"/>
      <c r="U68" s="197"/>
    </row>
    <row r="69" spans="1:21" s="12" customFormat="1" x14ac:dyDescent="0.25">
      <c r="A69" s="200" t="s">
        <v>404</v>
      </c>
      <c r="B69" s="60">
        <v>3.53</v>
      </c>
      <c r="C69" s="60">
        <v>17.440000000000001</v>
      </c>
      <c r="D69" s="60">
        <v>20.97</v>
      </c>
      <c r="E69" s="60">
        <v>4.28</v>
      </c>
      <c r="F69" s="60">
        <v>0.86</v>
      </c>
      <c r="G69" s="215" t="s">
        <v>36</v>
      </c>
      <c r="H69" s="60">
        <v>22.32</v>
      </c>
      <c r="I69" s="60">
        <v>4.5599999999999996</v>
      </c>
      <c r="J69" s="60">
        <v>1.1200000000000001</v>
      </c>
      <c r="K69" s="60">
        <v>324.82</v>
      </c>
      <c r="L69" s="9" t="s">
        <v>36</v>
      </c>
      <c r="M69" s="60">
        <v>52.04</v>
      </c>
      <c r="N69" s="60">
        <v>413.2</v>
      </c>
      <c r="O69" s="60">
        <v>0</v>
      </c>
      <c r="P69" s="60">
        <v>3.45</v>
      </c>
      <c r="Q69" s="60">
        <v>4.17</v>
      </c>
      <c r="R69" s="197"/>
      <c r="S69" s="197"/>
      <c r="T69" s="197"/>
      <c r="U69" s="197"/>
    </row>
    <row r="70" spans="1:21" s="12" customFormat="1" x14ac:dyDescent="0.25">
      <c r="A70" s="200" t="s">
        <v>405</v>
      </c>
      <c r="B70" s="60">
        <v>4.03</v>
      </c>
      <c r="C70" s="60">
        <v>17.98</v>
      </c>
      <c r="D70" s="60">
        <v>22.01</v>
      </c>
      <c r="E70" s="60">
        <v>4.4400000000000004</v>
      </c>
      <c r="F70" s="60">
        <v>0.33</v>
      </c>
      <c r="G70" s="215" t="s">
        <v>36</v>
      </c>
      <c r="H70" s="60">
        <v>24.49</v>
      </c>
      <c r="I70" s="60">
        <v>4.59</v>
      </c>
      <c r="J70" s="60">
        <v>1.19</v>
      </c>
      <c r="K70" s="60">
        <v>322.05</v>
      </c>
      <c r="L70" s="9" t="s">
        <v>36</v>
      </c>
      <c r="M70" s="60">
        <v>52.91</v>
      </c>
      <c r="N70" s="60">
        <v>424.3</v>
      </c>
      <c r="O70" s="60">
        <v>0</v>
      </c>
      <c r="P70" s="60">
        <v>3.44</v>
      </c>
      <c r="Q70" s="60">
        <v>4.5599999999999996</v>
      </c>
      <c r="R70" s="197"/>
      <c r="S70" s="197"/>
      <c r="T70" s="197"/>
      <c r="U70" s="197"/>
    </row>
    <row r="71" spans="1:21" s="12" customFormat="1" x14ac:dyDescent="0.25">
      <c r="A71" s="200" t="s">
        <v>406</v>
      </c>
      <c r="B71" s="60">
        <v>4.45</v>
      </c>
      <c r="C71" s="60">
        <v>17.55</v>
      </c>
      <c r="D71" s="60">
        <v>22</v>
      </c>
      <c r="E71" s="60">
        <v>4.32</v>
      </c>
      <c r="F71" s="60">
        <v>0.63</v>
      </c>
      <c r="G71" s="215" t="s">
        <v>36</v>
      </c>
      <c r="H71" s="60">
        <v>24.49</v>
      </c>
      <c r="I71" s="60">
        <v>4.5199999999999996</v>
      </c>
      <c r="J71" s="60">
        <v>1.35</v>
      </c>
      <c r="K71" s="60">
        <v>328.01</v>
      </c>
      <c r="L71" s="9" t="s">
        <v>36</v>
      </c>
      <c r="M71" s="60">
        <v>52.03</v>
      </c>
      <c r="N71" s="60">
        <v>348.5</v>
      </c>
      <c r="O71" s="60">
        <v>0</v>
      </c>
      <c r="P71" s="60">
        <v>3.44</v>
      </c>
      <c r="Q71" s="60">
        <v>4.62</v>
      </c>
      <c r="R71" s="197"/>
      <c r="S71" s="197"/>
      <c r="T71" s="197"/>
      <c r="U71" s="197"/>
    </row>
    <row r="72" spans="1:21" s="12" customFormat="1" x14ac:dyDescent="0.25">
      <c r="A72" s="200" t="s">
        <v>407</v>
      </c>
      <c r="B72" s="60">
        <v>4.66</v>
      </c>
      <c r="C72" s="60">
        <v>17.239999999999998</v>
      </c>
      <c r="D72" s="60">
        <v>21.9</v>
      </c>
      <c r="E72" s="60">
        <v>2.08</v>
      </c>
      <c r="F72" s="60">
        <v>0.71</v>
      </c>
      <c r="G72" s="215" t="s">
        <v>36</v>
      </c>
      <c r="H72" s="60">
        <v>24.49</v>
      </c>
      <c r="I72" s="60">
        <v>4.51</v>
      </c>
      <c r="J72" s="60">
        <v>1.05</v>
      </c>
      <c r="K72" s="60">
        <v>323.14999999999998</v>
      </c>
      <c r="L72" s="9" t="s">
        <v>36</v>
      </c>
      <c r="M72" s="60">
        <v>54.23</v>
      </c>
      <c r="N72" s="60">
        <v>343.5</v>
      </c>
      <c r="O72" s="60">
        <v>0</v>
      </c>
      <c r="P72" s="60">
        <v>3.44</v>
      </c>
      <c r="Q72" s="60">
        <v>5.26</v>
      </c>
      <c r="R72" s="197"/>
      <c r="S72" s="197"/>
      <c r="T72" s="197"/>
      <c r="U72" s="197"/>
    </row>
    <row r="73" spans="1:21" s="12" customFormat="1" x14ac:dyDescent="0.25">
      <c r="A73" s="200" t="s">
        <v>408</v>
      </c>
      <c r="B73" s="60">
        <v>4.74</v>
      </c>
      <c r="C73" s="60">
        <v>17.16</v>
      </c>
      <c r="D73" s="60">
        <v>21.9</v>
      </c>
      <c r="E73" s="60">
        <v>4.38</v>
      </c>
      <c r="F73" s="60">
        <v>1.49</v>
      </c>
      <c r="G73" s="215" t="s">
        <v>36</v>
      </c>
      <c r="H73" s="60">
        <v>24.38</v>
      </c>
      <c r="I73" s="60">
        <v>4.43</v>
      </c>
      <c r="J73" s="60">
        <v>1.02</v>
      </c>
      <c r="K73" s="60">
        <v>315.99</v>
      </c>
      <c r="L73" s="9" t="s">
        <v>36</v>
      </c>
      <c r="M73" s="60">
        <v>54.17</v>
      </c>
      <c r="N73" s="60">
        <v>349.5</v>
      </c>
      <c r="O73" s="60">
        <v>0</v>
      </c>
      <c r="P73" s="60">
        <v>3.44</v>
      </c>
      <c r="Q73" s="60">
        <v>6</v>
      </c>
      <c r="R73" s="197"/>
      <c r="S73" s="197"/>
      <c r="T73" s="197"/>
      <c r="U73" s="197"/>
    </row>
    <row r="74" spans="1:21" s="12" customFormat="1" x14ac:dyDescent="0.25">
      <c r="A74" s="200" t="s">
        <v>409</v>
      </c>
      <c r="B74" s="60">
        <v>4.66</v>
      </c>
      <c r="C74" s="60">
        <v>17.5</v>
      </c>
      <c r="D74" s="60">
        <v>22.16</v>
      </c>
      <c r="E74" s="60">
        <v>4.3099999999999996</v>
      </c>
      <c r="F74" s="60">
        <v>0.3</v>
      </c>
      <c r="G74" s="215" t="s">
        <v>36</v>
      </c>
      <c r="H74" s="60">
        <v>24.09</v>
      </c>
      <c r="I74" s="60">
        <v>4.3600000000000003</v>
      </c>
      <c r="J74" s="60">
        <v>0.67</v>
      </c>
      <c r="K74" s="60">
        <v>312.04000000000002</v>
      </c>
      <c r="L74" s="9" t="s">
        <v>36</v>
      </c>
      <c r="M74" s="60">
        <v>54.43</v>
      </c>
      <c r="N74" s="60">
        <v>323.7</v>
      </c>
      <c r="O74" s="60">
        <v>0</v>
      </c>
      <c r="P74" s="60">
        <v>3.44</v>
      </c>
      <c r="Q74" s="60">
        <v>6.15</v>
      </c>
      <c r="R74" s="197"/>
      <c r="S74" s="197"/>
      <c r="T74" s="197"/>
      <c r="U74" s="197"/>
    </row>
    <row r="75" spans="1:21" s="12" customFormat="1" x14ac:dyDescent="0.25">
      <c r="A75" s="200" t="s">
        <v>410</v>
      </c>
      <c r="B75" s="60">
        <v>4.6500000000000004</v>
      </c>
      <c r="C75" s="60">
        <v>16.95</v>
      </c>
      <c r="D75" s="60">
        <v>21.6</v>
      </c>
      <c r="E75" s="60">
        <v>4.93</v>
      </c>
      <c r="F75" s="60">
        <v>0.5</v>
      </c>
      <c r="G75" s="215" t="s">
        <v>36</v>
      </c>
      <c r="H75" s="60">
        <v>24.09</v>
      </c>
      <c r="I75" s="60">
        <v>4.29</v>
      </c>
      <c r="J75" s="60">
        <v>0.33</v>
      </c>
      <c r="K75" s="60">
        <v>314.43</v>
      </c>
      <c r="L75" s="9" t="s">
        <v>36</v>
      </c>
      <c r="M75" s="60">
        <v>55.31</v>
      </c>
      <c r="N75" s="60">
        <v>224.5</v>
      </c>
      <c r="O75" s="60">
        <v>0</v>
      </c>
      <c r="P75" s="60">
        <v>3.43</v>
      </c>
      <c r="Q75" s="60">
        <v>5.99</v>
      </c>
      <c r="R75" s="197"/>
      <c r="S75" s="197"/>
      <c r="T75" s="197"/>
      <c r="U75" s="197"/>
    </row>
    <row r="76" spans="1:21" s="12" customFormat="1" x14ac:dyDescent="0.25">
      <c r="A76" s="200" t="s">
        <v>411</v>
      </c>
      <c r="B76" s="60">
        <v>4.78</v>
      </c>
      <c r="C76" s="60">
        <v>17.11</v>
      </c>
      <c r="D76" s="60">
        <v>21.89</v>
      </c>
      <c r="E76" s="60">
        <v>4.4800000000000004</v>
      </c>
      <c r="F76" s="60">
        <v>0.41</v>
      </c>
      <c r="G76" s="215" t="s">
        <v>36</v>
      </c>
      <c r="H76" s="60">
        <v>24.09</v>
      </c>
      <c r="I76" s="60">
        <v>4.25</v>
      </c>
      <c r="J76" s="60">
        <v>0.89</v>
      </c>
      <c r="K76" s="60">
        <v>333.16</v>
      </c>
      <c r="L76" s="9" t="s">
        <v>36</v>
      </c>
      <c r="M76" s="60">
        <v>56.73</v>
      </c>
      <c r="N76" s="60">
        <v>166.4</v>
      </c>
      <c r="O76" s="60">
        <v>0</v>
      </c>
      <c r="P76" s="60">
        <v>3.44</v>
      </c>
      <c r="Q76" s="60">
        <v>6.27</v>
      </c>
      <c r="R76" s="197"/>
      <c r="S76" s="197"/>
      <c r="T76" s="197"/>
      <c r="U76" s="197"/>
    </row>
    <row r="77" spans="1:21" s="12" customFormat="1" x14ac:dyDescent="0.25">
      <c r="A77" s="200" t="s">
        <v>412</v>
      </c>
      <c r="B77" s="60">
        <v>5.34</v>
      </c>
      <c r="C77" s="60">
        <v>17.7</v>
      </c>
      <c r="D77" s="60">
        <v>23.04</v>
      </c>
      <c r="E77" s="60">
        <v>4.45</v>
      </c>
      <c r="F77" s="60">
        <v>0.44</v>
      </c>
      <c r="G77" s="215" t="s">
        <v>36</v>
      </c>
      <c r="H77" s="60">
        <v>23.23</v>
      </c>
      <c r="I77" s="60">
        <v>4.1500000000000004</v>
      </c>
      <c r="J77" s="60">
        <v>0.16</v>
      </c>
      <c r="K77" s="60">
        <v>335.11</v>
      </c>
      <c r="L77" s="9" t="s">
        <v>36</v>
      </c>
      <c r="M77" s="60">
        <v>57.7</v>
      </c>
      <c r="N77" s="60">
        <v>152.5</v>
      </c>
      <c r="O77" s="60">
        <v>0</v>
      </c>
      <c r="P77" s="60">
        <v>3.45</v>
      </c>
      <c r="Q77" s="60">
        <v>6.38</v>
      </c>
      <c r="R77" s="197"/>
      <c r="S77" s="197"/>
      <c r="T77" s="197"/>
      <c r="U77" s="197"/>
    </row>
    <row r="78" spans="1:21" s="12" customFormat="1" x14ac:dyDescent="0.25">
      <c r="A78" s="200" t="s">
        <v>413</v>
      </c>
      <c r="B78" s="60">
        <v>6.38</v>
      </c>
      <c r="C78" s="60">
        <v>18.12</v>
      </c>
      <c r="D78" s="60">
        <v>24.51</v>
      </c>
      <c r="E78" s="60">
        <v>4.0199999999999996</v>
      </c>
      <c r="F78" s="60">
        <v>0.42</v>
      </c>
      <c r="G78" s="215" t="s">
        <v>36</v>
      </c>
      <c r="H78" s="60">
        <v>21.13</v>
      </c>
      <c r="I78" s="60">
        <v>4.2</v>
      </c>
      <c r="J78" s="60">
        <v>0.16</v>
      </c>
      <c r="K78" s="60">
        <v>1.56</v>
      </c>
      <c r="L78" s="9" t="s">
        <v>36</v>
      </c>
      <c r="M78" s="60">
        <v>58.97</v>
      </c>
      <c r="N78" s="60">
        <v>118.5</v>
      </c>
      <c r="O78" s="60">
        <v>0</v>
      </c>
      <c r="P78" s="60">
        <v>3.45</v>
      </c>
      <c r="Q78" s="60">
        <v>6.19</v>
      </c>
      <c r="R78" s="197"/>
      <c r="S78" s="197"/>
      <c r="T78" s="197"/>
      <c r="U78" s="197"/>
    </row>
    <row r="79" spans="1:21" s="12" customFormat="1" x14ac:dyDescent="0.25">
      <c r="A79" s="200" t="s">
        <v>414</v>
      </c>
      <c r="B79" s="60">
        <v>7.69</v>
      </c>
      <c r="C79" s="60">
        <v>18.59</v>
      </c>
      <c r="D79" s="60">
        <v>26.28</v>
      </c>
      <c r="E79" s="60">
        <v>4.8499999999999996</v>
      </c>
      <c r="F79" s="60">
        <v>0.19</v>
      </c>
      <c r="G79" s="215" t="s">
        <v>36</v>
      </c>
      <c r="H79" s="60">
        <v>21.13</v>
      </c>
      <c r="I79" s="60">
        <v>4.2699999999999996</v>
      </c>
      <c r="J79" s="60">
        <v>0.7</v>
      </c>
      <c r="K79" s="60">
        <v>332.8</v>
      </c>
      <c r="L79" s="9" t="s">
        <v>36</v>
      </c>
      <c r="M79" s="60">
        <v>59.31</v>
      </c>
      <c r="N79" s="60">
        <v>95.2</v>
      </c>
      <c r="O79" s="60">
        <v>0</v>
      </c>
      <c r="P79" s="60">
        <v>3.48</v>
      </c>
      <c r="Q79" s="60">
        <v>6.51</v>
      </c>
      <c r="R79" s="197"/>
      <c r="S79" s="197"/>
      <c r="T79" s="197"/>
      <c r="U79" s="197"/>
    </row>
    <row r="80" spans="1:21" s="12" customFormat="1" x14ac:dyDescent="0.25">
      <c r="A80" s="200" t="s">
        <v>415</v>
      </c>
      <c r="B80" s="60">
        <v>8.2899999999999991</v>
      </c>
      <c r="C80" s="60">
        <v>17.79</v>
      </c>
      <c r="D80" s="60">
        <v>26.08</v>
      </c>
      <c r="E80" s="60">
        <v>4.72</v>
      </c>
      <c r="F80" s="60">
        <v>0.38</v>
      </c>
      <c r="G80" s="215" t="s">
        <v>36</v>
      </c>
      <c r="H80" s="60">
        <v>21.13</v>
      </c>
      <c r="I80" s="60">
        <v>4.29</v>
      </c>
      <c r="J80" s="60">
        <v>0.68</v>
      </c>
      <c r="K80" s="60">
        <v>313.62</v>
      </c>
      <c r="L80" s="9" t="s">
        <v>36</v>
      </c>
      <c r="M80" s="60">
        <v>58.29</v>
      </c>
      <c r="N80" s="60">
        <v>68.8</v>
      </c>
      <c r="O80" s="60">
        <v>0</v>
      </c>
      <c r="P80" s="60">
        <v>3.5</v>
      </c>
      <c r="Q80" s="60">
        <v>6.1</v>
      </c>
      <c r="R80" s="197"/>
      <c r="S80" s="197"/>
      <c r="T80" s="197"/>
      <c r="U80" s="197"/>
    </row>
    <row r="81" spans="1:26" s="12" customFormat="1" x14ac:dyDescent="0.25">
      <c r="A81" s="200" t="s">
        <v>416</v>
      </c>
      <c r="B81" s="60">
        <v>8.85</v>
      </c>
      <c r="C81" s="60">
        <v>18.12</v>
      </c>
      <c r="D81" s="60">
        <v>26.97</v>
      </c>
      <c r="E81" s="60">
        <v>4.91</v>
      </c>
      <c r="F81" s="60">
        <v>0.22</v>
      </c>
      <c r="G81" s="215" t="s">
        <v>36</v>
      </c>
      <c r="H81" s="60">
        <v>21.52</v>
      </c>
      <c r="I81" s="60">
        <v>4.4400000000000004</v>
      </c>
      <c r="J81" s="60">
        <v>0.47</v>
      </c>
      <c r="K81" s="60">
        <v>312.82</v>
      </c>
      <c r="L81" s="9" t="s">
        <v>36</v>
      </c>
      <c r="M81" s="60">
        <v>58.34</v>
      </c>
      <c r="N81" s="60">
        <v>44.4</v>
      </c>
      <c r="O81" s="60">
        <v>0</v>
      </c>
      <c r="P81" s="60">
        <v>3.5</v>
      </c>
      <c r="Q81" s="60">
        <v>6.24</v>
      </c>
      <c r="R81" s="197"/>
      <c r="S81" s="197"/>
      <c r="T81" s="197"/>
      <c r="U81" s="197"/>
    </row>
    <row r="82" spans="1:26" s="12" customFormat="1" x14ac:dyDescent="0.25">
      <c r="A82" s="200" t="s">
        <v>417</v>
      </c>
      <c r="B82" s="60">
        <v>9.7899999999999991</v>
      </c>
      <c r="C82" s="60">
        <v>18</v>
      </c>
      <c r="D82" s="60">
        <v>27.79</v>
      </c>
      <c r="E82" s="60">
        <v>4.82</v>
      </c>
      <c r="F82" s="60">
        <v>0.11</v>
      </c>
      <c r="G82" s="215" t="s">
        <v>36</v>
      </c>
      <c r="H82" s="60">
        <v>22.48</v>
      </c>
      <c r="I82" s="60">
        <v>4.5199999999999996</v>
      </c>
      <c r="J82" s="60">
        <v>0.49</v>
      </c>
      <c r="K82" s="60">
        <v>311.39999999999998</v>
      </c>
      <c r="L82" s="9" t="s">
        <v>36</v>
      </c>
      <c r="M82" s="60">
        <v>58.99</v>
      </c>
      <c r="N82" s="60">
        <v>26.1</v>
      </c>
      <c r="O82" s="60">
        <v>0</v>
      </c>
      <c r="P82" s="60">
        <v>3.54</v>
      </c>
      <c r="Q82" s="60">
        <v>6.4</v>
      </c>
      <c r="R82" s="197"/>
      <c r="S82" s="197"/>
      <c r="T82" s="197"/>
      <c r="U82" s="197"/>
    </row>
    <row r="83" spans="1:26" s="12" customFormat="1" x14ac:dyDescent="0.25">
      <c r="A83" s="200" t="s">
        <v>418</v>
      </c>
      <c r="B83" s="60">
        <v>10.8</v>
      </c>
      <c r="C83" s="60">
        <v>17.78</v>
      </c>
      <c r="D83" s="60">
        <v>28.58</v>
      </c>
      <c r="E83" s="60">
        <v>4.54</v>
      </c>
      <c r="F83" s="60">
        <v>0.27</v>
      </c>
      <c r="G83" s="215" t="s">
        <v>36</v>
      </c>
      <c r="H83" s="60">
        <v>22.48</v>
      </c>
      <c r="I83" s="60">
        <v>4.59</v>
      </c>
      <c r="J83" s="60">
        <v>0.54</v>
      </c>
      <c r="K83" s="60">
        <v>316.47000000000003</v>
      </c>
      <c r="L83" s="9" t="s">
        <v>36</v>
      </c>
      <c r="M83" s="60">
        <v>61.6</v>
      </c>
      <c r="N83" s="60">
        <v>17.100000000000001</v>
      </c>
      <c r="O83" s="60">
        <v>0</v>
      </c>
      <c r="P83" s="60">
        <v>3.56</v>
      </c>
      <c r="Q83" s="60">
        <v>6.55</v>
      </c>
      <c r="R83" s="197"/>
      <c r="S83" s="197"/>
      <c r="T83" s="197"/>
      <c r="U83" s="197"/>
    </row>
    <row r="84" spans="1:26" s="12" customFormat="1" x14ac:dyDescent="0.25">
      <c r="A84" s="200" t="s">
        <v>419</v>
      </c>
      <c r="B84" s="60">
        <v>12.03</v>
      </c>
      <c r="C84" s="60">
        <v>18.02</v>
      </c>
      <c r="D84" s="60">
        <v>30.05</v>
      </c>
      <c r="E84" s="60">
        <v>4.58</v>
      </c>
      <c r="F84" s="60">
        <v>0.3</v>
      </c>
      <c r="G84" s="215" t="s">
        <v>36</v>
      </c>
      <c r="H84" s="60">
        <v>22.48</v>
      </c>
      <c r="I84" s="60">
        <v>4.71</v>
      </c>
      <c r="J84" s="60">
        <v>0.33</v>
      </c>
      <c r="K84" s="60">
        <v>315.31</v>
      </c>
      <c r="L84" s="9" t="s">
        <v>36</v>
      </c>
      <c r="M84" s="60">
        <v>66.680000000000007</v>
      </c>
      <c r="N84" s="60">
        <v>15.4</v>
      </c>
      <c r="O84" s="60">
        <v>0</v>
      </c>
      <c r="P84" s="60">
        <v>3.59</v>
      </c>
      <c r="Q84" s="60">
        <v>6.82</v>
      </c>
      <c r="R84" s="197"/>
      <c r="S84" s="197"/>
      <c r="T84" s="197"/>
      <c r="U84" s="197"/>
    </row>
    <row r="85" spans="1:26" s="12" customFormat="1" x14ac:dyDescent="0.25">
      <c r="A85" s="200" t="s">
        <v>420</v>
      </c>
      <c r="B85" s="60">
        <v>13.65</v>
      </c>
      <c r="C85" s="60">
        <v>18.02</v>
      </c>
      <c r="D85" s="60">
        <v>31.67</v>
      </c>
      <c r="E85" s="60">
        <v>4.75</v>
      </c>
      <c r="F85" s="60">
        <v>0.02</v>
      </c>
      <c r="G85" s="215" t="s">
        <v>36</v>
      </c>
      <c r="H85" s="60">
        <v>22.29</v>
      </c>
      <c r="I85" s="60">
        <v>4.82</v>
      </c>
      <c r="J85" s="60">
        <v>0.42</v>
      </c>
      <c r="K85" s="60">
        <v>319.73</v>
      </c>
      <c r="L85" s="9" t="s">
        <v>36</v>
      </c>
      <c r="M85" s="60">
        <v>68.62</v>
      </c>
      <c r="N85" s="60">
        <v>14.9</v>
      </c>
      <c r="O85" s="60">
        <v>0</v>
      </c>
      <c r="P85" s="60">
        <v>3.66</v>
      </c>
      <c r="Q85" s="60">
        <v>7.54</v>
      </c>
      <c r="R85" s="197"/>
      <c r="S85" s="197"/>
      <c r="T85" s="197"/>
      <c r="U85" s="197"/>
    </row>
    <row r="86" spans="1:26" s="12" customFormat="1" x14ac:dyDescent="0.25">
      <c r="A86" s="200" t="s">
        <v>421</v>
      </c>
      <c r="B86" s="60">
        <v>15.43</v>
      </c>
      <c r="C86" s="60">
        <v>17.72</v>
      </c>
      <c r="D86" s="60">
        <v>33.15</v>
      </c>
      <c r="E86" s="60">
        <v>5.01</v>
      </c>
      <c r="F86" s="60">
        <v>0.16</v>
      </c>
      <c r="G86" s="215" t="s">
        <v>36</v>
      </c>
      <c r="H86" s="60">
        <v>21.81</v>
      </c>
      <c r="I86" s="60">
        <v>5</v>
      </c>
      <c r="J86" s="60">
        <v>0.52</v>
      </c>
      <c r="K86" s="60">
        <v>326.14</v>
      </c>
      <c r="L86" s="9" t="s">
        <v>36</v>
      </c>
      <c r="M86" s="60">
        <v>68</v>
      </c>
      <c r="N86" s="60">
        <v>14.7</v>
      </c>
      <c r="O86" s="60">
        <v>0</v>
      </c>
      <c r="P86" s="60">
        <v>3.69</v>
      </c>
      <c r="Q86" s="60">
        <v>8.35</v>
      </c>
      <c r="R86" s="197"/>
      <c r="S86" s="197"/>
      <c r="T86" s="197"/>
      <c r="U86" s="197"/>
    </row>
    <row r="87" spans="1:26" s="12" customFormat="1" x14ac:dyDescent="0.25">
      <c r="A87" s="200" t="s">
        <v>422</v>
      </c>
      <c r="B87" s="60">
        <v>17.47</v>
      </c>
      <c r="C87" s="60">
        <v>18.39</v>
      </c>
      <c r="D87" s="60">
        <v>35.869999999999997</v>
      </c>
      <c r="E87" s="60">
        <v>4.93</v>
      </c>
      <c r="F87" s="60">
        <v>0.24</v>
      </c>
      <c r="G87" s="215" t="s">
        <v>36</v>
      </c>
      <c r="H87" s="60">
        <v>21.81</v>
      </c>
      <c r="I87" s="60">
        <v>5.33</v>
      </c>
      <c r="J87" s="60">
        <v>0.27</v>
      </c>
      <c r="K87" s="60">
        <v>318.17</v>
      </c>
      <c r="L87" s="9" t="s">
        <v>36</v>
      </c>
      <c r="M87" s="60">
        <v>68.64</v>
      </c>
      <c r="N87" s="60">
        <v>15</v>
      </c>
      <c r="O87" s="60">
        <v>0</v>
      </c>
      <c r="P87" s="60">
        <v>3.78</v>
      </c>
      <c r="Q87" s="60">
        <v>9.91</v>
      </c>
      <c r="R87" s="197"/>
      <c r="S87" s="197"/>
      <c r="T87" s="197"/>
      <c r="U87" s="197"/>
    </row>
    <row r="88" spans="1:26" s="12" customFormat="1" x14ac:dyDescent="0.25">
      <c r="A88" s="200" t="s">
        <v>423</v>
      </c>
      <c r="B88" s="60">
        <v>19.66</v>
      </c>
      <c r="C88" s="60">
        <v>18.989999999999998</v>
      </c>
      <c r="D88" s="60">
        <v>38.65</v>
      </c>
      <c r="E88" s="60">
        <v>1.71</v>
      </c>
      <c r="F88" s="60">
        <v>0.24</v>
      </c>
      <c r="G88" s="215" t="s">
        <v>36</v>
      </c>
      <c r="H88" s="60">
        <v>21.81</v>
      </c>
      <c r="I88" s="60">
        <v>5.38</v>
      </c>
      <c r="J88" s="60">
        <v>0.24</v>
      </c>
      <c r="K88" s="60">
        <v>316.77999999999997</v>
      </c>
      <c r="L88" s="9" t="s">
        <v>36</v>
      </c>
      <c r="M88" s="60">
        <v>69.040000000000006</v>
      </c>
      <c r="N88" s="60">
        <v>14.9</v>
      </c>
      <c r="O88" s="60">
        <v>0</v>
      </c>
      <c r="P88" s="60">
        <v>3.85</v>
      </c>
      <c r="Q88" s="60">
        <v>11.03</v>
      </c>
      <c r="R88" s="197"/>
      <c r="S88" s="197"/>
      <c r="T88" s="197"/>
      <c r="U88" s="197"/>
    </row>
    <row r="89" spans="1:26" s="12" customFormat="1" x14ac:dyDescent="0.25">
      <c r="A89" s="200" t="s">
        <v>424</v>
      </c>
      <c r="B89" s="60">
        <v>21.12</v>
      </c>
      <c r="C89" s="60">
        <v>18.87</v>
      </c>
      <c r="D89" s="60">
        <v>39.979999999999997</v>
      </c>
      <c r="E89" s="60">
        <v>3.81</v>
      </c>
      <c r="F89" s="60">
        <v>0.36</v>
      </c>
      <c r="G89" s="215" t="s">
        <v>36</v>
      </c>
      <c r="H89" s="60">
        <v>22.09</v>
      </c>
      <c r="I89" s="60">
        <v>5.63</v>
      </c>
      <c r="J89" s="60">
        <v>0.42</v>
      </c>
      <c r="K89" s="60">
        <v>313.74</v>
      </c>
      <c r="L89" s="9" t="s">
        <v>36</v>
      </c>
      <c r="M89" s="60">
        <v>67.12</v>
      </c>
      <c r="N89" s="60">
        <v>14.7</v>
      </c>
      <c r="O89" s="60">
        <v>0</v>
      </c>
      <c r="P89" s="60">
        <v>3.92</v>
      </c>
      <c r="Q89" s="60">
        <v>11.83</v>
      </c>
      <c r="R89" s="197"/>
      <c r="S89" s="197"/>
      <c r="T89" s="197"/>
      <c r="U89" s="197"/>
    </row>
    <row r="90" spans="1:26" s="12" customFormat="1" x14ac:dyDescent="0.25">
      <c r="A90" s="200" t="s">
        <v>425</v>
      </c>
      <c r="B90" s="60">
        <v>21.87</v>
      </c>
      <c r="C90" s="60">
        <v>19.37</v>
      </c>
      <c r="D90" s="60">
        <v>41.24</v>
      </c>
      <c r="E90" s="60">
        <v>4.05</v>
      </c>
      <c r="F90" s="60">
        <v>0.03</v>
      </c>
      <c r="G90" s="215" t="s">
        <v>36</v>
      </c>
      <c r="H90" s="60">
        <v>22.78</v>
      </c>
      <c r="I90" s="60">
        <v>5.9</v>
      </c>
      <c r="J90" s="60">
        <v>0.17</v>
      </c>
      <c r="K90" s="60">
        <v>336.82</v>
      </c>
      <c r="L90" s="9" t="s">
        <v>36</v>
      </c>
      <c r="M90" s="60">
        <v>68.78</v>
      </c>
      <c r="N90" s="60">
        <v>15</v>
      </c>
      <c r="O90" s="60">
        <v>0</v>
      </c>
      <c r="P90" s="60">
        <v>3.96</v>
      </c>
      <c r="Q90" s="60">
        <v>12.2</v>
      </c>
      <c r="R90" s="197"/>
      <c r="S90" s="197"/>
      <c r="T90" s="197"/>
      <c r="U90" s="197"/>
    </row>
    <row r="91" spans="1:26" s="12" customFormat="1" x14ac:dyDescent="0.25">
      <c r="A91" s="200" t="s">
        <v>426</v>
      </c>
      <c r="B91" s="60">
        <v>23.2</v>
      </c>
      <c r="C91" s="60">
        <v>19.05</v>
      </c>
      <c r="D91" s="60">
        <v>42.25</v>
      </c>
      <c r="E91" s="60">
        <v>4.74</v>
      </c>
      <c r="F91" s="60">
        <v>0.1</v>
      </c>
      <c r="G91" s="215" t="s">
        <v>36</v>
      </c>
      <c r="H91" s="60">
        <v>22.78</v>
      </c>
      <c r="I91" s="60">
        <v>6.14</v>
      </c>
      <c r="J91" s="60">
        <v>0.45</v>
      </c>
      <c r="K91" s="60">
        <v>346.55</v>
      </c>
      <c r="L91" s="9" t="s">
        <v>36</v>
      </c>
      <c r="M91" s="60">
        <v>69.8</v>
      </c>
      <c r="N91" s="60">
        <v>14.8</v>
      </c>
      <c r="O91" s="60">
        <v>0</v>
      </c>
      <c r="P91" s="60">
        <v>4.01</v>
      </c>
      <c r="Q91" s="60">
        <v>12.4</v>
      </c>
      <c r="R91" s="197"/>
      <c r="S91" s="197"/>
      <c r="T91" s="197"/>
      <c r="U91" s="197"/>
    </row>
    <row r="92" spans="1:26" s="12" customFormat="1" x14ac:dyDescent="0.25">
      <c r="A92" s="200" t="s">
        <v>427</v>
      </c>
      <c r="B92" s="60">
        <v>25.24</v>
      </c>
      <c r="C92" s="60">
        <v>19.059999999999999</v>
      </c>
      <c r="D92" s="60">
        <v>44.3</v>
      </c>
      <c r="E92" s="60">
        <v>4.21</v>
      </c>
      <c r="F92" s="60">
        <v>0.1</v>
      </c>
      <c r="G92" s="215" t="s">
        <v>36</v>
      </c>
      <c r="H92" s="60">
        <v>22.78</v>
      </c>
      <c r="I92" s="60">
        <v>6.43</v>
      </c>
      <c r="J92" s="60">
        <v>0.21</v>
      </c>
      <c r="K92" s="60">
        <v>86.77</v>
      </c>
      <c r="L92" s="9" t="s">
        <v>36</v>
      </c>
      <c r="M92" s="60">
        <v>69.37</v>
      </c>
      <c r="N92" s="60">
        <v>15.1</v>
      </c>
      <c r="O92" s="60">
        <v>0</v>
      </c>
      <c r="P92" s="60">
        <v>4.07</v>
      </c>
      <c r="Q92" s="60">
        <v>12.79</v>
      </c>
      <c r="R92" s="197"/>
      <c r="S92" s="197"/>
      <c r="T92" s="197"/>
      <c r="U92" s="197"/>
    </row>
    <row r="93" spans="1:26" s="12" customFormat="1" x14ac:dyDescent="0.25">
      <c r="A93" s="200" t="s">
        <v>428</v>
      </c>
      <c r="B93" s="60">
        <v>25.89</v>
      </c>
      <c r="C93" s="60">
        <v>18.77</v>
      </c>
      <c r="D93" s="60">
        <v>44.65</v>
      </c>
      <c r="E93" s="60">
        <v>4.37</v>
      </c>
      <c r="F93" s="60">
        <v>0.2</v>
      </c>
      <c r="G93" s="215" t="s">
        <v>36</v>
      </c>
      <c r="H93" s="60">
        <v>22.45</v>
      </c>
      <c r="I93" s="60">
        <v>6.66</v>
      </c>
      <c r="J93" s="60">
        <v>0.1</v>
      </c>
      <c r="K93" s="60">
        <v>90.85</v>
      </c>
      <c r="L93" s="9" t="s">
        <v>36</v>
      </c>
      <c r="M93" s="60">
        <v>70.650000000000006</v>
      </c>
      <c r="N93" s="60">
        <v>15.1</v>
      </c>
      <c r="O93" s="60">
        <v>0</v>
      </c>
      <c r="P93" s="60">
        <v>4.1100000000000003</v>
      </c>
      <c r="Q93" s="60">
        <v>12.68</v>
      </c>
      <c r="R93" s="197"/>
      <c r="S93" s="197"/>
      <c r="T93" s="197"/>
      <c r="U93" s="197"/>
    </row>
    <row r="94" spans="1:26" s="12" customFormat="1" x14ac:dyDescent="0.25">
      <c r="A94" s="200" t="s">
        <v>429</v>
      </c>
      <c r="B94" s="60">
        <v>26.48</v>
      </c>
      <c r="C94" s="60">
        <v>17.71</v>
      </c>
      <c r="D94" s="60">
        <v>44.18</v>
      </c>
      <c r="E94" s="60">
        <v>4.2</v>
      </c>
      <c r="F94" s="60">
        <v>0.21</v>
      </c>
      <c r="G94" s="215" t="s">
        <v>36</v>
      </c>
      <c r="H94" s="60">
        <v>21.64</v>
      </c>
      <c r="I94" s="60">
        <v>6.96</v>
      </c>
      <c r="J94" s="60">
        <v>0.02</v>
      </c>
      <c r="K94" s="60">
        <v>124.15</v>
      </c>
      <c r="L94" s="9" t="s">
        <v>36</v>
      </c>
      <c r="M94" s="60">
        <v>70.39</v>
      </c>
      <c r="N94" s="60">
        <v>14.9</v>
      </c>
      <c r="O94" s="60">
        <v>0</v>
      </c>
      <c r="P94" s="60">
        <v>4.12</v>
      </c>
      <c r="Q94" s="60">
        <v>12.26</v>
      </c>
      <c r="R94" s="197"/>
      <c r="S94" s="197"/>
      <c r="T94" s="197"/>
      <c r="U94" s="197"/>
    </row>
    <row r="95" spans="1:26" s="12" customFormat="1" x14ac:dyDescent="0.25">
      <c r="A95" s="200" t="s">
        <v>430</v>
      </c>
      <c r="B95" s="60">
        <v>27.21</v>
      </c>
      <c r="C95" s="60">
        <v>17.940000000000001</v>
      </c>
      <c r="D95" s="60">
        <v>45.14</v>
      </c>
      <c r="E95" s="60">
        <v>4.5</v>
      </c>
      <c r="F95" s="60">
        <v>0.11</v>
      </c>
      <c r="G95" s="215" t="s">
        <v>36</v>
      </c>
      <c r="H95" s="60">
        <v>21.64</v>
      </c>
      <c r="I95" s="60">
        <v>7.27</v>
      </c>
      <c r="J95" s="60">
        <v>0.13</v>
      </c>
      <c r="K95" s="60">
        <v>322.42</v>
      </c>
      <c r="L95" s="9" t="s">
        <v>36</v>
      </c>
      <c r="M95" s="60">
        <v>73.28</v>
      </c>
      <c r="N95" s="60">
        <v>15.1</v>
      </c>
      <c r="O95" s="60">
        <v>0</v>
      </c>
      <c r="P95" s="60">
        <v>4.13</v>
      </c>
      <c r="Q95" s="60">
        <v>12.61</v>
      </c>
      <c r="R95" s="197"/>
      <c r="S95" s="197"/>
      <c r="T95" s="197"/>
      <c r="U95" s="197"/>
    </row>
    <row r="96" spans="1:26" s="12" customFormat="1" x14ac:dyDescent="0.25">
      <c r="A96" s="200" t="s">
        <v>431</v>
      </c>
      <c r="B96" s="60">
        <v>28.77</v>
      </c>
      <c r="C96" s="60">
        <v>17.57</v>
      </c>
      <c r="D96" s="60">
        <v>46.34</v>
      </c>
      <c r="E96" s="60">
        <v>4.8</v>
      </c>
      <c r="F96" s="60">
        <v>7.0000000000000007E-2</v>
      </c>
      <c r="G96" s="215" t="s">
        <v>36</v>
      </c>
      <c r="H96" s="60">
        <v>21.64</v>
      </c>
      <c r="I96" s="60">
        <v>7.13</v>
      </c>
      <c r="J96" s="60">
        <v>0.28999999999999998</v>
      </c>
      <c r="K96" s="60">
        <v>349.29</v>
      </c>
      <c r="L96" s="9" t="s">
        <v>36</v>
      </c>
      <c r="M96" s="60">
        <v>77.42</v>
      </c>
      <c r="N96" s="60">
        <v>15.1</v>
      </c>
      <c r="O96" s="60">
        <v>0</v>
      </c>
      <c r="P96" s="60">
        <v>4.1900000000000004</v>
      </c>
      <c r="Q96" s="60">
        <v>12.87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432</v>
      </c>
      <c r="B97" s="60">
        <v>30.77</v>
      </c>
      <c r="C97" s="60">
        <v>17.149999999999999</v>
      </c>
      <c r="D97" s="60">
        <v>47.92</v>
      </c>
      <c r="E97" s="60">
        <v>4.4000000000000004</v>
      </c>
      <c r="F97" s="60">
        <v>7.0000000000000007E-2</v>
      </c>
      <c r="G97" s="215" t="s">
        <v>36</v>
      </c>
      <c r="H97" s="60">
        <v>22.61</v>
      </c>
      <c r="I97" s="60">
        <v>7.29</v>
      </c>
      <c r="J97" s="60">
        <v>0.11</v>
      </c>
      <c r="K97" s="60">
        <v>268.02999999999997</v>
      </c>
      <c r="L97" s="9" t="s">
        <v>36</v>
      </c>
      <c r="M97" s="60">
        <v>74.569999999999993</v>
      </c>
      <c r="N97" s="60">
        <v>15</v>
      </c>
      <c r="O97" s="60">
        <v>0</v>
      </c>
      <c r="P97" s="60">
        <v>4.24</v>
      </c>
      <c r="Q97" s="60">
        <v>13.34</v>
      </c>
      <c r="R97" s="197"/>
      <c r="S97" s="197"/>
      <c r="T97" s="197"/>
      <c r="U97" s="197"/>
    </row>
    <row r="98" spans="1:33" s="12" customFormat="1" x14ac:dyDescent="0.25">
      <c r="A98" s="200" t="s">
        <v>433</v>
      </c>
      <c r="B98" s="60">
        <v>31.8</v>
      </c>
      <c r="C98" s="60">
        <v>16.57</v>
      </c>
      <c r="D98" s="60">
        <v>48.38</v>
      </c>
      <c r="E98" s="60">
        <v>4.93</v>
      </c>
      <c r="F98" s="215" t="s">
        <v>36</v>
      </c>
      <c r="G98" s="215" t="s">
        <v>36</v>
      </c>
      <c r="H98" s="60">
        <v>25</v>
      </c>
      <c r="I98" s="60">
        <v>7.8</v>
      </c>
      <c r="J98" s="60">
        <v>0.19</v>
      </c>
      <c r="K98" s="60">
        <v>223.05</v>
      </c>
      <c r="L98" s="9" t="s">
        <v>36</v>
      </c>
      <c r="M98" s="60">
        <v>72.48</v>
      </c>
      <c r="N98" s="60">
        <v>14.8</v>
      </c>
      <c r="O98" s="60">
        <v>0</v>
      </c>
      <c r="P98" s="60">
        <v>4.2300000000000004</v>
      </c>
      <c r="Q98" s="60">
        <v>13.49</v>
      </c>
      <c r="R98" s="197"/>
      <c r="S98" s="197"/>
      <c r="T98" s="197"/>
      <c r="U98" s="197"/>
    </row>
    <row r="99" spans="1:33" s="12" customFormat="1" x14ac:dyDescent="0.25">
      <c r="A99" s="200" t="s">
        <v>434</v>
      </c>
      <c r="B99" s="60">
        <v>31.99</v>
      </c>
      <c r="C99" s="60">
        <v>16.47</v>
      </c>
      <c r="D99" s="60">
        <v>48.47</v>
      </c>
      <c r="E99" s="60">
        <v>5.18</v>
      </c>
      <c r="F99" s="60">
        <v>0.21</v>
      </c>
      <c r="G99" s="215" t="s">
        <v>36</v>
      </c>
      <c r="H99" s="60">
        <v>25</v>
      </c>
      <c r="I99" s="60">
        <v>7.89</v>
      </c>
      <c r="J99" s="60">
        <v>0.1</v>
      </c>
      <c r="K99" s="60">
        <v>245.26</v>
      </c>
      <c r="L99" s="9" t="s">
        <v>36</v>
      </c>
      <c r="M99" s="60">
        <v>73.510000000000005</v>
      </c>
      <c r="N99" s="60">
        <v>15.1</v>
      </c>
      <c r="O99" s="60">
        <v>0</v>
      </c>
      <c r="P99" s="60">
        <v>4.21</v>
      </c>
      <c r="Q99" s="60">
        <v>13.69</v>
      </c>
      <c r="R99" s="197"/>
      <c r="S99" s="197"/>
      <c r="T99" s="197"/>
      <c r="U99" s="197"/>
    </row>
    <row r="100" spans="1:33" s="12" customFormat="1" x14ac:dyDescent="0.25">
      <c r="A100" s="200" t="s">
        <v>435</v>
      </c>
      <c r="B100" s="60">
        <v>32.630000000000003</v>
      </c>
      <c r="C100" s="60">
        <v>16.2</v>
      </c>
      <c r="D100" s="60">
        <v>48.83</v>
      </c>
      <c r="E100" s="60">
        <v>5.22</v>
      </c>
      <c r="F100" s="60">
        <v>0.01</v>
      </c>
      <c r="G100" s="215" t="s">
        <v>36</v>
      </c>
      <c r="H100" s="60">
        <v>25</v>
      </c>
      <c r="I100" s="60">
        <v>7.7</v>
      </c>
      <c r="J100" s="60">
        <v>0.16</v>
      </c>
      <c r="K100" s="60">
        <v>278.16000000000003</v>
      </c>
      <c r="L100" s="9" t="s">
        <v>36</v>
      </c>
      <c r="M100" s="60">
        <v>75.260000000000005</v>
      </c>
      <c r="N100" s="60">
        <v>15</v>
      </c>
      <c r="O100" s="60">
        <v>0</v>
      </c>
      <c r="P100" s="60">
        <v>4.2</v>
      </c>
      <c r="Q100" s="60">
        <v>14.07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436</v>
      </c>
      <c r="B101" s="60">
        <v>34.65</v>
      </c>
      <c r="C101" s="60">
        <v>15.95</v>
      </c>
      <c r="D101" s="60">
        <v>50.6</v>
      </c>
      <c r="E101" s="60">
        <v>5.03</v>
      </c>
      <c r="F101" s="60">
        <v>0.02</v>
      </c>
      <c r="G101" s="215" t="s">
        <v>36</v>
      </c>
      <c r="H101" s="60">
        <v>26.6</v>
      </c>
      <c r="I101" s="60">
        <v>7.42</v>
      </c>
      <c r="J101" s="60">
        <v>0.11</v>
      </c>
      <c r="K101" s="60">
        <v>317.14999999999998</v>
      </c>
      <c r="L101" s="9" t="s">
        <v>36</v>
      </c>
      <c r="M101" s="60">
        <v>80.53</v>
      </c>
      <c r="N101" s="60">
        <v>15.2</v>
      </c>
      <c r="O101" s="60">
        <v>0</v>
      </c>
      <c r="P101" s="60">
        <v>4.24</v>
      </c>
      <c r="Q101" s="60">
        <v>15.52</v>
      </c>
      <c r="R101" s="197"/>
      <c r="S101" s="197"/>
      <c r="T101" s="197"/>
      <c r="U101" s="197"/>
    </row>
    <row r="102" spans="1:33" s="12" customFormat="1" x14ac:dyDescent="0.25">
      <c r="A102" s="200" t="s">
        <v>437</v>
      </c>
      <c r="B102" s="60">
        <v>37.130000000000003</v>
      </c>
      <c r="C102" s="60">
        <v>16.29</v>
      </c>
      <c r="D102" s="60">
        <v>53.42</v>
      </c>
      <c r="E102" s="60">
        <v>4.66</v>
      </c>
      <c r="F102" s="60">
        <v>0.24</v>
      </c>
      <c r="G102" s="215" t="s">
        <v>36</v>
      </c>
      <c r="H102" s="60">
        <v>30.56</v>
      </c>
      <c r="I102" s="60">
        <v>7.77</v>
      </c>
      <c r="J102" s="60">
        <v>0.04</v>
      </c>
      <c r="K102" s="60">
        <v>235.78</v>
      </c>
      <c r="L102" s="9" t="s">
        <v>36</v>
      </c>
      <c r="M102" s="60">
        <v>80.5</v>
      </c>
      <c r="N102" s="60">
        <v>15.1</v>
      </c>
      <c r="O102" s="60">
        <v>0</v>
      </c>
      <c r="P102" s="60">
        <v>4.26</v>
      </c>
      <c r="Q102" s="60">
        <v>16.809999999999999</v>
      </c>
      <c r="R102" s="197"/>
      <c r="S102" s="197"/>
      <c r="T102" s="197"/>
      <c r="U102" s="197"/>
    </row>
    <row r="103" spans="1:33" s="12" customFormat="1" x14ac:dyDescent="0.25">
      <c r="A103" s="200" t="s">
        <v>438</v>
      </c>
      <c r="B103" s="60">
        <v>38.700000000000003</v>
      </c>
      <c r="C103" s="60">
        <v>15.91</v>
      </c>
      <c r="D103" s="60">
        <v>54.61</v>
      </c>
      <c r="E103" s="60">
        <v>5.14</v>
      </c>
      <c r="F103" s="60">
        <v>0.14000000000000001</v>
      </c>
      <c r="G103" s="215" t="s">
        <v>36</v>
      </c>
      <c r="H103" s="60">
        <v>30.56</v>
      </c>
      <c r="I103" s="60">
        <v>7.9</v>
      </c>
      <c r="J103" s="60">
        <v>7.0000000000000007E-2</v>
      </c>
      <c r="K103" s="60">
        <v>267.97000000000003</v>
      </c>
      <c r="L103" s="9" t="s">
        <v>36</v>
      </c>
      <c r="M103" s="60">
        <v>77.209999999999994</v>
      </c>
      <c r="N103" s="60">
        <v>15.1</v>
      </c>
      <c r="O103" s="60">
        <v>0</v>
      </c>
      <c r="P103" s="60">
        <v>4.24</v>
      </c>
      <c r="Q103" s="60">
        <v>17.59</v>
      </c>
      <c r="R103" s="197"/>
      <c r="S103" s="197"/>
      <c r="T103" s="197"/>
      <c r="U103" s="197"/>
    </row>
    <row r="104" spans="1:33" s="12" customFormat="1" x14ac:dyDescent="0.25">
      <c r="A104" s="200" t="s">
        <v>439</v>
      </c>
      <c r="B104" s="60">
        <v>37.93</v>
      </c>
      <c r="C104" s="60">
        <v>15.66</v>
      </c>
      <c r="D104" s="60">
        <v>53.58</v>
      </c>
      <c r="E104" s="60">
        <v>3.88</v>
      </c>
      <c r="F104" s="215" t="s">
        <v>36</v>
      </c>
      <c r="G104" s="215" t="s">
        <v>36</v>
      </c>
      <c r="H104" s="60">
        <v>30.56</v>
      </c>
      <c r="I104" s="60">
        <v>7.98</v>
      </c>
      <c r="J104" s="60">
        <v>0.08</v>
      </c>
      <c r="K104" s="60">
        <v>233.68</v>
      </c>
      <c r="L104" s="9" t="s">
        <v>36</v>
      </c>
      <c r="M104" s="60">
        <v>75.31</v>
      </c>
      <c r="N104" s="60">
        <v>15</v>
      </c>
      <c r="O104" s="60">
        <v>0</v>
      </c>
      <c r="P104" s="60">
        <v>4.2</v>
      </c>
      <c r="Q104" s="60">
        <v>17.3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5" t="s">
        <v>59</v>
      </c>
      <c r="B106" s="67">
        <f>MIN(B9:B104)</f>
        <v>3.22</v>
      </c>
      <c r="C106" s="67">
        <f>MIN(C9:C104)</f>
        <v>9.7899999999999991</v>
      </c>
      <c r="D106" s="67">
        <f t="shared" ref="D106:Q106" si="0">MIN(D9:D104)</f>
        <v>13.67</v>
      </c>
      <c r="E106" s="67">
        <f t="shared" si="0"/>
        <v>1.71</v>
      </c>
      <c r="F106" s="67">
        <f t="shared" si="0"/>
        <v>0.01</v>
      </c>
      <c r="G106" s="67">
        <f t="shared" si="0"/>
        <v>0</v>
      </c>
      <c r="H106" s="67">
        <f t="shared" si="0"/>
        <v>11.81</v>
      </c>
      <c r="I106" s="67">
        <f t="shared" si="0"/>
        <v>4.1500000000000004</v>
      </c>
      <c r="J106" s="67">
        <f t="shared" si="0"/>
        <v>0.02</v>
      </c>
      <c r="K106" s="67">
        <f t="shared" si="0"/>
        <v>1.56</v>
      </c>
      <c r="L106" s="67">
        <f t="shared" si="0"/>
        <v>0</v>
      </c>
      <c r="M106" s="67">
        <f t="shared" si="0"/>
        <v>49.14</v>
      </c>
      <c r="N106" s="67">
        <f t="shared" si="0"/>
        <v>14.6</v>
      </c>
      <c r="O106" s="67">
        <f t="shared" si="0"/>
        <v>0</v>
      </c>
      <c r="P106" s="67">
        <f t="shared" si="0"/>
        <v>3.29</v>
      </c>
      <c r="Q106" s="67">
        <f t="shared" si="0"/>
        <v>4.17</v>
      </c>
      <c r="R106" s="198"/>
      <c r="S106" s="198"/>
      <c r="T106" s="198"/>
      <c r="U106" s="198"/>
    </row>
    <row r="107" spans="1:33" x14ac:dyDescent="0.25">
      <c r="A107" s="65" t="s">
        <v>60</v>
      </c>
      <c r="B107" s="66">
        <f>MAX(B9:B104)</f>
        <v>38.700000000000003</v>
      </c>
      <c r="C107" s="66">
        <f t="shared" ref="C107:Q107" si="1">MAX(C9:C104)</f>
        <v>20.04</v>
      </c>
      <c r="D107" s="66">
        <f t="shared" si="1"/>
        <v>54.61</v>
      </c>
      <c r="E107" s="66">
        <f t="shared" si="1"/>
        <v>6.25</v>
      </c>
      <c r="F107" s="66">
        <f t="shared" si="1"/>
        <v>1.49</v>
      </c>
      <c r="G107" s="66">
        <f t="shared" si="1"/>
        <v>0</v>
      </c>
      <c r="H107" s="66">
        <f t="shared" si="1"/>
        <v>30.56</v>
      </c>
      <c r="I107" s="66">
        <f t="shared" si="1"/>
        <v>8.73</v>
      </c>
      <c r="J107" s="66">
        <f t="shared" si="1"/>
        <v>1.43</v>
      </c>
      <c r="K107" s="66">
        <f t="shared" si="1"/>
        <v>349.29</v>
      </c>
      <c r="L107" s="66">
        <f t="shared" si="1"/>
        <v>0</v>
      </c>
      <c r="M107" s="66">
        <f t="shared" si="1"/>
        <v>94.72</v>
      </c>
      <c r="N107" s="66">
        <f t="shared" si="1"/>
        <v>695.8</v>
      </c>
      <c r="O107" s="66">
        <f t="shared" si="1"/>
        <v>0</v>
      </c>
      <c r="P107" s="66">
        <f t="shared" si="1"/>
        <v>4.26</v>
      </c>
      <c r="Q107" s="66">
        <f t="shared" si="1"/>
        <v>17.59</v>
      </c>
      <c r="R107" s="199"/>
      <c r="S107" s="199"/>
      <c r="T107" s="199"/>
      <c r="U107" s="199"/>
    </row>
    <row r="108" spans="1:33" x14ac:dyDescent="0.25">
      <c r="A108" s="65" t="s">
        <v>61</v>
      </c>
      <c r="B108" s="67">
        <f>AVERAGE(B9:B104)</f>
        <v>11.249791666666667</v>
      </c>
      <c r="C108" s="67">
        <f t="shared" ref="C108:Q108" si="2">AVERAGE(C9:C104)</f>
        <v>15.594791666666664</v>
      </c>
      <c r="D108" s="67">
        <f t="shared" si="2"/>
        <v>26.843958333333333</v>
      </c>
      <c r="E108" s="67">
        <f t="shared" si="2"/>
        <v>4.652708333333333</v>
      </c>
      <c r="F108" s="67">
        <f t="shared" si="2"/>
        <v>0.34808510638297879</v>
      </c>
      <c r="G108" s="67" t="e">
        <f t="shared" si="2"/>
        <v>#DIV/0!</v>
      </c>
      <c r="H108" s="67">
        <f t="shared" si="2"/>
        <v>21.10958333333333</v>
      </c>
      <c r="I108" s="67">
        <f t="shared" si="2"/>
        <v>5.7085416666666653</v>
      </c>
      <c r="J108" s="67">
        <f t="shared" si="2"/>
        <v>0.42531250000000015</v>
      </c>
      <c r="K108" s="67">
        <f t="shared" si="2"/>
        <v>258.99635416666666</v>
      </c>
      <c r="L108" s="67" t="e">
        <f t="shared" si="2"/>
        <v>#DIV/0!</v>
      </c>
      <c r="M108" s="67">
        <f t="shared" si="2"/>
        <v>72.297291666666652</v>
      </c>
      <c r="N108" s="67">
        <f t="shared" si="2"/>
        <v>198.86979166666663</v>
      </c>
      <c r="O108" s="67">
        <f t="shared" si="2"/>
        <v>0</v>
      </c>
      <c r="P108" s="67">
        <f t="shared" si="2"/>
        <v>3.6086458333333322</v>
      </c>
      <c r="Q108" s="67">
        <f t="shared" si="2"/>
        <v>7.4609375</v>
      </c>
      <c r="R108" s="198"/>
      <c r="S108" s="198"/>
      <c r="T108" s="198"/>
      <c r="U108" s="198"/>
    </row>
    <row r="109" spans="1:33" x14ac:dyDescent="0.25">
      <c r="A109" s="65" t="s">
        <v>77</v>
      </c>
      <c r="B109" s="67">
        <f>STDEV(B9:B104)</f>
        <v>9.4361304490176039</v>
      </c>
      <c r="C109" s="67">
        <f t="shared" ref="C109:Q109" si="3">STDEV(C9:C104)</f>
        <v>3.2285587396062385</v>
      </c>
      <c r="D109" s="67">
        <f t="shared" si="3"/>
        <v>10.551452729031316</v>
      </c>
      <c r="E109" s="67">
        <f t="shared" si="3"/>
        <v>0.83463635846829187</v>
      </c>
      <c r="F109" s="67">
        <f t="shared" si="3"/>
        <v>0.32354314197959988</v>
      </c>
      <c r="G109" s="67" t="e">
        <f t="shared" si="3"/>
        <v>#DIV/0!</v>
      </c>
      <c r="H109" s="67">
        <f t="shared" si="3"/>
        <v>3.8118849920980526</v>
      </c>
      <c r="I109" s="67">
        <f t="shared" si="3"/>
        <v>1.1706678068671281</v>
      </c>
      <c r="J109" s="67">
        <f t="shared" si="3"/>
        <v>0.35605426294020787</v>
      </c>
      <c r="K109" s="67">
        <f t="shared" si="3"/>
        <v>86.093415997664792</v>
      </c>
      <c r="L109" s="67" t="e">
        <f t="shared" si="3"/>
        <v>#DIV/0!</v>
      </c>
      <c r="M109" s="67">
        <f t="shared" si="3"/>
        <v>14.946297234056736</v>
      </c>
      <c r="N109" s="67">
        <f t="shared" si="3"/>
        <v>228.09687051998046</v>
      </c>
      <c r="O109" s="67">
        <f t="shared" si="3"/>
        <v>0</v>
      </c>
      <c r="P109" s="67">
        <f t="shared" si="3"/>
        <v>0.28166280621251499</v>
      </c>
      <c r="Q109" s="67">
        <f t="shared" si="3"/>
        <v>3.260083007701684</v>
      </c>
      <c r="R109" s="198"/>
      <c r="S109" s="198"/>
      <c r="T109" s="198"/>
      <c r="U109" s="198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COUNT(F9:F104)+2</f>
        <v>96</v>
      </c>
      <c r="G110" s="66">
        <f>COUNT(G9:G104)+96</f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>COUNT(L9:L104)+96</f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9"/>
      <c r="S110" s="199"/>
      <c r="T110" s="199"/>
      <c r="U110" s="199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218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0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L110" sqref="L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03-08-2022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234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440</v>
      </c>
      <c r="B9" s="60">
        <v>36.06</v>
      </c>
      <c r="C9" s="60">
        <v>15.63</v>
      </c>
      <c r="D9" s="60">
        <v>51.69</v>
      </c>
      <c r="E9" s="60">
        <v>6.17</v>
      </c>
      <c r="F9" s="215" t="s">
        <v>36</v>
      </c>
      <c r="G9" s="215" t="s">
        <v>36</v>
      </c>
      <c r="H9" s="60">
        <v>29.64</v>
      </c>
      <c r="I9" s="60">
        <v>7.9</v>
      </c>
      <c r="J9" s="60">
        <v>0.08</v>
      </c>
      <c r="K9" s="60">
        <v>359.22</v>
      </c>
      <c r="L9" s="9" t="s">
        <v>36</v>
      </c>
      <c r="M9" s="60">
        <v>77.77</v>
      </c>
      <c r="N9" s="60">
        <v>15.2</v>
      </c>
      <c r="O9" s="60">
        <v>0</v>
      </c>
      <c r="P9" s="60">
        <v>4.1500000000000004</v>
      </c>
      <c r="Q9" s="60">
        <v>16.690000000000001</v>
      </c>
      <c r="R9" s="197"/>
      <c r="S9" s="197"/>
      <c r="T9" s="197"/>
      <c r="U9" s="197"/>
    </row>
    <row r="10" spans="1:21" s="12" customFormat="1" x14ac:dyDescent="0.25">
      <c r="A10" s="200" t="s">
        <v>441</v>
      </c>
      <c r="B10" s="60">
        <v>35.770000000000003</v>
      </c>
      <c r="C10" s="60">
        <v>15.06</v>
      </c>
      <c r="D10" s="60">
        <v>50.83</v>
      </c>
      <c r="E10" s="60">
        <v>6.61</v>
      </c>
      <c r="F10" s="60">
        <v>0.14000000000000001</v>
      </c>
      <c r="G10" s="215" t="s">
        <v>36</v>
      </c>
      <c r="H10" s="60">
        <v>27.4</v>
      </c>
      <c r="I10" s="60">
        <v>7.77</v>
      </c>
      <c r="J10" s="60">
        <v>0.09</v>
      </c>
      <c r="K10" s="60">
        <v>270.08</v>
      </c>
      <c r="L10" s="9" t="s">
        <v>36</v>
      </c>
      <c r="M10" s="60">
        <v>74.91</v>
      </c>
      <c r="N10" s="60">
        <v>15</v>
      </c>
      <c r="O10" s="60">
        <v>0</v>
      </c>
      <c r="P10" s="60">
        <v>4.0999999999999996</v>
      </c>
      <c r="Q10" s="60">
        <v>16.38</v>
      </c>
      <c r="R10" s="197"/>
      <c r="S10" s="197"/>
      <c r="T10" s="197"/>
      <c r="U10" s="197"/>
    </row>
    <row r="11" spans="1:21" s="12" customFormat="1" x14ac:dyDescent="0.25">
      <c r="A11" s="200" t="s">
        <v>442</v>
      </c>
      <c r="B11" s="60">
        <v>34.53</v>
      </c>
      <c r="C11" s="60">
        <v>15.22</v>
      </c>
      <c r="D11" s="60">
        <v>49.75</v>
      </c>
      <c r="E11" s="60">
        <v>6.26</v>
      </c>
      <c r="F11" s="60">
        <v>0.13</v>
      </c>
      <c r="G11" s="215" t="s">
        <v>36</v>
      </c>
      <c r="H11" s="60">
        <v>27.4</v>
      </c>
      <c r="I11" s="60">
        <v>7.57</v>
      </c>
      <c r="J11" s="60">
        <v>0.1</v>
      </c>
      <c r="K11" s="60">
        <v>281.08</v>
      </c>
      <c r="L11" s="9" t="s">
        <v>36</v>
      </c>
      <c r="M11" s="60">
        <v>78.45</v>
      </c>
      <c r="N11" s="60">
        <v>15.1</v>
      </c>
      <c r="O11" s="60">
        <v>0</v>
      </c>
      <c r="P11" s="60">
        <v>4.03</v>
      </c>
      <c r="Q11" s="60">
        <v>15.63</v>
      </c>
      <c r="R11" s="197"/>
      <c r="S11" s="197"/>
      <c r="T11" s="197"/>
      <c r="U11" s="197"/>
    </row>
    <row r="12" spans="1:21" s="12" customFormat="1" x14ac:dyDescent="0.25">
      <c r="A12" s="200" t="s">
        <v>443</v>
      </c>
      <c r="B12" s="60">
        <v>33.53</v>
      </c>
      <c r="C12" s="60">
        <v>15.02</v>
      </c>
      <c r="D12" s="60">
        <v>48.56</v>
      </c>
      <c r="E12" s="60">
        <v>6.52</v>
      </c>
      <c r="F12" s="60">
        <v>0.03</v>
      </c>
      <c r="G12" s="215" t="s">
        <v>36</v>
      </c>
      <c r="H12" s="60">
        <v>27.4</v>
      </c>
      <c r="I12" s="60">
        <v>7.31</v>
      </c>
      <c r="J12" s="60">
        <v>7.0000000000000007E-2</v>
      </c>
      <c r="K12" s="60">
        <v>263.57</v>
      </c>
      <c r="L12" s="9" t="s">
        <v>36</v>
      </c>
      <c r="M12" s="60">
        <v>78.05</v>
      </c>
      <c r="N12" s="60">
        <v>15.1</v>
      </c>
      <c r="O12" s="60">
        <v>0</v>
      </c>
      <c r="P12" s="60">
        <v>4.0199999999999996</v>
      </c>
      <c r="Q12" s="60">
        <v>14.99</v>
      </c>
      <c r="R12" s="197"/>
      <c r="S12" s="197"/>
      <c r="T12" s="197"/>
      <c r="U12" s="197"/>
    </row>
    <row r="13" spans="1:21" s="12" customFormat="1" x14ac:dyDescent="0.25">
      <c r="A13" s="200" t="s">
        <v>444</v>
      </c>
      <c r="B13" s="60">
        <v>32.61</v>
      </c>
      <c r="C13" s="60">
        <v>13.87</v>
      </c>
      <c r="D13" s="60">
        <v>46.48</v>
      </c>
      <c r="E13" s="60">
        <v>6.31</v>
      </c>
      <c r="F13" s="215" t="s">
        <v>36</v>
      </c>
      <c r="G13" s="215" t="s">
        <v>36</v>
      </c>
      <c r="H13" s="60">
        <v>27.54</v>
      </c>
      <c r="I13" s="60">
        <v>6.61</v>
      </c>
      <c r="J13" s="60">
        <v>0.1</v>
      </c>
      <c r="K13" s="60">
        <v>256.42</v>
      </c>
      <c r="L13" s="9" t="s">
        <v>36</v>
      </c>
      <c r="M13" s="60">
        <v>77.48</v>
      </c>
      <c r="N13" s="60">
        <v>15</v>
      </c>
      <c r="O13" s="60">
        <v>0</v>
      </c>
      <c r="P13" s="60">
        <v>3.99</v>
      </c>
      <c r="Q13" s="60">
        <v>14.08</v>
      </c>
      <c r="R13" s="197"/>
      <c r="S13" s="197"/>
      <c r="T13" s="197"/>
      <c r="U13" s="197"/>
    </row>
    <row r="14" spans="1:21" s="12" customFormat="1" x14ac:dyDescent="0.25">
      <c r="A14" s="200" t="s">
        <v>445</v>
      </c>
      <c r="B14" s="60">
        <v>31.59</v>
      </c>
      <c r="C14" s="60">
        <v>13.77</v>
      </c>
      <c r="D14" s="60">
        <v>45.35</v>
      </c>
      <c r="E14" s="60">
        <v>6.37</v>
      </c>
      <c r="F14" s="60">
        <v>0.3</v>
      </c>
      <c r="G14" s="215" t="s">
        <v>36</v>
      </c>
      <c r="H14" s="60">
        <v>27.88</v>
      </c>
      <c r="I14" s="60">
        <v>6.66</v>
      </c>
      <c r="J14" s="60">
        <v>0.09</v>
      </c>
      <c r="K14" s="60">
        <v>317.93</v>
      </c>
      <c r="L14" s="9" t="s">
        <v>36</v>
      </c>
      <c r="M14" s="60">
        <v>80.349999999999994</v>
      </c>
      <c r="N14" s="60">
        <v>15.3</v>
      </c>
      <c r="O14" s="60">
        <v>0</v>
      </c>
      <c r="P14" s="60">
        <v>3.96</v>
      </c>
      <c r="Q14" s="60">
        <v>13.62</v>
      </c>
      <c r="R14" s="197"/>
      <c r="S14" s="197"/>
      <c r="T14" s="197"/>
      <c r="U14" s="197"/>
    </row>
    <row r="15" spans="1:21" s="12" customFormat="1" x14ac:dyDescent="0.25">
      <c r="A15" s="200" t="s">
        <v>446</v>
      </c>
      <c r="B15" s="60">
        <v>30.52</v>
      </c>
      <c r="C15" s="60">
        <v>13.4</v>
      </c>
      <c r="D15" s="60">
        <v>43.92</v>
      </c>
      <c r="E15" s="60">
        <v>6.39</v>
      </c>
      <c r="F15" s="60">
        <v>0.19</v>
      </c>
      <c r="G15" s="215" t="s">
        <v>36</v>
      </c>
      <c r="H15" s="60">
        <v>27.88</v>
      </c>
      <c r="I15" s="60">
        <v>6.88</v>
      </c>
      <c r="J15" s="60">
        <v>0.05</v>
      </c>
      <c r="K15" s="60">
        <v>66.36</v>
      </c>
      <c r="L15" s="9" t="s">
        <v>36</v>
      </c>
      <c r="M15" s="60">
        <v>79.37</v>
      </c>
      <c r="N15" s="60">
        <v>15</v>
      </c>
      <c r="O15" s="60">
        <v>0</v>
      </c>
      <c r="P15" s="60">
        <v>3.94</v>
      </c>
      <c r="Q15" s="60">
        <v>13.07</v>
      </c>
      <c r="R15" s="197"/>
      <c r="S15" s="197"/>
      <c r="T15" s="197"/>
      <c r="U15" s="197"/>
    </row>
    <row r="16" spans="1:21" s="12" customFormat="1" x14ac:dyDescent="0.25">
      <c r="A16" s="200" t="s">
        <v>447</v>
      </c>
      <c r="B16" s="60">
        <v>29.35</v>
      </c>
      <c r="C16" s="60">
        <v>13.14</v>
      </c>
      <c r="D16" s="60">
        <v>42.49</v>
      </c>
      <c r="E16" s="60">
        <v>6.75</v>
      </c>
      <c r="F16" s="60">
        <v>0.33</v>
      </c>
      <c r="G16" s="215" t="s">
        <v>36</v>
      </c>
      <c r="H16" s="60">
        <v>27.88</v>
      </c>
      <c r="I16" s="60">
        <v>6.84</v>
      </c>
      <c r="J16" s="60">
        <v>0.32</v>
      </c>
      <c r="K16" s="60">
        <v>340.52</v>
      </c>
      <c r="L16" s="9" t="s">
        <v>36</v>
      </c>
      <c r="M16" s="60">
        <v>80.38</v>
      </c>
      <c r="N16" s="60">
        <v>14.9</v>
      </c>
      <c r="O16" s="60">
        <v>0</v>
      </c>
      <c r="P16" s="60">
        <v>3.91</v>
      </c>
      <c r="Q16" s="60">
        <v>12.63</v>
      </c>
      <c r="R16" s="197"/>
      <c r="S16" s="197"/>
      <c r="T16" s="197"/>
      <c r="U16" s="197"/>
    </row>
    <row r="17" spans="1:21" s="12" customFormat="1" x14ac:dyDescent="0.25">
      <c r="A17" s="200" t="s">
        <v>448</v>
      </c>
      <c r="B17" s="60">
        <v>28.34</v>
      </c>
      <c r="C17" s="60">
        <v>12.6</v>
      </c>
      <c r="D17" s="60">
        <v>40.94</v>
      </c>
      <c r="E17" s="60">
        <v>6.79</v>
      </c>
      <c r="F17" s="60">
        <v>0.31</v>
      </c>
      <c r="G17" s="215" t="s">
        <v>36</v>
      </c>
      <c r="H17" s="60">
        <v>27.17</v>
      </c>
      <c r="I17" s="60">
        <v>6.77</v>
      </c>
      <c r="J17" s="60">
        <v>0.67</v>
      </c>
      <c r="K17" s="60">
        <v>345.34</v>
      </c>
      <c r="L17" s="9" t="s">
        <v>36</v>
      </c>
      <c r="M17" s="60">
        <v>79.14</v>
      </c>
      <c r="N17" s="60">
        <v>14.6</v>
      </c>
      <c r="O17" s="60">
        <v>0</v>
      </c>
      <c r="P17" s="60">
        <v>3.9</v>
      </c>
      <c r="Q17" s="60">
        <v>12.16</v>
      </c>
      <c r="R17" s="197"/>
      <c r="S17" s="197"/>
      <c r="T17" s="197"/>
      <c r="U17" s="197"/>
    </row>
    <row r="18" spans="1:21" s="12" customFormat="1" x14ac:dyDescent="0.25">
      <c r="A18" s="200" t="s">
        <v>449</v>
      </c>
      <c r="B18" s="60">
        <v>27.45</v>
      </c>
      <c r="C18" s="60">
        <v>13.48</v>
      </c>
      <c r="D18" s="60">
        <v>40.94</v>
      </c>
      <c r="E18" s="60">
        <v>6.68</v>
      </c>
      <c r="F18" s="60">
        <v>0.02</v>
      </c>
      <c r="G18" s="215" t="s">
        <v>36</v>
      </c>
      <c r="H18" s="60">
        <v>25.41</v>
      </c>
      <c r="I18" s="60">
        <v>6.68</v>
      </c>
      <c r="J18" s="60">
        <v>0.54</v>
      </c>
      <c r="K18" s="60">
        <v>349.23</v>
      </c>
      <c r="L18" s="9" t="s">
        <v>36</v>
      </c>
      <c r="M18" s="60">
        <v>78.77</v>
      </c>
      <c r="N18" s="60">
        <v>14.9</v>
      </c>
      <c r="O18" s="60">
        <v>0</v>
      </c>
      <c r="P18" s="60">
        <v>3.87</v>
      </c>
      <c r="Q18" s="60">
        <v>12.24</v>
      </c>
      <c r="R18" s="197"/>
      <c r="S18" s="197"/>
      <c r="T18" s="197"/>
      <c r="U18" s="197"/>
    </row>
    <row r="19" spans="1:21" s="12" customFormat="1" x14ac:dyDescent="0.25">
      <c r="A19" s="200" t="s">
        <v>450</v>
      </c>
      <c r="B19" s="60">
        <v>26.47</v>
      </c>
      <c r="C19" s="60">
        <v>12.66</v>
      </c>
      <c r="D19" s="60">
        <v>39.130000000000003</v>
      </c>
      <c r="E19" s="60">
        <v>6.65</v>
      </c>
      <c r="F19" s="60">
        <v>0.26</v>
      </c>
      <c r="G19" s="215" t="s">
        <v>36</v>
      </c>
      <c r="H19" s="60">
        <v>25.41</v>
      </c>
      <c r="I19" s="60">
        <v>7.02</v>
      </c>
      <c r="J19" s="60">
        <v>0.59</v>
      </c>
      <c r="K19" s="60">
        <v>337.72</v>
      </c>
      <c r="L19" s="9" t="s">
        <v>36</v>
      </c>
      <c r="M19" s="60">
        <v>77.94</v>
      </c>
      <c r="N19" s="60">
        <v>14.7</v>
      </c>
      <c r="O19" s="60">
        <v>0</v>
      </c>
      <c r="P19" s="60">
        <v>3.84</v>
      </c>
      <c r="Q19" s="60">
        <v>12.63</v>
      </c>
      <c r="R19" s="197"/>
      <c r="S19" s="197"/>
      <c r="T19" s="197"/>
      <c r="U19" s="197"/>
    </row>
    <row r="20" spans="1:21" s="12" customFormat="1" x14ac:dyDescent="0.25">
      <c r="A20" s="200" t="s">
        <v>451</v>
      </c>
      <c r="B20" s="60">
        <v>24.57</v>
      </c>
      <c r="C20" s="60">
        <v>12.53</v>
      </c>
      <c r="D20" s="60">
        <v>37.11</v>
      </c>
      <c r="E20" s="60">
        <v>7.05</v>
      </c>
      <c r="F20" s="60">
        <v>0.17</v>
      </c>
      <c r="G20" s="215" t="s">
        <v>36</v>
      </c>
      <c r="H20" s="60">
        <v>25.41</v>
      </c>
      <c r="I20" s="60">
        <v>7.17</v>
      </c>
      <c r="J20" s="60">
        <v>0.36</v>
      </c>
      <c r="K20" s="60">
        <v>339.73</v>
      </c>
      <c r="L20" s="9" t="s">
        <v>36</v>
      </c>
      <c r="M20" s="60">
        <v>78.349999999999994</v>
      </c>
      <c r="N20" s="60">
        <v>15.1</v>
      </c>
      <c r="O20" s="60">
        <v>0</v>
      </c>
      <c r="P20" s="60">
        <v>3.79</v>
      </c>
      <c r="Q20" s="60">
        <v>12.9</v>
      </c>
      <c r="R20" s="197"/>
      <c r="S20" s="197"/>
      <c r="T20" s="197"/>
      <c r="U20" s="197"/>
    </row>
    <row r="21" spans="1:21" s="12" customFormat="1" x14ac:dyDescent="0.25">
      <c r="A21" s="200" t="s">
        <v>452</v>
      </c>
      <c r="B21" s="60">
        <v>22.46</v>
      </c>
      <c r="C21" s="60">
        <v>13.28</v>
      </c>
      <c r="D21" s="60">
        <v>35.74</v>
      </c>
      <c r="E21" s="60">
        <v>6.94</v>
      </c>
      <c r="F21" s="60">
        <v>0.16</v>
      </c>
      <c r="G21" s="215" t="s">
        <v>36</v>
      </c>
      <c r="H21" s="60">
        <v>26.38</v>
      </c>
      <c r="I21" s="60">
        <v>7.18</v>
      </c>
      <c r="J21" s="60">
        <v>0.72</v>
      </c>
      <c r="K21" s="60">
        <v>353.06</v>
      </c>
      <c r="L21" s="9" t="s">
        <v>36</v>
      </c>
      <c r="M21" s="60">
        <v>78.2</v>
      </c>
      <c r="N21" s="60">
        <v>15</v>
      </c>
      <c r="O21" s="60">
        <v>0</v>
      </c>
      <c r="P21" s="60">
        <v>3.78</v>
      </c>
      <c r="Q21" s="60">
        <v>12.48</v>
      </c>
      <c r="R21" s="197"/>
      <c r="S21" s="197"/>
      <c r="T21" s="197"/>
      <c r="U21" s="197"/>
    </row>
    <row r="22" spans="1:21" s="12" customFormat="1" x14ac:dyDescent="0.25">
      <c r="A22" s="200" t="s">
        <v>453</v>
      </c>
      <c r="B22" s="60">
        <v>20.91</v>
      </c>
      <c r="C22" s="60">
        <v>13.12</v>
      </c>
      <c r="D22" s="60">
        <v>34.03</v>
      </c>
      <c r="E22" s="60">
        <v>6.87</v>
      </c>
      <c r="F22" s="60">
        <v>0.27</v>
      </c>
      <c r="G22" s="215" t="s">
        <v>36</v>
      </c>
      <c r="H22" s="60">
        <v>28.77</v>
      </c>
      <c r="I22" s="60">
        <v>7.07</v>
      </c>
      <c r="J22" s="60">
        <v>0.57999999999999996</v>
      </c>
      <c r="K22" s="60">
        <v>347.64</v>
      </c>
      <c r="L22" s="9" t="s">
        <v>36</v>
      </c>
      <c r="M22" s="60">
        <v>78.45</v>
      </c>
      <c r="N22" s="60">
        <v>15</v>
      </c>
      <c r="O22" s="60">
        <v>0</v>
      </c>
      <c r="P22" s="60">
        <v>3.76</v>
      </c>
      <c r="Q22" s="60">
        <v>11.95</v>
      </c>
      <c r="R22" s="197"/>
      <c r="S22" s="197"/>
      <c r="T22" s="197"/>
      <c r="U22" s="197"/>
    </row>
    <row r="23" spans="1:21" s="12" customFormat="1" x14ac:dyDescent="0.25">
      <c r="A23" s="200" t="s">
        <v>454</v>
      </c>
      <c r="B23" s="60">
        <v>19.63</v>
      </c>
      <c r="C23" s="60">
        <v>13.7</v>
      </c>
      <c r="D23" s="60">
        <v>33.33</v>
      </c>
      <c r="E23" s="60">
        <v>6.32</v>
      </c>
      <c r="F23" s="60">
        <v>0.12</v>
      </c>
      <c r="G23" s="215" t="s">
        <v>36</v>
      </c>
      <c r="H23" s="60">
        <v>28.77</v>
      </c>
      <c r="I23" s="60">
        <v>7.02</v>
      </c>
      <c r="J23" s="60">
        <v>0.55000000000000004</v>
      </c>
      <c r="K23" s="60">
        <v>351.63</v>
      </c>
      <c r="L23" s="9" t="s">
        <v>36</v>
      </c>
      <c r="M23" s="60">
        <v>78.53</v>
      </c>
      <c r="N23" s="60">
        <v>15</v>
      </c>
      <c r="O23" s="60">
        <v>0</v>
      </c>
      <c r="P23" s="60">
        <v>3.75</v>
      </c>
      <c r="Q23" s="60">
        <v>11.53</v>
      </c>
      <c r="R23" s="197"/>
      <c r="S23" s="197"/>
      <c r="T23" s="197"/>
      <c r="U23" s="197"/>
    </row>
    <row r="24" spans="1:21" s="12" customFormat="1" x14ac:dyDescent="0.25">
      <c r="A24" s="200" t="s">
        <v>455</v>
      </c>
      <c r="B24" s="60">
        <v>18.72</v>
      </c>
      <c r="C24" s="60">
        <v>13.84</v>
      </c>
      <c r="D24" s="60">
        <v>32.56</v>
      </c>
      <c r="E24" s="60">
        <v>3.15</v>
      </c>
      <c r="F24" s="60">
        <v>0.03</v>
      </c>
      <c r="G24" s="215" t="s">
        <v>36</v>
      </c>
      <c r="H24" s="60">
        <v>28.77</v>
      </c>
      <c r="I24" s="60">
        <v>7.08</v>
      </c>
      <c r="J24" s="60">
        <v>0.11</v>
      </c>
      <c r="K24" s="60">
        <v>4.6900000000000004</v>
      </c>
      <c r="L24" s="9" t="s">
        <v>36</v>
      </c>
      <c r="M24" s="60">
        <v>80.599999999999994</v>
      </c>
      <c r="N24" s="60">
        <v>15.4</v>
      </c>
      <c r="O24" s="60">
        <v>0</v>
      </c>
      <c r="P24" s="60">
        <v>3.75</v>
      </c>
      <c r="Q24" s="60">
        <v>11.26</v>
      </c>
      <c r="R24" s="197"/>
      <c r="S24" s="197"/>
      <c r="T24" s="197"/>
      <c r="U24" s="197"/>
    </row>
    <row r="25" spans="1:21" s="12" customFormat="1" x14ac:dyDescent="0.25">
      <c r="A25" s="200" t="s">
        <v>456</v>
      </c>
      <c r="B25" s="60">
        <v>18.48</v>
      </c>
      <c r="C25" s="60">
        <v>13.75</v>
      </c>
      <c r="D25" s="60">
        <v>32.24</v>
      </c>
      <c r="E25" s="60">
        <v>5.99</v>
      </c>
      <c r="F25" s="60">
        <v>0.18</v>
      </c>
      <c r="G25" s="215" t="s">
        <v>36</v>
      </c>
      <c r="H25" s="60">
        <v>33.119999999999997</v>
      </c>
      <c r="I25" s="60">
        <v>7.34</v>
      </c>
      <c r="J25" s="60">
        <v>0.18</v>
      </c>
      <c r="K25" s="60">
        <v>348.08</v>
      </c>
      <c r="L25" s="9" t="s">
        <v>36</v>
      </c>
      <c r="M25" s="60">
        <v>82.84</v>
      </c>
      <c r="N25" s="60">
        <v>15.2</v>
      </c>
      <c r="O25" s="60">
        <v>0</v>
      </c>
      <c r="P25" s="60">
        <v>3.76</v>
      </c>
      <c r="Q25" s="60">
        <v>11.04</v>
      </c>
      <c r="R25" s="197"/>
      <c r="S25" s="197"/>
      <c r="T25" s="197"/>
      <c r="U25" s="197"/>
    </row>
    <row r="26" spans="1:21" s="12" customFormat="1" x14ac:dyDescent="0.25">
      <c r="A26" s="200" t="s">
        <v>457</v>
      </c>
      <c r="B26" s="60">
        <v>18.38</v>
      </c>
      <c r="C26" s="60">
        <v>13.07</v>
      </c>
      <c r="D26" s="60">
        <v>31.45</v>
      </c>
      <c r="E26" s="60">
        <v>6.19</v>
      </c>
      <c r="F26" s="60">
        <v>0.12</v>
      </c>
      <c r="G26" s="215" t="s">
        <v>36</v>
      </c>
      <c r="H26" s="60">
        <v>43.82</v>
      </c>
      <c r="I26" s="60">
        <v>7.69</v>
      </c>
      <c r="J26" s="60">
        <v>0.23</v>
      </c>
      <c r="K26" s="60">
        <v>339.6</v>
      </c>
      <c r="L26" s="9" t="s">
        <v>36</v>
      </c>
      <c r="M26" s="60">
        <v>84.19</v>
      </c>
      <c r="N26" s="60">
        <v>15</v>
      </c>
      <c r="O26" s="60">
        <v>0</v>
      </c>
      <c r="P26" s="60">
        <v>3.77</v>
      </c>
      <c r="Q26" s="60">
        <v>10.25</v>
      </c>
      <c r="R26" s="197"/>
      <c r="S26" s="197"/>
      <c r="T26" s="197"/>
      <c r="U26" s="197"/>
    </row>
    <row r="27" spans="1:21" s="12" customFormat="1" x14ac:dyDescent="0.25">
      <c r="A27" s="200" t="s">
        <v>458</v>
      </c>
      <c r="B27" s="60">
        <v>18.28</v>
      </c>
      <c r="C27" s="60">
        <v>12.79</v>
      </c>
      <c r="D27" s="60">
        <v>31.07</v>
      </c>
      <c r="E27" s="60">
        <v>6.14</v>
      </c>
      <c r="F27" s="60">
        <v>0.13</v>
      </c>
      <c r="G27" s="215" t="s">
        <v>36</v>
      </c>
      <c r="H27" s="60">
        <v>43.82</v>
      </c>
      <c r="I27" s="60">
        <v>8</v>
      </c>
      <c r="J27" s="60">
        <v>0.05</v>
      </c>
      <c r="K27" s="60">
        <v>339.04</v>
      </c>
      <c r="L27" s="9" t="s">
        <v>36</v>
      </c>
      <c r="M27" s="60">
        <v>84.84</v>
      </c>
      <c r="N27" s="60">
        <v>15.1</v>
      </c>
      <c r="O27" s="60">
        <v>0</v>
      </c>
      <c r="P27" s="60">
        <v>3.8</v>
      </c>
      <c r="Q27" s="60">
        <v>9.91</v>
      </c>
      <c r="R27" s="197"/>
      <c r="S27" s="197"/>
      <c r="T27" s="197"/>
      <c r="U27" s="197"/>
    </row>
    <row r="28" spans="1:21" s="12" customFormat="1" x14ac:dyDescent="0.25">
      <c r="A28" s="200" t="s">
        <v>459</v>
      </c>
      <c r="B28" s="60">
        <v>18.45</v>
      </c>
      <c r="C28" s="60">
        <v>12.69</v>
      </c>
      <c r="D28" s="60">
        <v>31.15</v>
      </c>
      <c r="E28" s="60">
        <v>6.53</v>
      </c>
      <c r="F28" s="60">
        <v>0.05</v>
      </c>
      <c r="G28" s="215" t="s">
        <v>36</v>
      </c>
      <c r="H28" s="60">
        <v>43.82</v>
      </c>
      <c r="I28" s="60">
        <v>8.1300000000000008</v>
      </c>
      <c r="J28" s="60">
        <v>0.11</v>
      </c>
      <c r="K28" s="60">
        <v>138.33000000000001</v>
      </c>
      <c r="L28" s="9" t="s">
        <v>36</v>
      </c>
      <c r="M28" s="60">
        <v>83.78</v>
      </c>
      <c r="N28" s="60">
        <v>14.9</v>
      </c>
      <c r="O28" s="60">
        <v>0</v>
      </c>
      <c r="P28" s="60">
        <v>3.83</v>
      </c>
      <c r="Q28" s="60">
        <v>9.8000000000000007</v>
      </c>
      <c r="R28" s="197"/>
      <c r="S28" s="197"/>
      <c r="T28" s="197"/>
      <c r="U28" s="197"/>
    </row>
    <row r="29" spans="1:21" s="12" customFormat="1" x14ac:dyDescent="0.25">
      <c r="A29" s="200" t="s">
        <v>460</v>
      </c>
      <c r="B29" s="60">
        <v>18.96</v>
      </c>
      <c r="C29" s="60">
        <v>12.32</v>
      </c>
      <c r="D29" s="60">
        <v>31.28</v>
      </c>
      <c r="E29" s="60">
        <v>6.51</v>
      </c>
      <c r="F29" s="60">
        <v>0.12</v>
      </c>
      <c r="G29" s="215" t="s">
        <v>36</v>
      </c>
      <c r="H29" s="60">
        <v>49.68</v>
      </c>
      <c r="I29" s="60">
        <v>8.18</v>
      </c>
      <c r="J29" s="60">
        <v>0.3</v>
      </c>
      <c r="K29" s="60">
        <v>118.61</v>
      </c>
      <c r="L29" s="9" t="s">
        <v>36</v>
      </c>
      <c r="M29" s="60">
        <v>84.2</v>
      </c>
      <c r="N29" s="60">
        <v>14.7</v>
      </c>
      <c r="O29" s="60">
        <v>0</v>
      </c>
      <c r="P29" s="60">
        <v>3.83</v>
      </c>
      <c r="Q29" s="60">
        <v>9.67</v>
      </c>
      <c r="R29" s="197"/>
      <c r="S29" s="197"/>
      <c r="T29" s="197"/>
      <c r="U29" s="197"/>
    </row>
    <row r="30" spans="1:21" s="12" customFormat="1" x14ac:dyDescent="0.25">
      <c r="A30" s="200" t="s">
        <v>461</v>
      </c>
      <c r="B30" s="60">
        <v>19.190000000000001</v>
      </c>
      <c r="C30" s="60">
        <v>11.95</v>
      </c>
      <c r="D30" s="60">
        <v>31.14</v>
      </c>
      <c r="E30" s="60">
        <v>6.58</v>
      </c>
      <c r="F30" s="60">
        <v>0.12</v>
      </c>
      <c r="G30" s="215" t="s">
        <v>36</v>
      </c>
      <c r="H30" s="60">
        <v>64.11</v>
      </c>
      <c r="I30" s="60">
        <v>8.19</v>
      </c>
      <c r="J30" s="60">
        <v>0.26</v>
      </c>
      <c r="K30" s="60">
        <v>68.94</v>
      </c>
      <c r="L30" s="9" t="s">
        <v>36</v>
      </c>
      <c r="M30" s="60">
        <v>83.37</v>
      </c>
      <c r="N30" s="60">
        <v>15.1</v>
      </c>
      <c r="O30" s="60">
        <v>0</v>
      </c>
      <c r="P30" s="60">
        <v>3.8</v>
      </c>
      <c r="Q30" s="60">
        <v>9.5399999999999991</v>
      </c>
      <c r="R30" s="197"/>
      <c r="S30" s="197"/>
      <c r="T30" s="197"/>
      <c r="U30" s="197"/>
    </row>
    <row r="31" spans="1:21" s="12" customFormat="1" x14ac:dyDescent="0.25">
      <c r="A31" s="200" t="s">
        <v>462</v>
      </c>
      <c r="B31" s="60">
        <v>19.11</v>
      </c>
      <c r="C31" s="60">
        <v>12.1</v>
      </c>
      <c r="D31" s="60">
        <v>31.21</v>
      </c>
      <c r="E31" s="60">
        <v>7.28</v>
      </c>
      <c r="F31" s="60">
        <v>0.08</v>
      </c>
      <c r="G31" s="215" t="s">
        <v>36</v>
      </c>
      <c r="H31" s="60">
        <v>64.11</v>
      </c>
      <c r="I31" s="60">
        <v>8.16</v>
      </c>
      <c r="J31" s="60">
        <v>0.3</v>
      </c>
      <c r="K31" s="60">
        <v>181.17</v>
      </c>
      <c r="L31" s="9" t="s">
        <v>36</v>
      </c>
      <c r="M31" s="60">
        <v>83.94</v>
      </c>
      <c r="N31" s="60">
        <v>17.7</v>
      </c>
      <c r="O31" s="60">
        <v>0</v>
      </c>
      <c r="P31" s="60">
        <v>3.78</v>
      </c>
      <c r="Q31" s="60">
        <v>9.52</v>
      </c>
      <c r="R31" s="197"/>
      <c r="S31" s="197"/>
      <c r="T31" s="197"/>
      <c r="U31" s="197"/>
    </row>
    <row r="32" spans="1:21" s="12" customFormat="1" x14ac:dyDescent="0.25">
      <c r="A32" s="200" t="s">
        <v>463</v>
      </c>
      <c r="B32" s="60">
        <v>19.149999999999999</v>
      </c>
      <c r="C32" s="60">
        <v>11.82</v>
      </c>
      <c r="D32" s="60">
        <v>30.98</v>
      </c>
      <c r="E32" s="60">
        <v>7.19</v>
      </c>
      <c r="F32" s="60">
        <v>0.12</v>
      </c>
      <c r="G32" s="215" t="s">
        <v>36</v>
      </c>
      <c r="H32" s="60">
        <v>64.11</v>
      </c>
      <c r="I32" s="60">
        <v>8.1999999999999993</v>
      </c>
      <c r="J32" s="60">
        <v>0.18</v>
      </c>
      <c r="K32" s="60">
        <v>197.68</v>
      </c>
      <c r="L32" s="9" t="s">
        <v>36</v>
      </c>
      <c r="M32" s="60">
        <v>84.45</v>
      </c>
      <c r="N32" s="60">
        <v>28.4</v>
      </c>
      <c r="O32" s="60">
        <v>0</v>
      </c>
      <c r="P32" s="60">
        <v>3.78</v>
      </c>
      <c r="Q32" s="60">
        <v>9.5299999999999994</v>
      </c>
      <c r="R32" s="197"/>
      <c r="S32" s="197"/>
      <c r="T32" s="197"/>
      <c r="U32" s="197"/>
    </row>
    <row r="33" spans="1:21" s="12" customFormat="1" x14ac:dyDescent="0.25">
      <c r="A33" s="200" t="s">
        <v>464</v>
      </c>
      <c r="B33" s="60">
        <v>19.52</v>
      </c>
      <c r="C33" s="60">
        <v>12.1</v>
      </c>
      <c r="D33" s="60">
        <v>31.63</v>
      </c>
      <c r="E33" s="60">
        <v>7.18</v>
      </c>
      <c r="F33" s="60">
        <v>0.08</v>
      </c>
      <c r="G33" s="215" t="s">
        <v>36</v>
      </c>
      <c r="H33" s="60">
        <v>60.58</v>
      </c>
      <c r="I33" s="60">
        <v>8.18</v>
      </c>
      <c r="J33" s="60">
        <v>0.15</v>
      </c>
      <c r="K33" s="60">
        <v>244.11</v>
      </c>
      <c r="L33" s="9" t="s">
        <v>36</v>
      </c>
      <c r="M33" s="60">
        <v>85.32</v>
      </c>
      <c r="N33" s="60">
        <v>44.5</v>
      </c>
      <c r="O33" s="60">
        <v>0</v>
      </c>
      <c r="P33" s="60">
        <v>3.77</v>
      </c>
      <c r="Q33" s="60">
        <v>10.01</v>
      </c>
      <c r="R33" s="197"/>
      <c r="S33" s="197"/>
      <c r="T33" s="197"/>
      <c r="U33" s="197"/>
    </row>
    <row r="34" spans="1:21" s="12" customFormat="1" x14ac:dyDescent="0.25">
      <c r="A34" s="200" t="s">
        <v>465</v>
      </c>
      <c r="B34" s="60">
        <v>19.88</v>
      </c>
      <c r="C34" s="60">
        <v>11.82</v>
      </c>
      <c r="D34" s="60">
        <v>31.69</v>
      </c>
      <c r="E34" s="60">
        <v>7.39</v>
      </c>
      <c r="F34" s="60">
        <v>0.14000000000000001</v>
      </c>
      <c r="G34" s="215" t="s">
        <v>36</v>
      </c>
      <c r="H34" s="60">
        <v>51.9</v>
      </c>
      <c r="I34" s="60">
        <v>8.2200000000000006</v>
      </c>
      <c r="J34" s="60">
        <v>0.16</v>
      </c>
      <c r="K34" s="60">
        <v>208.2</v>
      </c>
      <c r="L34" s="9" t="s">
        <v>36</v>
      </c>
      <c r="M34" s="60">
        <v>84.87</v>
      </c>
      <c r="N34" s="60">
        <v>63.4</v>
      </c>
      <c r="O34" s="60">
        <v>0</v>
      </c>
      <c r="P34" s="60">
        <v>3.77</v>
      </c>
      <c r="Q34" s="60">
        <v>10.94</v>
      </c>
      <c r="R34" s="197"/>
      <c r="S34" s="197"/>
      <c r="T34" s="197"/>
      <c r="U34" s="197"/>
    </row>
    <row r="35" spans="1:21" s="12" customFormat="1" x14ac:dyDescent="0.25">
      <c r="A35" s="200" t="s">
        <v>466</v>
      </c>
      <c r="B35" s="60">
        <v>19.86</v>
      </c>
      <c r="C35" s="60">
        <v>12.27</v>
      </c>
      <c r="D35" s="60">
        <v>32.130000000000003</v>
      </c>
      <c r="E35" s="60">
        <v>7.17</v>
      </c>
      <c r="F35" s="60">
        <v>0.2</v>
      </c>
      <c r="G35" s="215" t="s">
        <v>36</v>
      </c>
      <c r="H35" s="60">
        <v>51.9</v>
      </c>
      <c r="I35" s="60">
        <v>8.3699999999999992</v>
      </c>
      <c r="J35" s="60">
        <v>0.09</v>
      </c>
      <c r="K35" s="60">
        <v>231.82</v>
      </c>
      <c r="L35" s="9" t="s">
        <v>36</v>
      </c>
      <c r="M35" s="60">
        <v>85.02</v>
      </c>
      <c r="N35" s="60">
        <v>87.5</v>
      </c>
      <c r="O35" s="60">
        <v>0</v>
      </c>
      <c r="P35" s="60">
        <v>3.76</v>
      </c>
      <c r="Q35" s="60">
        <v>11.4</v>
      </c>
      <c r="R35" s="197"/>
      <c r="S35" s="197"/>
      <c r="T35" s="197"/>
      <c r="U35" s="197"/>
    </row>
    <row r="36" spans="1:21" s="12" customFormat="1" x14ac:dyDescent="0.25">
      <c r="A36" s="200" t="s">
        <v>467</v>
      </c>
      <c r="B36" s="60">
        <v>19.579999999999998</v>
      </c>
      <c r="C36" s="60">
        <v>12.33</v>
      </c>
      <c r="D36" s="60">
        <v>31.91</v>
      </c>
      <c r="E36" s="60">
        <v>6.92</v>
      </c>
      <c r="F36" s="60">
        <v>0.1</v>
      </c>
      <c r="G36" s="215" t="s">
        <v>36</v>
      </c>
      <c r="H36" s="60">
        <v>51.9</v>
      </c>
      <c r="I36" s="60">
        <v>8.44</v>
      </c>
      <c r="J36" s="60">
        <v>0.18</v>
      </c>
      <c r="K36" s="60">
        <v>214.23</v>
      </c>
      <c r="L36" s="9" t="s">
        <v>36</v>
      </c>
      <c r="M36" s="60">
        <v>83.19</v>
      </c>
      <c r="N36" s="60">
        <v>125.7</v>
      </c>
      <c r="O36" s="60">
        <v>0</v>
      </c>
      <c r="P36" s="60">
        <v>3.76</v>
      </c>
      <c r="Q36" s="60">
        <v>11.49</v>
      </c>
      <c r="R36" s="197"/>
      <c r="S36" s="197"/>
      <c r="T36" s="197"/>
      <c r="U36" s="197"/>
    </row>
    <row r="37" spans="1:21" s="12" customFormat="1" x14ac:dyDescent="0.25">
      <c r="A37" s="200" t="s">
        <v>468</v>
      </c>
      <c r="B37" s="60">
        <v>19.079999999999998</v>
      </c>
      <c r="C37" s="60">
        <v>12.64</v>
      </c>
      <c r="D37" s="60">
        <v>31.72</v>
      </c>
      <c r="E37" s="60">
        <v>6.39</v>
      </c>
      <c r="F37" s="60">
        <v>0.08</v>
      </c>
      <c r="G37" s="215" t="s">
        <v>36</v>
      </c>
      <c r="H37" s="60">
        <v>50.6</v>
      </c>
      <c r="I37" s="60">
        <v>8.51</v>
      </c>
      <c r="J37" s="60">
        <v>0.23</v>
      </c>
      <c r="K37" s="60">
        <v>213.94</v>
      </c>
      <c r="L37" s="9" t="s">
        <v>36</v>
      </c>
      <c r="M37" s="60">
        <v>80.709999999999994</v>
      </c>
      <c r="N37" s="60">
        <v>199.6</v>
      </c>
      <c r="O37" s="60">
        <v>0</v>
      </c>
      <c r="P37" s="60">
        <v>3.74</v>
      </c>
      <c r="Q37" s="60">
        <v>11.24</v>
      </c>
      <c r="R37" s="197"/>
      <c r="S37" s="197"/>
      <c r="T37" s="197"/>
      <c r="U37" s="197"/>
    </row>
    <row r="38" spans="1:21" s="12" customFormat="1" x14ac:dyDescent="0.25">
      <c r="A38" s="200" t="s">
        <v>469</v>
      </c>
      <c r="B38" s="60">
        <v>18.29</v>
      </c>
      <c r="C38" s="60">
        <v>12.9</v>
      </c>
      <c r="D38" s="60">
        <v>31.18</v>
      </c>
      <c r="E38" s="60">
        <v>6.57</v>
      </c>
      <c r="F38" s="60">
        <v>0.17</v>
      </c>
      <c r="G38" s="215" t="s">
        <v>36</v>
      </c>
      <c r="H38" s="60">
        <v>47.41</v>
      </c>
      <c r="I38" s="60">
        <v>8.5399999999999991</v>
      </c>
      <c r="J38" s="60">
        <v>0.45</v>
      </c>
      <c r="K38" s="60">
        <v>160.76</v>
      </c>
      <c r="L38" s="9" t="s">
        <v>36</v>
      </c>
      <c r="M38" s="60">
        <v>78.44</v>
      </c>
      <c r="N38" s="60">
        <v>236.8</v>
      </c>
      <c r="O38" s="60">
        <v>0</v>
      </c>
      <c r="P38" s="60">
        <v>3.72</v>
      </c>
      <c r="Q38" s="60">
        <v>10.89</v>
      </c>
      <c r="R38" s="197"/>
      <c r="S38" s="197"/>
      <c r="T38" s="197"/>
      <c r="U38" s="197"/>
    </row>
    <row r="39" spans="1:21" s="12" customFormat="1" x14ac:dyDescent="0.25">
      <c r="A39" s="200" t="s">
        <v>470</v>
      </c>
      <c r="B39" s="60">
        <v>17.170000000000002</v>
      </c>
      <c r="C39" s="60">
        <v>12.99</v>
      </c>
      <c r="D39" s="60">
        <v>30.16</v>
      </c>
      <c r="E39" s="60">
        <v>6.56</v>
      </c>
      <c r="F39" s="60">
        <v>0.2</v>
      </c>
      <c r="G39" s="215" t="s">
        <v>36</v>
      </c>
      <c r="H39" s="60">
        <v>47.41</v>
      </c>
      <c r="I39" s="60">
        <v>8.49</v>
      </c>
      <c r="J39" s="60">
        <v>0.53</v>
      </c>
      <c r="K39" s="60">
        <v>169.82</v>
      </c>
      <c r="L39" s="9" t="s">
        <v>36</v>
      </c>
      <c r="M39" s="60">
        <v>77.16</v>
      </c>
      <c r="N39" s="60">
        <v>271.10000000000002</v>
      </c>
      <c r="O39" s="60">
        <v>0</v>
      </c>
      <c r="P39" s="60">
        <v>3.72</v>
      </c>
      <c r="Q39" s="60">
        <v>10.53</v>
      </c>
      <c r="R39" s="197"/>
      <c r="S39" s="197"/>
      <c r="T39" s="197"/>
      <c r="U39" s="197"/>
    </row>
    <row r="40" spans="1:21" s="12" customFormat="1" x14ac:dyDescent="0.25">
      <c r="A40" s="200" t="s">
        <v>471</v>
      </c>
      <c r="B40" s="60">
        <v>15.95</v>
      </c>
      <c r="C40" s="60">
        <v>13.49</v>
      </c>
      <c r="D40" s="60">
        <v>29.44</v>
      </c>
      <c r="E40" s="60">
        <v>2.93</v>
      </c>
      <c r="F40" s="60">
        <v>0.09</v>
      </c>
      <c r="G40" s="215" t="s">
        <v>36</v>
      </c>
      <c r="H40" s="60">
        <v>47.41</v>
      </c>
      <c r="I40" s="60">
        <v>8.3000000000000007</v>
      </c>
      <c r="J40" s="60">
        <v>0.1</v>
      </c>
      <c r="K40" s="60">
        <v>190.86</v>
      </c>
      <c r="L40" s="9" t="s">
        <v>36</v>
      </c>
      <c r="M40" s="60">
        <v>74.290000000000006</v>
      </c>
      <c r="N40" s="60">
        <v>383.2</v>
      </c>
      <c r="O40" s="60">
        <v>0</v>
      </c>
      <c r="P40" s="60">
        <v>3.69</v>
      </c>
      <c r="Q40" s="60">
        <v>9.66</v>
      </c>
      <c r="R40" s="197"/>
      <c r="S40" s="197"/>
      <c r="T40" s="197"/>
      <c r="U40" s="197"/>
    </row>
    <row r="41" spans="1:21" s="12" customFormat="1" x14ac:dyDescent="0.25">
      <c r="A41" s="200" t="s">
        <v>472</v>
      </c>
      <c r="B41" s="60">
        <v>14.94</v>
      </c>
      <c r="C41" s="60">
        <v>14.14</v>
      </c>
      <c r="D41" s="60">
        <v>29.08</v>
      </c>
      <c r="E41" s="60">
        <v>5.44</v>
      </c>
      <c r="F41" s="60">
        <v>0.01</v>
      </c>
      <c r="G41" s="215" t="s">
        <v>36</v>
      </c>
      <c r="H41" s="60">
        <v>48.1</v>
      </c>
      <c r="I41" s="60">
        <v>8.3699999999999992</v>
      </c>
      <c r="J41" s="60">
        <v>0.24</v>
      </c>
      <c r="K41" s="60">
        <v>168.6</v>
      </c>
      <c r="L41" s="9" t="s">
        <v>36</v>
      </c>
      <c r="M41" s="60">
        <v>70.66</v>
      </c>
      <c r="N41" s="60">
        <v>391.1</v>
      </c>
      <c r="O41" s="60">
        <v>0</v>
      </c>
      <c r="P41" s="60">
        <v>3.68</v>
      </c>
      <c r="Q41" s="60">
        <v>9.26</v>
      </c>
      <c r="R41" s="197"/>
      <c r="S41" s="197"/>
      <c r="T41" s="197"/>
      <c r="U41" s="197"/>
    </row>
    <row r="42" spans="1:21" s="12" customFormat="1" x14ac:dyDescent="0.25">
      <c r="A42" s="200" t="s">
        <v>473</v>
      </c>
      <c r="B42" s="60">
        <v>14.06</v>
      </c>
      <c r="C42" s="60">
        <v>13.92</v>
      </c>
      <c r="D42" s="60">
        <v>27.98</v>
      </c>
      <c r="E42" s="60">
        <v>5.79</v>
      </c>
      <c r="F42" s="60">
        <v>0.15</v>
      </c>
      <c r="G42" s="215" t="s">
        <v>36</v>
      </c>
      <c r="H42" s="60">
        <v>49.79</v>
      </c>
      <c r="I42" s="60">
        <v>8.33</v>
      </c>
      <c r="J42" s="60">
        <v>0.56000000000000005</v>
      </c>
      <c r="K42" s="60">
        <v>142.58000000000001</v>
      </c>
      <c r="L42" s="9" t="s">
        <v>36</v>
      </c>
      <c r="M42" s="60">
        <v>70.89</v>
      </c>
      <c r="N42" s="60">
        <v>442.5</v>
      </c>
      <c r="O42" s="60">
        <v>0</v>
      </c>
      <c r="P42" s="60">
        <v>3.67</v>
      </c>
      <c r="Q42" s="60">
        <v>8.48</v>
      </c>
      <c r="R42" s="197"/>
      <c r="S42" s="197"/>
      <c r="T42" s="197"/>
      <c r="U42" s="197"/>
    </row>
    <row r="43" spans="1:21" s="12" customFormat="1" x14ac:dyDescent="0.25">
      <c r="A43" s="200" t="s">
        <v>474</v>
      </c>
      <c r="B43" s="60">
        <v>13.17</v>
      </c>
      <c r="C43" s="60">
        <v>14.53</v>
      </c>
      <c r="D43" s="60">
        <v>27.7</v>
      </c>
      <c r="E43" s="60">
        <v>5.95</v>
      </c>
      <c r="F43" s="60">
        <v>0.19</v>
      </c>
      <c r="G43" s="215" t="s">
        <v>36</v>
      </c>
      <c r="H43" s="60">
        <v>49.79</v>
      </c>
      <c r="I43" s="60">
        <v>8.15</v>
      </c>
      <c r="J43" s="60">
        <v>0.03</v>
      </c>
      <c r="K43" s="60">
        <v>196.83</v>
      </c>
      <c r="L43" s="9" t="s">
        <v>36</v>
      </c>
      <c r="M43" s="60">
        <v>69.319999999999993</v>
      </c>
      <c r="N43" s="60">
        <v>487.3</v>
      </c>
      <c r="O43" s="60">
        <v>0</v>
      </c>
      <c r="P43" s="60">
        <v>3.66</v>
      </c>
      <c r="Q43" s="60">
        <v>8.2200000000000006</v>
      </c>
      <c r="R43" s="197"/>
      <c r="S43" s="197"/>
      <c r="T43" s="197"/>
      <c r="U43" s="197"/>
    </row>
    <row r="44" spans="1:21" s="12" customFormat="1" x14ac:dyDescent="0.25">
      <c r="A44" s="200" t="s">
        <v>475</v>
      </c>
      <c r="B44" s="60">
        <v>12.12</v>
      </c>
      <c r="C44" s="60">
        <v>15.09</v>
      </c>
      <c r="D44" s="60">
        <v>27.21</v>
      </c>
      <c r="E44" s="60">
        <v>5.86</v>
      </c>
      <c r="F44" s="60">
        <v>0.18</v>
      </c>
      <c r="G44" s="215" t="s">
        <v>36</v>
      </c>
      <c r="H44" s="60">
        <v>49.79</v>
      </c>
      <c r="I44" s="60">
        <v>7.95</v>
      </c>
      <c r="J44" s="60">
        <v>0.59</v>
      </c>
      <c r="K44" s="60">
        <v>120.52</v>
      </c>
      <c r="L44" s="9" t="s">
        <v>36</v>
      </c>
      <c r="M44" s="60">
        <v>68.38</v>
      </c>
      <c r="N44" s="60">
        <v>486.1</v>
      </c>
      <c r="O44" s="60">
        <v>0</v>
      </c>
      <c r="P44" s="60">
        <v>3.65</v>
      </c>
      <c r="Q44" s="60">
        <v>7.9</v>
      </c>
      <c r="R44" s="197"/>
      <c r="S44" s="197"/>
      <c r="T44" s="197"/>
      <c r="U44" s="197"/>
    </row>
    <row r="45" spans="1:21" s="12" customFormat="1" x14ac:dyDescent="0.25">
      <c r="A45" s="200" t="s">
        <v>476</v>
      </c>
      <c r="B45" s="60">
        <v>11.19</v>
      </c>
      <c r="C45" s="60">
        <v>15.13</v>
      </c>
      <c r="D45" s="60">
        <v>26.33</v>
      </c>
      <c r="E45" s="60">
        <v>5.61</v>
      </c>
      <c r="F45" s="60">
        <v>0.39</v>
      </c>
      <c r="G45" s="215" t="s">
        <v>36</v>
      </c>
      <c r="H45" s="60">
        <v>47.53</v>
      </c>
      <c r="I45" s="60">
        <v>8.07</v>
      </c>
      <c r="J45" s="60">
        <v>0.56999999999999995</v>
      </c>
      <c r="K45" s="60">
        <v>105.16</v>
      </c>
      <c r="L45" s="9" t="s">
        <v>36</v>
      </c>
      <c r="M45" s="60">
        <v>68.86</v>
      </c>
      <c r="N45" s="60">
        <v>488.3</v>
      </c>
      <c r="O45" s="60">
        <v>0</v>
      </c>
      <c r="P45" s="60">
        <v>3.63</v>
      </c>
      <c r="Q45" s="60">
        <v>7.54</v>
      </c>
      <c r="R45" s="197"/>
      <c r="S45" s="197"/>
      <c r="T45" s="197"/>
      <c r="U45" s="197"/>
    </row>
    <row r="46" spans="1:21" s="12" customFormat="1" x14ac:dyDescent="0.25">
      <c r="A46" s="200" t="s">
        <v>477</v>
      </c>
      <c r="B46" s="60">
        <v>10.26</v>
      </c>
      <c r="C46" s="60">
        <v>15.61</v>
      </c>
      <c r="D46" s="60">
        <v>25.87</v>
      </c>
      <c r="E46" s="60">
        <v>6.01</v>
      </c>
      <c r="F46" s="60">
        <v>0.49</v>
      </c>
      <c r="G46" s="215" t="s">
        <v>36</v>
      </c>
      <c r="H46" s="60">
        <v>41.95</v>
      </c>
      <c r="I46" s="60">
        <v>8.0500000000000007</v>
      </c>
      <c r="J46" s="60">
        <v>0.56999999999999995</v>
      </c>
      <c r="K46" s="60">
        <v>118.07</v>
      </c>
      <c r="L46" s="9" t="s">
        <v>36</v>
      </c>
      <c r="M46" s="60">
        <v>71.010000000000005</v>
      </c>
      <c r="N46" s="60">
        <v>413.5</v>
      </c>
      <c r="O46" s="60">
        <v>0</v>
      </c>
      <c r="P46" s="60">
        <v>3.61</v>
      </c>
      <c r="Q46" s="60">
        <v>7.38</v>
      </c>
      <c r="R46" s="197"/>
      <c r="S46" s="197"/>
      <c r="T46" s="197"/>
      <c r="U46" s="197"/>
    </row>
    <row r="47" spans="1:21" s="12" customFormat="1" x14ac:dyDescent="0.25">
      <c r="A47" s="200" t="s">
        <v>478</v>
      </c>
      <c r="B47" s="60">
        <v>9.19</v>
      </c>
      <c r="C47" s="60">
        <v>15.5</v>
      </c>
      <c r="D47" s="60">
        <v>24.69</v>
      </c>
      <c r="E47" s="60">
        <v>5.7</v>
      </c>
      <c r="F47" s="60">
        <v>0.25</v>
      </c>
      <c r="G47" s="215" t="s">
        <v>36</v>
      </c>
      <c r="H47" s="60">
        <v>41.95</v>
      </c>
      <c r="I47" s="60">
        <v>7.89</v>
      </c>
      <c r="J47" s="60">
        <v>1.08</v>
      </c>
      <c r="K47" s="60">
        <v>93.82</v>
      </c>
      <c r="L47" s="9" t="s">
        <v>36</v>
      </c>
      <c r="M47" s="60">
        <v>70.34</v>
      </c>
      <c r="N47" s="60">
        <v>591.70000000000005</v>
      </c>
      <c r="O47" s="60">
        <v>0</v>
      </c>
      <c r="P47" s="60">
        <v>3.6</v>
      </c>
      <c r="Q47" s="60">
        <v>7.13</v>
      </c>
      <c r="R47" s="197"/>
      <c r="S47" s="197"/>
      <c r="T47" s="197"/>
      <c r="U47" s="197"/>
    </row>
    <row r="48" spans="1:21" s="12" customFormat="1" x14ac:dyDescent="0.25">
      <c r="A48" s="200" t="s">
        <v>479</v>
      </c>
      <c r="B48" s="60">
        <v>8.17</v>
      </c>
      <c r="C48" s="60">
        <v>15.6</v>
      </c>
      <c r="D48" s="60">
        <v>23.77</v>
      </c>
      <c r="E48" s="60">
        <v>5.98</v>
      </c>
      <c r="F48" s="60">
        <v>0.41</v>
      </c>
      <c r="G48" s="215" t="s">
        <v>36</v>
      </c>
      <c r="H48" s="60">
        <v>41.95</v>
      </c>
      <c r="I48" s="60">
        <v>7.74</v>
      </c>
      <c r="J48" s="60">
        <v>1.0900000000000001</v>
      </c>
      <c r="K48" s="60">
        <v>90.74</v>
      </c>
      <c r="L48" s="9" t="s">
        <v>36</v>
      </c>
      <c r="M48" s="60">
        <v>69.33</v>
      </c>
      <c r="N48" s="60">
        <v>636.1</v>
      </c>
      <c r="O48" s="60">
        <v>0</v>
      </c>
      <c r="P48" s="60">
        <v>3.57</v>
      </c>
      <c r="Q48" s="60">
        <v>7.74</v>
      </c>
      <c r="R48" s="197"/>
      <c r="S48" s="197"/>
      <c r="T48" s="197"/>
      <c r="U48" s="197"/>
    </row>
    <row r="49" spans="1:21" s="12" customFormat="1" x14ac:dyDescent="0.25">
      <c r="A49" s="200" t="s">
        <v>480</v>
      </c>
      <c r="B49" s="60">
        <v>6.97</v>
      </c>
      <c r="C49" s="60">
        <v>15.83</v>
      </c>
      <c r="D49" s="60">
        <v>22.8</v>
      </c>
      <c r="E49" s="60">
        <v>5.77</v>
      </c>
      <c r="F49" s="60">
        <v>0.77</v>
      </c>
      <c r="G49" s="215" t="s">
        <v>36</v>
      </c>
      <c r="H49" s="60">
        <v>39.869999999999997</v>
      </c>
      <c r="I49" s="60">
        <v>7.8</v>
      </c>
      <c r="J49" s="60">
        <v>0.85</v>
      </c>
      <c r="K49" s="60">
        <v>116.16</v>
      </c>
      <c r="L49" s="9" t="s">
        <v>36</v>
      </c>
      <c r="M49" s="60">
        <v>67.14</v>
      </c>
      <c r="N49" s="60">
        <v>776.9</v>
      </c>
      <c r="O49" s="60">
        <v>0</v>
      </c>
      <c r="P49" s="60">
        <v>3.53</v>
      </c>
      <c r="Q49" s="60">
        <v>8.43</v>
      </c>
      <c r="R49" s="197"/>
      <c r="S49" s="197"/>
      <c r="T49" s="197"/>
      <c r="U49" s="197"/>
    </row>
    <row r="50" spans="1:21" s="12" customFormat="1" x14ac:dyDescent="0.25">
      <c r="A50" s="200" t="s">
        <v>481</v>
      </c>
      <c r="B50" s="60">
        <v>5.76</v>
      </c>
      <c r="C50" s="60">
        <v>16.38</v>
      </c>
      <c r="D50" s="60">
        <v>22.13</v>
      </c>
      <c r="E50" s="60">
        <v>5.87</v>
      </c>
      <c r="F50" s="60">
        <v>0.55000000000000004</v>
      </c>
      <c r="G50" s="215" t="s">
        <v>36</v>
      </c>
      <c r="H50" s="60">
        <v>34.74</v>
      </c>
      <c r="I50" s="60">
        <v>7.51</v>
      </c>
      <c r="J50" s="60">
        <v>0.94</v>
      </c>
      <c r="K50" s="60">
        <v>110.69</v>
      </c>
      <c r="L50" s="9" t="s">
        <v>36</v>
      </c>
      <c r="M50" s="60">
        <v>63.26</v>
      </c>
      <c r="N50" s="60">
        <v>772.6</v>
      </c>
      <c r="O50" s="60">
        <v>0</v>
      </c>
      <c r="P50" s="60">
        <v>3.52</v>
      </c>
      <c r="Q50" s="60">
        <v>8.3800000000000008</v>
      </c>
      <c r="R50" s="197"/>
      <c r="S50" s="197"/>
      <c r="T50" s="197"/>
      <c r="U50" s="197"/>
    </row>
    <row r="51" spans="1:21" s="12" customFormat="1" x14ac:dyDescent="0.25">
      <c r="A51" s="200" t="s">
        <v>482</v>
      </c>
      <c r="B51" s="60">
        <v>4.63</v>
      </c>
      <c r="C51" s="60">
        <v>16.079999999999998</v>
      </c>
      <c r="D51" s="60">
        <v>20.71</v>
      </c>
      <c r="E51" s="60">
        <v>5.71</v>
      </c>
      <c r="F51" s="60">
        <v>0.75</v>
      </c>
      <c r="G51" s="215" t="s">
        <v>36</v>
      </c>
      <c r="H51" s="60">
        <v>34.74</v>
      </c>
      <c r="I51" s="60">
        <v>7.2</v>
      </c>
      <c r="J51" s="60">
        <v>1.1000000000000001</v>
      </c>
      <c r="K51" s="60">
        <v>98.82</v>
      </c>
      <c r="L51" s="9" t="s">
        <v>36</v>
      </c>
      <c r="M51" s="60">
        <v>63.1</v>
      </c>
      <c r="N51" s="60">
        <v>676</v>
      </c>
      <c r="O51" s="60">
        <v>0</v>
      </c>
      <c r="P51" s="60">
        <v>3.48</v>
      </c>
      <c r="Q51" s="60">
        <v>7.83</v>
      </c>
      <c r="R51" s="197"/>
      <c r="S51" s="197"/>
      <c r="T51" s="197"/>
      <c r="U51" s="197"/>
    </row>
    <row r="52" spans="1:21" s="12" customFormat="1" x14ac:dyDescent="0.25">
      <c r="A52" s="200" t="s">
        <v>483</v>
      </c>
      <c r="B52" s="60">
        <v>3.75</v>
      </c>
      <c r="C52" s="60">
        <v>16.079999999999998</v>
      </c>
      <c r="D52" s="60">
        <v>19.829999999999998</v>
      </c>
      <c r="E52" s="60">
        <v>5.28</v>
      </c>
      <c r="F52" s="60">
        <v>0.96</v>
      </c>
      <c r="G52" s="215" t="s">
        <v>36</v>
      </c>
      <c r="H52" s="60">
        <v>34.74</v>
      </c>
      <c r="I52" s="60">
        <v>7</v>
      </c>
      <c r="J52" s="60">
        <v>1.55</v>
      </c>
      <c r="K52" s="60">
        <v>88.95</v>
      </c>
      <c r="L52" s="9" t="s">
        <v>36</v>
      </c>
      <c r="M52" s="60">
        <v>65.14</v>
      </c>
      <c r="N52" s="60">
        <v>512.5</v>
      </c>
      <c r="O52" s="60">
        <v>0</v>
      </c>
      <c r="P52" s="60">
        <v>3.45</v>
      </c>
      <c r="Q52" s="60">
        <v>7.51</v>
      </c>
      <c r="R52" s="197"/>
      <c r="S52" s="197"/>
      <c r="T52" s="197"/>
      <c r="U52" s="197"/>
    </row>
    <row r="53" spans="1:21" s="12" customFormat="1" x14ac:dyDescent="0.25">
      <c r="A53" s="200" t="s">
        <v>484</v>
      </c>
      <c r="B53" s="60">
        <v>2.93</v>
      </c>
      <c r="C53" s="60">
        <v>15.86</v>
      </c>
      <c r="D53" s="60">
        <v>18.78</v>
      </c>
      <c r="E53" s="60">
        <v>5.18</v>
      </c>
      <c r="F53" s="60">
        <v>0.8</v>
      </c>
      <c r="G53" s="215" t="s">
        <v>36</v>
      </c>
      <c r="H53" s="60">
        <v>32.53</v>
      </c>
      <c r="I53" s="60">
        <v>6.64</v>
      </c>
      <c r="J53" s="60">
        <v>1.61</v>
      </c>
      <c r="K53" s="60">
        <v>95.86</v>
      </c>
      <c r="L53" s="9" t="s">
        <v>36</v>
      </c>
      <c r="M53" s="60">
        <v>65.41</v>
      </c>
      <c r="N53" s="60">
        <v>582.6</v>
      </c>
      <c r="O53" s="60">
        <v>0</v>
      </c>
      <c r="P53" s="60">
        <v>3.42</v>
      </c>
      <c r="Q53" s="60">
        <v>7.11</v>
      </c>
      <c r="R53" s="197"/>
      <c r="S53" s="197"/>
      <c r="T53" s="197"/>
      <c r="U53" s="197"/>
    </row>
    <row r="54" spans="1:21" s="12" customFormat="1" x14ac:dyDescent="0.25">
      <c r="A54" s="200" t="s">
        <v>485</v>
      </c>
      <c r="B54" s="60">
        <v>2.27</v>
      </c>
      <c r="C54" s="60">
        <v>15.52</v>
      </c>
      <c r="D54" s="60">
        <v>17.8</v>
      </c>
      <c r="E54" s="60">
        <v>4.96</v>
      </c>
      <c r="F54" s="60">
        <v>0.94</v>
      </c>
      <c r="G54" s="215" t="s">
        <v>36</v>
      </c>
      <c r="H54" s="60">
        <v>27.09</v>
      </c>
      <c r="I54" s="60">
        <v>6.4</v>
      </c>
      <c r="J54" s="60">
        <v>1.79</v>
      </c>
      <c r="K54" s="60">
        <v>99.96</v>
      </c>
      <c r="L54" s="9" t="s">
        <v>36</v>
      </c>
      <c r="M54" s="60">
        <v>63.77</v>
      </c>
      <c r="N54" s="60">
        <v>944.4</v>
      </c>
      <c r="O54" s="60">
        <v>0</v>
      </c>
      <c r="P54" s="60">
        <v>3.39</v>
      </c>
      <c r="Q54" s="60">
        <v>6.66</v>
      </c>
      <c r="R54" s="197"/>
      <c r="S54" s="197"/>
      <c r="T54" s="197"/>
      <c r="U54" s="197"/>
    </row>
    <row r="55" spans="1:21" s="12" customFormat="1" x14ac:dyDescent="0.25">
      <c r="A55" s="200" t="s">
        <v>486</v>
      </c>
      <c r="B55" s="60">
        <v>1.79</v>
      </c>
      <c r="C55" s="60">
        <v>14.63</v>
      </c>
      <c r="D55" s="60">
        <v>16.420000000000002</v>
      </c>
      <c r="E55" s="60">
        <v>5.44</v>
      </c>
      <c r="F55" s="60">
        <v>0.94</v>
      </c>
      <c r="G55" s="215" t="s">
        <v>36</v>
      </c>
      <c r="H55" s="60">
        <v>27.09</v>
      </c>
      <c r="I55" s="60">
        <v>6.07</v>
      </c>
      <c r="J55" s="60">
        <v>1.56</v>
      </c>
      <c r="K55" s="60">
        <v>91.11</v>
      </c>
      <c r="L55" s="9" t="s">
        <v>36</v>
      </c>
      <c r="M55" s="60">
        <v>61.48</v>
      </c>
      <c r="N55" s="60">
        <v>951.6</v>
      </c>
      <c r="O55" s="60">
        <v>0</v>
      </c>
      <c r="P55" s="60">
        <v>3.36</v>
      </c>
      <c r="Q55" s="60">
        <v>5.49</v>
      </c>
      <c r="R55" s="197"/>
      <c r="S55" s="197"/>
      <c r="T55" s="197"/>
      <c r="U55" s="197"/>
    </row>
    <row r="56" spans="1:21" s="12" customFormat="1" x14ac:dyDescent="0.25">
      <c r="A56" s="200" t="s">
        <v>487</v>
      </c>
      <c r="B56" s="60">
        <v>1.52</v>
      </c>
      <c r="C56" s="60">
        <v>14.54</v>
      </c>
      <c r="D56" s="60">
        <v>16.059999999999999</v>
      </c>
      <c r="E56" s="60">
        <v>3.19</v>
      </c>
      <c r="F56" s="60">
        <v>0.66</v>
      </c>
      <c r="G56" s="215" t="s">
        <v>36</v>
      </c>
      <c r="H56" s="60">
        <v>27.09</v>
      </c>
      <c r="I56" s="60">
        <v>5.77</v>
      </c>
      <c r="J56" s="60">
        <v>1.62</v>
      </c>
      <c r="K56" s="60">
        <v>100.97</v>
      </c>
      <c r="L56" s="9" t="s">
        <v>36</v>
      </c>
      <c r="M56" s="60">
        <v>62.23</v>
      </c>
      <c r="N56" s="60">
        <v>638.29999999999995</v>
      </c>
      <c r="O56" s="60">
        <v>0</v>
      </c>
      <c r="P56" s="60">
        <v>3.34</v>
      </c>
      <c r="Q56" s="60">
        <v>5.28</v>
      </c>
      <c r="R56" s="197"/>
      <c r="S56" s="197"/>
      <c r="T56" s="197"/>
      <c r="U56" s="197"/>
    </row>
    <row r="57" spans="1:21" s="12" customFormat="1" x14ac:dyDescent="0.25">
      <c r="A57" s="200" t="s">
        <v>488</v>
      </c>
      <c r="B57" s="60">
        <v>1.45</v>
      </c>
      <c r="C57" s="60">
        <v>14.09</v>
      </c>
      <c r="D57" s="60">
        <v>15.55</v>
      </c>
      <c r="E57" s="60">
        <v>5.07</v>
      </c>
      <c r="F57" s="60">
        <v>0.57999999999999996</v>
      </c>
      <c r="G57" s="215" t="s">
        <v>36</v>
      </c>
      <c r="H57" s="60">
        <v>27.9</v>
      </c>
      <c r="I57" s="60">
        <v>5.46</v>
      </c>
      <c r="J57" s="60">
        <v>1.43</v>
      </c>
      <c r="K57" s="60">
        <v>80.45</v>
      </c>
      <c r="L57" s="9" t="s">
        <v>36</v>
      </c>
      <c r="M57" s="60">
        <v>60.46</v>
      </c>
      <c r="N57" s="60">
        <v>763.1</v>
      </c>
      <c r="O57" s="60">
        <v>0</v>
      </c>
      <c r="P57" s="60">
        <v>3.33</v>
      </c>
      <c r="Q57" s="60">
        <v>4.9000000000000004</v>
      </c>
      <c r="R57" s="197"/>
      <c r="S57" s="197"/>
      <c r="T57" s="197"/>
      <c r="U57" s="197"/>
    </row>
    <row r="58" spans="1:21" s="12" customFormat="1" x14ac:dyDescent="0.25">
      <c r="A58" s="200" t="s">
        <v>489</v>
      </c>
      <c r="B58" s="60">
        <v>1.47</v>
      </c>
      <c r="C58" s="60">
        <v>14.12</v>
      </c>
      <c r="D58" s="60">
        <v>15.6</v>
      </c>
      <c r="E58" s="60">
        <v>5.53</v>
      </c>
      <c r="F58" s="60">
        <v>0.87</v>
      </c>
      <c r="G58" s="215" t="s">
        <v>36</v>
      </c>
      <c r="H58" s="60">
        <v>29.89</v>
      </c>
      <c r="I58" s="60">
        <v>5.41</v>
      </c>
      <c r="J58" s="60">
        <v>1.21</v>
      </c>
      <c r="K58" s="60">
        <v>8</v>
      </c>
      <c r="L58" s="9" t="s">
        <v>36</v>
      </c>
      <c r="M58" s="60">
        <v>60.3</v>
      </c>
      <c r="N58" s="60">
        <v>502.8</v>
      </c>
      <c r="O58" s="60">
        <v>0</v>
      </c>
      <c r="P58" s="60">
        <v>3.31</v>
      </c>
      <c r="Q58" s="60">
        <v>4.5999999999999996</v>
      </c>
      <c r="R58" s="197"/>
      <c r="S58" s="197"/>
      <c r="T58" s="197"/>
      <c r="U58" s="197"/>
    </row>
    <row r="59" spans="1:21" s="12" customFormat="1" x14ac:dyDescent="0.25">
      <c r="A59" s="200" t="s">
        <v>490</v>
      </c>
      <c r="B59" s="60">
        <v>2.11</v>
      </c>
      <c r="C59" s="60">
        <v>15.79</v>
      </c>
      <c r="D59" s="60">
        <v>17.899999999999999</v>
      </c>
      <c r="E59" s="60">
        <v>5.25</v>
      </c>
      <c r="F59" s="60">
        <v>0.63</v>
      </c>
      <c r="G59" s="215" t="s">
        <v>36</v>
      </c>
      <c r="H59" s="60">
        <v>29.89</v>
      </c>
      <c r="I59" s="60">
        <v>5.19</v>
      </c>
      <c r="J59" s="60">
        <v>1.43</v>
      </c>
      <c r="K59" s="60">
        <v>355.13</v>
      </c>
      <c r="L59" s="9" t="s">
        <v>36</v>
      </c>
      <c r="M59" s="60">
        <v>57.8</v>
      </c>
      <c r="N59" s="60">
        <v>482.9</v>
      </c>
      <c r="O59" s="60">
        <v>0</v>
      </c>
      <c r="P59" s="60">
        <v>3.37</v>
      </c>
      <c r="Q59" s="60">
        <v>4.92</v>
      </c>
      <c r="R59" s="197"/>
      <c r="S59" s="197"/>
      <c r="T59" s="197"/>
      <c r="U59" s="197"/>
    </row>
    <row r="60" spans="1:21" s="12" customFormat="1" x14ac:dyDescent="0.25">
      <c r="A60" s="200" t="s">
        <v>491</v>
      </c>
      <c r="B60" s="60">
        <v>2.69</v>
      </c>
      <c r="C60" s="60">
        <v>16.84</v>
      </c>
      <c r="D60" s="60">
        <v>19.53</v>
      </c>
      <c r="E60" s="60">
        <v>5.15</v>
      </c>
      <c r="F60" s="60">
        <v>1.1100000000000001</v>
      </c>
      <c r="G60" s="215" t="s">
        <v>36</v>
      </c>
      <c r="H60" s="60">
        <v>29.89</v>
      </c>
      <c r="I60" s="60">
        <v>5.16</v>
      </c>
      <c r="J60" s="60">
        <v>0.56999999999999995</v>
      </c>
      <c r="K60" s="60">
        <v>48.4</v>
      </c>
      <c r="L60" s="9" t="s">
        <v>36</v>
      </c>
      <c r="M60" s="60">
        <v>62.69</v>
      </c>
      <c r="N60" s="60">
        <v>527.9</v>
      </c>
      <c r="O60" s="60">
        <v>0</v>
      </c>
      <c r="P60" s="60">
        <v>3.38</v>
      </c>
      <c r="Q60" s="60">
        <v>5</v>
      </c>
      <c r="R60" s="197"/>
      <c r="S60" s="197"/>
      <c r="T60" s="197"/>
      <c r="U60" s="197"/>
    </row>
    <row r="61" spans="1:21" s="12" customFormat="1" x14ac:dyDescent="0.25">
      <c r="A61" s="200" t="s">
        <v>492</v>
      </c>
      <c r="B61" s="60">
        <v>2.7</v>
      </c>
      <c r="C61" s="60">
        <v>17.21</v>
      </c>
      <c r="D61" s="60">
        <v>19.91</v>
      </c>
      <c r="E61" s="60">
        <v>5.33</v>
      </c>
      <c r="F61" s="60">
        <v>0.69</v>
      </c>
      <c r="G61" s="215" t="s">
        <v>36</v>
      </c>
      <c r="H61" s="60">
        <v>30.41</v>
      </c>
      <c r="I61" s="60">
        <v>5.2</v>
      </c>
      <c r="J61" s="60">
        <v>0.45</v>
      </c>
      <c r="K61" s="60">
        <v>108.09</v>
      </c>
      <c r="L61" s="9" t="s">
        <v>36</v>
      </c>
      <c r="M61" s="60">
        <v>61.18</v>
      </c>
      <c r="N61" s="60">
        <v>449.1</v>
      </c>
      <c r="O61" s="60">
        <v>0</v>
      </c>
      <c r="P61" s="60">
        <v>3.37</v>
      </c>
      <c r="Q61" s="60">
        <v>5.03</v>
      </c>
      <c r="R61" s="197"/>
      <c r="S61" s="197"/>
      <c r="T61" s="197"/>
      <c r="U61" s="197"/>
    </row>
    <row r="62" spans="1:21" s="12" customFormat="1" x14ac:dyDescent="0.25">
      <c r="A62" s="200" t="s">
        <v>493</v>
      </c>
      <c r="B62" s="60">
        <v>2.58</v>
      </c>
      <c r="C62" s="60">
        <v>16.920000000000002</v>
      </c>
      <c r="D62" s="60">
        <v>19.5</v>
      </c>
      <c r="E62" s="60">
        <v>5.34</v>
      </c>
      <c r="F62" s="60">
        <v>0.72</v>
      </c>
      <c r="G62" s="215" t="s">
        <v>36</v>
      </c>
      <c r="H62" s="60">
        <v>31.7</v>
      </c>
      <c r="I62" s="60">
        <v>5.0199999999999996</v>
      </c>
      <c r="J62" s="60">
        <v>0.33</v>
      </c>
      <c r="K62" s="60">
        <v>51.55</v>
      </c>
      <c r="L62" s="9" t="s">
        <v>36</v>
      </c>
      <c r="M62" s="60">
        <v>61.12</v>
      </c>
      <c r="N62" s="60">
        <v>190.7</v>
      </c>
      <c r="O62" s="60">
        <v>0</v>
      </c>
      <c r="P62" s="60">
        <v>3.39</v>
      </c>
      <c r="Q62" s="60">
        <v>4.99</v>
      </c>
      <c r="R62" s="197"/>
      <c r="S62" s="197"/>
      <c r="T62" s="197"/>
      <c r="U62" s="197"/>
    </row>
    <row r="63" spans="1:21" s="12" customFormat="1" x14ac:dyDescent="0.25">
      <c r="A63" s="200" t="s">
        <v>494</v>
      </c>
      <c r="B63" s="60">
        <v>2.2400000000000002</v>
      </c>
      <c r="C63" s="60">
        <v>16.850000000000001</v>
      </c>
      <c r="D63" s="60">
        <v>19.09</v>
      </c>
      <c r="E63" s="60">
        <v>5.26</v>
      </c>
      <c r="F63" s="60">
        <v>1.05</v>
      </c>
      <c r="G63" s="215" t="s">
        <v>36</v>
      </c>
      <c r="H63" s="60">
        <v>31.7</v>
      </c>
      <c r="I63" s="60">
        <v>4.26</v>
      </c>
      <c r="J63" s="60">
        <v>1.1100000000000001</v>
      </c>
      <c r="K63" s="60">
        <v>91.02</v>
      </c>
      <c r="L63" s="9" t="s">
        <v>36</v>
      </c>
      <c r="M63" s="60">
        <v>61.8</v>
      </c>
      <c r="N63" s="60">
        <v>612.4</v>
      </c>
      <c r="O63" s="60">
        <v>0</v>
      </c>
      <c r="P63" s="60">
        <v>3.39</v>
      </c>
      <c r="Q63" s="60">
        <v>5.59</v>
      </c>
      <c r="R63" s="197"/>
      <c r="S63" s="197"/>
      <c r="T63" s="197"/>
      <c r="U63" s="197"/>
    </row>
    <row r="64" spans="1:21" s="12" customFormat="1" x14ac:dyDescent="0.25">
      <c r="A64" s="200" t="s">
        <v>495</v>
      </c>
      <c r="B64" s="60">
        <v>1.1599999999999999</v>
      </c>
      <c r="C64" s="60">
        <v>15.94</v>
      </c>
      <c r="D64" s="60">
        <v>17.100000000000001</v>
      </c>
      <c r="E64" s="60">
        <v>5.04</v>
      </c>
      <c r="F64" s="60">
        <v>4.43</v>
      </c>
      <c r="G64" s="215" t="s">
        <v>36</v>
      </c>
      <c r="H64" s="60">
        <v>31.7</v>
      </c>
      <c r="I64" s="60">
        <v>5.09</v>
      </c>
      <c r="J64" s="60">
        <v>0.8</v>
      </c>
      <c r="K64" s="60">
        <v>91.05</v>
      </c>
      <c r="L64" s="9" t="s">
        <v>36</v>
      </c>
      <c r="M64" s="60">
        <v>60.19</v>
      </c>
      <c r="N64" s="60">
        <v>658.7</v>
      </c>
      <c r="O64" s="60">
        <v>0</v>
      </c>
      <c r="P64" s="60">
        <v>3.31</v>
      </c>
      <c r="Q64" s="60">
        <v>5.63</v>
      </c>
      <c r="R64" s="197"/>
      <c r="S64" s="197"/>
      <c r="T64" s="197"/>
      <c r="U64" s="197"/>
    </row>
    <row r="65" spans="1:21" s="12" customFormat="1" x14ac:dyDescent="0.25">
      <c r="A65" s="200" t="s">
        <v>496</v>
      </c>
      <c r="B65" s="60">
        <v>0.44</v>
      </c>
      <c r="C65" s="60">
        <v>13.85</v>
      </c>
      <c r="D65" s="60">
        <v>14.3</v>
      </c>
      <c r="E65" s="60">
        <v>5.14</v>
      </c>
      <c r="F65" s="60">
        <v>4.83</v>
      </c>
      <c r="G65" s="215" t="s">
        <v>36</v>
      </c>
      <c r="H65" s="60">
        <v>30.92</v>
      </c>
      <c r="I65" s="60">
        <v>5.0599999999999996</v>
      </c>
      <c r="J65" s="60">
        <v>0.71</v>
      </c>
      <c r="K65" s="60">
        <v>138.16</v>
      </c>
      <c r="L65" s="9" t="s">
        <v>36</v>
      </c>
      <c r="M65" s="60">
        <v>59.14</v>
      </c>
      <c r="N65" s="60">
        <v>337.3</v>
      </c>
      <c r="O65" s="60">
        <v>0</v>
      </c>
      <c r="P65" s="60">
        <v>3.26</v>
      </c>
      <c r="Q65" s="60">
        <v>5.0999999999999996</v>
      </c>
      <c r="R65" s="197"/>
      <c r="S65" s="197"/>
      <c r="T65" s="197"/>
      <c r="U65" s="197"/>
    </row>
    <row r="66" spans="1:21" s="12" customFormat="1" x14ac:dyDescent="0.25">
      <c r="A66" s="200" t="s">
        <v>497</v>
      </c>
      <c r="B66" s="60">
        <v>0.35</v>
      </c>
      <c r="C66" s="60">
        <v>12.01</v>
      </c>
      <c r="D66" s="60">
        <v>12.36</v>
      </c>
      <c r="E66" s="60">
        <v>4.16</v>
      </c>
      <c r="F66" s="60">
        <v>4.16</v>
      </c>
      <c r="G66" s="215" t="s">
        <v>36</v>
      </c>
      <c r="H66" s="60">
        <v>29</v>
      </c>
      <c r="I66" s="60">
        <v>4.29</v>
      </c>
      <c r="J66" s="60">
        <v>1.71</v>
      </c>
      <c r="K66" s="60">
        <v>96.98</v>
      </c>
      <c r="L66" s="9" t="s">
        <v>36</v>
      </c>
      <c r="M66" s="60">
        <v>60.18</v>
      </c>
      <c r="N66" s="60">
        <v>722.6</v>
      </c>
      <c r="O66" s="60">
        <v>0</v>
      </c>
      <c r="P66" s="60">
        <v>3.26</v>
      </c>
      <c r="Q66" s="60">
        <v>4.74</v>
      </c>
      <c r="R66" s="197"/>
      <c r="S66" s="197"/>
      <c r="T66" s="197"/>
      <c r="U66" s="197"/>
    </row>
    <row r="67" spans="1:21" s="12" customFormat="1" x14ac:dyDescent="0.25">
      <c r="A67" s="200" t="s">
        <v>498</v>
      </c>
      <c r="B67" s="60">
        <v>0.86</v>
      </c>
      <c r="C67" s="60">
        <v>11.71</v>
      </c>
      <c r="D67" s="60">
        <v>12.56</v>
      </c>
      <c r="E67" s="60">
        <v>4.2300000000000004</v>
      </c>
      <c r="F67" s="60">
        <v>3.25</v>
      </c>
      <c r="G67" s="215" t="s">
        <v>36</v>
      </c>
      <c r="H67" s="60">
        <v>29</v>
      </c>
      <c r="I67" s="60">
        <v>3.41</v>
      </c>
      <c r="J67" s="60">
        <v>0.62</v>
      </c>
      <c r="K67" s="60">
        <v>81.96</v>
      </c>
      <c r="L67" s="9" t="s">
        <v>36</v>
      </c>
      <c r="M67" s="60">
        <v>57.31</v>
      </c>
      <c r="N67" s="60">
        <v>333</v>
      </c>
      <c r="O67" s="60">
        <v>0</v>
      </c>
      <c r="P67" s="60">
        <v>3.27</v>
      </c>
      <c r="Q67" s="60">
        <v>5.12</v>
      </c>
      <c r="R67" s="197"/>
      <c r="S67" s="197"/>
      <c r="T67" s="197"/>
      <c r="U67" s="197"/>
    </row>
    <row r="68" spans="1:21" s="12" customFormat="1" x14ac:dyDescent="0.25">
      <c r="A68" s="200" t="s">
        <v>499</v>
      </c>
      <c r="B68" s="60">
        <v>1.06</v>
      </c>
      <c r="C68" s="60">
        <v>12.81</v>
      </c>
      <c r="D68" s="60">
        <v>13.87</v>
      </c>
      <c r="E68" s="60">
        <v>3.77</v>
      </c>
      <c r="F68" s="60">
        <v>2.85</v>
      </c>
      <c r="G68" s="215" t="s">
        <v>36</v>
      </c>
      <c r="H68" s="60">
        <v>29</v>
      </c>
      <c r="I68" s="60">
        <v>3.35</v>
      </c>
      <c r="J68" s="60">
        <v>0.78</v>
      </c>
      <c r="K68" s="60">
        <v>127.64</v>
      </c>
      <c r="L68" s="9" t="s">
        <v>36</v>
      </c>
      <c r="M68" s="60">
        <v>54.91</v>
      </c>
      <c r="N68" s="60">
        <v>552.6</v>
      </c>
      <c r="O68" s="60">
        <v>0</v>
      </c>
      <c r="P68" s="60">
        <v>3.28</v>
      </c>
      <c r="Q68" s="60">
        <v>5.78</v>
      </c>
      <c r="R68" s="197"/>
      <c r="S68" s="197"/>
      <c r="T68" s="197"/>
      <c r="U68" s="197"/>
    </row>
    <row r="69" spans="1:21" s="12" customFormat="1" x14ac:dyDescent="0.25">
      <c r="A69" s="200" t="s">
        <v>500</v>
      </c>
      <c r="B69" s="60">
        <v>0.77</v>
      </c>
      <c r="C69" s="60">
        <v>13.59</v>
      </c>
      <c r="D69" s="60">
        <v>14.37</v>
      </c>
      <c r="E69" s="60">
        <v>3.04</v>
      </c>
      <c r="F69" s="60">
        <v>2.56</v>
      </c>
      <c r="G69" s="215" t="s">
        <v>36</v>
      </c>
      <c r="H69" s="60">
        <v>28.64</v>
      </c>
      <c r="I69" s="60">
        <v>2.83</v>
      </c>
      <c r="J69" s="60">
        <v>1.64</v>
      </c>
      <c r="K69" s="60">
        <v>98.73</v>
      </c>
      <c r="L69" s="9" t="s">
        <v>36</v>
      </c>
      <c r="M69" s="60">
        <v>57</v>
      </c>
      <c r="N69" s="60">
        <v>283.10000000000002</v>
      </c>
      <c r="O69" s="60">
        <v>0</v>
      </c>
      <c r="P69" s="60">
        <v>3.25</v>
      </c>
      <c r="Q69" s="60">
        <v>5.85</v>
      </c>
      <c r="R69" s="197"/>
      <c r="S69" s="197"/>
      <c r="T69" s="197"/>
      <c r="U69" s="197"/>
    </row>
    <row r="70" spans="1:21" s="12" customFormat="1" x14ac:dyDescent="0.25">
      <c r="A70" s="200" t="s">
        <v>501</v>
      </c>
      <c r="B70" s="60">
        <v>0.59</v>
      </c>
      <c r="C70" s="60">
        <v>11.73</v>
      </c>
      <c r="D70" s="60">
        <v>12.32</v>
      </c>
      <c r="E70" s="60">
        <v>2.7</v>
      </c>
      <c r="F70" s="60">
        <v>2.46</v>
      </c>
      <c r="G70" s="215" t="s">
        <v>36</v>
      </c>
      <c r="H70" s="60">
        <v>27.77</v>
      </c>
      <c r="I70" s="60">
        <v>3.07</v>
      </c>
      <c r="J70" s="60">
        <v>1.32</v>
      </c>
      <c r="K70" s="60">
        <v>110.16</v>
      </c>
      <c r="L70" s="9" t="s">
        <v>36</v>
      </c>
      <c r="M70" s="60">
        <v>57.99</v>
      </c>
      <c r="N70" s="60">
        <v>319.7</v>
      </c>
      <c r="O70" s="60">
        <v>0</v>
      </c>
      <c r="P70" s="60">
        <v>3.25</v>
      </c>
      <c r="Q70" s="60">
        <v>5.74</v>
      </c>
      <c r="R70" s="197"/>
      <c r="S70" s="197"/>
      <c r="T70" s="197"/>
      <c r="U70" s="197"/>
    </row>
    <row r="71" spans="1:21" s="12" customFormat="1" x14ac:dyDescent="0.25">
      <c r="A71" s="200" t="s">
        <v>502</v>
      </c>
      <c r="B71" s="60">
        <v>0.7</v>
      </c>
      <c r="C71" s="60">
        <v>10.82</v>
      </c>
      <c r="D71" s="60">
        <v>11.52</v>
      </c>
      <c r="E71" s="60">
        <v>2.5499999999999998</v>
      </c>
      <c r="F71" s="60">
        <v>2.64</v>
      </c>
      <c r="G71" s="215" t="s">
        <v>36</v>
      </c>
      <c r="H71" s="60">
        <v>27.77</v>
      </c>
      <c r="I71" s="60">
        <v>2.63</v>
      </c>
      <c r="J71" s="60">
        <v>1.1299999999999999</v>
      </c>
      <c r="K71" s="60">
        <v>98.85</v>
      </c>
      <c r="L71" s="9" t="s">
        <v>36</v>
      </c>
      <c r="M71" s="60">
        <v>55.48</v>
      </c>
      <c r="N71" s="60">
        <v>437.5</v>
      </c>
      <c r="O71" s="60">
        <v>0</v>
      </c>
      <c r="P71" s="60">
        <v>3.25</v>
      </c>
      <c r="Q71" s="60">
        <v>6.57</v>
      </c>
      <c r="R71" s="197"/>
      <c r="S71" s="197"/>
      <c r="T71" s="197"/>
      <c r="U71" s="197"/>
    </row>
    <row r="72" spans="1:21" s="12" customFormat="1" x14ac:dyDescent="0.25">
      <c r="A72" s="200" t="s">
        <v>503</v>
      </c>
      <c r="B72" s="60">
        <v>0.61</v>
      </c>
      <c r="C72" s="60">
        <v>10.96</v>
      </c>
      <c r="D72" s="60">
        <v>11.57</v>
      </c>
      <c r="E72" s="60">
        <v>1.46</v>
      </c>
      <c r="F72" s="60">
        <v>2.97</v>
      </c>
      <c r="G72" s="215" t="s">
        <v>36</v>
      </c>
      <c r="H72" s="60">
        <v>27.77</v>
      </c>
      <c r="I72" s="60">
        <v>2.97</v>
      </c>
      <c r="J72" s="60">
        <v>0.98</v>
      </c>
      <c r="K72" s="60">
        <v>123.3</v>
      </c>
      <c r="L72" s="9" t="s">
        <v>36</v>
      </c>
      <c r="M72" s="60">
        <v>55.52</v>
      </c>
      <c r="N72" s="60">
        <v>252.9</v>
      </c>
      <c r="O72" s="60">
        <v>0</v>
      </c>
      <c r="P72" s="60">
        <v>3.24</v>
      </c>
      <c r="Q72" s="60">
        <v>6.51</v>
      </c>
      <c r="R72" s="197"/>
      <c r="S72" s="197"/>
      <c r="T72" s="197"/>
      <c r="U72" s="197"/>
    </row>
    <row r="73" spans="1:21" s="12" customFormat="1" x14ac:dyDescent="0.25">
      <c r="A73" s="200" t="s">
        <v>504</v>
      </c>
      <c r="B73" s="60">
        <v>1.21</v>
      </c>
      <c r="C73" s="60">
        <v>13.1</v>
      </c>
      <c r="D73" s="60">
        <v>14.31</v>
      </c>
      <c r="E73" s="60">
        <v>2.97</v>
      </c>
      <c r="F73" s="60">
        <v>4.0199999999999996</v>
      </c>
      <c r="G73" s="215" t="s">
        <v>36</v>
      </c>
      <c r="H73" s="60">
        <v>27.26</v>
      </c>
      <c r="I73" s="60">
        <v>2.79</v>
      </c>
      <c r="J73" s="60">
        <v>0.83</v>
      </c>
      <c r="K73" s="60">
        <v>59.24</v>
      </c>
      <c r="L73" s="9" t="s">
        <v>36</v>
      </c>
      <c r="M73" s="60">
        <v>64.290000000000006</v>
      </c>
      <c r="N73" s="60">
        <v>157.5</v>
      </c>
      <c r="O73" s="60">
        <v>0</v>
      </c>
      <c r="P73" s="60">
        <v>3.23</v>
      </c>
      <c r="Q73" s="60">
        <v>7.07</v>
      </c>
      <c r="R73" s="197"/>
      <c r="S73" s="197"/>
      <c r="T73" s="197"/>
      <c r="U73" s="197"/>
    </row>
    <row r="74" spans="1:21" s="12" customFormat="1" x14ac:dyDescent="0.25">
      <c r="A74" s="200" t="s">
        <v>505</v>
      </c>
      <c r="B74" s="60">
        <v>1.36</v>
      </c>
      <c r="C74" s="60">
        <v>19.170000000000002</v>
      </c>
      <c r="D74" s="60">
        <v>20.53</v>
      </c>
      <c r="E74" s="60">
        <v>2.5099999999999998</v>
      </c>
      <c r="F74" s="60">
        <v>8.3699999999999992</v>
      </c>
      <c r="G74" s="215" t="s">
        <v>36</v>
      </c>
      <c r="H74" s="60">
        <v>26.02</v>
      </c>
      <c r="I74" s="60">
        <v>2.63</v>
      </c>
      <c r="J74" s="60">
        <v>0.62</v>
      </c>
      <c r="K74" s="60">
        <v>143.74</v>
      </c>
      <c r="L74" s="9" t="s">
        <v>36</v>
      </c>
      <c r="M74" s="60">
        <v>68.48</v>
      </c>
      <c r="N74" s="60">
        <v>73.3</v>
      </c>
      <c r="O74" s="60">
        <v>0</v>
      </c>
      <c r="P74" s="60">
        <v>3.25</v>
      </c>
      <c r="Q74" s="60">
        <v>8.4700000000000006</v>
      </c>
      <c r="R74" s="197"/>
      <c r="S74" s="197"/>
      <c r="T74" s="197"/>
      <c r="U74" s="197"/>
    </row>
    <row r="75" spans="1:21" s="12" customFormat="1" x14ac:dyDescent="0.25">
      <c r="A75" s="200" t="s">
        <v>506</v>
      </c>
      <c r="B75" s="60">
        <v>0.41</v>
      </c>
      <c r="C75" s="60">
        <v>18.89</v>
      </c>
      <c r="D75" s="60">
        <v>19.309999999999999</v>
      </c>
      <c r="E75" s="60">
        <v>2.76</v>
      </c>
      <c r="F75" s="60">
        <v>4.4400000000000004</v>
      </c>
      <c r="G75" s="215" t="s">
        <v>36</v>
      </c>
      <c r="H75" s="60">
        <v>26.02</v>
      </c>
      <c r="I75" s="60">
        <v>2.56</v>
      </c>
      <c r="J75" s="60">
        <v>0.06</v>
      </c>
      <c r="K75" s="60">
        <v>33.19</v>
      </c>
      <c r="L75" s="9" t="s">
        <v>36</v>
      </c>
      <c r="M75" s="60">
        <v>68.34</v>
      </c>
      <c r="N75" s="60">
        <v>42.6</v>
      </c>
      <c r="O75" s="60">
        <v>0</v>
      </c>
      <c r="P75" s="60">
        <v>3.25</v>
      </c>
      <c r="Q75" s="60">
        <v>9.57</v>
      </c>
      <c r="R75" s="197"/>
      <c r="S75" s="197"/>
      <c r="T75" s="197"/>
      <c r="U75" s="197"/>
    </row>
    <row r="76" spans="1:21" s="12" customFormat="1" x14ac:dyDescent="0.25">
      <c r="A76" s="200" t="s">
        <v>507</v>
      </c>
      <c r="B76" s="60">
        <v>0.35</v>
      </c>
      <c r="C76" s="60">
        <v>17.190000000000001</v>
      </c>
      <c r="D76" s="60">
        <v>17.54</v>
      </c>
      <c r="E76" s="60">
        <v>2.2999999999999998</v>
      </c>
      <c r="F76" s="60">
        <v>9.19</v>
      </c>
      <c r="G76" s="215" t="s">
        <v>36</v>
      </c>
      <c r="H76" s="60">
        <v>26.02</v>
      </c>
      <c r="I76" s="60">
        <v>2.61</v>
      </c>
      <c r="J76" s="60">
        <v>0.09</v>
      </c>
      <c r="K76" s="60">
        <v>348.29</v>
      </c>
      <c r="L76" s="9" t="s">
        <v>36</v>
      </c>
      <c r="M76" s="60">
        <v>69.42</v>
      </c>
      <c r="N76" s="60">
        <v>33.6</v>
      </c>
      <c r="O76" s="60">
        <v>0</v>
      </c>
      <c r="P76" s="60">
        <v>3.22</v>
      </c>
      <c r="Q76" s="60">
        <v>10.210000000000001</v>
      </c>
      <c r="R76" s="197"/>
      <c r="S76" s="197"/>
      <c r="T76" s="197"/>
      <c r="U76" s="197"/>
    </row>
    <row r="77" spans="1:21" s="12" customFormat="1" x14ac:dyDescent="0.25">
      <c r="A77" s="200" t="s">
        <v>508</v>
      </c>
      <c r="B77" s="60">
        <v>8.85</v>
      </c>
      <c r="C77" s="60">
        <v>27.72</v>
      </c>
      <c r="D77" s="60">
        <v>36.57</v>
      </c>
      <c r="E77" s="60">
        <v>1.73</v>
      </c>
      <c r="F77" s="60">
        <v>2.62</v>
      </c>
      <c r="G77" s="215" t="s">
        <v>36</v>
      </c>
      <c r="H77" s="60">
        <v>24.95</v>
      </c>
      <c r="I77" s="60">
        <v>2.58</v>
      </c>
      <c r="J77" s="60">
        <v>0.19</v>
      </c>
      <c r="K77" s="60">
        <v>333.48</v>
      </c>
      <c r="L77" s="9" t="s">
        <v>36</v>
      </c>
      <c r="M77" s="60">
        <v>72.569999999999993</v>
      </c>
      <c r="N77" s="60">
        <v>35.6</v>
      </c>
      <c r="O77" s="60">
        <v>0</v>
      </c>
      <c r="P77" s="60">
        <v>3.36</v>
      </c>
      <c r="Q77" s="60">
        <v>13.55</v>
      </c>
      <c r="R77" s="197"/>
      <c r="S77" s="197"/>
      <c r="T77" s="197"/>
      <c r="U77" s="197"/>
    </row>
    <row r="78" spans="1:21" s="12" customFormat="1" x14ac:dyDescent="0.25">
      <c r="A78" s="200" t="s">
        <v>509</v>
      </c>
      <c r="B78" s="60">
        <v>10.46</v>
      </c>
      <c r="C78" s="60">
        <v>34.79</v>
      </c>
      <c r="D78" s="60">
        <v>45.25</v>
      </c>
      <c r="E78" s="60">
        <v>1.62</v>
      </c>
      <c r="F78" s="60">
        <v>0.98</v>
      </c>
      <c r="G78" s="215" t="s">
        <v>36</v>
      </c>
      <c r="H78" s="60">
        <v>22.32</v>
      </c>
      <c r="I78" s="60">
        <v>2.23</v>
      </c>
      <c r="J78" s="60">
        <v>0.59</v>
      </c>
      <c r="K78" s="60">
        <v>310.14999999999998</v>
      </c>
      <c r="L78" s="9" t="s">
        <v>36</v>
      </c>
      <c r="M78" s="60">
        <v>84.16</v>
      </c>
      <c r="N78" s="60">
        <v>29.3</v>
      </c>
      <c r="O78" s="60">
        <v>3</v>
      </c>
      <c r="P78" s="60">
        <v>3.43</v>
      </c>
      <c r="Q78" s="60">
        <v>21.56</v>
      </c>
      <c r="R78" s="197"/>
      <c r="S78" s="197"/>
      <c r="T78" s="197"/>
      <c r="U78" s="197"/>
    </row>
    <row r="79" spans="1:21" s="12" customFormat="1" x14ac:dyDescent="0.25">
      <c r="A79" s="200" t="s">
        <v>510</v>
      </c>
      <c r="B79" s="60">
        <v>9.34</v>
      </c>
      <c r="C79" s="60">
        <v>31.03</v>
      </c>
      <c r="D79" s="60">
        <v>40.369999999999997</v>
      </c>
      <c r="E79" s="60">
        <v>2.14</v>
      </c>
      <c r="F79" s="60">
        <v>0.18</v>
      </c>
      <c r="G79" s="215" t="s">
        <v>36</v>
      </c>
      <c r="H79" s="60">
        <v>22.32</v>
      </c>
      <c r="I79" s="60">
        <v>2.71</v>
      </c>
      <c r="J79" s="60">
        <v>1.22</v>
      </c>
      <c r="K79" s="60">
        <v>321.82</v>
      </c>
      <c r="L79" s="9" t="s">
        <v>36</v>
      </c>
      <c r="M79" s="60">
        <v>98.2</v>
      </c>
      <c r="N79" s="60">
        <v>24.5</v>
      </c>
      <c r="O79" s="60">
        <v>0.2</v>
      </c>
      <c r="P79" s="60">
        <v>3.45</v>
      </c>
      <c r="Q79" s="60">
        <v>25.39</v>
      </c>
      <c r="R79" s="197"/>
      <c r="S79" s="197"/>
      <c r="T79" s="197"/>
      <c r="U79" s="197"/>
    </row>
    <row r="80" spans="1:21" s="12" customFormat="1" x14ac:dyDescent="0.25">
      <c r="A80" s="200" t="s">
        <v>511</v>
      </c>
      <c r="B80" s="60">
        <v>8.32</v>
      </c>
      <c r="C80" s="60">
        <v>26.75</v>
      </c>
      <c r="D80" s="60">
        <v>35.06</v>
      </c>
      <c r="E80" s="60">
        <v>2.44</v>
      </c>
      <c r="F80" s="60">
        <v>0.28000000000000003</v>
      </c>
      <c r="G80" s="215" t="s">
        <v>36</v>
      </c>
      <c r="H80" s="60">
        <v>22.32</v>
      </c>
      <c r="I80" s="60">
        <v>3.13</v>
      </c>
      <c r="J80" s="60">
        <v>1.58</v>
      </c>
      <c r="K80" s="60">
        <v>334.82</v>
      </c>
      <c r="L80" s="9" t="s">
        <v>36</v>
      </c>
      <c r="M80" s="60">
        <v>98.33</v>
      </c>
      <c r="N80" s="60">
        <v>22.8</v>
      </c>
      <c r="O80" s="60">
        <v>0.2</v>
      </c>
      <c r="P80" s="60">
        <v>3.45</v>
      </c>
      <c r="Q80" s="60">
        <v>25.97</v>
      </c>
      <c r="R80" s="197"/>
      <c r="S80" s="197"/>
      <c r="T80" s="197"/>
      <c r="U80" s="197"/>
    </row>
    <row r="81" spans="1:26" s="12" customFormat="1" x14ac:dyDescent="0.25">
      <c r="A81" s="200" t="s">
        <v>512</v>
      </c>
      <c r="B81" s="60">
        <v>7.92</v>
      </c>
      <c r="C81" s="60">
        <v>23.56</v>
      </c>
      <c r="D81" s="60">
        <v>31.49</v>
      </c>
      <c r="E81" s="60">
        <v>2.46</v>
      </c>
      <c r="F81" s="60">
        <v>0.01</v>
      </c>
      <c r="G81" s="215" t="s">
        <v>36</v>
      </c>
      <c r="H81" s="60">
        <v>21.81</v>
      </c>
      <c r="I81" s="60">
        <v>3.28</v>
      </c>
      <c r="J81" s="60">
        <v>1.24</v>
      </c>
      <c r="K81" s="60">
        <v>355.89</v>
      </c>
      <c r="L81" s="9" t="s">
        <v>36</v>
      </c>
      <c r="M81" s="60">
        <v>97.43</v>
      </c>
      <c r="N81" s="60">
        <v>19.600000000000001</v>
      </c>
      <c r="O81" s="60">
        <v>0</v>
      </c>
      <c r="P81" s="60">
        <v>3.5</v>
      </c>
      <c r="Q81" s="60">
        <v>26.22</v>
      </c>
      <c r="R81" s="197"/>
      <c r="S81" s="197"/>
      <c r="T81" s="197"/>
      <c r="U81" s="197"/>
    </row>
    <row r="82" spans="1:26" s="12" customFormat="1" x14ac:dyDescent="0.25">
      <c r="A82" s="200" t="s">
        <v>513</v>
      </c>
      <c r="B82" s="60">
        <v>8.39</v>
      </c>
      <c r="C82" s="60">
        <v>21.26</v>
      </c>
      <c r="D82" s="60">
        <v>29.64</v>
      </c>
      <c r="E82" s="60">
        <v>2.54</v>
      </c>
      <c r="F82" s="60">
        <v>0.42</v>
      </c>
      <c r="G82" s="215" t="s">
        <v>36</v>
      </c>
      <c r="H82" s="60">
        <v>20.55</v>
      </c>
      <c r="I82" s="60">
        <v>3.34</v>
      </c>
      <c r="J82" s="60">
        <v>1.59</v>
      </c>
      <c r="K82" s="60">
        <v>351.95</v>
      </c>
      <c r="L82" s="9" t="s">
        <v>36</v>
      </c>
      <c r="M82" s="60">
        <v>96.11</v>
      </c>
      <c r="N82" s="60">
        <v>19.2</v>
      </c>
      <c r="O82" s="60">
        <v>0</v>
      </c>
      <c r="P82" s="60">
        <v>3.53</v>
      </c>
      <c r="Q82" s="60">
        <v>28.12</v>
      </c>
      <c r="R82" s="197"/>
      <c r="S82" s="197"/>
      <c r="T82" s="197"/>
      <c r="U82" s="197"/>
    </row>
    <row r="83" spans="1:26" s="12" customFormat="1" x14ac:dyDescent="0.25">
      <c r="A83" s="200" t="s">
        <v>514</v>
      </c>
      <c r="B83" s="60">
        <v>8.27</v>
      </c>
      <c r="C83" s="60">
        <v>19.3</v>
      </c>
      <c r="D83" s="60">
        <v>27.57</v>
      </c>
      <c r="E83" s="60">
        <v>3.37</v>
      </c>
      <c r="F83" s="60">
        <v>0.05</v>
      </c>
      <c r="G83" s="215" t="s">
        <v>36</v>
      </c>
      <c r="H83" s="60">
        <v>20.55</v>
      </c>
      <c r="I83" s="60">
        <v>3.59</v>
      </c>
      <c r="J83" s="60">
        <v>1.35</v>
      </c>
      <c r="K83" s="60">
        <v>359.2</v>
      </c>
      <c r="L83" s="9" t="s">
        <v>36</v>
      </c>
      <c r="M83" s="60">
        <v>92.43</v>
      </c>
      <c r="N83" s="60">
        <v>16.7</v>
      </c>
      <c r="O83" s="60">
        <v>0</v>
      </c>
      <c r="P83" s="60">
        <v>3.54</v>
      </c>
      <c r="Q83" s="60">
        <v>26.95</v>
      </c>
      <c r="R83" s="197"/>
      <c r="S83" s="197"/>
      <c r="T83" s="197"/>
      <c r="U83" s="197"/>
    </row>
    <row r="84" spans="1:26" s="12" customFormat="1" x14ac:dyDescent="0.25">
      <c r="A84" s="200" t="s">
        <v>515</v>
      </c>
      <c r="B84" s="60">
        <v>8.2200000000000006</v>
      </c>
      <c r="C84" s="60">
        <v>17.3</v>
      </c>
      <c r="D84" s="60">
        <v>25.53</v>
      </c>
      <c r="E84" s="60">
        <v>3.3</v>
      </c>
      <c r="F84" s="60">
        <v>0.03</v>
      </c>
      <c r="G84" s="215" t="s">
        <v>36</v>
      </c>
      <c r="H84" s="60">
        <v>20.55</v>
      </c>
      <c r="I84" s="60">
        <v>3.74</v>
      </c>
      <c r="J84" s="60">
        <v>0.65</v>
      </c>
      <c r="K84" s="60">
        <v>17.190000000000001</v>
      </c>
      <c r="L84" s="9" t="s">
        <v>36</v>
      </c>
      <c r="M84" s="60">
        <v>89.68</v>
      </c>
      <c r="N84" s="60">
        <v>16.5</v>
      </c>
      <c r="O84" s="60">
        <v>0</v>
      </c>
      <c r="P84" s="60">
        <v>3.56</v>
      </c>
      <c r="Q84" s="60">
        <v>27</v>
      </c>
      <c r="R84" s="197"/>
      <c r="S84" s="197"/>
      <c r="T84" s="197"/>
      <c r="U84" s="197"/>
    </row>
    <row r="85" spans="1:26" s="12" customFormat="1" x14ac:dyDescent="0.25">
      <c r="A85" s="200" t="s">
        <v>516</v>
      </c>
      <c r="B85" s="60">
        <v>8.7100000000000009</v>
      </c>
      <c r="C85" s="60">
        <v>15.98</v>
      </c>
      <c r="D85" s="60">
        <v>24.69</v>
      </c>
      <c r="E85" s="60">
        <v>3.16</v>
      </c>
      <c r="F85" s="215" t="s">
        <v>36</v>
      </c>
      <c r="G85" s="215" t="s">
        <v>36</v>
      </c>
      <c r="H85" s="60">
        <v>19.41</v>
      </c>
      <c r="I85" s="60">
        <v>3.91</v>
      </c>
      <c r="J85" s="60">
        <v>0.7</v>
      </c>
      <c r="K85" s="60">
        <v>2.1</v>
      </c>
      <c r="L85" s="9" t="s">
        <v>36</v>
      </c>
      <c r="M85" s="60">
        <v>86.79</v>
      </c>
      <c r="N85" s="60">
        <v>16.7</v>
      </c>
      <c r="O85" s="60">
        <v>0</v>
      </c>
      <c r="P85" s="60">
        <v>3.59</v>
      </c>
      <c r="Q85" s="60">
        <v>28.29</v>
      </c>
      <c r="R85" s="197"/>
      <c r="S85" s="197"/>
      <c r="T85" s="197"/>
      <c r="U85" s="197"/>
    </row>
    <row r="86" spans="1:26" s="12" customFormat="1" x14ac:dyDescent="0.25">
      <c r="A86" s="200" t="s">
        <v>517</v>
      </c>
      <c r="B86" s="60">
        <v>9.34</v>
      </c>
      <c r="C86" s="60">
        <v>14.86</v>
      </c>
      <c r="D86" s="60">
        <v>24.2</v>
      </c>
      <c r="E86" s="60">
        <v>3.86</v>
      </c>
      <c r="F86" s="60">
        <v>0.01</v>
      </c>
      <c r="G86" s="215" t="s">
        <v>36</v>
      </c>
      <c r="H86" s="60">
        <v>16.59</v>
      </c>
      <c r="I86" s="60">
        <v>4.22</v>
      </c>
      <c r="J86" s="60">
        <v>0.64</v>
      </c>
      <c r="K86" s="60">
        <v>93.89</v>
      </c>
      <c r="L86" s="9" t="s">
        <v>36</v>
      </c>
      <c r="M86" s="60">
        <v>82.22</v>
      </c>
      <c r="N86" s="60">
        <v>16.7</v>
      </c>
      <c r="O86" s="60">
        <v>0</v>
      </c>
      <c r="P86" s="60">
        <v>3.62</v>
      </c>
      <c r="Q86" s="60">
        <v>29.81</v>
      </c>
      <c r="R86" s="197"/>
      <c r="S86" s="197"/>
      <c r="T86" s="197"/>
      <c r="U86" s="197"/>
    </row>
    <row r="87" spans="1:26" s="12" customFormat="1" x14ac:dyDescent="0.25">
      <c r="A87" s="200" t="s">
        <v>518</v>
      </c>
      <c r="B87" s="60">
        <v>9.51</v>
      </c>
      <c r="C87" s="60">
        <v>13.44</v>
      </c>
      <c r="D87" s="60">
        <v>22.95</v>
      </c>
      <c r="E87" s="60">
        <v>4.57</v>
      </c>
      <c r="F87" s="60">
        <v>0.06</v>
      </c>
      <c r="G87" s="215" t="s">
        <v>36</v>
      </c>
      <c r="H87" s="60">
        <v>16.59</v>
      </c>
      <c r="I87" s="60">
        <v>4.46</v>
      </c>
      <c r="J87" s="60">
        <v>0.82</v>
      </c>
      <c r="K87" s="60">
        <v>76.510000000000005</v>
      </c>
      <c r="L87" s="9" t="s">
        <v>36</v>
      </c>
      <c r="M87" s="60">
        <v>82.72</v>
      </c>
      <c r="N87" s="60">
        <v>16.2</v>
      </c>
      <c r="O87" s="60">
        <v>0</v>
      </c>
      <c r="P87" s="60">
        <v>3.6</v>
      </c>
      <c r="Q87" s="60">
        <v>30.99</v>
      </c>
      <c r="R87" s="197"/>
      <c r="S87" s="197"/>
      <c r="T87" s="197"/>
      <c r="U87" s="197"/>
    </row>
    <row r="88" spans="1:26" s="12" customFormat="1" x14ac:dyDescent="0.25">
      <c r="A88" s="200" t="s">
        <v>519</v>
      </c>
      <c r="B88" s="60">
        <v>9.4499999999999993</v>
      </c>
      <c r="C88" s="60">
        <v>12.3</v>
      </c>
      <c r="D88" s="60">
        <v>21.76</v>
      </c>
      <c r="E88" s="60">
        <v>1.6</v>
      </c>
      <c r="F88" s="60">
        <v>0.01</v>
      </c>
      <c r="G88" s="215" t="s">
        <v>36</v>
      </c>
      <c r="H88" s="60">
        <v>16.59</v>
      </c>
      <c r="I88" s="60">
        <v>4.7699999999999996</v>
      </c>
      <c r="J88" s="60">
        <v>2.14</v>
      </c>
      <c r="K88" s="60">
        <v>98.73</v>
      </c>
      <c r="L88" s="9" t="s">
        <v>36</v>
      </c>
      <c r="M88" s="60">
        <v>81.27</v>
      </c>
      <c r="N88" s="60">
        <v>16.8</v>
      </c>
      <c r="O88" s="60">
        <v>0</v>
      </c>
      <c r="P88" s="60">
        <v>3.62</v>
      </c>
      <c r="Q88" s="60">
        <v>30.75</v>
      </c>
      <c r="R88" s="197"/>
      <c r="S88" s="197"/>
      <c r="T88" s="197"/>
      <c r="U88" s="197"/>
    </row>
    <row r="89" spans="1:26" s="12" customFormat="1" x14ac:dyDescent="0.25">
      <c r="A89" s="200" t="s">
        <v>520</v>
      </c>
      <c r="B89" s="60">
        <v>9.06</v>
      </c>
      <c r="C89" s="60">
        <v>11.65</v>
      </c>
      <c r="D89" s="60">
        <v>20.71</v>
      </c>
      <c r="E89" s="60">
        <v>3.9</v>
      </c>
      <c r="F89" s="60">
        <v>0.16</v>
      </c>
      <c r="G89" s="215" t="s">
        <v>36</v>
      </c>
      <c r="H89" s="60">
        <v>15.9</v>
      </c>
      <c r="I89" s="60">
        <v>4.4000000000000004</v>
      </c>
      <c r="J89" s="60">
        <v>1.45</v>
      </c>
      <c r="K89" s="60">
        <v>74.72</v>
      </c>
      <c r="L89" s="9" t="s">
        <v>36</v>
      </c>
      <c r="M89" s="60">
        <v>84.45</v>
      </c>
      <c r="N89" s="60">
        <v>16.7</v>
      </c>
      <c r="O89" s="60">
        <v>0</v>
      </c>
      <c r="P89" s="60">
        <v>3.62</v>
      </c>
      <c r="Q89" s="60">
        <v>30.48</v>
      </c>
      <c r="R89" s="197"/>
      <c r="S89" s="197"/>
      <c r="T89" s="197"/>
      <c r="U89" s="197"/>
    </row>
    <row r="90" spans="1:26" s="12" customFormat="1" x14ac:dyDescent="0.25">
      <c r="A90" s="200" t="s">
        <v>521</v>
      </c>
      <c r="B90" s="60">
        <v>8.68</v>
      </c>
      <c r="C90" s="60">
        <v>11.33</v>
      </c>
      <c r="D90" s="60">
        <v>20.010000000000002</v>
      </c>
      <c r="E90" s="60">
        <v>3.8</v>
      </c>
      <c r="F90" s="60">
        <v>0.03</v>
      </c>
      <c r="G90" s="215" t="s">
        <v>36</v>
      </c>
      <c r="H90" s="60">
        <v>14.21</v>
      </c>
      <c r="I90" s="60">
        <v>4.6900000000000004</v>
      </c>
      <c r="J90" s="60">
        <v>0.71</v>
      </c>
      <c r="K90" s="60">
        <v>359.42</v>
      </c>
      <c r="L90" s="9" t="s">
        <v>36</v>
      </c>
      <c r="M90" s="60">
        <v>90.12</v>
      </c>
      <c r="N90" s="60">
        <v>14.7</v>
      </c>
      <c r="O90" s="60">
        <v>0.2</v>
      </c>
      <c r="P90" s="60">
        <v>3.63</v>
      </c>
      <c r="Q90" s="60">
        <v>29.34</v>
      </c>
      <c r="R90" s="197"/>
      <c r="S90" s="197"/>
      <c r="T90" s="197"/>
      <c r="U90" s="197"/>
    </row>
    <row r="91" spans="1:26" s="12" customFormat="1" x14ac:dyDescent="0.25">
      <c r="A91" s="200" t="s">
        <v>522</v>
      </c>
      <c r="B91" s="60">
        <v>8.8800000000000008</v>
      </c>
      <c r="C91" s="60">
        <v>11.47</v>
      </c>
      <c r="D91" s="60">
        <v>20.350000000000001</v>
      </c>
      <c r="E91" s="60">
        <v>4.22</v>
      </c>
      <c r="F91" s="60">
        <v>0.02</v>
      </c>
      <c r="G91" s="215" t="s">
        <v>36</v>
      </c>
      <c r="H91" s="60">
        <v>14.21</v>
      </c>
      <c r="I91" s="60">
        <v>4.8499999999999996</v>
      </c>
      <c r="J91" s="60">
        <v>0.38</v>
      </c>
      <c r="K91" s="60">
        <v>358.78</v>
      </c>
      <c r="L91" s="9" t="s">
        <v>36</v>
      </c>
      <c r="M91" s="60">
        <v>92.91</v>
      </c>
      <c r="N91" s="60">
        <v>14.7</v>
      </c>
      <c r="O91" s="60">
        <v>0.2</v>
      </c>
      <c r="P91" s="60">
        <v>3.65</v>
      </c>
      <c r="Q91" s="60">
        <v>28.76</v>
      </c>
      <c r="R91" s="197"/>
      <c r="S91" s="197"/>
      <c r="T91" s="197"/>
      <c r="U91" s="197"/>
    </row>
    <row r="92" spans="1:26" s="12" customFormat="1" x14ac:dyDescent="0.25">
      <c r="A92" s="200" t="s">
        <v>523</v>
      </c>
      <c r="B92" s="60">
        <v>10.4</v>
      </c>
      <c r="C92" s="60">
        <v>11.84</v>
      </c>
      <c r="D92" s="60">
        <v>22.24</v>
      </c>
      <c r="E92" s="60">
        <v>4.53</v>
      </c>
      <c r="F92" s="60">
        <v>0.37</v>
      </c>
      <c r="G92" s="215" t="s">
        <v>36</v>
      </c>
      <c r="H92" s="60">
        <v>14.21</v>
      </c>
      <c r="I92" s="60">
        <v>4.88</v>
      </c>
      <c r="J92" s="60">
        <v>0.45</v>
      </c>
      <c r="K92" s="60">
        <v>350.63</v>
      </c>
      <c r="L92" s="9" t="s">
        <v>36</v>
      </c>
      <c r="M92" s="60">
        <v>94.71</v>
      </c>
      <c r="N92" s="60">
        <v>14.6</v>
      </c>
      <c r="O92" s="60">
        <v>0</v>
      </c>
      <c r="P92" s="60">
        <v>3.72</v>
      </c>
      <c r="Q92" s="60">
        <v>30.15</v>
      </c>
      <c r="R92" s="197"/>
      <c r="S92" s="197"/>
      <c r="T92" s="197"/>
      <c r="U92" s="197"/>
    </row>
    <row r="93" spans="1:26" s="12" customFormat="1" x14ac:dyDescent="0.25">
      <c r="A93" s="200" t="s">
        <v>524</v>
      </c>
      <c r="B93" s="60">
        <v>12.14</v>
      </c>
      <c r="C93" s="60">
        <v>12.93</v>
      </c>
      <c r="D93" s="60">
        <v>25.06</v>
      </c>
      <c r="E93" s="60">
        <v>4.54</v>
      </c>
      <c r="F93" s="60">
        <v>0.01</v>
      </c>
      <c r="G93" s="215" t="s">
        <v>36</v>
      </c>
      <c r="H93" s="60">
        <v>14.59</v>
      </c>
      <c r="I93" s="60">
        <v>4.92</v>
      </c>
      <c r="J93" s="60">
        <v>0.2</v>
      </c>
      <c r="K93" s="60">
        <v>194.82</v>
      </c>
      <c r="L93" s="9" t="s">
        <v>36</v>
      </c>
      <c r="M93" s="60">
        <v>91.77</v>
      </c>
      <c r="N93" s="60">
        <v>14.7</v>
      </c>
      <c r="O93" s="60">
        <v>0</v>
      </c>
      <c r="P93" s="60">
        <v>3.78</v>
      </c>
      <c r="Q93" s="60">
        <v>27.76</v>
      </c>
      <c r="R93" s="197"/>
      <c r="S93" s="197"/>
      <c r="T93" s="197"/>
      <c r="U93" s="197"/>
    </row>
    <row r="94" spans="1:26" s="12" customFormat="1" x14ac:dyDescent="0.25">
      <c r="A94" s="200" t="s">
        <v>525</v>
      </c>
      <c r="B94" s="60">
        <v>13.11</v>
      </c>
      <c r="C94" s="60">
        <v>13.33</v>
      </c>
      <c r="D94" s="60">
        <v>26.44</v>
      </c>
      <c r="E94" s="60">
        <v>4.29</v>
      </c>
      <c r="F94" s="60">
        <v>0.09</v>
      </c>
      <c r="G94" s="215" t="s">
        <v>36</v>
      </c>
      <c r="H94" s="60">
        <v>15.55</v>
      </c>
      <c r="I94" s="60">
        <v>5.12</v>
      </c>
      <c r="J94" s="60">
        <v>0.51</v>
      </c>
      <c r="K94" s="60">
        <v>131.15</v>
      </c>
      <c r="L94" s="9" t="s">
        <v>36</v>
      </c>
      <c r="M94" s="60">
        <v>90.33</v>
      </c>
      <c r="N94" s="60">
        <v>14.4</v>
      </c>
      <c r="O94" s="60">
        <v>0</v>
      </c>
      <c r="P94" s="60">
        <v>3.82</v>
      </c>
      <c r="Q94" s="60">
        <v>27.05</v>
      </c>
      <c r="R94" s="197"/>
      <c r="S94" s="197"/>
      <c r="T94" s="197"/>
      <c r="U94" s="197"/>
    </row>
    <row r="95" spans="1:26" s="12" customFormat="1" x14ac:dyDescent="0.25">
      <c r="A95" s="200" t="s">
        <v>526</v>
      </c>
      <c r="B95" s="60">
        <v>13.78</v>
      </c>
      <c r="C95" s="60">
        <v>13.79</v>
      </c>
      <c r="D95" s="60">
        <v>27.57</v>
      </c>
      <c r="E95" s="60">
        <v>4.59</v>
      </c>
      <c r="F95" s="60">
        <v>0.1</v>
      </c>
      <c r="G95" s="215" t="s">
        <v>36</v>
      </c>
      <c r="H95" s="60">
        <v>15.55</v>
      </c>
      <c r="I95" s="60">
        <v>5.48</v>
      </c>
      <c r="J95" s="60">
        <v>0.28999999999999998</v>
      </c>
      <c r="K95" s="60">
        <v>177.99</v>
      </c>
      <c r="L95" s="9" t="s">
        <v>36</v>
      </c>
      <c r="M95" s="60">
        <v>88.98</v>
      </c>
      <c r="N95" s="60">
        <v>14.8</v>
      </c>
      <c r="O95" s="60">
        <v>0</v>
      </c>
      <c r="P95" s="60">
        <v>3.82</v>
      </c>
      <c r="Q95" s="60">
        <v>26.25</v>
      </c>
      <c r="R95" s="197"/>
      <c r="S95" s="197"/>
      <c r="T95" s="197"/>
      <c r="U95" s="197"/>
    </row>
    <row r="96" spans="1:26" s="12" customFormat="1" x14ac:dyDescent="0.25">
      <c r="A96" s="200" t="s">
        <v>527</v>
      </c>
      <c r="B96" s="60">
        <v>14.06</v>
      </c>
      <c r="C96" s="60">
        <v>13.86</v>
      </c>
      <c r="D96" s="60">
        <v>27.93</v>
      </c>
      <c r="E96" s="60">
        <v>4.09</v>
      </c>
      <c r="F96" s="60">
        <v>0.06</v>
      </c>
      <c r="G96" s="215" t="s">
        <v>36</v>
      </c>
      <c r="H96" s="60">
        <v>15.55</v>
      </c>
      <c r="I96" s="60">
        <v>5.59</v>
      </c>
      <c r="J96" s="60">
        <v>0.38</v>
      </c>
      <c r="K96" s="60">
        <v>188.29</v>
      </c>
      <c r="L96" s="9" t="s">
        <v>36</v>
      </c>
      <c r="M96" s="60">
        <v>91.33</v>
      </c>
      <c r="N96" s="60">
        <v>15</v>
      </c>
      <c r="O96" s="60">
        <v>0</v>
      </c>
      <c r="P96" s="60">
        <v>3.84</v>
      </c>
      <c r="Q96" s="60">
        <v>25.77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528</v>
      </c>
      <c r="B97" s="60">
        <v>14.03</v>
      </c>
      <c r="C97" s="60">
        <v>13.64</v>
      </c>
      <c r="D97" s="60">
        <v>27.67</v>
      </c>
      <c r="E97" s="60">
        <v>4.84</v>
      </c>
      <c r="F97" s="60">
        <v>0.53</v>
      </c>
      <c r="G97" s="215" t="s">
        <v>36</v>
      </c>
      <c r="H97" s="60">
        <v>17.11</v>
      </c>
      <c r="I97" s="60">
        <v>5.74</v>
      </c>
      <c r="J97" s="60">
        <v>0.16</v>
      </c>
      <c r="K97" s="60">
        <v>221.31</v>
      </c>
      <c r="L97" s="9" t="s">
        <v>36</v>
      </c>
      <c r="M97" s="60">
        <v>91.46</v>
      </c>
      <c r="N97" s="60">
        <v>15.3</v>
      </c>
      <c r="O97" s="60">
        <v>0</v>
      </c>
      <c r="P97" s="60">
        <v>3.83</v>
      </c>
      <c r="Q97" s="60">
        <v>25.4</v>
      </c>
      <c r="R97" s="197"/>
      <c r="S97" s="197"/>
      <c r="T97" s="197"/>
      <c r="U97" s="197"/>
    </row>
    <row r="98" spans="1:33" s="12" customFormat="1" x14ac:dyDescent="0.25">
      <c r="A98" s="200" t="s">
        <v>529</v>
      </c>
      <c r="B98" s="60">
        <v>14.25</v>
      </c>
      <c r="C98" s="60">
        <v>12.48</v>
      </c>
      <c r="D98" s="60">
        <v>26.73</v>
      </c>
      <c r="E98" s="60">
        <v>4.7300000000000004</v>
      </c>
      <c r="F98" s="60">
        <v>7.0000000000000007E-2</v>
      </c>
      <c r="G98" s="215" t="s">
        <v>36</v>
      </c>
      <c r="H98" s="60">
        <v>20.94</v>
      </c>
      <c r="I98" s="60">
        <v>5.81</v>
      </c>
      <c r="J98" s="60">
        <v>0.11</v>
      </c>
      <c r="K98" s="60">
        <v>262.08999999999997</v>
      </c>
      <c r="L98" s="9" t="s">
        <v>36</v>
      </c>
      <c r="M98" s="60">
        <v>93.32</v>
      </c>
      <c r="N98" s="60">
        <v>15.3</v>
      </c>
      <c r="O98" s="60">
        <v>0</v>
      </c>
      <c r="P98" s="60">
        <v>3.82</v>
      </c>
      <c r="Q98" s="60">
        <v>24.38</v>
      </c>
      <c r="R98" s="197"/>
      <c r="S98" s="197"/>
      <c r="T98" s="197"/>
      <c r="U98" s="197"/>
    </row>
    <row r="99" spans="1:33" s="12" customFormat="1" x14ac:dyDescent="0.25">
      <c r="A99" s="200" t="s">
        <v>530</v>
      </c>
      <c r="B99" s="60">
        <v>14.18</v>
      </c>
      <c r="C99" s="60">
        <v>11.29</v>
      </c>
      <c r="D99" s="60">
        <v>25.47</v>
      </c>
      <c r="E99" s="60">
        <v>4.84</v>
      </c>
      <c r="F99" s="215" t="s">
        <v>36</v>
      </c>
      <c r="G99" s="215" t="s">
        <v>36</v>
      </c>
      <c r="H99" s="60">
        <v>20.94</v>
      </c>
      <c r="I99" s="60">
        <v>5.66</v>
      </c>
      <c r="J99" s="60">
        <v>0.21</v>
      </c>
      <c r="K99" s="60">
        <v>208.11</v>
      </c>
      <c r="L99" s="9" t="s">
        <v>36</v>
      </c>
      <c r="M99" s="60">
        <v>93.79</v>
      </c>
      <c r="N99" s="60">
        <v>15.4</v>
      </c>
      <c r="O99" s="60">
        <v>0</v>
      </c>
      <c r="P99" s="60">
        <v>3.82</v>
      </c>
      <c r="Q99" s="60">
        <v>23.8</v>
      </c>
      <c r="R99" s="197"/>
      <c r="S99" s="197"/>
      <c r="T99" s="197"/>
      <c r="U99" s="197"/>
    </row>
    <row r="100" spans="1:33" s="12" customFormat="1" x14ac:dyDescent="0.25">
      <c r="A100" s="200" t="s">
        <v>531</v>
      </c>
      <c r="B100" s="60">
        <v>14.08</v>
      </c>
      <c r="C100" s="60">
        <v>10.4</v>
      </c>
      <c r="D100" s="60">
        <v>24.48</v>
      </c>
      <c r="E100" s="60">
        <v>4.82</v>
      </c>
      <c r="F100" s="60">
        <v>0.01</v>
      </c>
      <c r="G100" s="215" t="s">
        <v>36</v>
      </c>
      <c r="H100" s="60">
        <v>20.94</v>
      </c>
      <c r="I100" s="60">
        <v>4.9400000000000004</v>
      </c>
      <c r="J100" s="60">
        <v>0.36</v>
      </c>
      <c r="K100" s="60">
        <v>162.15</v>
      </c>
      <c r="L100" s="9" t="s">
        <v>36</v>
      </c>
      <c r="M100" s="60">
        <v>91.95</v>
      </c>
      <c r="N100" s="60">
        <v>15.4</v>
      </c>
      <c r="O100" s="60">
        <v>0</v>
      </c>
      <c r="P100" s="60">
        <v>3.79</v>
      </c>
      <c r="Q100" s="60">
        <v>24.18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532</v>
      </c>
      <c r="B101" s="60">
        <v>13.94</v>
      </c>
      <c r="C101" s="60">
        <v>9.74</v>
      </c>
      <c r="D101" s="60">
        <v>23.67</v>
      </c>
      <c r="E101" s="60">
        <v>4.95</v>
      </c>
      <c r="F101" s="60">
        <v>0.17</v>
      </c>
      <c r="G101" s="215" t="s">
        <v>36</v>
      </c>
      <c r="H101" s="60">
        <v>19.29</v>
      </c>
      <c r="I101" s="60">
        <v>4.84</v>
      </c>
      <c r="J101" s="60">
        <v>0.13</v>
      </c>
      <c r="K101" s="60">
        <v>230.62</v>
      </c>
      <c r="L101" s="9" t="s">
        <v>36</v>
      </c>
      <c r="M101" s="60">
        <v>91.73</v>
      </c>
      <c r="N101" s="60">
        <v>15.4</v>
      </c>
      <c r="O101" s="60">
        <v>0</v>
      </c>
      <c r="P101" s="60">
        <v>3.78</v>
      </c>
      <c r="Q101" s="60">
        <v>24.18</v>
      </c>
      <c r="R101" s="197"/>
      <c r="S101" s="197"/>
      <c r="T101" s="197"/>
      <c r="U101" s="197"/>
    </row>
    <row r="102" spans="1:33" s="12" customFormat="1" x14ac:dyDescent="0.25">
      <c r="A102" s="200" t="s">
        <v>533</v>
      </c>
      <c r="B102" s="60">
        <v>13.84</v>
      </c>
      <c r="C102" s="60">
        <v>9.24</v>
      </c>
      <c r="D102" s="60">
        <v>23.08</v>
      </c>
      <c r="E102" s="60">
        <v>5.26</v>
      </c>
      <c r="F102" s="60">
        <v>1.39</v>
      </c>
      <c r="G102" s="215" t="s">
        <v>36</v>
      </c>
      <c r="H102" s="60">
        <v>15.22</v>
      </c>
      <c r="I102" s="60">
        <v>4.42</v>
      </c>
      <c r="J102" s="60">
        <v>0.06</v>
      </c>
      <c r="K102" s="60">
        <v>310.89</v>
      </c>
      <c r="L102" s="9" t="s">
        <v>36</v>
      </c>
      <c r="M102" s="60">
        <v>91.73</v>
      </c>
      <c r="N102" s="60">
        <v>15.3</v>
      </c>
      <c r="O102" s="60">
        <v>0</v>
      </c>
      <c r="P102" s="60">
        <v>3.76</v>
      </c>
      <c r="Q102" s="60">
        <v>23.89</v>
      </c>
      <c r="R102" s="197"/>
      <c r="S102" s="197"/>
      <c r="T102" s="197"/>
      <c r="U102" s="197"/>
    </row>
    <row r="103" spans="1:33" s="12" customFormat="1" x14ac:dyDescent="0.25">
      <c r="A103" s="200" t="s">
        <v>534</v>
      </c>
      <c r="B103" s="60">
        <v>13.87</v>
      </c>
      <c r="C103" s="60">
        <v>8.9700000000000006</v>
      </c>
      <c r="D103" s="60">
        <v>22.83</v>
      </c>
      <c r="E103" s="60">
        <v>5.13</v>
      </c>
      <c r="F103" s="60">
        <v>0.03</v>
      </c>
      <c r="G103" s="215" t="s">
        <v>36</v>
      </c>
      <c r="H103" s="60">
        <v>15.22</v>
      </c>
      <c r="I103" s="60">
        <v>4.45</v>
      </c>
      <c r="J103" s="60">
        <v>0.32</v>
      </c>
      <c r="K103" s="60">
        <v>167.16</v>
      </c>
      <c r="L103" s="9" t="s">
        <v>36</v>
      </c>
      <c r="M103" s="60">
        <v>90.45</v>
      </c>
      <c r="N103" s="60">
        <v>15.4</v>
      </c>
      <c r="O103" s="60">
        <v>0</v>
      </c>
      <c r="P103" s="60">
        <v>3.75</v>
      </c>
      <c r="Q103" s="60">
        <v>23.65</v>
      </c>
      <c r="R103" s="197"/>
      <c r="S103" s="197"/>
      <c r="T103" s="197"/>
      <c r="U103" s="197"/>
    </row>
    <row r="104" spans="1:33" s="12" customFormat="1" x14ac:dyDescent="0.25">
      <c r="A104" s="200" t="s">
        <v>535</v>
      </c>
      <c r="B104" s="60">
        <v>13.76</v>
      </c>
      <c r="C104" s="60">
        <v>8.6199999999999992</v>
      </c>
      <c r="D104" s="60">
        <v>22.37</v>
      </c>
      <c r="E104" s="60">
        <v>2.74</v>
      </c>
      <c r="F104" s="60">
        <v>0.14000000000000001</v>
      </c>
      <c r="G104" s="215" t="s">
        <v>36</v>
      </c>
      <c r="H104" s="60">
        <v>15.22</v>
      </c>
      <c r="I104" s="60">
        <v>4.54</v>
      </c>
      <c r="J104" s="60">
        <v>0.1</v>
      </c>
      <c r="K104" s="60">
        <v>162.27000000000001</v>
      </c>
      <c r="L104" s="9" t="s">
        <v>36</v>
      </c>
      <c r="M104" s="60">
        <v>91.45</v>
      </c>
      <c r="N104" s="60">
        <v>15.7</v>
      </c>
      <c r="O104" s="60">
        <v>0</v>
      </c>
      <c r="P104" s="60">
        <v>3.74</v>
      </c>
      <c r="Q104" s="60">
        <v>23.5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5" t="s">
        <v>59</v>
      </c>
      <c r="B106" s="67">
        <f>MIN(B9:B104)</f>
        <v>0.35</v>
      </c>
      <c r="C106" s="67">
        <f>MIN(C9:C104)</f>
        <v>8.6199999999999992</v>
      </c>
      <c r="D106" s="67">
        <f t="shared" ref="D106:Q106" si="0">MIN(D9:D104)</f>
        <v>11.52</v>
      </c>
      <c r="E106" s="67">
        <f t="shared" si="0"/>
        <v>1.46</v>
      </c>
      <c r="F106" s="67">
        <f t="shared" si="0"/>
        <v>0.01</v>
      </c>
      <c r="G106" s="67">
        <f t="shared" si="0"/>
        <v>0</v>
      </c>
      <c r="H106" s="67">
        <f t="shared" si="0"/>
        <v>14.21</v>
      </c>
      <c r="I106" s="67">
        <f t="shared" si="0"/>
        <v>2.23</v>
      </c>
      <c r="J106" s="67">
        <f t="shared" si="0"/>
        <v>0.03</v>
      </c>
      <c r="K106" s="67">
        <f t="shared" si="0"/>
        <v>2.1</v>
      </c>
      <c r="L106" s="67">
        <f t="shared" si="0"/>
        <v>0</v>
      </c>
      <c r="M106" s="67">
        <f t="shared" si="0"/>
        <v>54.91</v>
      </c>
      <c r="N106" s="67">
        <f t="shared" si="0"/>
        <v>14.4</v>
      </c>
      <c r="O106" s="67">
        <f t="shared" si="0"/>
        <v>0</v>
      </c>
      <c r="P106" s="67">
        <f t="shared" si="0"/>
        <v>3.22</v>
      </c>
      <c r="Q106" s="67">
        <f t="shared" si="0"/>
        <v>4.5999999999999996</v>
      </c>
      <c r="R106" s="198"/>
      <c r="S106" s="198"/>
      <c r="T106" s="198"/>
      <c r="U106" s="198"/>
    </row>
    <row r="107" spans="1:33" x14ac:dyDescent="0.25">
      <c r="A107" s="65" t="s">
        <v>60</v>
      </c>
      <c r="B107" s="66">
        <f>MAX(B9:B104)</f>
        <v>36.06</v>
      </c>
      <c r="C107" s="66">
        <f t="shared" ref="C107:Q107" si="1">MAX(C9:C104)</f>
        <v>34.79</v>
      </c>
      <c r="D107" s="66">
        <f t="shared" si="1"/>
        <v>51.69</v>
      </c>
      <c r="E107" s="66">
        <f t="shared" si="1"/>
        <v>7.39</v>
      </c>
      <c r="F107" s="66">
        <f t="shared" si="1"/>
        <v>9.19</v>
      </c>
      <c r="G107" s="66">
        <f t="shared" si="1"/>
        <v>0</v>
      </c>
      <c r="H107" s="66">
        <f t="shared" si="1"/>
        <v>64.11</v>
      </c>
      <c r="I107" s="66">
        <f t="shared" si="1"/>
        <v>8.5399999999999991</v>
      </c>
      <c r="J107" s="66">
        <f t="shared" si="1"/>
        <v>2.14</v>
      </c>
      <c r="K107" s="66">
        <f t="shared" si="1"/>
        <v>359.42</v>
      </c>
      <c r="L107" s="66">
        <f t="shared" si="1"/>
        <v>0</v>
      </c>
      <c r="M107" s="66">
        <f t="shared" si="1"/>
        <v>98.33</v>
      </c>
      <c r="N107" s="66">
        <f t="shared" si="1"/>
        <v>951.6</v>
      </c>
      <c r="O107" s="66">
        <f t="shared" si="1"/>
        <v>3</v>
      </c>
      <c r="P107" s="66">
        <f t="shared" si="1"/>
        <v>4.1500000000000004</v>
      </c>
      <c r="Q107" s="66">
        <f t="shared" si="1"/>
        <v>30.99</v>
      </c>
      <c r="R107" s="199"/>
      <c r="S107" s="199"/>
      <c r="T107" s="199"/>
      <c r="U107" s="199"/>
    </row>
    <row r="108" spans="1:33" x14ac:dyDescent="0.25">
      <c r="A108" s="65" t="s">
        <v>61</v>
      </c>
      <c r="B108" s="67">
        <f>AVERAGE(B9:B104)</f>
        <v>12.588645833333338</v>
      </c>
      <c r="C108" s="67">
        <f t="shared" ref="C108:Q108" si="2">AVERAGE(C9:C104)</f>
        <v>14.606770833333334</v>
      </c>
      <c r="D108" s="67">
        <f t="shared" si="2"/>
        <v>27.196041666666655</v>
      </c>
      <c r="E108" s="67">
        <f t="shared" si="2"/>
        <v>4.965729166666665</v>
      </c>
      <c r="F108" s="67">
        <f t="shared" si="2"/>
        <v>0.89706521739130485</v>
      </c>
      <c r="G108" s="67" t="e">
        <f t="shared" si="2"/>
        <v>#DIV/0!</v>
      </c>
      <c r="H108" s="67">
        <f t="shared" si="2"/>
        <v>30.948125000000019</v>
      </c>
      <c r="I108" s="67">
        <f t="shared" si="2"/>
        <v>5.8821874999999997</v>
      </c>
      <c r="J108" s="67">
        <f t="shared" si="2"/>
        <v>0.63145833333333357</v>
      </c>
      <c r="K108" s="67">
        <f t="shared" si="2"/>
        <v>190.6073958333333</v>
      </c>
      <c r="L108" s="67" t="e">
        <f t="shared" si="2"/>
        <v>#DIV/0!</v>
      </c>
      <c r="M108" s="67">
        <f t="shared" si="2"/>
        <v>76.913124999999994</v>
      </c>
      <c r="N108" s="67">
        <f t="shared" si="2"/>
        <v>206.31666666666663</v>
      </c>
      <c r="O108" s="67">
        <f t="shared" si="2"/>
        <v>3.9583333333333338E-2</v>
      </c>
      <c r="P108" s="67">
        <f t="shared" si="2"/>
        <v>3.6214583333333317</v>
      </c>
      <c r="Q108" s="67">
        <f t="shared" si="2"/>
        <v>14.109687500000007</v>
      </c>
      <c r="R108" s="198"/>
      <c r="S108" s="198"/>
      <c r="T108" s="198"/>
      <c r="U108" s="198"/>
    </row>
    <row r="109" spans="1:33" x14ac:dyDescent="0.25">
      <c r="A109" s="65" t="s">
        <v>77</v>
      </c>
      <c r="B109" s="67">
        <f>STDEV(B9:B104)</f>
        <v>9.4970455926585391</v>
      </c>
      <c r="C109" s="67">
        <f t="shared" ref="C109:Q109" si="3">STDEV(C9:C104)</f>
        <v>4.1015035740545915</v>
      </c>
      <c r="D109" s="67">
        <f t="shared" si="3"/>
        <v>9.5642504842021943</v>
      </c>
      <c r="E109" s="67">
        <f t="shared" si="3"/>
        <v>1.5857754170265184</v>
      </c>
      <c r="F109" s="67">
        <f t="shared" si="3"/>
        <v>1.6437510961303177</v>
      </c>
      <c r="G109" s="67" t="e">
        <f t="shared" si="3"/>
        <v>#DIV/0!</v>
      </c>
      <c r="H109" s="67">
        <f t="shared" si="3"/>
        <v>12.530645660056589</v>
      </c>
      <c r="I109" s="67">
        <f t="shared" si="3"/>
        <v>1.9217739628982617</v>
      </c>
      <c r="J109" s="67">
        <f t="shared" si="3"/>
        <v>0.52283031194424745</v>
      </c>
      <c r="K109" s="67">
        <f t="shared" si="3"/>
        <v>110.2108969036402</v>
      </c>
      <c r="L109" s="67" t="e">
        <f t="shared" si="3"/>
        <v>#DIV/0!</v>
      </c>
      <c r="M109" s="67">
        <f t="shared" si="3"/>
        <v>12.079683972208212</v>
      </c>
      <c r="N109" s="67">
        <f t="shared" si="3"/>
        <v>264.43199251729487</v>
      </c>
      <c r="O109" s="67">
        <f t="shared" si="3"/>
        <v>0.30795733356789146</v>
      </c>
      <c r="P109" s="67">
        <f t="shared" si="3"/>
        <v>0.23067853762172641</v>
      </c>
      <c r="Q109" s="67">
        <f t="shared" si="3"/>
        <v>8.4358927962449002</v>
      </c>
      <c r="R109" s="198"/>
      <c r="S109" s="198"/>
      <c r="T109" s="198"/>
      <c r="U109" s="198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COUNT(F9:F104)+4</f>
        <v>96</v>
      </c>
      <c r="G110" s="66">
        <f>COUNT(G9:G104)+96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>COUNT(L9:L104)+96</f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9"/>
      <c r="S110" s="199"/>
      <c r="T110" s="199"/>
      <c r="U110" s="199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218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4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04-08-2022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234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536</v>
      </c>
      <c r="B9" s="60">
        <v>13.56</v>
      </c>
      <c r="C9" s="60">
        <v>8.52</v>
      </c>
      <c r="D9" s="60">
        <v>22.08</v>
      </c>
      <c r="E9" s="60">
        <v>6</v>
      </c>
      <c r="F9" s="60">
        <v>0.11</v>
      </c>
      <c r="G9" s="215" t="s">
        <v>36</v>
      </c>
      <c r="H9" s="60">
        <v>16.75</v>
      </c>
      <c r="I9" s="60">
        <v>4.74</v>
      </c>
      <c r="J9" s="60">
        <v>0.11</v>
      </c>
      <c r="K9" s="60">
        <v>263.62</v>
      </c>
      <c r="L9" s="9" t="s">
        <v>36</v>
      </c>
      <c r="M9" s="60">
        <v>93.82</v>
      </c>
      <c r="N9" s="60">
        <v>15.3</v>
      </c>
      <c r="O9" s="60">
        <v>0</v>
      </c>
      <c r="P9" s="60">
        <v>3.74</v>
      </c>
      <c r="Q9" s="60">
        <v>22.97</v>
      </c>
      <c r="R9" s="197"/>
      <c r="S9" s="197"/>
      <c r="T9" s="197"/>
      <c r="U9" s="197"/>
    </row>
    <row r="10" spans="1:21" s="12" customFormat="1" x14ac:dyDescent="0.25">
      <c r="A10" s="200" t="s">
        <v>537</v>
      </c>
      <c r="B10" s="60">
        <v>13.04</v>
      </c>
      <c r="C10" s="60">
        <v>9.3800000000000008</v>
      </c>
      <c r="D10" s="60">
        <v>22.43</v>
      </c>
      <c r="E10" s="60">
        <v>5.58</v>
      </c>
      <c r="F10" s="60">
        <v>0.21</v>
      </c>
      <c r="G10" s="215" t="s">
        <v>36</v>
      </c>
      <c r="H10" s="60">
        <v>20.52</v>
      </c>
      <c r="I10" s="60">
        <v>5.27</v>
      </c>
      <c r="J10" s="60">
        <v>7.0000000000000007E-2</v>
      </c>
      <c r="K10" s="60">
        <v>157</v>
      </c>
      <c r="L10" s="9" t="s">
        <v>36</v>
      </c>
      <c r="M10" s="60">
        <v>92.5</v>
      </c>
      <c r="N10" s="60">
        <v>15.6</v>
      </c>
      <c r="O10" s="60">
        <v>0</v>
      </c>
      <c r="P10" s="60">
        <v>3.72</v>
      </c>
      <c r="Q10" s="60">
        <v>22.64</v>
      </c>
      <c r="R10" s="197"/>
      <c r="S10" s="197"/>
      <c r="T10" s="197"/>
      <c r="U10" s="197"/>
    </row>
    <row r="11" spans="1:21" s="12" customFormat="1" x14ac:dyDescent="0.25">
      <c r="A11" s="200" t="s">
        <v>538</v>
      </c>
      <c r="B11" s="60">
        <v>12.17</v>
      </c>
      <c r="C11" s="60">
        <v>10.19</v>
      </c>
      <c r="D11" s="60">
        <v>22.36</v>
      </c>
      <c r="E11" s="60">
        <v>5.63</v>
      </c>
      <c r="F11" s="60">
        <v>0.09</v>
      </c>
      <c r="G11" s="215" t="s">
        <v>36</v>
      </c>
      <c r="H11" s="60">
        <v>20.52</v>
      </c>
      <c r="I11" s="60">
        <v>5.05</v>
      </c>
      <c r="J11" s="60">
        <v>0.27</v>
      </c>
      <c r="K11" s="60">
        <v>308.66000000000003</v>
      </c>
      <c r="L11" s="9" t="s">
        <v>36</v>
      </c>
      <c r="M11" s="60">
        <v>91.68</v>
      </c>
      <c r="N11" s="60">
        <v>15.8</v>
      </c>
      <c r="O11" s="60">
        <v>0</v>
      </c>
      <c r="P11" s="60">
        <v>3.71</v>
      </c>
      <c r="Q11" s="60">
        <v>21.46</v>
      </c>
      <c r="R11" s="197"/>
      <c r="S11" s="197"/>
      <c r="T11" s="197"/>
      <c r="U11" s="197"/>
    </row>
    <row r="12" spans="1:21" s="12" customFormat="1" x14ac:dyDescent="0.25">
      <c r="A12" s="200" t="s">
        <v>539</v>
      </c>
      <c r="B12" s="60">
        <v>11.41</v>
      </c>
      <c r="C12" s="60">
        <v>10.53</v>
      </c>
      <c r="D12" s="60">
        <v>21.94</v>
      </c>
      <c r="E12" s="60">
        <v>5.69</v>
      </c>
      <c r="F12" s="60">
        <v>0.16</v>
      </c>
      <c r="G12" s="215" t="s">
        <v>36</v>
      </c>
      <c r="H12" s="60">
        <v>20.52</v>
      </c>
      <c r="I12" s="60">
        <v>5.59</v>
      </c>
      <c r="J12" s="60">
        <v>7.0000000000000007E-2</v>
      </c>
      <c r="K12" s="60">
        <v>258.22000000000003</v>
      </c>
      <c r="L12" s="9" t="s">
        <v>36</v>
      </c>
      <c r="M12" s="60">
        <v>92.64</v>
      </c>
      <c r="N12" s="60">
        <v>15.3</v>
      </c>
      <c r="O12" s="60">
        <v>0</v>
      </c>
      <c r="P12" s="60">
        <v>3.7</v>
      </c>
      <c r="Q12" s="60">
        <v>20.85</v>
      </c>
      <c r="R12" s="197"/>
      <c r="S12" s="197"/>
      <c r="T12" s="197"/>
      <c r="U12" s="197"/>
    </row>
    <row r="13" spans="1:21" s="12" customFormat="1" x14ac:dyDescent="0.25">
      <c r="A13" s="200" t="s">
        <v>540</v>
      </c>
      <c r="B13" s="60">
        <v>10.84</v>
      </c>
      <c r="C13" s="60">
        <v>10.93</v>
      </c>
      <c r="D13" s="60">
        <v>21.76</v>
      </c>
      <c r="E13" s="60">
        <v>5.74</v>
      </c>
      <c r="F13" s="60">
        <v>0.01</v>
      </c>
      <c r="G13" s="215" t="s">
        <v>36</v>
      </c>
      <c r="H13" s="60">
        <v>19.13</v>
      </c>
      <c r="I13" s="60">
        <v>5.71</v>
      </c>
      <c r="J13" s="60">
        <v>0.5</v>
      </c>
      <c r="K13" s="60">
        <v>344.06</v>
      </c>
      <c r="L13" s="9" t="s">
        <v>36</v>
      </c>
      <c r="M13" s="60">
        <v>93.36</v>
      </c>
      <c r="N13" s="60">
        <v>15.2</v>
      </c>
      <c r="O13" s="60">
        <v>0</v>
      </c>
      <c r="P13" s="60">
        <v>3.69</v>
      </c>
      <c r="Q13" s="60">
        <v>19.86</v>
      </c>
      <c r="R13" s="197"/>
      <c r="S13" s="197"/>
      <c r="T13" s="197"/>
      <c r="U13" s="197"/>
    </row>
    <row r="14" spans="1:21" s="12" customFormat="1" x14ac:dyDescent="0.25">
      <c r="A14" s="200" t="s">
        <v>541</v>
      </c>
      <c r="B14" s="60">
        <v>10.3</v>
      </c>
      <c r="C14" s="60">
        <v>11.34</v>
      </c>
      <c r="D14" s="60">
        <v>21.64</v>
      </c>
      <c r="E14" s="60">
        <v>5.64</v>
      </c>
      <c r="F14" s="216" t="s">
        <v>49</v>
      </c>
      <c r="G14" s="215" t="s">
        <v>36</v>
      </c>
      <c r="H14" s="60">
        <v>15.72</v>
      </c>
      <c r="I14" s="60">
        <v>5.61</v>
      </c>
      <c r="J14" s="60">
        <v>0.61</v>
      </c>
      <c r="K14" s="60">
        <v>84.11</v>
      </c>
      <c r="L14" s="9" t="s">
        <v>36</v>
      </c>
      <c r="M14" s="60">
        <v>92.24</v>
      </c>
      <c r="N14" s="60">
        <v>14.6</v>
      </c>
      <c r="O14" s="60">
        <v>0</v>
      </c>
      <c r="P14" s="60">
        <v>3.68</v>
      </c>
      <c r="Q14" s="60">
        <v>19.059999999999999</v>
      </c>
      <c r="R14" s="197"/>
      <c r="S14" s="197"/>
      <c r="T14" s="197"/>
      <c r="U14" s="197"/>
    </row>
    <row r="15" spans="1:21" s="12" customFormat="1" x14ac:dyDescent="0.25">
      <c r="A15" s="200" t="s">
        <v>542</v>
      </c>
      <c r="B15" s="60">
        <v>9.81</v>
      </c>
      <c r="C15" s="60">
        <v>11.03</v>
      </c>
      <c r="D15" s="60">
        <v>20.84</v>
      </c>
      <c r="E15" s="60">
        <v>5.51</v>
      </c>
      <c r="F15" s="60">
        <v>0.12</v>
      </c>
      <c r="G15" s="215" t="s">
        <v>36</v>
      </c>
      <c r="H15" s="60">
        <v>15.72</v>
      </c>
      <c r="I15" s="60">
        <v>5.73</v>
      </c>
      <c r="J15" s="60">
        <v>1.05</v>
      </c>
      <c r="K15" s="60">
        <v>114.68</v>
      </c>
      <c r="L15" s="9" t="s">
        <v>36</v>
      </c>
      <c r="M15" s="60">
        <v>88.17</v>
      </c>
      <c r="N15" s="60">
        <v>16</v>
      </c>
      <c r="O15" s="60">
        <v>0</v>
      </c>
      <c r="P15" s="60">
        <v>3.68</v>
      </c>
      <c r="Q15" s="60">
        <v>19.03</v>
      </c>
      <c r="R15" s="197"/>
      <c r="S15" s="197"/>
      <c r="T15" s="197"/>
      <c r="U15" s="197"/>
    </row>
    <row r="16" spans="1:21" s="12" customFormat="1" x14ac:dyDescent="0.25">
      <c r="A16" s="200" t="s">
        <v>543</v>
      </c>
      <c r="B16" s="60">
        <v>8.76</v>
      </c>
      <c r="C16" s="60">
        <v>10.67</v>
      </c>
      <c r="D16" s="60">
        <v>19.43</v>
      </c>
      <c r="E16" s="60">
        <v>5.57</v>
      </c>
      <c r="F16" s="60">
        <v>0.33</v>
      </c>
      <c r="G16" s="215" t="s">
        <v>36</v>
      </c>
      <c r="H16" s="60">
        <v>15.72</v>
      </c>
      <c r="I16" s="60">
        <v>5.87</v>
      </c>
      <c r="J16" s="60">
        <v>0.64</v>
      </c>
      <c r="K16" s="60">
        <v>108.88</v>
      </c>
      <c r="L16" s="9" t="s">
        <v>36</v>
      </c>
      <c r="M16" s="60">
        <v>86.14</v>
      </c>
      <c r="N16" s="60">
        <v>15.9</v>
      </c>
      <c r="O16" s="60">
        <v>0</v>
      </c>
      <c r="P16" s="60">
        <v>3.63</v>
      </c>
      <c r="Q16" s="60">
        <v>18.66</v>
      </c>
      <c r="R16" s="197"/>
      <c r="S16" s="197"/>
      <c r="T16" s="197"/>
      <c r="U16" s="197"/>
    </row>
    <row r="17" spans="1:21" s="12" customFormat="1" x14ac:dyDescent="0.25">
      <c r="A17" s="200" t="s">
        <v>544</v>
      </c>
      <c r="B17" s="60">
        <v>7.75</v>
      </c>
      <c r="C17" s="60">
        <v>9.99</v>
      </c>
      <c r="D17" s="60">
        <v>17.739999999999998</v>
      </c>
      <c r="E17" s="60">
        <v>5.86</v>
      </c>
      <c r="F17" s="60">
        <v>0.15</v>
      </c>
      <c r="G17" s="215" t="s">
        <v>36</v>
      </c>
      <c r="H17" s="60">
        <v>16.18</v>
      </c>
      <c r="I17" s="60">
        <v>5.88</v>
      </c>
      <c r="J17" s="60">
        <v>1.19</v>
      </c>
      <c r="K17" s="60">
        <v>97.55</v>
      </c>
      <c r="L17" s="9" t="s">
        <v>36</v>
      </c>
      <c r="M17" s="60">
        <v>87.1</v>
      </c>
      <c r="N17" s="60">
        <v>14.7</v>
      </c>
      <c r="O17" s="60">
        <v>0</v>
      </c>
      <c r="P17" s="60">
        <v>3.61</v>
      </c>
      <c r="Q17" s="60">
        <v>18.170000000000002</v>
      </c>
      <c r="R17" s="197"/>
      <c r="S17" s="197"/>
      <c r="T17" s="197"/>
      <c r="U17" s="197"/>
    </row>
    <row r="18" spans="1:21" s="12" customFormat="1" x14ac:dyDescent="0.25">
      <c r="A18" s="200" t="s">
        <v>545</v>
      </c>
      <c r="B18" s="60">
        <v>7.24</v>
      </c>
      <c r="C18" s="60">
        <v>9.16</v>
      </c>
      <c r="D18" s="60">
        <v>16.399999999999999</v>
      </c>
      <c r="E18" s="60">
        <v>5.98</v>
      </c>
      <c r="F18" s="60">
        <v>0.02</v>
      </c>
      <c r="G18" s="215" t="s">
        <v>36</v>
      </c>
      <c r="H18" s="60">
        <v>17.329999999999998</v>
      </c>
      <c r="I18" s="60">
        <v>5.59</v>
      </c>
      <c r="J18" s="60">
        <v>0.68</v>
      </c>
      <c r="K18" s="60">
        <v>116.91</v>
      </c>
      <c r="L18" s="9" t="s">
        <v>36</v>
      </c>
      <c r="M18" s="60">
        <v>88.62</v>
      </c>
      <c r="N18" s="60">
        <v>14.9</v>
      </c>
      <c r="O18" s="60">
        <v>0</v>
      </c>
      <c r="P18" s="60">
        <v>3.57</v>
      </c>
      <c r="Q18" s="60">
        <v>18.11</v>
      </c>
      <c r="R18" s="197"/>
      <c r="S18" s="197"/>
      <c r="T18" s="197"/>
      <c r="U18" s="197"/>
    </row>
    <row r="19" spans="1:21" s="12" customFormat="1" x14ac:dyDescent="0.25">
      <c r="A19" s="200" t="s">
        <v>546</v>
      </c>
      <c r="B19" s="60">
        <v>6.92</v>
      </c>
      <c r="C19" s="60">
        <v>8.61</v>
      </c>
      <c r="D19" s="60">
        <v>15.53</v>
      </c>
      <c r="E19" s="60">
        <v>5.97</v>
      </c>
      <c r="F19" s="60">
        <v>0.3</v>
      </c>
      <c r="G19" s="215" t="s">
        <v>36</v>
      </c>
      <c r="H19" s="60">
        <v>17.329999999999998</v>
      </c>
      <c r="I19" s="60">
        <v>4.87</v>
      </c>
      <c r="J19" s="60">
        <v>0.32</v>
      </c>
      <c r="K19" s="60">
        <v>348.4</v>
      </c>
      <c r="L19" s="9" t="s">
        <v>36</v>
      </c>
      <c r="M19" s="60">
        <v>90.28</v>
      </c>
      <c r="N19" s="60">
        <v>15.2</v>
      </c>
      <c r="O19" s="60">
        <v>0</v>
      </c>
      <c r="P19" s="60">
        <v>3.55</v>
      </c>
      <c r="Q19" s="60">
        <v>18.29</v>
      </c>
      <c r="R19" s="197"/>
      <c r="S19" s="197"/>
      <c r="T19" s="197"/>
      <c r="U19" s="197"/>
    </row>
    <row r="20" spans="1:21" s="12" customFormat="1" x14ac:dyDescent="0.25">
      <c r="A20" s="200" t="s">
        <v>547</v>
      </c>
      <c r="B20" s="60">
        <v>6.76</v>
      </c>
      <c r="C20" s="60">
        <v>8.24</v>
      </c>
      <c r="D20" s="60">
        <v>15</v>
      </c>
      <c r="E20" s="60">
        <v>6.22</v>
      </c>
      <c r="F20" s="60">
        <v>0.32</v>
      </c>
      <c r="G20" s="215" t="s">
        <v>36</v>
      </c>
      <c r="H20" s="60">
        <v>17.329999999999998</v>
      </c>
      <c r="I20" s="60">
        <v>4.47</v>
      </c>
      <c r="J20" s="60">
        <v>0.16</v>
      </c>
      <c r="K20" s="60">
        <v>17.61</v>
      </c>
      <c r="L20" s="9" t="s">
        <v>36</v>
      </c>
      <c r="M20" s="60">
        <v>91.97</v>
      </c>
      <c r="N20" s="60">
        <v>14.9</v>
      </c>
      <c r="O20" s="60">
        <v>0</v>
      </c>
      <c r="P20" s="60">
        <v>3.54</v>
      </c>
      <c r="Q20" s="60">
        <v>18.420000000000002</v>
      </c>
      <c r="R20" s="197"/>
      <c r="S20" s="197"/>
      <c r="T20" s="197"/>
      <c r="U20" s="197"/>
    </row>
    <row r="21" spans="1:21" s="12" customFormat="1" x14ac:dyDescent="0.25">
      <c r="A21" s="200" t="s">
        <v>548</v>
      </c>
      <c r="B21" s="60">
        <v>6.65</v>
      </c>
      <c r="C21" s="60">
        <v>7.86</v>
      </c>
      <c r="D21" s="60">
        <v>14.52</v>
      </c>
      <c r="E21" s="60">
        <v>6.41</v>
      </c>
      <c r="F21" s="60">
        <v>0.12</v>
      </c>
      <c r="G21" s="215" t="s">
        <v>36</v>
      </c>
      <c r="H21" s="60">
        <v>16.93</v>
      </c>
      <c r="I21" s="60">
        <v>4.45</v>
      </c>
      <c r="J21" s="60">
        <v>0.06</v>
      </c>
      <c r="K21" s="60">
        <v>160.9</v>
      </c>
      <c r="L21" s="9" t="s">
        <v>36</v>
      </c>
      <c r="M21" s="60">
        <v>91.24</v>
      </c>
      <c r="N21" s="60">
        <v>15</v>
      </c>
      <c r="O21" s="60">
        <v>0</v>
      </c>
      <c r="P21" s="60">
        <v>3.52</v>
      </c>
      <c r="Q21" s="60">
        <v>18.399999999999999</v>
      </c>
      <c r="R21" s="197"/>
      <c r="S21" s="197"/>
      <c r="T21" s="197"/>
      <c r="U21" s="197"/>
    </row>
    <row r="22" spans="1:21" s="12" customFormat="1" x14ac:dyDescent="0.25">
      <c r="A22" s="200" t="s">
        <v>549</v>
      </c>
      <c r="B22" s="60">
        <v>6.59</v>
      </c>
      <c r="C22" s="60">
        <v>7.57</v>
      </c>
      <c r="D22" s="60">
        <v>14.15</v>
      </c>
      <c r="E22" s="60">
        <v>6.58</v>
      </c>
      <c r="F22" s="60">
        <v>0.06</v>
      </c>
      <c r="G22" s="215" t="s">
        <v>36</v>
      </c>
      <c r="H22" s="60">
        <v>15.94</v>
      </c>
      <c r="I22" s="60">
        <v>4.1100000000000003</v>
      </c>
      <c r="J22" s="60">
        <v>0.06</v>
      </c>
      <c r="K22" s="60">
        <v>246.9</v>
      </c>
      <c r="L22" s="9" t="s">
        <v>36</v>
      </c>
      <c r="M22" s="60">
        <v>92.92</v>
      </c>
      <c r="N22" s="60">
        <v>14.9</v>
      </c>
      <c r="O22" s="60">
        <v>0</v>
      </c>
      <c r="P22" s="60">
        <v>3.5</v>
      </c>
      <c r="Q22" s="60">
        <v>18.22</v>
      </c>
      <c r="R22" s="197"/>
      <c r="S22" s="197"/>
      <c r="T22" s="197"/>
      <c r="U22" s="197"/>
    </row>
    <row r="23" spans="1:21" s="12" customFormat="1" x14ac:dyDescent="0.25">
      <c r="A23" s="200" t="s">
        <v>550</v>
      </c>
      <c r="B23" s="60">
        <v>6.55</v>
      </c>
      <c r="C23" s="60">
        <v>7.31</v>
      </c>
      <c r="D23" s="60">
        <v>13.86</v>
      </c>
      <c r="E23" s="60">
        <v>6.51</v>
      </c>
      <c r="F23" s="60">
        <v>0.01</v>
      </c>
      <c r="G23" s="215" t="s">
        <v>36</v>
      </c>
      <c r="H23" s="60">
        <v>15.94</v>
      </c>
      <c r="I23" s="60">
        <v>3.68</v>
      </c>
      <c r="J23" s="60">
        <v>0.22</v>
      </c>
      <c r="K23" s="60">
        <v>344.32</v>
      </c>
      <c r="L23" s="9" t="s">
        <v>36</v>
      </c>
      <c r="M23" s="60">
        <v>94.82</v>
      </c>
      <c r="N23" s="60">
        <v>14.9</v>
      </c>
      <c r="O23" s="60">
        <v>0</v>
      </c>
      <c r="P23" s="60">
        <v>3.49</v>
      </c>
      <c r="Q23" s="60">
        <v>18.100000000000001</v>
      </c>
      <c r="R23" s="197"/>
      <c r="S23" s="197"/>
      <c r="T23" s="197"/>
      <c r="U23" s="197"/>
    </row>
    <row r="24" spans="1:21" s="12" customFormat="1" x14ac:dyDescent="0.25">
      <c r="A24" s="200" t="s">
        <v>551</v>
      </c>
      <c r="B24" s="60">
        <v>6.6</v>
      </c>
      <c r="C24" s="60">
        <v>7.27</v>
      </c>
      <c r="D24" s="60">
        <v>13.87</v>
      </c>
      <c r="E24" s="60">
        <v>3.94</v>
      </c>
      <c r="F24" s="60">
        <v>0.01</v>
      </c>
      <c r="G24" s="215" t="s">
        <v>36</v>
      </c>
      <c r="H24" s="60">
        <v>15.94</v>
      </c>
      <c r="I24" s="60">
        <v>3.66</v>
      </c>
      <c r="J24" s="60">
        <v>0.24</v>
      </c>
      <c r="K24" s="60">
        <v>150.75</v>
      </c>
      <c r="L24" s="9" t="s">
        <v>36</v>
      </c>
      <c r="M24" s="60">
        <v>93.91</v>
      </c>
      <c r="N24" s="60">
        <v>14.9</v>
      </c>
      <c r="O24" s="60">
        <v>0</v>
      </c>
      <c r="P24" s="60">
        <v>3.51</v>
      </c>
      <c r="Q24" s="60">
        <v>17.760000000000002</v>
      </c>
      <c r="R24" s="197"/>
      <c r="S24" s="197"/>
      <c r="T24" s="197"/>
      <c r="U24" s="197"/>
    </row>
    <row r="25" spans="1:21" s="12" customFormat="1" x14ac:dyDescent="0.25">
      <c r="A25" s="200" t="s">
        <v>552</v>
      </c>
      <c r="B25" s="60">
        <v>6.42</v>
      </c>
      <c r="C25" s="60">
        <v>7.13</v>
      </c>
      <c r="D25" s="60">
        <v>13.55</v>
      </c>
      <c r="E25" s="60">
        <v>7.08</v>
      </c>
      <c r="F25" s="60">
        <v>0.31</v>
      </c>
      <c r="G25" s="215" t="s">
        <v>36</v>
      </c>
      <c r="H25" s="60">
        <v>15.34</v>
      </c>
      <c r="I25" s="60">
        <v>3.9</v>
      </c>
      <c r="J25" s="60">
        <v>0.14000000000000001</v>
      </c>
      <c r="K25" s="60">
        <v>86.96</v>
      </c>
      <c r="L25" s="9" t="s">
        <v>36</v>
      </c>
      <c r="M25" s="60">
        <v>92.12</v>
      </c>
      <c r="N25" s="60">
        <v>14.8</v>
      </c>
      <c r="O25" s="60">
        <v>0</v>
      </c>
      <c r="P25" s="60">
        <v>3.47</v>
      </c>
      <c r="Q25" s="60">
        <v>18.05</v>
      </c>
      <c r="R25" s="197"/>
      <c r="S25" s="197"/>
      <c r="T25" s="197"/>
      <c r="U25" s="197"/>
    </row>
    <row r="26" spans="1:21" s="12" customFormat="1" x14ac:dyDescent="0.25">
      <c r="A26" s="200" t="s">
        <v>553</v>
      </c>
      <c r="B26" s="60">
        <v>6.02</v>
      </c>
      <c r="C26" s="60">
        <v>7.91</v>
      </c>
      <c r="D26" s="60">
        <v>13.93</v>
      </c>
      <c r="E26" s="60">
        <v>7.37</v>
      </c>
      <c r="F26" s="60">
        <v>0.02</v>
      </c>
      <c r="G26" s="215" t="s">
        <v>36</v>
      </c>
      <c r="H26" s="60">
        <v>13.86</v>
      </c>
      <c r="I26" s="60">
        <v>5.01</v>
      </c>
      <c r="J26" s="60">
        <v>0.1</v>
      </c>
      <c r="K26" s="60">
        <v>179.2</v>
      </c>
      <c r="L26" s="9" t="s">
        <v>36</v>
      </c>
      <c r="M26" s="60">
        <v>91.79</v>
      </c>
      <c r="N26" s="60">
        <v>14.9</v>
      </c>
      <c r="O26" s="60">
        <v>0</v>
      </c>
      <c r="P26" s="60">
        <v>3.47</v>
      </c>
      <c r="Q26" s="60">
        <v>16.45</v>
      </c>
      <c r="R26" s="197"/>
      <c r="S26" s="197"/>
      <c r="T26" s="197"/>
      <c r="U26" s="197"/>
    </row>
    <row r="27" spans="1:21" s="12" customFormat="1" x14ac:dyDescent="0.25">
      <c r="A27" s="200" t="s">
        <v>554</v>
      </c>
      <c r="B27" s="60">
        <v>5.74</v>
      </c>
      <c r="C27" s="60">
        <v>8.23</v>
      </c>
      <c r="D27" s="60">
        <v>13.97</v>
      </c>
      <c r="E27" s="60">
        <v>6.92</v>
      </c>
      <c r="F27" s="60">
        <v>0.21</v>
      </c>
      <c r="G27" s="215" t="s">
        <v>36</v>
      </c>
      <c r="H27" s="60">
        <v>13.86</v>
      </c>
      <c r="I27" s="60">
        <v>4.7</v>
      </c>
      <c r="J27" s="60">
        <v>0.1</v>
      </c>
      <c r="K27" s="60">
        <v>276.58</v>
      </c>
      <c r="L27" s="9" t="s">
        <v>36</v>
      </c>
      <c r="M27" s="60">
        <v>93.68</v>
      </c>
      <c r="N27" s="60">
        <v>15</v>
      </c>
      <c r="O27" s="60">
        <v>0</v>
      </c>
      <c r="P27" s="60">
        <v>3.45</v>
      </c>
      <c r="Q27" s="60">
        <v>15.87</v>
      </c>
      <c r="R27" s="197"/>
      <c r="S27" s="197"/>
      <c r="T27" s="197"/>
      <c r="U27" s="197"/>
    </row>
    <row r="28" spans="1:21" s="12" customFormat="1" x14ac:dyDescent="0.25">
      <c r="A28" s="200" t="s">
        <v>555</v>
      </c>
      <c r="B28" s="60">
        <v>5.42</v>
      </c>
      <c r="C28" s="60">
        <v>8.5299999999999994</v>
      </c>
      <c r="D28" s="60">
        <v>13.95</v>
      </c>
      <c r="E28" s="60">
        <v>7.32</v>
      </c>
      <c r="F28" s="60">
        <v>0.15</v>
      </c>
      <c r="G28" s="215" t="s">
        <v>36</v>
      </c>
      <c r="H28" s="60">
        <v>13.86</v>
      </c>
      <c r="I28" s="60">
        <v>4.7300000000000004</v>
      </c>
      <c r="J28" s="60">
        <v>0.38</v>
      </c>
      <c r="K28" s="60">
        <v>191.9</v>
      </c>
      <c r="L28" s="9" t="s">
        <v>36</v>
      </c>
      <c r="M28" s="60">
        <v>93.5</v>
      </c>
      <c r="N28" s="60">
        <v>15</v>
      </c>
      <c r="O28" s="60">
        <v>0</v>
      </c>
      <c r="P28" s="60">
        <v>3.42</v>
      </c>
      <c r="Q28" s="60">
        <v>15.08</v>
      </c>
      <c r="R28" s="197"/>
      <c r="S28" s="197"/>
      <c r="T28" s="197"/>
      <c r="U28" s="197"/>
    </row>
    <row r="29" spans="1:21" s="12" customFormat="1" x14ac:dyDescent="0.25">
      <c r="A29" s="200" t="s">
        <v>556</v>
      </c>
      <c r="B29" s="60">
        <v>5.09</v>
      </c>
      <c r="C29" s="60">
        <v>8.51</v>
      </c>
      <c r="D29" s="60">
        <v>13.6</v>
      </c>
      <c r="E29" s="60">
        <v>7.05</v>
      </c>
      <c r="F29" s="60">
        <v>0.13</v>
      </c>
      <c r="G29" s="215" t="s">
        <v>36</v>
      </c>
      <c r="H29" s="60">
        <v>13.37</v>
      </c>
      <c r="I29" s="60">
        <v>4.8499999999999996</v>
      </c>
      <c r="J29" s="60">
        <v>0.1</v>
      </c>
      <c r="K29" s="60">
        <v>241.86</v>
      </c>
      <c r="L29" s="9" t="s">
        <v>36</v>
      </c>
      <c r="M29" s="60">
        <v>94.34</v>
      </c>
      <c r="N29" s="60">
        <v>15.2</v>
      </c>
      <c r="O29" s="60">
        <v>0</v>
      </c>
      <c r="P29" s="60">
        <v>3.4</v>
      </c>
      <c r="Q29" s="60">
        <v>14.59</v>
      </c>
      <c r="R29" s="197"/>
      <c r="S29" s="197"/>
      <c r="T29" s="197"/>
      <c r="U29" s="197"/>
    </row>
    <row r="30" spans="1:21" s="12" customFormat="1" x14ac:dyDescent="0.25">
      <c r="A30" s="200" t="s">
        <v>557</v>
      </c>
      <c r="B30" s="60">
        <v>4.8499999999999996</v>
      </c>
      <c r="C30" s="60">
        <v>8.51</v>
      </c>
      <c r="D30" s="60">
        <v>13.36</v>
      </c>
      <c r="E30" s="60">
        <v>6.85</v>
      </c>
      <c r="F30" s="60">
        <v>0.11</v>
      </c>
      <c r="G30" s="215" t="s">
        <v>36</v>
      </c>
      <c r="H30" s="60">
        <v>12.18</v>
      </c>
      <c r="I30" s="60">
        <v>4.79</v>
      </c>
      <c r="J30" s="60">
        <v>0.08</v>
      </c>
      <c r="K30" s="60">
        <v>247.51</v>
      </c>
      <c r="L30" s="9" t="s">
        <v>36</v>
      </c>
      <c r="M30" s="60">
        <v>94.87</v>
      </c>
      <c r="N30" s="60">
        <v>15.3</v>
      </c>
      <c r="O30" s="60">
        <v>0</v>
      </c>
      <c r="P30" s="60">
        <v>3.39</v>
      </c>
      <c r="Q30" s="60">
        <v>13.93</v>
      </c>
      <c r="R30" s="197"/>
      <c r="S30" s="197"/>
      <c r="T30" s="197"/>
      <c r="U30" s="197"/>
    </row>
    <row r="31" spans="1:21" s="12" customFormat="1" x14ac:dyDescent="0.25">
      <c r="A31" s="200" t="s">
        <v>558</v>
      </c>
      <c r="B31" s="60">
        <v>4.8</v>
      </c>
      <c r="C31" s="60">
        <v>8.2899999999999991</v>
      </c>
      <c r="D31" s="60">
        <v>13.08</v>
      </c>
      <c r="E31" s="60">
        <v>7.01</v>
      </c>
      <c r="F31" s="60">
        <v>0.05</v>
      </c>
      <c r="G31" s="215" t="s">
        <v>36</v>
      </c>
      <c r="H31" s="60">
        <v>12.18</v>
      </c>
      <c r="I31" s="60">
        <v>4.7699999999999996</v>
      </c>
      <c r="J31" s="60">
        <v>0.08</v>
      </c>
      <c r="K31" s="60">
        <v>279.81</v>
      </c>
      <c r="L31" s="9" t="s">
        <v>36</v>
      </c>
      <c r="M31" s="60">
        <v>96.5</v>
      </c>
      <c r="N31" s="60">
        <v>16.7</v>
      </c>
      <c r="O31" s="60">
        <v>0</v>
      </c>
      <c r="P31" s="60">
        <v>3.36</v>
      </c>
      <c r="Q31" s="60">
        <v>13.7</v>
      </c>
      <c r="R31" s="197"/>
      <c r="S31" s="197"/>
      <c r="T31" s="197"/>
      <c r="U31" s="197"/>
    </row>
    <row r="32" spans="1:21" s="12" customFormat="1" x14ac:dyDescent="0.25">
      <c r="A32" s="200" t="s">
        <v>559</v>
      </c>
      <c r="B32" s="60">
        <v>4.78</v>
      </c>
      <c r="C32" s="60">
        <v>7.92</v>
      </c>
      <c r="D32" s="60">
        <v>12.7</v>
      </c>
      <c r="E32" s="60">
        <v>7.22</v>
      </c>
      <c r="F32" s="60">
        <v>0.04</v>
      </c>
      <c r="G32" s="215" t="s">
        <v>36</v>
      </c>
      <c r="H32" s="60">
        <v>12.18</v>
      </c>
      <c r="I32" s="60">
        <v>4.51</v>
      </c>
      <c r="J32" s="60">
        <v>0.19</v>
      </c>
      <c r="K32" s="60">
        <v>217.31</v>
      </c>
      <c r="L32" s="9" t="s">
        <v>36</v>
      </c>
      <c r="M32" s="60">
        <v>96.28</v>
      </c>
      <c r="N32" s="60">
        <v>21</v>
      </c>
      <c r="O32" s="60">
        <v>0</v>
      </c>
      <c r="P32" s="60">
        <v>3.35</v>
      </c>
      <c r="Q32" s="60">
        <v>13.71</v>
      </c>
      <c r="R32" s="197"/>
      <c r="S32" s="197"/>
      <c r="T32" s="197"/>
      <c r="U32" s="197"/>
    </row>
    <row r="33" spans="1:21" s="12" customFormat="1" x14ac:dyDescent="0.25">
      <c r="A33" s="200" t="s">
        <v>560</v>
      </c>
      <c r="B33" s="60">
        <v>4.87</v>
      </c>
      <c r="C33" s="60">
        <v>7.6</v>
      </c>
      <c r="D33" s="60">
        <v>12.47</v>
      </c>
      <c r="E33" s="60">
        <v>6.58</v>
      </c>
      <c r="F33" s="60">
        <v>0.1</v>
      </c>
      <c r="G33" s="215" t="s">
        <v>36</v>
      </c>
      <c r="H33" s="60">
        <v>11.26</v>
      </c>
      <c r="I33" s="60">
        <v>3.66</v>
      </c>
      <c r="J33" s="60">
        <v>0.2</v>
      </c>
      <c r="K33" s="60">
        <v>252.05</v>
      </c>
      <c r="L33" s="9" t="s">
        <v>36</v>
      </c>
      <c r="M33" s="60">
        <v>93.72</v>
      </c>
      <c r="N33" s="60">
        <v>30.3</v>
      </c>
      <c r="O33" s="60">
        <v>0</v>
      </c>
      <c r="P33" s="60">
        <v>3.35</v>
      </c>
      <c r="Q33" s="60">
        <v>13.93</v>
      </c>
      <c r="R33" s="197"/>
      <c r="S33" s="197"/>
      <c r="T33" s="197"/>
      <c r="U33" s="197"/>
    </row>
    <row r="34" spans="1:21" s="12" customFormat="1" x14ac:dyDescent="0.25">
      <c r="A34" s="200" t="s">
        <v>561</v>
      </c>
      <c r="B34" s="60">
        <v>4.92</v>
      </c>
      <c r="C34" s="60">
        <v>7.51</v>
      </c>
      <c r="D34" s="60">
        <v>12.44</v>
      </c>
      <c r="E34" s="60">
        <v>7.1</v>
      </c>
      <c r="F34" s="60">
        <v>0.19</v>
      </c>
      <c r="G34" s="215" t="s">
        <v>36</v>
      </c>
      <c r="H34" s="60">
        <v>9.01</v>
      </c>
      <c r="I34" s="60">
        <v>3.07</v>
      </c>
      <c r="J34" s="60">
        <v>0.26</v>
      </c>
      <c r="K34" s="60">
        <v>182.06</v>
      </c>
      <c r="L34" s="9" t="s">
        <v>36</v>
      </c>
      <c r="M34" s="60">
        <v>93.43</v>
      </c>
      <c r="N34" s="60">
        <v>57.4</v>
      </c>
      <c r="O34" s="60">
        <v>0</v>
      </c>
      <c r="P34" s="60">
        <v>3.34</v>
      </c>
      <c r="Q34" s="60">
        <v>13.87</v>
      </c>
      <c r="R34" s="197"/>
      <c r="S34" s="197"/>
      <c r="T34" s="197"/>
      <c r="U34" s="197"/>
    </row>
    <row r="35" spans="1:21" s="12" customFormat="1" x14ac:dyDescent="0.25">
      <c r="A35" s="200" t="s">
        <v>562</v>
      </c>
      <c r="B35" s="60">
        <v>4.97</v>
      </c>
      <c r="C35" s="60">
        <v>7.44</v>
      </c>
      <c r="D35" s="60">
        <v>12.41</v>
      </c>
      <c r="E35" s="60">
        <v>7.62</v>
      </c>
      <c r="F35" s="60">
        <v>7.0000000000000007E-2</v>
      </c>
      <c r="G35" s="215" t="s">
        <v>36</v>
      </c>
      <c r="H35" s="60">
        <v>9.01</v>
      </c>
      <c r="I35" s="60">
        <v>3.09</v>
      </c>
      <c r="J35" s="60">
        <v>0.2</v>
      </c>
      <c r="K35" s="60">
        <v>210.12</v>
      </c>
      <c r="L35" s="9" t="s">
        <v>36</v>
      </c>
      <c r="M35" s="60">
        <v>93.52</v>
      </c>
      <c r="N35" s="60">
        <v>81.900000000000006</v>
      </c>
      <c r="O35" s="60">
        <v>0</v>
      </c>
      <c r="P35" s="60">
        <v>3.35</v>
      </c>
      <c r="Q35" s="60">
        <v>13.79</v>
      </c>
      <c r="R35" s="197"/>
      <c r="S35" s="197"/>
      <c r="T35" s="197"/>
      <c r="U35" s="197"/>
    </row>
    <row r="36" spans="1:21" s="12" customFormat="1" x14ac:dyDescent="0.25">
      <c r="A36" s="200" t="s">
        <v>563</v>
      </c>
      <c r="B36" s="60">
        <v>5.49</v>
      </c>
      <c r="C36" s="60">
        <v>7.45</v>
      </c>
      <c r="D36" s="60">
        <v>12.94</v>
      </c>
      <c r="E36" s="60">
        <v>7.29</v>
      </c>
      <c r="F36" s="60">
        <v>0.2</v>
      </c>
      <c r="G36" s="215" t="s">
        <v>36</v>
      </c>
      <c r="H36" s="60">
        <v>9.01</v>
      </c>
      <c r="I36" s="60">
        <v>3.22</v>
      </c>
      <c r="J36" s="60">
        <v>0.05</v>
      </c>
      <c r="K36" s="60">
        <v>249.76</v>
      </c>
      <c r="L36" s="9" t="s">
        <v>36</v>
      </c>
      <c r="M36" s="60">
        <v>90.22</v>
      </c>
      <c r="N36" s="60">
        <v>104.9</v>
      </c>
      <c r="O36" s="60">
        <v>0</v>
      </c>
      <c r="P36" s="60">
        <v>3.38</v>
      </c>
      <c r="Q36" s="60">
        <v>14.09</v>
      </c>
      <c r="R36" s="197"/>
      <c r="S36" s="197"/>
      <c r="T36" s="197"/>
      <c r="U36" s="197"/>
    </row>
    <row r="37" spans="1:21" s="12" customFormat="1" x14ac:dyDescent="0.25">
      <c r="A37" s="200" t="s">
        <v>564</v>
      </c>
      <c r="B37" s="60">
        <v>6.05</v>
      </c>
      <c r="C37" s="60">
        <v>7.62</v>
      </c>
      <c r="D37" s="60">
        <v>13.67</v>
      </c>
      <c r="E37" s="60">
        <v>7.62</v>
      </c>
      <c r="F37" s="60">
        <v>0.14000000000000001</v>
      </c>
      <c r="G37" s="215" t="s">
        <v>36</v>
      </c>
      <c r="H37" s="60">
        <v>10.27</v>
      </c>
      <c r="I37" s="60">
        <v>3.53</v>
      </c>
      <c r="J37" s="60">
        <v>0.33</v>
      </c>
      <c r="K37" s="60">
        <v>90.47</v>
      </c>
      <c r="L37" s="9" t="s">
        <v>36</v>
      </c>
      <c r="M37" s="60">
        <v>88.23</v>
      </c>
      <c r="N37" s="60">
        <v>122.4</v>
      </c>
      <c r="O37" s="60">
        <v>0</v>
      </c>
      <c r="P37" s="60">
        <v>3.37</v>
      </c>
      <c r="Q37" s="60">
        <v>14.22</v>
      </c>
      <c r="R37" s="197"/>
      <c r="S37" s="197"/>
      <c r="T37" s="197"/>
      <c r="U37" s="197"/>
    </row>
    <row r="38" spans="1:21" s="12" customFormat="1" x14ac:dyDescent="0.25">
      <c r="A38" s="200" t="s">
        <v>565</v>
      </c>
      <c r="B38" s="60">
        <v>6.57</v>
      </c>
      <c r="C38" s="60">
        <v>7.94</v>
      </c>
      <c r="D38" s="60">
        <v>14.51</v>
      </c>
      <c r="E38" s="60">
        <v>7.55</v>
      </c>
      <c r="F38" s="60">
        <v>0.06</v>
      </c>
      <c r="G38" s="215" t="s">
        <v>36</v>
      </c>
      <c r="H38" s="60">
        <v>13.39</v>
      </c>
      <c r="I38" s="60">
        <v>4.54</v>
      </c>
      <c r="J38" s="60">
        <v>0.41</v>
      </c>
      <c r="K38" s="60">
        <v>340.7</v>
      </c>
      <c r="L38" s="9" t="s">
        <v>36</v>
      </c>
      <c r="M38" s="60">
        <v>87.19</v>
      </c>
      <c r="N38" s="60">
        <v>167.3</v>
      </c>
      <c r="O38" s="60">
        <v>0</v>
      </c>
      <c r="P38" s="60">
        <v>3.38</v>
      </c>
      <c r="Q38" s="60">
        <v>14.07</v>
      </c>
      <c r="R38" s="197"/>
      <c r="S38" s="197"/>
      <c r="T38" s="197"/>
      <c r="U38" s="197"/>
    </row>
    <row r="39" spans="1:21" s="12" customFormat="1" x14ac:dyDescent="0.25">
      <c r="A39" s="200" t="s">
        <v>566</v>
      </c>
      <c r="B39" s="60">
        <v>7.91</v>
      </c>
      <c r="C39" s="60">
        <v>8.77</v>
      </c>
      <c r="D39" s="60">
        <v>16.670000000000002</v>
      </c>
      <c r="E39" s="60">
        <v>7.96</v>
      </c>
      <c r="F39" s="60">
        <v>0.34</v>
      </c>
      <c r="G39" s="215" t="s">
        <v>36</v>
      </c>
      <c r="H39" s="60">
        <v>13.39</v>
      </c>
      <c r="I39" s="60">
        <v>4.3099999999999996</v>
      </c>
      <c r="J39" s="60">
        <v>0.31</v>
      </c>
      <c r="K39" s="60">
        <v>335.18</v>
      </c>
      <c r="L39" s="9" t="s">
        <v>36</v>
      </c>
      <c r="M39" s="60">
        <v>82.23</v>
      </c>
      <c r="N39" s="60">
        <v>217.3</v>
      </c>
      <c r="O39" s="60">
        <v>0</v>
      </c>
      <c r="P39" s="60">
        <v>3.4</v>
      </c>
      <c r="Q39" s="60">
        <v>14.53</v>
      </c>
      <c r="R39" s="197"/>
      <c r="S39" s="197"/>
      <c r="T39" s="197"/>
      <c r="U39" s="197"/>
    </row>
    <row r="40" spans="1:21" s="12" customFormat="1" x14ac:dyDescent="0.25">
      <c r="A40" s="200" t="s">
        <v>567</v>
      </c>
      <c r="B40" s="60">
        <v>9.17</v>
      </c>
      <c r="C40" s="60">
        <v>9.98</v>
      </c>
      <c r="D40" s="60">
        <v>19.149999999999999</v>
      </c>
      <c r="E40" s="60">
        <v>4.2699999999999996</v>
      </c>
      <c r="F40" s="60">
        <v>0.36</v>
      </c>
      <c r="G40" s="215" t="s">
        <v>36</v>
      </c>
      <c r="H40" s="60">
        <v>13.39</v>
      </c>
      <c r="I40" s="60">
        <v>4.51</v>
      </c>
      <c r="J40" s="60">
        <v>0.56999999999999995</v>
      </c>
      <c r="K40" s="60">
        <v>74.81</v>
      </c>
      <c r="L40" s="9" t="s">
        <v>36</v>
      </c>
      <c r="M40" s="60">
        <v>79.25</v>
      </c>
      <c r="N40" s="60">
        <v>275.3</v>
      </c>
      <c r="O40" s="60">
        <v>0</v>
      </c>
      <c r="P40" s="60">
        <v>3.43</v>
      </c>
      <c r="Q40" s="60">
        <v>14.95</v>
      </c>
      <c r="R40" s="197"/>
      <c r="S40" s="197"/>
      <c r="T40" s="197"/>
      <c r="U40" s="197"/>
    </row>
    <row r="41" spans="1:21" s="12" customFormat="1" x14ac:dyDescent="0.25">
      <c r="A41" s="200" t="s">
        <v>568</v>
      </c>
      <c r="B41" s="60">
        <v>9.65</v>
      </c>
      <c r="C41" s="60">
        <v>10.81</v>
      </c>
      <c r="D41" s="60">
        <v>20.46</v>
      </c>
      <c r="E41" s="60">
        <v>7.84</v>
      </c>
      <c r="F41" s="60">
        <v>0.36</v>
      </c>
      <c r="G41" s="215" t="s">
        <v>36</v>
      </c>
      <c r="H41" s="60">
        <v>15.29</v>
      </c>
      <c r="I41" s="60">
        <v>5.0199999999999996</v>
      </c>
      <c r="J41" s="60">
        <v>0.86</v>
      </c>
      <c r="K41" s="60">
        <v>88.5</v>
      </c>
      <c r="L41" s="9" t="s">
        <v>36</v>
      </c>
      <c r="M41" s="60">
        <v>81.180000000000007</v>
      </c>
      <c r="N41" s="60">
        <v>318.3</v>
      </c>
      <c r="O41" s="60">
        <v>0</v>
      </c>
      <c r="P41" s="60">
        <v>3.44</v>
      </c>
      <c r="Q41" s="60">
        <v>14.71</v>
      </c>
      <c r="R41" s="197"/>
      <c r="S41" s="197"/>
      <c r="T41" s="197"/>
      <c r="U41" s="197"/>
    </row>
    <row r="42" spans="1:21" s="12" customFormat="1" x14ac:dyDescent="0.25">
      <c r="A42" s="200" t="s">
        <v>569</v>
      </c>
      <c r="B42" s="60">
        <v>9.69</v>
      </c>
      <c r="C42" s="60">
        <v>11.82</v>
      </c>
      <c r="D42" s="60">
        <v>21.51</v>
      </c>
      <c r="E42" s="60">
        <v>7.38</v>
      </c>
      <c r="F42" s="60">
        <v>0.21</v>
      </c>
      <c r="G42" s="215" t="s">
        <v>36</v>
      </c>
      <c r="H42" s="60">
        <v>19.98</v>
      </c>
      <c r="I42" s="60">
        <v>5.16</v>
      </c>
      <c r="J42" s="60">
        <v>1.1000000000000001</v>
      </c>
      <c r="K42" s="60">
        <v>94.36</v>
      </c>
      <c r="L42" s="9" t="s">
        <v>36</v>
      </c>
      <c r="M42" s="60">
        <v>76.989999999999995</v>
      </c>
      <c r="N42" s="60">
        <v>451.8</v>
      </c>
      <c r="O42" s="60">
        <v>0</v>
      </c>
      <c r="P42" s="60">
        <v>3.43</v>
      </c>
      <c r="Q42" s="60">
        <v>14.35</v>
      </c>
      <c r="R42" s="197"/>
      <c r="S42" s="197"/>
      <c r="T42" s="197"/>
      <c r="U42" s="197"/>
    </row>
    <row r="43" spans="1:21" s="12" customFormat="1" x14ac:dyDescent="0.25">
      <c r="A43" s="200" t="s">
        <v>570</v>
      </c>
      <c r="B43" s="60">
        <v>8.9</v>
      </c>
      <c r="C43" s="60">
        <v>12.2</v>
      </c>
      <c r="D43" s="60">
        <v>21.1</v>
      </c>
      <c r="E43" s="60">
        <v>7.69</v>
      </c>
      <c r="F43" s="60">
        <v>0.34</v>
      </c>
      <c r="G43" s="215" t="s">
        <v>36</v>
      </c>
      <c r="H43" s="60">
        <v>19.98</v>
      </c>
      <c r="I43" s="60">
        <v>5.16</v>
      </c>
      <c r="J43" s="60">
        <v>1.06</v>
      </c>
      <c r="K43" s="60">
        <v>97.19</v>
      </c>
      <c r="L43" s="9" t="s">
        <v>36</v>
      </c>
      <c r="M43" s="60">
        <v>77.540000000000006</v>
      </c>
      <c r="N43" s="60">
        <v>337.5</v>
      </c>
      <c r="O43" s="60">
        <v>0</v>
      </c>
      <c r="P43" s="60">
        <v>3.42</v>
      </c>
      <c r="Q43" s="60">
        <v>13.97</v>
      </c>
      <c r="R43" s="197"/>
      <c r="S43" s="197"/>
      <c r="T43" s="197"/>
      <c r="U43" s="197"/>
    </row>
    <row r="44" spans="1:21" s="12" customFormat="1" x14ac:dyDescent="0.25">
      <c r="A44" s="200" t="s">
        <v>571</v>
      </c>
      <c r="B44" s="60">
        <v>7.9</v>
      </c>
      <c r="C44" s="60">
        <v>12</v>
      </c>
      <c r="D44" s="60">
        <v>19.899999999999999</v>
      </c>
      <c r="E44" s="60">
        <v>7.58</v>
      </c>
      <c r="F44" s="60">
        <v>0.66</v>
      </c>
      <c r="G44" s="215" t="s">
        <v>36</v>
      </c>
      <c r="H44" s="60">
        <v>19.98</v>
      </c>
      <c r="I44" s="60">
        <v>5.19</v>
      </c>
      <c r="J44" s="60">
        <v>1.22</v>
      </c>
      <c r="K44" s="60">
        <v>93.9</v>
      </c>
      <c r="L44" s="9" t="s">
        <v>36</v>
      </c>
      <c r="M44" s="60">
        <v>78.73</v>
      </c>
      <c r="N44" s="60">
        <v>389.2</v>
      </c>
      <c r="O44" s="60">
        <v>0</v>
      </c>
      <c r="P44" s="60">
        <v>3.42</v>
      </c>
      <c r="Q44" s="60">
        <v>13.87</v>
      </c>
      <c r="R44" s="197"/>
      <c r="S44" s="197"/>
      <c r="T44" s="197"/>
      <c r="U44" s="197"/>
    </row>
    <row r="45" spans="1:21" s="12" customFormat="1" x14ac:dyDescent="0.25">
      <c r="A45" s="200" t="s">
        <v>572</v>
      </c>
      <c r="B45" s="60">
        <v>6.82</v>
      </c>
      <c r="C45" s="60">
        <v>12.68</v>
      </c>
      <c r="D45" s="60">
        <v>19.5</v>
      </c>
      <c r="E45" s="60">
        <v>7.49</v>
      </c>
      <c r="F45" s="60">
        <v>0.18</v>
      </c>
      <c r="G45" s="215" t="s">
        <v>36</v>
      </c>
      <c r="H45" s="60">
        <v>19.91</v>
      </c>
      <c r="I45" s="60">
        <v>5.17</v>
      </c>
      <c r="J45" s="60">
        <v>1.1599999999999999</v>
      </c>
      <c r="K45" s="60">
        <v>88.9</v>
      </c>
      <c r="L45" s="9" t="s">
        <v>36</v>
      </c>
      <c r="M45" s="60">
        <v>79.67</v>
      </c>
      <c r="N45" s="60">
        <v>529.1</v>
      </c>
      <c r="O45" s="60">
        <v>0</v>
      </c>
      <c r="P45" s="60">
        <v>3.41</v>
      </c>
      <c r="Q45" s="60">
        <v>13.23</v>
      </c>
      <c r="R45" s="197"/>
      <c r="S45" s="197"/>
      <c r="T45" s="197"/>
      <c r="U45" s="197"/>
    </row>
    <row r="46" spans="1:21" s="12" customFormat="1" x14ac:dyDescent="0.25">
      <c r="A46" s="200" t="s">
        <v>573</v>
      </c>
      <c r="B46" s="60">
        <v>6.16</v>
      </c>
      <c r="C46" s="60">
        <v>12.42</v>
      </c>
      <c r="D46" s="60">
        <v>18.57</v>
      </c>
      <c r="E46" s="60">
        <v>7.56</v>
      </c>
      <c r="F46" s="60">
        <v>0.25</v>
      </c>
      <c r="G46" s="215" t="s">
        <v>36</v>
      </c>
      <c r="H46" s="60">
        <v>19.739999999999998</v>
      </c>
      <c r="I46" s="60">
        <v>5.09</v>
      </c>
      <c r="J46" s="60">
        <v>1</v>
      </c>
      <c r="K46" s="60">
        <v>87.2</v>
      </c>
      <c r="L46" s="9" t="s">
        <v>36</v>
      </c>
      <c r="M46" s="60">
        <v>76.78</v>
      </c>
      <c r="N46" s="60">
        <v>495.2</v>
      </c>
      <c r="O46" s="60">
        <v>0</v>
      </c>
      <c r="P46" s="60">
        <v>3.4</v>
      </c>
      <c r="Q46" s="60">
        <v>13.13</v>
      </c>
      <c r="R46" s="197"/>
      <c r="S46" s="197"/>
      <c r="T46" s="197"/>
      <c r="U46" s="197"/>
    </row>
    <row r="47" spans="1:21" s="12" customFormat="1" x14ac:dyDescent="0.25">
      <c r="A47" s="200" t="s">
        <v>574</v>
      </c>
      <c r="B47" s="60">
        <v>5.84</v>
      </c>
      <c r="C47" s="60">
        <v>12.09</v>
      </c>
      <c r="D47" s="60">
        <v>17.93</v>
      </c>
      <c r="E47" s="60">
        <v>7.49</v>
      </c>
      <c r="F47" s="60">
        <v>0.34</v>
      </c>
      <c r="G47" s="215" t="s">
        <v>36</v>
      </c>
      <c r="H47" s="60">
        <v>19.739999999999998</v>
      </c>
      <c r="I47" s="60">
        <v>5.0199999999999996</v>
      </c>
      <c r="J47" s="60">
        <v>0.97</v>
      </c>
      <c r="K47" s="60">
        <v>95.86</v>
      </c>
      <c r="L47" s="9" t="s">
        <v>36</v>
      </c>
      <c r="M47" s="60">
        <v>78.52</v>
      </c>
      <c r="N47" s="60">
        <v>452.8</v>
      </c>
      <c r="O47" s="60">
        <v>0</v>
      </c>
      <c r="P47" s="60">
        <v>3.4</v>
      </c>
      <c r="Q47" s="60">
        <v>13.3</v>
      </c>
      <c r="R47" s="197"/>
      <c r="S47" s="197"/>
      <c r="T47" s="197"/>
      <c r="U47" s="197"/>
    </row>
    <row r="48" spans="1:21" s="12" customFormat="1" x14ac:dyDescent="0.25">
      <c r="A48" s="200" t="s">
        <v>575</v>
      </c>
      <c r="B48" s="60">
        <v>5.57</v>
      </c>
      <c r="C48" s="60">
        <v>11.84</v>
      </c>
      <c r="D48" s="60">
        <v>17.41</v>
      </c>
      <c r="E48" s="60">
        <v>7.27</v>
      </c>
      <c r="F48" s="60">
        <v>0.28000000000000003</v>
      </c>
      <c r="G48" s="215" t="s">
        <v>36</v>
      </c>
      <c r="H48" s="60">
        <v>19.739999999999998</v>
      </c>
      <c r="I48" s="60">
        <v>4.54</v>
      </c>
      <c r="J48" s="60">
        <v>0.43</v>
      </c>
      <c r="K48" s="60">
        <v>44.58</v>
      </c>
      <c r="L48" s="9" t="s">
        <v>36</v>
      </c>
      <c r="M48" s="60">
        <v>75.31</v>
      </c>
      <c r="N48" s="60">
        <v>537</v>
      </c>
      <c r="O48" s="60">
        <v>0</v>
      </c>
      <c r="P48" s="60">
        <v>3.39</v>
      </c>
      <c r="Q48" s="60">
        <v>13.4</v>
      </c>
      <c r="R48" s="197"/>
      <c r="S48" s="197"/>
      <c r="T48" s="197"/>
      <c r="U48" s="197"/>
    </row>
    <row r="49" spans="1:21" s="12" customFormat="1" x14ac:dyDescent="0.25">
      <c r="A49" s="200" t="s">
        <v>576</v>
      </c>
      <c r="B49" s="60">
        <v>5.55</v>
      </c>
      <c r="C49" s="60">
        <v>11.82</v>
      </c>
      <c r="D49" s="60">
        <v>17.37</v>
      </c>
      <c r="E49" s="60">
        <v>7.74</v>
      </c>
      <c r="F49" s="60">
        <v>0.37</v>
      </c>
      <c r="G49" s="215" t="s">
        <v>36</v>
      </c>
      <c r="H49" s="60">
        <v>20.53</v>
      </c>
      <c r="I49" s="60">
        <v>4.74</v>
      </c>
      <c r="J49" s="60">
        <v>0.85</v>
      </c>
      <c r="K49" s="60">
        <v>37.69</v>
      </c>
      <c r="L49" s="9" t="s">
        <v>36</v>
      </c>
      <c r="M49" s="60">
        <v>72.56</v>
      </c>
      <c r="N49" s="60">
        <v>411.6</v>
      </c>
      <c r="O49" s="60">
        <v>0</v>
      </c>
      <c r="P49" s="60">
        <v>3.42</v>
      </c>
      <c r="Q49" s="60">
        <v>13.48</v>
      </c>
      <c r="R49" s="197"/>
      <c r="S49" s="197"/>
      <c r="T49" s="197"/>
      <c r="U49" s="197"/>
    </row>
    <row r="50" spans="1:21" s="12" customFormat="1" x14ac:dyDescent="0.25">
      <c r="A50" s="200" t="s">
        <v>577</v>
      </c>
      <c r="B50" s="60">
        <v>5.63</v>
      </c>
      <c r="C50" s="60">
        <v>11.83</v>
      </c>
      <c r="D50" s="60">
        <v>17.46</v>
      </c>
      <c r="E50" s="60">
        <v>7.68</v>
      </c>
      <c r="F50" s="60">
        <v>0.45</v>
      </c>
      <c r="G50" s="215" t="s">
        <v>36</v>
      </c>
      <c r="H50" s="60">
        <v>22.49</v>
      </c>
      <c r="I50" s="60">
        <v>4.59</v>
      </c>
      <c r="J50" s="60">
        <v>1</v>
      </c>
      <c r="K50" s="60">
        <v>83.81</v>
      </c>
      <c r="L50" s="9" t="s">
        <v>36</v>
      </c>
      <c r="M50" s="60">
        <v>76.45</v>
      </c>
      <c r="N50" s="60">
        <v>410.1</v>
      </c>
      <c r="O50" s="60">
        <v>0</v>
      </c>
      <c r="P50" s="60">
        <v>3.42</v>
      </c>
      <c r="Q50" s="60">
        <v>13.38</v>
      </c>
      <c r="R50" s="197"/>
      <c r="S50" s="197"/>
      <c r="T50" s="197"/>
      <c r="U50" s="197"/>
    </row>
    <row r="51" spans="1:21" s="12" customFormat="1" x14ac:dyDescent="0.25">
      <c r="A51" s="200" t="s">
        <v>578</v>
      </c>
      <c r="B51" s="60">
        <v>5.49</v>
      </c>
      <c r="C51" s="60">
        <v>11.61</v>
      </c>
      <c r="D51" s="60">
        <v>17.100000000000001</v>
      </c>
      <c r="E51" s="60">
        <v>7.5</v>
      </c>
      <c r="F51" s="60">
        <v>0.36</v>
      </c>
      <c r="G51" s="215" t="s">
        <v>36</v>
      </c>
      <c r="H51" s="60">
        <v>22.49</v>
      </c>
      <c r="I51" s="60">
        <v>4.96</v>
      </c>
      <c r="J51" s="60">
        <v>1.03</v>
      </c>
      <c r="K51" s="60">
        <v>76.84</v>
      </c>
      <c r="L51" s="9" t="s">
        <v>36</v>
      </c>
      <c r="M51" s="60">
        <v>78.95</v>
      </c>
      <c r="N51" s="60">
        <v>363</v>
      </c>
      <c r="O51" s="60">
        <v>0</v>
      </c>
      <c r="P51" s="60">
        <v>3.42</v>
      </c>
      <c r="Q51" s="60">
        <v>13.21</v>
      </c>
      <c r="R51" s="197"/>
      <c r="S51" s="197"/>
      <c r="T51" s="197"/>
      <c r="U51" s="197"/>
    </row>
    <row r="52" spans="1:21" s="12" customFormat="1" x14ac:dyDescent="0.25">
      <c r="A52" s="200" t="s">
        <v>579</v>
      </c>
      <c r="B52" s="60">
        <v>5.37</v>
      </c>
      <c r="C52" s="60">
        <v>11.7</v>
      </c>
      <c r="D52" s="60">
        <v>17.07</v>
      </c>
      <c r="E52" s="60">
        <v>7.14</v>
      </c>
      <c r="F52" s="60">
        <v>0.3</v>
      </c>
      <c r="G52" s="215" t="s">
        <v>36</v>
      </c>
      <c r="H52" s="60">
        <v>22.49</v>
      </c>
      <c r="I52" s="60">
        <v>4.97</v>
      </c>
      <c r="J52" s="60">
        <v>0.98</v>
      </c>
      <c r="K52" s="60">
        <v>74.959999999999994</v>
      </c>
      <c r="L52" s="9" t="s">
        <v>36</v>
      </c>
      <c r="M52" s="60">
        <v>78.790000000000006</v>
      </c>
      <c r="N52" s="60">
        <v>353.5</v>
      </c>
      <c r="O52" s="60">
        <v>0</v>
      </c>
      <c r="P52" s="60">
        <v>3.42</v>
      </c>
      <c r="Q52" s="60">
        <v>13.05</v>
      </c>
      <c r="R52" s="197"/>
      <c r="S52" s="197"/>
      <c r="T52" s="197"/>
      <c r="U52" s="197"/>
    </row>
    <row r="53" spans="1:21" s="12" customFormat="1" x14ac:dyDescent="0.25">
      <c r="A53" s="200" t="s">
        <v>580</v>
      </c>
      <c r="B53" s="60">
        <v>5.15</v>
      </c>
      <c r="C53" s="60">
        <v>11.57</v>
      </c>
      <c r="D53" s="60">
        <v>16.71</v>
      </c>
      <c r="E53" s="60">
        <v>7.28</v>
      </c>
      <c r="F53" s="60">
        <v>0.47</v>
      </c>
      <c r="G53" s="215" t="s">
        <v>36</v>
      </c>
      <c r="H53" s="60">
        <v>23.8</v>
      </c>
      <c r="I53" s="60">
        <v>4.8600000000000003</v>
      </c>
      <c r="J53" s="60">
        <v>1.26</v>
      </c>
      <c r="K53" s="60">
        <v>78.13</v>
      </c>
      <c r="L53" s="9" t="s">
        <v>36</v>
      </c>
      <c r="M53" s="60">
        <v>80.56</v>
      </c>
      <c r="N53" s="60">
        <v>506.9</v>
      </c>
      <c r="O53" s="60">
        <v>0</v>
      </c>
      <c r="P53" s="60">
        <v>3.43</v>
      </c>
      <c r="Q53" s="60">
        <v>12.96</v>
      </c>
      <c r="R53" s="197"/>
      <c r="S53" s="197"/>
      <c r="T53" s="197"/>
      <c r="U53" s="197"/>
    </row>
    <row r="54" spans="1:21" s="12" customFormat="1" x14ac:dyDescent="0.25">
      <c r="A54" s="200" t="s">
        <v>581</v>
      </c>
      <c r="B54" s="60">
        <v>4.82</v>
      </c>
      <c r="C54" s="60">
        <v>11.53</v>
      </c>
      <c r="D54" s="60">
        <v>16.350000000000001</v>
      </c>
      <c r="E54" s="60">
        <v>7.22</v>
      </c>
      <c r="F54" s="60">
        <v>0.66</v>
      </c>
      <c r="G54" s="215" t="s">
        <v>36</v>
      </c>
      <c r="H54" s="60">
        <v>27.02</v>
      </c>
      <c r="I54" s="60">
        <v>4.8099999999999996</v>
      </c>
      <c r="J54" s="60">
        <v>0.93</v>
      </c>
      <c r="K54" s="60">
        <v>76.3</v>
      </c>
      <c r="L54" s="9" t="s">
        <v>36</v>
      </c>
      <c r="M54" s="60">
        <v>78.739999999999995</v>
      </c>
      <c r="N54" s="60">
        <v>514.1</v>
      </c>
      <c r="O54" s="60">
        <v>0</v>
      </c>
      <c r="P54" s="60">
        <v>3.42</v>
      </c>
      <c r="Q54" s="60">
        <v>12.53</v>
      </c>
      <c r="R54" s="197"/>
      <c r="S54" s="197"/>
      <c r="T54" s="197"/>
      <c r="U54" s="197"/>
    </row>
    <row r="55" spans="1:21" s="12" customFormat="1" x14ac:dyDescent="0.25">
      <c r="A55" s="200" t="s">
        <v>582</v>
      </c>
      <c r="B55" s="60">
        <v>4.5</v>
      </c>
      <c r="C55" s="60">
        <v>11.99</v>
      </c>
      <c r="D55" s="60">
        <v>16.489999999999998</v>
      </c>
      <c r="E55" s="60">
        <v>7.54</v>
      </c>
      <c r="F55" s="60">
        <v>0.63</v>
      </c>
      <c r="G55" s="215" t="s">
        <v>36</v>
      </c>
      <c r="H55" s="60">
        <v>27.02</v>
      </c>
      <c r="I55" s="60">
        <v>5.0999999999999996</v>
      </c>
      <c r="J55" s="60">
        <v>1.48</v>
      </c>
      <c r="K55" s="60">
        <v>98.53</v>
      </c>
      <c r="L55" s="9" t="s">
        <v>36</v>
      </c>
      <c r="M55" s="60">
        <v>75.760000000000005</v>
      </c>
      <c r="N55" s="60">
        <v>761.2</v>
      </c>
      <c r="O55" s="60">
        <v>0</v>
      </c>
      <c r="P55" s="60">
        <v>3.45</v>
      </c>
      <c r="Q55" s="60">
        <v>12.27</v>
      </c>
      <c r="R55" s="197"/>
      <c r="S55" s="197"/>
      <c r="T55" s="197"/>
      <c r="U55" s="197"/>
    </row>
    <row r="56" spans="1:21" s="12" customFormat="1" x14ac:dyDescent="0.25">
      <c r="A56" s="200" t="s">
        <v>583</v>
      </c>
      <c r="B56" s="60">
        <v>3.9</v>
      </c>
      <c r="C56" s="60">
        <v>12.43</v>
      </c>
      <c r="D56" s="60">
        <v>16.329999999999998</v>
      </c>
      <c r="E56" s="60">
        <v>2.69</v>
      </c>
      <c r="F56" s="60">
        <v>0.64</v>
      </c>
      <c r="G56" s="215" t="s">
        <v>36</v>
      </c>
      <c r="H56" s="60">
        <v>27.02</v>
      </c>
      <c r="I56" s="60">
        <v>5.0599999999999996</v>
      </c>
      <c r="J56" s="60">
        <v>1.54</v>
      </c>
      <c r="K56" s="60">
        <v>96.35</v>
      </c>
      <c r="L56" s="9" t="s">
        <v>36</v>
      </c>
      <c r="M56" s="60">
        <v>72.06</v>
      </c>
      <c r="N56" s="60">
        <v>748.1</v>
      </c>
      <c r="O56" s="60">
        <v>0</v>
      </c>
      <c r="P56" s="60">
        <v>3.43</v>
      </c>
      <c r="Q56" s="60">
        <v>11.41</v>
      </c>
      <c r="R56" s="197"/>
      <c r="S56" s="197"/>
      <c r="T56" s="197"/>
      <c r="U56" s="197"/>
    </row>
    <row r="57" spans="1:21" s="12" customFormat="1" x14ac:dyDescent="0.25">
      <c r="A57" s="200" t="s">
        <v>584</v>
      </c>
      <c r="B57" s="60">
        <v>3.12</v>
      </c>
      <c r="C57" s="60">
        <v>12.18</v>
      </c>
      <c r="D57" s="60">
        <v>15.3</v>
      </c>
      <c r="E57" s="60">
        <v>5.17</v>
      </c>
      <c r="F57" s="60">
        <v>0.7</v>
      </c>
      <c r="G57" s="215" t="s">
        <v>36</v>
      </c>
      <c r="H57" s="60">
        <v>25.49</v>
      </c>
      <c r="I57" s="60">
        <v>4.93</v>
      </c>
      <c r="J57" s="60">
        <v>1.68</v>
      </c>
      <c r="K57" s="60">
        <v>97.46</v>
      </c>
      <c r="L57" s="9" t="s">
        <v>36</v>
      </c>
      <c r="M57" s="60">
        <v>70.900000000000006</v>
      </c>
      <c r="N57" s="60">
        <v>685.4</v>
      </c>
      <c r="O57" s="60">
        <v>0</v>
      </c>
      <c r="P57" s="60">
        <v>3.42</v>
      </c>
      <c r="Q57" s="60">
        <v>10.85</v>
      </c>
      <c r="R57" s="197"/>
      <c r="S57" s="197"/>
      <c r="T57" s="197"/>
      <c r="U57" s="197"/>
    </row>
    <row r="58" spans="1:21" s="12" customFormat="1" x14ac:dyDescent="0.25">
      <c r="A58" s="200" t="s">
        <v>585</v>
      </c>
      <c r="B58" s="60">
        <v>2.41</v>
      </c>
      <c r="C58" s="60">
        <v>11.88</v>
      </c>
      <c r="D58" s="60">
        <v>14.29</v>
      </c>
      <c r="E58" s="60">
        <v>5.2</v>
      </c>
      <c r="F58" s="60">
        <v>0.61</v>
      </c>
      <c r="G58" s="215" t="s">
        <v>36</v>
      </c>
      <c r="H58" s="60">
        <v>21.71</v>
      </c>
      <c r="I58" s="60">
        <v>4.8099999999999996</v>
      </c>
      <c r="J58" s="60">
        <v>1.73</v>
      </c>
      <c r="K58" s="60">
        <v>100.85</v>
      </c>
      <c r="L58" s="9" t="s">
        <v>36</v>
      </c>
      <c r="M58" s="60">
        <v>70.47</v>
      </c>
      <c r="N58" s="60">
        <v>513.9</v>
      </c>
      <c r="O58" s="60">
        <v>0</v>
      </c>
      <c r="P58" s="60">
        <v>3.39</v>
      </c>
      <c r="Q58" s="60">
        <v>10.18</v>
      </c>
      <c r="R58" s="197"/>
      <c r="S58" s="197"/>
      <c r="T58" s="197"/>
      <c r="U58" s="197"/>
    </row>
    <row r="59" spans="1:21" s="12" customFormat="1" x14ac:dyDescent="0.25">
      <c r="A59" s="200" t="s">
        <v>586</v>
      </c>
      <c r="B59" s="60">
        <v>1.89</v>
      </c>
      <c r="C59" s="60">
        <v>11.29</v>
      </c>
      <c r="D59" s="60">
        <v>13.18</v>
      </c>
      <c r="E59" s="60">
        <v>5.1100000000000003</v>
      </c>
      <c r="F59" s="60">
        <v>0.87</v>
      </c>
      <c r="G59" s="215" t="s">
        <v>36</v>
      </c>
      <c r="H59" s="60">
        <v>21.71</v>
      </c>
      <c r="I59" s="60">
        <v>4.7300000000000004</v>
      </c>
      <c r="J59" s="60">
        <v>0.91</v>
      </c>
      <c r="K59" s="60">
        <v>81.2</v>
      </c>
      <c r="L59" s="9" t="s">
        <v>36</v>
      </c>
      <c r="M59" s="60">
        <v>70.62</v>
      </c>
      <c r="N59" s="60">
        <v>296.89999999999998</v>
      </c>
      <c r="O59" s="60">
        <v>0</v>
      </c>
      <c r="P59" s="60">
        <v>3.38</v>
      </c>
      <c r="Q59" s="60">
        <v>9.85</v>
      </c>
      <c r="R59" s="197"/>
      <c r="S59" s="197"/>
      <c r="T59" s="197"/>
      <c r="U59" s="197"/>
    </row>
    <row r="60" spans="1:21" s="12" customFormat="1" x14ac:dyDescent="0.25">
      <c r="A60" s="200" t="s">
        <v>587</v>
      </c>
      <c r="B60" s="60">
        <v>1.71</v>
      </c>
      <c r="C60" s="60">
        <v>11.55</v>
      </c>
      <c r="D60" s="60">
        <v>13.26</v>
      </c>
      <c r="E60" s="60">
        <v>4.78</v>
      </c>
      <c r="F60" s="60">
        <v>0.35</v>
      </c>
      <c r="G60" s="215" t="s">
        <v>36</v>
      </c>
      <c r="H60" s="60">
        <v>21.71</v>
      </c>
      <c r="I60" s="60">
        <v>4.59</v>
      </c>
      <c r="J60" s="60">
        <v>1.37</v>
      </c>
      <c r="K60" s="60">
        <v>86.05</v>
      </c>
      <c r="L60" s="9" t="s">
        <v>36</v>
      </c>
      <c r="M60" s="60">
        <v>73.89</v>
      </c>
      <c r="N60" s="60">
        <v>230.2</v>
      </c>
      <c r="O60" s="60">
        <v>0</v>
      </c>
      <c r="P60" s="60">
        <v>3.38</v>
      </c>
      <c r="Q60" s="60">
        <v>9.5299999999999994</v>
      </c>
      <c r="R60" s="197"/>
      <c r="S60" s="197"/>
      <c r="T60" s="197"/>
      <c r="U60" s="197"/>
    </row>
    <row r="61" spans="1:21" s="12" customFormat="1" x14ac:dyDescent="0.25">
      <c r="A61" s="200" t="s">
        <v>588</v>
      </c>
      <c r="B61" s="60">
        <v>1.62</v>
      </c>
      <c r="C61" s="60">
        <v>11.11</v>
      </c>
      <c r="D61" s="60">
        <v>12.73</v>
      </c>
      <c r="E61" s="60">
        <v>4.45</v>
      </c>
      <c r="F61" s="60">
        <v>0.56000000000000005</v>
      </c>
      <c r="G61" s="215" t="s">
        <v>36</v>
      </c>
      <c r="H61" s="60">
        <v>20.72</v>
      </c>
      <c r="I61" s="60">
        <v>4.43</v>
      </c>
      <c r="J61" s="60">
        <v>1.07</v>
      </c>
      <c r="K61" s="60">
        <v>61.87</v>
      </c>
      <c r="L61" s="9" t="s">
        <v>36</v>
      </c>
      <c r="M61" s="60">
        <v>76.08</v>
      </c>
      <c r="N61" s="60">
        <v>183.4</v>
      </c>
      <c r="O61" s="60">
        <v>0</v>
      </c>
      <c r="P61" s="60">
        <v>3.38</v>
      </c>
      <c r="Q61" s="60">
        <v>9.7100000000000009</v>
      </c>
      <c r="R61" s="197"/>
      <c r="S61" s="197"/>
      <c r="T61" s="197"/>
      <c r="U61" s="197"/>
    </row>
    <row r="62" spans="1:21" s="12" customFormat="1" x14ac:dyDescent="0.25">
      <c r="A62" s="200" t="s">
        <v>589</v>
      </c>
      <c r="B62" s="60">
        <v>2.0499999999999998</v>
      </c>
      <c r="C62" s="60">
        <v>11.74</v>
      </c>
      <c r="D62" s="60">
        <v>13.79</v>
      </c>
      <c r="E62" s="60">
        <v>4.99</v>
      </c>
      <c r="F62" s="60">
        <v>0.39</v>
      </c>
      <c r="G62" s="215" t="s">
        <v>36</v>
      </c>
      <c r="H62" s="60">
        <v>18.3</v>
      </c>
      <c r="I62" s="60">
        <v>4.3499999999999996</v>
      </c>
      <c r="J62" s="60">
        <v>0.86</v>
      </c>
      <c r="K62" s="60">
        <v>26.41</v>
      </c>
      <c r="L62" s="9" t="s">
        <v>36</v>
      </c>
      <c r="M62" s="60">
        <v>75.41</v>
      </c>
      <c r="N62" s="60">
        <v>145.1</v>
      </c>
      <c r="O62" s="60">
        <v>0</v>
      </c>
      <c r="P62" s="60">
        <v>3.39</v>
      </c>
      <c r="Q62" s="60">
        <v>9.93</v>
      </c>
      <c r="R62" s="197"/>
      <c r="S62" s="197"/>
      <c r="T62" s="197"/>
      <c r="U62" s="197"/>
    </row>
    <row r="63" spans="1:21" s="12" customFormat="1" x14ac:dyDescent="0.25">
      <c r="A63" s="200" t="s">
        <v>590</v>
      </c>
      <c r="B63" s="60">
        <v>2.58</v>
      </c>
      <c r="C63" s="60">
        <v>12.3</v>
      </c>
      <c r="D63" s="60">
        <v>14.89</v>
      </c>
      <c r="E63" s="60">
        <v>5.04</v>
      </c>
      <c r="F63" s="60">
        <v>0.41</v>
      </c>
      <c r="G63" s="215" t="s">
        <v>36</v>
      </c>
      <c r="H63" s="60">
        <v>18.3</v>
      </c>
      <c r="I63" s="60">
        <v>4.34</v>
      </c>
      <c r="J63" s="60">
        <v>0.9</v>
      </c>
      <c r="K63" s="60">
        <v>73.2</v>
      </c>
      <c r="L63" s="9" t="s">
        <v>36</v>
      </c>
      <c r="M63" s="60">
        <v>78.5</v>
      </c>
      <c r="N63" s="60">
        <v>129.4</v>
      </c>
      <c r="O63" s="60">
        <v>0</v>
      </c>
      <c r="P63" s="60">
        <v>3.39</v>
      </c>
      <c r="Q63" s="60">
        <v>10.34</v>
      </c>
      <c r="R63" s="197"/>
      <c r="S63" s="197"/>
      <c r="T63" s="197"/>
      <c r="U63" s="197"/>
    </row>
    <row r="64" spans="1:21" s="12" customFormat="1" x14ac:dyDescent="0.25">
      <c r="A64" s="200" t="s">
        <v>591</v>
      </c>
      <c r="B64" s="60">
        <v>3.74</v>
      </c>
      <c r="C64" s="60">
        <v>12.69</v>
      </c>
      <c r="D64" s="60">
        <v>16.43</v>
      </c>
      <c r="E64" s="60">
        <v>5.13</v>
      </c>
      <c r="F64" s="60">
        <v>0.4</v>
      </c>
      <c r="G64" s="215" t="s">
        <v>36</v>
      </c>
      <c r="H64" s="60">
        <v>18.3</v>
      </c>
      <c r="I64" s="60">
        <v>4.2699999999999996</v>
      </c>
      <c r="J64" s="60">
        <v>1.07</v>
      </c>
      <c r="K64" s="60">
        <v>81.680000000000007</v>
      </c>
      <c r="L64" s="9" t="s">
        <v>36</v>
      </c>
      <c r="M64" s="60">
        <v>77.36</v>
      </c>
      <c r="N64" s="60">
        <v>239.1</v>
      </c>
      <c r="O64" s="60">
        <v>0</v>
      </c>
      <c r="P64" s="60">
        <v>3.4</v>
      </c>
      <c r="Q64" s="60">
        <v>10.91</v>
      </c>
      <c r="R64" s="197"/>
      <c r="S64" s="197"/>
      <c r="T64" s="197"/>
      <c r="U64" s="197"/>
    </row>
    <row r="65" spans="1:21" s="12" customFormat="1" x14ac:dyDescent="0.25">
      <c r="A65" s="200" t="s">
        <v>592</v>
      </c>
      <c r="B65" s="60">
        <v>4.6900000000000004</v>
      </c>
      <c r="C65" s="60">
        <v>13.08</v>
      </c>
      <c r="D65" s="60">
        <v>17.760000000000002</v>
      </c>
      <c r="E65" s="60">
        <v>4.97</v>
      </c>
      <c r="F65" s="60">
        <v>0.22</v>
      </c>
      <c r="G65" s="215" t="s">
        <v>36</v>
      </c>
      <c r="H65" s="60">
        <v>19.690000000000001</v>
      </c>
      <c r="I65" s="60">
        <v>4.2300000000000004</v>
      </c>
      <c r="J65" s="60">
        <v>1.01</v>
      </c>
      <c r="K65" s="60">
        <v>75.790000000000006</v>
      </c>
      <c r="L65" s="9" t="s">
        <v>36</v>
      </c>
      <c r="M65" s="60">
        <v>75.89</v>
      </c>
      <c r="N65" s="60">
        <v>266.39999999999998</v>
      </c>
      <c r="O65" s="60">
        <v>0</v>
      </c>
      <c r="P65" s="60">
        <v>3.4</v>
      </c>
      <c r="Q65" s="60">
        <v>11.27</v>
      </c>
      <c r="R65" s="197"/>
      <c r="S65" s="197"/>
      <c r="T65" s="197"/>
      <c r="U65" s="197"/>
    </row>
    <row r="66" spans="1:21" s="12" customFormat="1" x14ac:dyDescent="0.25">
      <c r="A66" s="200" t="s">
        <v>593</v>
      </c>
      <c r="B66" s="60">
        <v>5.0999999999999996</v>
      </c>
      <c r="C66" s="60">
        <v>12.93</v>
      </c>
      <c r="D66" s="60">
        <v>18.03</v>
      </c>
      <c r="E66" s="60">
        <v>5.49</v>
      </c>
      <c r="F66" s="60">
        <v>0.3</v>
      </c>
      <c r="G66" s="215" t="s">
        <v>36</v>
      </c>
      <c r="H66" s="60">
        <v>23.13</v>
      </c>
      <c r="I66" s="60">
        <v>4.21</v>
      </c>
      <c r="J66" s="60">
        <v>1.65</v>
      </c>
      <c r="K66" s="60">
        <v>94.01</v>
      </c>
      <c r="L66" s="9" t="s">
        <v>36</v>
      </c>
      <c r="M66" s="60">
        <v>77.75</v>
      </c>
      <c r="N66" s="60">
        <v>286.10000000000002</v>
      </c>
      <c r="O66" s="60">
        <v>0</v>
      </c>
      <c r="P66" s="60">
        <v>3.39</v>
      </c>
      <c r="Q66" s="60">
        <v>11.25</v>
      </c>
      <c r="R66" s="197"/>
      <c r="S66" s="197"/>
      <c r="T66" s="197"/>
      <c r="U66" s="197"/>
    </row>
    <row r="67" spans="1:21" s="12" customFormat="1" x14ac:dyDescent="0.25">
      <c r="A67" s="200" t="s">
        <v>594</v>
      </c>
      <c r="B67" s="60">
        <v>5.14</v>
      </c>
      <c r="C67" s="60">
        <v>12.58</v>
      </c>
      <c r="D67" s="60">
        <v>17.71</v>
      </c>
      <c r="E67" s="60">
        <v>5.07</v>
      </c>
      <c r="F67" s="60">
        <v>0.28000000000000003</v>
      </c>
      <c r="G67" s="215" t="s">
        <v>36</v>
      </c>
      <c r="H67" s="60">
        <v>23.13</v>
      </c>
      <c r="I67" s="60">
        <v>4.2699999999999996</v>
      </c>
      <c r="J67" s="60">
        <v>1.1599999999999999</v>
      </c>
      <c r="K67" s="60">
        <v>90.75</v>
      </c>
      <c r="L67" s="9" t="s">
        <v>36</v>
      </c>
      <c r="M67" s="60">
        <v>74.81</v>
      </c>
      <c r="N67" s="60">
        <v>291.60000000000002</v>
      </c>
      <c r="O67" s="60">
        <v>0</v>
      </c>
      <c r="P67" s="60">
        <v>3.39</v>
      </c>
      <c r="Q67" s="60">
        <v>11.13</v>
      </c>
      <c r="R67" s="197"/>
      <c r="S67" s="197"/>
      <c r="T67" s="197"/>
      <c r="U67" s="197"/>
    </row>
    <row r="68" spans="1:21" s="12" customFormat="1" x14ac:dyDescent="0.25">
      <c r="A68" s="200" t="s">
        <v>595</v>
      </c>
      <c r="B68" s="60">
        <v>5.0999999999999996</v>
      </c>
      <c r="C68" s="60">
        <v>12.51</v>
      </c>
      <c r="D68" s="60">
        <v>17.600000000000001</v>
      </c>
      <c r="E68" s="60">
        <v>4.9400000000000004</v>
      </c>
      <c r="F68" s="60">
        <v>0.24</v>
      </c>
      <c r="G68" s="215" t="s">
        <v>36</v>
      </c>
      <c r="H68" s="60">
        <v>23.13</v>
      </c>
      <c r="I68" s="60">
        <v>4.21</v>
      </c>
      <c r="J68" s="60">
        <v>1.51</v>
      </c>
      <c r="K68" s="60">
        <v>94.91</v>
      </c>
      <c r="L68" s="9" t="s">
        <v>36</v>
      </c>
      <c r="M68" s="60">
        <v>75.52</v>
      </c>
      <c r="N68" s="60">
        <v>233.1</v>
      </c>
      <c r="O68" s="60">
        <v>0</v>
      </c>
      <c r="P68" s="60">
        <v>3.39</v>
      </c>
      <c r="Q68" s="60">
        <v>11.06</v>
      </c>
      <c r="R68" s="197"/>
      <c r="S68" s="197"/>
      <c r="T68" s="197"/>
      <c r="U68" s="197"/>
    </row>
    <row r="69" spans="1:21" s="12" customFormat="1" x14ac:dyDescent="0.25">
      <c r="A69" s="200" t="s">
        <v>596</v>
      </c>
      <c r="B69" s="60">
        <v>4.53</v>
      </c>
      <c r="C69" s="60">
        <v>11.49</v>
      </c>
      <c r="D69" s="60">
        <v>16.02</v>
      </c>
      <c r="E69" s="60">
        <v>5.23</v>
      </c>
      <c r="F69" s="60">
        <v>0.9</v>
      </c>
      <c r="G69" s="215" t="s">
        <v>36</v>
      </c>
      <c r="H69" s="60">
        <v>22.63</v>
      </c>
      <c r="I69" s="60">
        <v>4.28</v>
      </c>
      <c r="J69" s="60">
        <v>1.95</v>
      </c>
      <c r="K69" s="60">
        <v>100.48</v>
      </c>
      <c r="L69" s="9" t="s">
        <v>36</v>
      </c>
      <c r="M69" s="60">
        <v>76.709999999999994</v>
      </c>
      <c r="N69" s="60">
        <v>168.4</v>
      </c>
      <c r="O69" s="60">
        <v>0</v>
      </c>
      <c r="P69" s="60">
        <v>3.38</v>
      </c>
      <c r="Q69" s="60">
        <v>10.84</v>
      </c>
      <c r="R69" s="197"/>
      <c r="S69" s="197"/>
      <c r="T69" s="197"/>
      <c r="U69" s="197"/>
    </row>
    <row r="70" spans="1:21" s="12" customFormat="1" x14ac:dyDescent="0.25">
      <c r="A70" s="200" t="s">
        <v>597</v>
      </c>
      <c r="B70" s="60">
        <v>3.8</v>
      </c>
      <c r="C70" s="60">
        <v>11.71</v>
      </c>
      <c r="D70" s="60">
        <v>15.51</v>
      </c>
      <c r="E70" s="60">
        <v>5.2</v>
      </c>
      <c r="F70" s="60">
        <v>0.47</v>
      </c>
      <c r="G70" s="215" t="s">
        <v>36</v>
      </c>
      <c r="H70" s="60">
        <v>21.4</v>
      </c>
      <c r="I70" s="60">
        <v>4.3499999999999996</v>
      </c>
      <c r="J70" s="60">
        <v>2.3199999999999998</v>
      </c>
      <c r="K70" s="60">
        <v>98.29</v>
      </c>
      <c r="L70" s="9" t="s">
        <v>36</v>
      </c>
      <c r="M70" s="60">
        <v>78.069999999999993</v>
      </c>
      <c r="N70" s="60">
        <v>152</v>
      </c>
      <c r="O70" s="60">
        <v>0</v>
      </c>
      <c r="P70" s="60">
        <v>3.37</v>
      </c>
      <c r="Q70" s="60">
        <v>9.91</v>
      </c>
      <c r="R70" s="197"/>
      <c r="S70" s="197"/>
      <c r="T70" s="197"/>
      <c r="U70" s="197"/>
    </row>
    <row r="71" spans="1:21" s="12" customFormat="1" x14ac:dyDescent="0.25">
      <c r="A71" s="200" t="s">
        <v>598</v>
      </c>
      <c r="B71" s="60">
        <v>3.22</v>
      </c>
      <c r="C71" s="60">
        <v>11.26</v>
      </c>
      <c r="D71" s="60">
        <v>14.49</v>
      </c>
      <c r="E71" s="60">
        <v>5.05</v>
      </c>
      <c r="F71" s="60">
        <v>0.96</v>
      </c>
      <c r="G71" s="215" t="s">
        <v>36</v>
      </c>
      <c r="H71" s="60">
        <v>21.4</v>
      </c>
      <c r="I71" s="60">
        <v>4.2300000000000004</v>
      </c>
      <c r="J71" s="60">
        <v>1.74</v>
      </c>
      <c r="K71" s="60">
        <v>98.82</v>
      </c>
      <c r="L71" s="9" t="s">
        <v>36</v>
      </c>
      <c r="M71" s="60">
        <v>77.92</v>
      </c>
      <c r="N71" s="60">
        <v>171.3</v>
      </c>
      <c r="O71" s="60">
        <v>0</v>
      </c>
      <c r="P71" s="60">
        <v>3.34</v>
      </c>
      <c r="Q71" s="60">
        <v>9.15</v>
      </c>
      <c r="R71" s="197"/>
      <c r="S71" s="197"/>
      <c r="T71" s="197"/>
      <c r="U71" s="197"/>
    </row>
    <row r="72" spans="1:21" s="12" customFormat="1" x14ac:dyDescent="0.25">
      <c r="A72" s="200" t="s">
        <v>599</v>
      </c>
      <c r="B72" s="60">
        <v>2.74</v>
      </c>
      <c r="C72" s="60">
        <v>11.27</v>
      </c>
      <c r="D72" s="60">
        <v>14.01</v>
      </c>
      <c r="E72" s="60">
        <v>1.82</v>
      </c>
      <c r="F72" s="60">
        <v>0.66</v>
      </c>
      <c r="G72" s="215" t="s">
        <v>36</v>
      </c>
      <c r="H72" s="60">
        <v>21.4</v>
      </c>
      <c r="I72" s="60">
        <v>4.1500000000000004</v>
      </c>
      <c r="J72" s="60">
        <v>1.3</v>
      </c>
      <c r="K72" s="60">
        <v>93.49</v>
      </c>
      <c r="L72" s="9" t="s">
        <v>36</v>
      </c>
      <c r="M72" s="60">
        <v>78.44</v>
      </c>
      <c r="N72" s="60">
        <v>182.6</v>
      </c>
      <c r="O72" s="60">
        <v>0</v>
      </c>
      <c r="P72" s="60">
        <v>3.33</v>
      </c>
      <c r="Q72" s="60">
        <v>8.4700000000000006</v>
      </c>
      <c r="R72" s="197"/>
      <c r="S72" s="197"/>
      <c r="T72" s="197"/>
      <c r="U72" s="197"/>
    </row>
    <row r="73" spans="1:21" s="12" customFormat="1" x14ac:dyDescent="0.25">
      <c r="A73" s="200" t="s">
        <v>600</v>
      </c>
      <c r="B73" s="60">
        <v>2.39</v>
      </c>
      <c r="C73" s="60">
        <v>11.15</v>
      </c>
      <c r="D73" s="60">
        <v>13.54</v>
      </c>
      <c r="E73" s="60">
        <v>5</v>
      </c>
      <c r="F73" s="60">
        <v>0.42</v>
      </c>
      <c r="G73" s="215" t="s">
        <v>36</v>
      </c>
      <c r="H73" s="60">
        <v>21.74</v>
      </c>
      <c r="I73" s="60">
        <v>3.94</v>
      </c>
      <c r="J73" s="60">
        <v>1.66</v>
      </c>
      <c r="K73" s="60">
        <v>95.5</v>
      </c>
      <c r="L73" s="9" t="s">
        <v>36</v>
      </c>
      <c r="M73" s="60">
        <v>79.38</v>
      </c>
      <c r="N73" s="60">
        <v>183.3</v>
      </c>
      <c r="O73" s="60">
        <v>0</v>
      </c>
      <c r="P73" s="60">
        <v>3.32</v>
      </c>
      <c r="Q73" s="60">
        <v>8.15</v>
      </c>
      <c r="R73" s="197"/>
      <c r="S73" s="197"/>
      <c r="T73" s="197"/>
      <c r="U73" s="197"/>
    </row>
    <row r="74" spans="1:21" s="12" customFormat="1" x14ac:dyDescent="0.25">
      <c r="A74" s="200" t="s">
        <v>601</v>
      </c>
      <c r="B74" s="60">
        <v>2.15</v>
      </c>
      <c r="C74" s="60">
        <v>10.42</v>
      </c>
      <c r="D74" s="60">
        <v>12.56</v>
      </c>
      <c r="E74" s="60">
        <v>4.63</v>
      </c>
      <c r="F74" s="60">
        <v>0.68</v>
      </c>
      <c r="G74" s="215" t="s">
        <v>36</v>
      </c>
      <c r="H74" s="60">
        <v>22.56</v>
      </c>
      <c r="I74" s="60">
        <v>3.89</v>
      </c>
      <c r="J74" s="60">
        <v>1.47</v>
      </c>
      <c r="K74" s="60">
        <v>91.22</v>
      </c>
      <c r="L74" s="9" t="s">
        <v>36</v>
      </c>
      <c r="M74" s="60">
        <v>79.930000000000007</v>
      </c>
      <c r="N74" s="60">
        <v>161.30000000000001</v>
      </c>
      <c r="O74" s="60">
        <v>0</v>
      </c>
      <c r="P74" s="60">
        <v>3.3</v>
      </c>
      <c r="Q74" s="60">
        <v>7.83</v>
      </c>
      <c r="R74" s="197"/>
      <c r="S74" s="197"/>
      <c r="T74" s="197"/>
      <c r="U74" s="197"/>
    </row>
    <row r="75" spans="1:21" s="12" customFormat="1" x14ac:dyDescent="0.25">
      <c r="A75" s="200" t="s">
        <v>602</v>
      </c>
      <c r="B75" s="60">
        <v>1.97</v>
      </c>
      <c r="C75" s="60">
        <v>10.23</v>
      </c>
      <c r="D75" s="60">
        <v>12.2</v>
      </c>
      <c r="E75" s="60">
        <v>4.7</v>
      </c>
      <c r="F75" s="60">
        <v>0.2</v>
      </c>
      <c r="G75" s="215" t="s">
        <v>36</v>
      </c>
      <c r="H75" s="60">
        <v>22.56</v>
      </c>
      <c r="I75" s="60">
        <v>3.86</v>
      </c>
      <c r="J75" s="60">
        <v>1.19</v>
      </c>
      <c r="K75" s="60">
        <v>98.52</v>
      </c>
      <c r="L75" s="9" t="s">
        <v>36</v>
      </c>
      <c r="M75" s="60">
        <v>80.87</v>
      </c>
      <c r="N75" s="60">
        <v>143</v>
      </c>
      <c r="O75" s="60">
        <v>0</v>
      </c>
      <c r="P75" s="60">
        <v>3.3</v>
      </c>
      <c r="Q75" s="60">
        <v>7.85</v>
      </c>
      <c r="R75" s="197"/>
      <c r="S75" s="197"/>
      <c r="T75" s="197"/>
      <c r="U75" s="197"/>
    </row>
    <row r="76" spans="1:21" s="12" customFormat="1" x14ac:dyDescent="0.25">
      <c r="A76" s="200" t="s">
        <v>603</v>
      </c>
      <c r="B76" s="60">
        <v>1.91</v>
      </c>
      <c r="C76" s="60">
        <v>9.7100000000000009</v>
      </c>
      <c r="D76" s="60">
        <v>11.62</v>
      </c>
      <c r="E76" s="60">
        <v>4.82</v>
      </c>
      <c r="F76" s="60">
        <v>0.1</v>
      </c>
      <c r="G76" s="215" t="s">
        <v>36</v>
      </c>
      <c r="H76" s="60">
        <v>22.56</v>
      </c>
      <c r="I76" s="60">
        <v>3.69</v>
      </c>
      <c r="J76" s="60">
        <v>0.84</v>
      </c>
      <c r="K76" s="60">
        <v>87.84</v>
      </c>
      <c r="L76" s="9" t="s">
        <v>36</v>
      </c>
      <c r="M76" s="60">
        <v>79.5</v>
      </c>
      <c r="N76" s="60">
        <v>124</v>
      </c>
      <c r="O76" s="60">
        <v>0</v>
      </c>
      <c r="P76" s="60">
        <v>3.29</v>
      </c>
      <c r="Q76" s="60">
        <v>7.93</v>
      </c>
      <c r="R76" s="197"/>
      <c r="S76" s="197"/>
      <c r="T76" s="197"/>
      <c r="U76" s="197"/>
    </row>
    <row r="77" spans="1:21" s="12" customFormat="1" x14ac:dyDescent="0.25">
      <c r="A77" s="200" t="s">
        <v>604</v>
      </c>
      <c r="B77" s="60">
        <v>2.0099999999999998</v>
      </c>
      <c r="C77" s="60">
        <v>9.5500000000000007</v>
      </c>
      <c r="D77" s="60">
        <v>11.56</v>
      </c>
      <c r="E77" s="60">
        <v>4.5</v>
      </c>
      <c r="F77" s="60">
        <v>0.15</v>
      </c>
      <c r="G77" s="215" t="s">
        <v>36</v>
      </c>
      <c r="H77" s="60">
        <v>20.68</v>
      </c>
      <c r="I77" s="60">
        <v>3.43</v>
      </c>
      <c r="J77" s="60">
        <v>1.03</v>
      </c>
      <c r="K77" s="60">
        <v>99.3</v>
      </c>
      <c r="L77" s="9" t="s">
        <v>36</v>
      </c>
      <c r="M77" s="60">
        <v>79.290000000000006</v>
      </c>
      <c r="N77" s="60">
        <v>103.8</v>
      </c>
      <c r="O77" s="60">
        <v>0</v>
      </c>
      <c r="P77" s="60">
        <v>3.28</v>
      </c>
      <c r="Q77" s="60">
        <v>8.08</v>
      </c>
      <c r="R77" s="197"/>
      <c r="S77" s="197"/>
      <c r="T77" s="197"/>
      <c r="U77" s="197"/>
    </row>
    <row r="78" spans="1:21" s="12" customFormat="1" x14ac:dyDescent="0.25">
      <c r="A78" s="200" t="s">
        <v>605</v>
      </c>
      <c r="B78" s="60">
        <v>2.2200000000000002</v>
      </c>
      <c r="C78" s="60">
        <v>9.5299999999999994</v>
      </c>
      <c r="D78" s="60">
        <v>11.75</v>
      </c>
      <c r="E78" s="60">
        <v>4.9400000000000004</v>
      </c>
      <c r="F78" s="60">
        <v>0.26</v>
      </c>
      <c r="G78" s="215" t="s">
        <v>36</v>
      </c>
      <c r="H78" s="60">
        <v>16.04</v>
      </c>
      <c r="I78" s="60">
        <v>3.35</v>
      </c>
      <c r="J78" s="60">
        <v>1.1499999999999999</v>
      </c>
      <c r="K78" s="60">
        <v>96.43</v>
      </c>
      <c r="L78" s="9" t="s">
        <v>36</v>
      </c>
      <c r="M78" s="60">
        <v>78.64</v>
      </c>
      <c r="N78" s="60">
        <v>80.900000000000006</v>
      </c>
      <c r="O78" s="60">
        <v>0</v>
      </c>
      <c r="P78" s="60">
        <v>3.29</v>
      </c>
      <c r="Q78" s="60">
        <v>8.14</v>
      </c>
      <c r="R78" s="197"/>
      <c r="S78" s="197"/>
      <c r="T78" s="197"/>
      <c r="U78" s="197"/>
    </row>
    <row r="79" spans="1:21" s="12" customFormat="1" x14ac:dyDescent="0.25">
      <c r="A79" s="200" t="s">
        <v>606</v>
      </c>
      <c r="B79" s="60">
        <v>2.38</v>
      </c>
      <c r="C79" s="60">
        <v>9.35</v>
      </c>
      <c r="D79" s="60">
        <v>11.73</v>
      </c>
      <c r="E79" s="60">
        <v>4.96</v>
      </c>
      <c r="F79" s="60">
        <v>0.21</v>
      </c>
      <c r="G79" s="215" t="s">
        <v>36</v>
      </c>
      <c r="H79" s="60">
        <v>16.04</v>
      </c>
      <c r="I79" s="60">
        <v>3.29</v>
      </c>
      <c r="J79" s="60">
        <v>1.44</v>
      </c>
      <c r="K79" s="60">
        <v>87.37</v>
      </c>
      <c r="L79" s="9" t="s">
        <v>36</v>
      </c>
      <c r="M79" s="60">
        <v>77.239999999999995</v>
      </c>
      <c r="N79" s="60">
        <v>57.3</v>
      </c>
      <c r="O79" s="60">
        <v>0</v>
      </c>
      <c r="P79" s="60">
        <v>3.28</v>
      </c>
      <c r="Q79" s="60">
        <v>8.23</v>
      </c>
      <c r="R79" s="197"/>
      <c r="S79" s="197"/>
      <c r="T79" s="197"/>
      <c r="U79" s="197"/>
    </row>
    <row r="80" spans="1:21" s="12" customFormat="1" x14ac:dyDescent="0.25">
      <c r="A80" s="200" t="s">
        <v>607</v>
      </c>
      <c r="B80" s="60">
        <v>2.48</v>
      </c>
      <c r="C80" s="60">
        <v>9.43</v>
      </c>
      <c r="D80" s="60">
        <v>11.91</v>
      </c>
      <c r="E80" s="60">
        <v>5.48</v>
      </c>
      <c r="F80" s="60">
        <v>0.13</v>
      </c>
      <c r="G80" s="215" t="s">
        <v>36</v>
      </c>
      <c r="H80" s="60">
        <v>16.04</v>
      </c>
      <c r="I80" s="60">
        <v>3.45</v>
      </c>
      <c r="J80" s="60">
        <v>1.1399999999999999</v>
      </c>
      <c r="K80" s="60">
        <v>87.02</v>
      </c>
      <c r="L80" s="9" t="s">
        <v>36</v>
      </c>
      <c r="M80" s="60">
        <v>77.77</v>
      </c>
      <c r="N80" s="60">
        <v>38.5</v>
      </c>
      <c r="O80" s="60">
        <v>0</v>
      </c>
      <c r="P80" s="60">
        <v>3.29</v>
      </c>
      <c r="Q80" s="60">
        <v>8.25</v>
      </c>
      <c r="R80" s="197"/>
      <c r="S80" s="197"/>
      <c r="T80" s="197"/>
      <c r="U80" s="197"/>
    </row>
    <row r="81" spans="1:26" s="12" customFormat="1" x14ac:dyDescent="0.25">
      <c r="A81" s="200" t="s">
        <v>608</v>
      </c>
      <c r="B81" s="60">
        <v>2.98</v>
      </c>
      <c r="C81" s="60">
        <v>9.5299999999999994</v>
      </c>
      <c r="D81" s="60">
        <v>12.51</v>
      </c>
      <c r="E81" s="60">
        <v>5.35</v>
      </c>
      <c r="F81" s="60">
        <v>0.11</v>
      </c>
      <c r="G81" s="215" t="s">
        <v>36</v>
      </c>
      <c r="H81" s="60">
        <v>16.53</v>
      </c>
      <c r="I81" s="60">
        <v>3.69</v>
      </c>
      <c r="J81" s="60">
        <v>0.43</v>
      </c>
      <c r="K81" s="60">
        <v>29.88</v>
      </c>
      <c r="L81" s="9" t="s">
        <v>36</v>
      </c>
      <c r="M81" s="60">
        <v>79.77</v>
      </c>
      <c r="N81" s="60">
        <v>28</v>
      </c>
      <c r="O81" s="60">
        <v>0</v>
      </c>
      <c r="P81" s="60">
        <v>3.32</v>
      </c>
      <c r="Q81" s="60">
        <v>8.43</v>
      </c>
      <c r="R81" s="197"/>
      <c r="S81" s="197"/>
      <c r="T81" s="197"/>
      <c r="U81" s="197"/>
    </row>
    <row r="82" spans="1:26" s="12" customFormat="1" x14ac:dyDescent="0.25">
      <c r="A82" s="200" t="s">
        <v>609</v>
      </c>
      <c r="B82" s="60">
        <v>4.51</v>
      </c>
      <c r="C82" s="60">
        <v>9.82</v>
      </c>
      <c r="D82" s="60">
        <v>14.33</v>
      </c>
      <c r="E82" s="60">
        <v>5.0999999999999996</v>
      </c>
      <c r="F82" s="60">
        <v>0.28999999999999998</v>
      </c>
      <c r="G82" s="215" t="s">
        <v>36</v>
      </c>
      <c r="H82" s="60">
        <v>17.739999999999998</v>
      </c>
      <c r="I82" s="60">
        <v>3.92</v>
      </c>
      <c r="J82" s="60">
        <v>0.64</v>
      </c>
      <c r="K82" s="60">
        <v>84.26</v>
      </c>
      <c r="L82" s="9" t="s">
        <v>36</v>
      </c>
      <c r="M82" s="60">
        <v>81.010000000000005</v>
      </c>
      <c r="N82" s="60">
        <v>22.7</v>
      </c>
      <c r="O82" s="60">
        <v>0</v>
      </c>
      <c r="P82" s="60">
        <v>3.35</v>
      </c>
      <c r="Q82" s="60">
        <v>8.9</v>
      </c>
      <c r="R82" s="197"/>
      <c r="S82" s="197"/>
      <c r="T82" s="197"/>
      <c r="U82" s="197"/>
    </row>
    <row r="83" spans="1:26" s="12" customFormat="1" x14ac:dyDescent="0.25">
      <c r="A83" s="200" t="s">
        <v>610</v>
      </c>
      <c r="B83" s="60">
        <v>5.32</v>
      </c>
      <c r="C83" s="60">
        <v>9.7799999999999994</v>
      </c>
      <c r="D83" s="60">
        <v>15.1</v>
      </c>
      <c r="E83" s="60">
        <v>5.05</v>
      </c>
      <c r="F83" s="60">
        <v>0.48</v>
      </c>
      <c r="G83" s="215" t="s">
        <v>36</v>
      </c>
      <c r="H83" s="60">
        <v>17.739999999999998</v>
      </c>
      <c r="I83" s="60">
        <v>4.1500000000000004</v>
      </c>
      <c r="J83" s="60">
        <v>0.5</v>
      </c>
      <c r="K83" s="60">
        <v>70.86</v>
      </c>
      <c r="L83" s="9" t="s">
        <v>36</v>
      </c>
      <c r="M83" s="60">
        <v>80.319999999999993</v>
      </c>
      <c r="N83" s="60">
        <v>16.899999999999999</v>
      </c>
      <c r="O83" s="60">
        <v>0</v>
      </c>
      <c r="P83" s="60">
        <v>3.37</v>
      </c>
      <c r="Q83" s="60">
        <v>9.0500000000000007</v>
      </c>
      <c r="R83" s="197"/>
      <c r="S83" s="197"/>
      <c r="T83" s="197"/>
      <c r="U83" s="197"/>
    </row>
    <row r="84" spans="1:26" s="12" customFormat="1" x14ac:dyDescent="0.25">
      <c r="A84" s="200" t="s">
        <v>611</v>
      </c>
      <c r="B84" s="60">
        <v>5.78</v>
      </c>
      <c r="C84" s="60">
        <v>10.87</v>
      </c>
      <c r="D84" s="60">
        <v>16.66</v>
      </c>
      <c r="E84" s="60">
        <v>4.87</v>
      </c>
      <c r="F84" s="60">
        <v>0.2</v>
      </c>
      <c r="G84" s="215" t="s">
        <v>36</v>
      </c>
      <c r="H84" s="60">
        <v>17.739999999999998</v>
      </c>
      <c r="I84" s="60">
        <v>4.46</v>
      </c>
      <c r="J84" s="60">
        <v>0.41</v>
      </c>
      <c r="K84" s="60">
        <v>57.68</v>
      </c>
      <c r="L84" s="9" t="s">
        <v>36</v>
      </c>
      <c r="M84" s="60">
        <v>79.94</v>
      </c>
      <c r="N84" s="60">
        <v>14.9</v>
      </c>
      <c r="O84" s="60">
        <v>0</v>
      </c>
      <c r="P84" s="60">
        <v>3.43</v>
      </c>
      <c r="Q84" s="60">
        <v>9.16</v>
      </c>
      <c r="R84" s="197"/>
      <c r="S84" s="197"/>
      <c r="T84" s="197"/>
      <c r="U84" s="197"/>
    </row>
    <row r="85" spans="1:26" s="12" customFormat="1" x14ac:dyDescent="0.25">
      <c r="A85" s="200" t="s">
        <v>612</v>
      </c>
      <c r="B85" s="60">
        <v>7.58</v>
      </c>
      <c r="C85" s="60">
        <v>11.65</v>
      </c>
      <c r="D85" s="60">
        <v>19.23</v>
      </c>
      <c r="E85" s="60">
        <v>5.49</v>
      </c>
      <c r="F85" s="60">
        <v>0.25</v>
      </c>
      <c r="G85" s="215" t="s">
        <v>36</v>
      </c>
      <c r="H85" s="60">
        <v>17.690000000000001</v>
      </c>
      <c r="I85" s="60">
        <v>4.3600000000000003</v>
      </c>
      <c r="J85" s="60">
        <v>0.42</v>
      </c>
      <c r="K85" s="60">
        <v>70.260000000000005</v>
      </c>
      <c r="L85" s="9" t="s">
        <v>36</v>
      </c>
      <c r="M85" s="60">
        <v>80.099999999999994</v>
      </c>
      <c r="N85" s="60">
        <v>14.9</v>
      </c>
      <c r="O85" s="60">
        <v>0</v>
      </c>
      <c r="P85" s="60">
        <v>3.51</v>
      </c>
      <c r="Q85" s="60">
        <v>9.32</v>
      </c>
      <c r="R85" s="197"/>
      <c r="S85" s="197"/>
      <c r="T85" s="197"/>
      <c r="U85" s="197"/>
    </row>
    <row r="86" spans="1:26" s="12" customFormat="1" x14ac:dyDescent="0.25">
      <c r="A86" s="200" t="s">
        <v>613</v>
      </c>
      <c r="B86" s="60">
        <v>8.94</v>
      </c>
      <c r="C86" s="60">
        <v>12.91</v>
      </c>
      <c r="D86" s="60">
        <v>21.85</v>
      </c>
      <c r="E86" s="60">
        <v>4.3899999999999997</v>
      </c>
      <c r="F86" s="60">
        <v>0.02</v>
      </c>
      <c r="G86" s="215" t="s">
        <v>36</v>
      </c>
      <c r="H86" s="60">
        <v>17.579999999999998</v>
      </c>
      <c r="I86" s="60">
        <v>4.7</v>
      </c>
      <c r="J86" s="60">
        <v>0.34</v>
      </c>
      <c r="K86" s="60">
        <v>65.28</v>
      </c>
      <c r="L86" s="9" t="s">
        <v>36</v>
      </c>
      <c r="M86" s="60">
        <v>80.77</v>
      </c>
      <c r="N86" s="60">
        <v>14.9</v>
      </c>
      <c r="O86" s="60">
        <v>0</v>
      </c>
      <c r="P86" s="60">
        <v>3.57</v>
      </c>
      <c r="Q86" s="60">
        <v>9.7100000000000009</v>
      </c>
      <c r="R86" s="197"/>
      <c r="S86" s="197"/>
      <c r="T86" s="197"/>
      <c r="U86" s="197"/>
    </row>
    <row r="87" spans="1:26" s="12" customFormat="1" x14ac:dyDescent="0.25">
      <c r="A87" s="200" t="s">
        <v>614</v>
      </c>
      <c r="B87" s="60">
        <v>10.98</v>
      </c>
      <c r="C87" s="60">
        <v>13.38</v>
      </c>
      <c r="D87" s="60">
        <v>24.37</v>
      </c>
      <c r="E87" s="60">
        <v>5.51</v>
      </c>
      <c r="F87" s="60">
        <v>0.21</v>
      </c>
      <c r="G87" s="215" t="s">
        <v>36</v>
      </c>
      <c r="H87" s="60">
        <v>17.579999999999998</v>
      </c>
      <c r="I87" s="60">
        <v>5.04</v>
      </c>
      <c r="J87" s="60">
        <v>0.4</v>
      </c>
      <c r="K87" s="60">
        <v>63.85</v>
      </c>
      <c r="L87" s="9" t="s">
        <v>36</v>
      </c>
      <c r="M87" s="60">
        <v>80.17</v>
      </c>
      <c r="N87" s="60">
        <v>14.7</v>
      </c>
      <c r="O87" s="60">
        <v>0</v>
      </c>
      <c r="P87" s="60">
        <v>3.67</v>
      </c>
      <c r="Q87" s="60">
        <v>10.28</v>
      </c>
      <c r="R87" s="197"/>
      <c r="S87" s="197"/>
      <c r="T87" s="197"/>
      <c r="U87" s="197"/>
    </row>
    <row r="88" spans="1:26" s="12" customFormat="1" x14ac:dyDescent="0.25">
      <c r="A88" s="200" t="s">
        <v>615</v>
      </c>
      <c r="B88" s="60">
        <v>12.71</v>
      </c>
      <c r="C88" s="60">
        <v>14.22</v>
      </c>
      <c r="D88" s="60">
        <v>26.93</v>
      </c>
      <c r="E88" s="60">
        <v>1.57</v>
      </c>
      <c r="F88" s="60">
        <v>0.04</v>
      </c>
      <c r="G88" s="215" t="s">
        <v>36</v>
      </c>
      <c r="H88" s="60">
        <v>17.579999999999998</v>
      </c>
      <c r="I88" s="60">
        <v>5.25</v>
      </c>
      <c r="J88" s="60">
        <v>0.44</v>
      </c>
      <c r="K88" s="60">
        <v>72.569999999999993</v>
      </c>
      <c r="L88" s="9" t="s">
        <v>36</v>
      </c>
      <c r="M88" s="60">
        <v>80.709999999999994</v>
      </c>
      <c r="N88" s="60">
        <v>14.8</v>
      </c>
      <c r="O88" s="60">
        <v>0</v>
      </c>
      <c r="P88" s="60">
        <v>3.72</v>
      </c>
      <c r="Q88" s="60">
        <v>10.82</v>
      </c>
      <c r="R88" s="197"/>
      <c r="S88" s="197"/>
      <c r="T88" s="197"/>
      <c r="U88" s="197"/>
    </row>
    <row r="89" spans="1:26" s="12" customFormat="1" x14ac:dyDescent="0.25">
      <c r="A89" s="200" t="s">
        <v>616</v>
      </c>
      <c r="B89" s="60">
        <v>15.33</v>
      </c>
      <c r="C89" s="60">
        <v>14.68</v>
      </c>
      <c r="D89" s="60">
        <v>30.01</v>
      </c>
      <c r="E89" s="60">
        <v>3.45</v>
      </c>
      <c r="F89" s="216" t="s">
        <v>49</v>
      </c>
      <c r="G89" s="215" t="s">
        <v>36</v>
      </c>
      <c r="H89" s="60">
        <v>17.55</v>
      </c>
      <c r="I89" s="60">
        <v>5.86</v>
      </c>
      <c r="J89" s="60">
        <v>0.54</v>
      </c>
      <c r="K89" s="60">
        <v>82.9</v>
      </c>
      <c r="L89" s="9" t="s">
        <v>36</v>
      </c>
      <c r="M89" s="60">
        <v>81.44</v>
      </c>
      <c r="N89" s="60">
        <v>14.7</v>
      </c>
      <c r="O89" s="60">
        <v>0</v>
      </c>
      <c r="P89" s="60">
        <v>3.81</v>
      </c>
      <c r="Q89" s="60">
        <v>11.76</v>
      </c>
      <c r="R89" s="197"/>
      <c r="S89" s="197"/>
      <c r="T89" s="197"/>
      <c r="U89" s="197"/>
    </row>
    <row r="90" spans="1:26" s="12" customFormat="1" x14ac:dyDescent="0.25">
      <c r="A90" s="200" t="s">
        <v>617</v>
      </c>
      <c r="B90" s="60">
        <v>16.03</v>
      </c>
      <c r="C90" s="60">
        <v>14.09</v>
      </c>
      <c r="D90" s="60">
        <v>30.13</v>
      </c>
      <c r="E90" s="60">
        <v>4.34</v>
      </c>
      <c r="F90" s="216" t="s">
        <v>49</v>
      </c>
      <c r="G90" s="215" t="s">
        <v>36</v>
      </c>
      <c r="H90" s="60">
        <v>17.48</v>
      </c>
      <c r="I90" s="60">
        <v>5.69</v>
      </c>
      <c r="J90" s="60">
        <v>0.55000000000000004</v>
      </c>
      <c r="K90" s="60">
        <v>77.760000000000005</v>
      </c>
      <c r="L90" s="9" t="s">
        <v>36</v>
      </c>
      <c r="M90" s="60">
        <v>81.25</v>
      </c>
      <c r="N90" s="60">
        <v>14.7</v>
      </c>
      <c r="O90" s="60">
        <v>0</v>
      </c>
      <c r="P90" s="60">
        <v>3.86</v>
      </c>
      <c r="Q90" s="60">
        <v>12.09</v>
      </c>
      <c r="R90" s="197"/>
      <c r="S90" s="197"/>
      <c r="T90" s="197"/>
      <c r="U90" s="197"/>
    </row>
    <row r="91" spans="1:26" s="12" customFormat="1" x14ac:dyDescent="0.25">
      <c r="A91" s="200" t="s">
        <v>618</v>
      </c>
      <c r="B91" s="60">
        <v>16.18</v>
      </c>
      <c r="C91" s="60">
        <v>13.82</v>
      </c>
      <c r="D91" s="60">
        <v>30</v>
      </c>
      <c r="E91" s="60">
        <v>4.4400000000000004</v>
      </c>
      <c r="F91" s="216" t="s">
        <v>49</v>
      </c>
      <c r="G91" s="215" t="s">
        <v>36</v>
      </c>
      <c r="H91" s="60">
        <v>17.48</v>
      </c>
      <c r="I91" s="60">
        <v>6.23</v>
      </c>
      <c r="J91" s="60">
        <v>0.54</v>
      </c>
      <c r="K91" s="60">
        <v>104.98</v>
      </c>
      <c r="L91" s="9" t="s">
        <v>36</v>
      </c>
      <c r="M91" s="60">
        <v>80.89</v>
      </c>
      <c r="N91" s="60">
        <v>14.6</v>
      </c>
      <c r="O91" s="60">
        <v>0</v>
      </c>
      <c r="P91" s="60">
        <v>3.85</v>
      </c>
      <c r="Q91" s="60">
        <v>12.2</v>
      </c>
      <c r="R91" s="197"/>
      <c r="S91" s="197"/>
      <c r="T91" s="197"/>
      <c r="U91" s="197"/>
    </row>
    <row r="92" spans="1:26" s="12" customFormat="1" x14ac:dyDescent="0.25">
      <c r="A92" s="200" t="s">
        <v>619</v>
      </c>
      <c r="B92" s="60">
        <v>16.059999999999999</v>
      </c>
      <c r="C92" s="60">
        <v>13.64</v>
      </c>
      <c r="D92" s="60">
        <v>29.71</v>
      </c>
      <c r="E92" s="60">
        <v>3.93</v>
      </c>
      <c r="F92" s="60">
        <v>0.03</v>
      </c>
      <c r="G92" s="215" t="s">
        <v>36</v>
      </c>
      <c r="H92" s="60">
        <v>17.48</v>
      </c>
      <c r="I92" s="60">
        <v>7</v>
      </c>
      <c r="J92" s="60">
        <v>0.51</v>
      </c>
      <c r="K92" s="60">
        <v>73.27</v>
      </c>
      <c r="L92" s="9" t="s">
        <v>36</v>
      </c>
      <c r="M92" s="60">
        <v>80.06</v>
      </c>
      <c r="N92" s="60">
        <v>14.7</v>
      </c>
      <c r="O92" s="60">
        <v>0</v>
      </c>
      <c r="P92" s="60">
        <v>3.86</v>
      </c>
      <c r="Q92" s="60">
        <v>12.29</v>
      </c>
      <c r="R92" s="197"/>
      <c r="S92" s="197"/>
      <c r="T92" s="197"/>
      <c r="U92" s="197"/>
    </row>
    <row r="93" spans="1:26" s="12" customFormat="1" x14ac:dyDescent="0.25">
      <c r="A93" s="200" t="s">
        <v>620</v>
      </c>
      <c r="B93" s="60">
        <v>16.32</v>
      </c>
      <c r="C93" s="60">
        <v>13.41</v>
      </c>
      <c r="D93" s="60">
        <v>29.73</v>
      </c>
      <c r="E93" s="60">
        <v>4.5599999999999996</v>
      </c>
      <c r="F93" s="60">
        <v>0.15</v>
      </c>
      <c r="G93" s="215" t="s">
        <v>36</v>
      </c>
      <c r="H93" s="60">
        <v>18.12</v>
      </c>
      <c r="I93" s="60">
        <v>6.26</v>
      </c>
      <c r="J93" s="60">
        <v>0.48</v>
      </c>
      <c r="K93" s="60">
        <v>75.63</v>
      </c>
      <c r="L93" s="9" t="s">
        <v>36</v>
      </c>
      <c r="M93" s="60">
        <v>80.66</v>
      </c>
      <c r="N93" s="60">
        <v>14.9</v>
      </c>
      <c r="O93" s="60">
        <v>0</v>
      </c>
      <c r="P93" s="60">
        <v>3.95</v>
      </c>
      <c r="Q93" s="60">
        <v>12.48</v>
      </c>
      <c r="R93" s="197"/>
      <c r="S93" s="197"/>
      <c r="T93" s="197"/>
      <c r="U93" s="197"/>
    </row>
    <row r="94" spans="1:26" s="12" customFormat="1" x14ac:dyDescent="0.25">
      <c r="A94" s="200" t="s">
        <v>621</v>
      </c>
      <c r="B94" s="60">
        <v>16.71</v>
      </c>
      <c r="C94" s="60">
        <v>13.2</v>
      </c>
      <c r="D94" s="60">
        <v>29.91</v>
      </c>
      <c r="E94" s="60">
        <v>4.9000000000000004</v>
      </c>
      <c r="F94" s="60">
        <v>0.06</v>
      </c>
      <c r="G94" s="215" t="s">
        <v>36</v>
      </c>
      <c r="H94" s="60">
        <v>19.68</v>
      </c>
      <c r="I94" s="60">
        <v>6.33</v>
      </c>
      <c r="J94" s="60">
        <v>0.63</v>
      </c>
      <c r="K94" s="60">
        <v>80.739999999999995</v>
      </c>
      <c r="L94" s="9" t="s">
        <v>36</v>
      </c>
      <c r="M94" s="60">
        <v>82.15</v>
      </c>
      <c r="N94" s="60">
        <v>14.7</v>
      </c>
      <c r="O94" s="60">
        <v>0</v>
      </c>
      <c r="P94" s="60">
        <v>3.92</v>
      </c>
      <c r="Q94" s="60">
        <v>12.63</v>
      </c>
      <c r="R94" s="197"/>
      <c r="S94" s="197"/>
      <c r="T94" s="197"/>
      <c r="U94" s="197"/>
    </row>
    <row r="95" spans="1:26" s="12" customFormat="1" x14ac:dyDescent="0.25">
      <c r="A95" s="200" t="s">
        <v>622</v>
      </c>
      <c r="B95" s="60">
        <v>16.23</v>
      </c>
      <c r="C95" s="60">
        <v>15.79</v>
      </c>
      <c r="D95" s="60">
        <v>32.020000000000003</v>
      </c>
      <c r="E95" s="60">
        <v>4.6399999999999997</v>
      </c>
      <c r="F95" s="60">
        <v>0.21</v>
      </c>
      <c r="G95" s="215" t="s">
        <v>36</v>
      </c>
      <c r="H95" s="60">
        <v>19.68</v>
      </c>
      <c r="I95" s="60">
        <v>7.46</v>
      </c>
      <c r="J95" s="60">
        <v>0.67</v>
      </c>
      <c r="K95" s="60">
        <v>76.930000000000007</v>
      </c>
      <c r="L95" s="9" t="s">
        <v>36</v>
      </c>
      <c r="M95" s="60">
        <v>81.23</v>
      </c>
      <c r="N95" s="60">
        <v>14.6</v>
      </c>
      <c r="O95" s="60">
        <v>0</v>
      </c>
      <c r="P95" s="60">
        <v>3.95</v>
      </c>
      <c r="Q95" s="60">
        <v>12.87</v>
      </c>
      <c r="R95" s="197"/>
      <c r="S95" s="197"/>
      <c r="T95" s="197"/>
      <c r="U95" s="197"/>
    </row>
    <row r="96" spans="1:26" s="12" customFormat="1" x14ac:dyDescent="0.25">
      <c r="A96" s="200" t="s">
        <v>623</v>
      </c>
      <c r="B96" s="60">
        <v>13.95</v>
      </c>
      <c r="C96" s="60">
        <v>30.5</v>
      </c>
      <c r="D96" s="60">
        <v>44.45</v>
      </c>
      <c r="E96" s="60">
        <v>2.36</v>
      </c>
      <c r="F96" s="60">
        <v>0.28999999999999998</v>
      </c>
      <c r="G96" s="215" t="s">
        <v>36</v>
      </c>
      <c r="H96" s="60">
        <v>19.68</v>
      </c>
      <c r="I96" s="60">
        <v>6.61</v>
      </c>
      <c r="J96" s="60">
        <v>0.59</v>
      </c>
      <c r="K96" s="60">
        <v>77.02</v>
      </c>
      <c r="L96" s="9" t="s">
        <v>36</v>
      </c>
      <c r="M96" s="60">
        <v>80.98</v>
      </c>
      <c r="N96" s="60">
        <v>14.7</v>
      </c>
      <c r="O96" s="60">
        <v>0</v>
      </c>
      <c r="P96" s="60">
        <v>4.01</v>
      </c>
      <c r="Q96" s="60">
        <v>14.6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624</v>
      </c>
      <c r="B97" s="60">
        <v>13.61</v>
      </c>
      <c r="C97" s="60">
        <v>30.39</v>
      </c>
      <c r="D97" s="60">
        <v>43.99</v>
      </c>
      <c r="E97" s="60">
        <v>2.66</v>
      </c>
      <c r="F97" s="60">
        <v>0.12</v>
      </c>
      <c r="G97" s="215" t="s">
        <v>36</v>
      </c>
      <c r="H97" s="60">
        <v>18.82</v>
      </c>
      <c r="I97" s="60">
        <v>6.6</v>
      </c>
      <c r="J97" s="60">
        <v>0.54</v>
      </c>
      <c r="K97" s="60">
        <v>67.81</v>
      </c>
      <c r="L97" s="9" t="s">
        <v>36</v>
      </c>
      <c r="M97" s="60">
        <v>81.62</v>
      </c>
      <c r="N97" s="60">
        <v>14.9</v>
      </c>
      <c r="O97" s="60">
        <v>0</v>
      </c>
      <c r="P97" s="60">
        <v>4.03</v>
      </c>
      <c r="Q97" s="60">
        <v>15.9</v>
      </c>
      <c r="R97" s="197"/>
      <c r="S97" s="197"/>
      <c r="T97" s="197"/>
      <c r="U97" s="197"/>
    </row>
    <row r="98" spans="1:33" s="12" customFormat="1" x14ac:dyDescent="0.25">
      <c r="A98" s="200" t="s">
        <v>625</v>
      </c>
      <c r="B98" s="60">
        <v>14.43</v>
      </c>
      <c r="C98" s="60">
        <v>26.54</v>
      </c>
      <c r="D98" s="60">
        <v>40.97</v>
      </c>
      <c r="E98" s="60">
        <v>3.01</v>
      </c>
      <c r="F98" s="60">
        <v>0.47</v>
      </c>
      <c r="G98" s="215" t="s">
        <v>36</v>
      </c>
      <c r="H98" s="60">
        <v>16.71</v>
      </c>
      <c r="I98" s="60">
        <v>6.21</v>
      </c>
      <c r="J98" s="60">
        <v>0.66</v>
      </c>
      <c r="K98" s="60">
        <v>78.77</v>
      </c>
      <c r="L98" s="9" t="s">
        <v>36</v>
      </c>
      <c r="M98" s="60">
        <v>81.209999999999994</v>
      </c>
      <c r="N98" s="60">
        <v>14.6</v>
      </c>
      <c r="O98" s="60">
        <v>0</v>
      </c>
      <c r="P98" s="60">
        <v>4.0599999999999996</v>
      </c>
      <c r="Q98" s="60">
        <v>16.920000000000002</v>
      </c>
      <c r="R98" s="197"/>
      <c r="S98" s="197"/>
      <c r="T98" s="197"/>
      <c r="U98" s="197"/>
    </row>
    <row r="99" spans="1:33" s="12" customFormat="1" x14ac:dyDescent="0.25">
      <c r="A99" s="200" t="s">
        <v>626</v>
      </c>
      <c r="B99" s="60">
        <v>14.01</v>
      </c>
      <c r="C99" s="60">
        <v>23.11</v>
      </c>
      <c r="D99" s="60">
        <v>37.119999999999997</v>
      </c>
      <c r="E99" s="60">
        <v>3.27</v>
      </c>
      <c r="F99" s="60">
        <v>0.33</v>
      </c>
      <c r="G99" s="215" t="s">
        <v>36</v>
      </c>
      <c r="H99" s="60">
        <v>16.71</v>
      </c>
      <c r="I99" s="60">
        <v>6.76</v>
      </c>
      <c r="J99" s="60">
        <v>0.56999999999999995</v>
      </c>
      <c r="K99" s="60">
        <v>66.510000000000005</v>
      </c>
      <c r="L99" s="9" t="s">
        <v>36</v>
      </c>
      <c r="M99" s="60">
        <v>81.17</v>
      </c>
      <c r="N99" s="60">
        <v>14.8</v>
      </c>
      <c r="O99" s="60">
        <v>0</v>
      </c>
      <c r="P99" s="60">
        <v>4.05</v>
      </c>
      <c r="Q99" s="60">
        <v>16.3</v>
      </c>
      <c r="R99" s="197"/>
      <c r="S99" s="197"/>
      <c r="T99" s="197"/>
      <c r="U99" s="197"/>
    </row>
    <row r="100" spans="1:33" s="12" customFormat="1" x14ac:dyDescent="0.25">
      <c r="A100" s="200" t="s">
        <v>627</v>
      </c>
      <c r="B100" s="60">
        <v>13.37</v>
      </c>
      <c r="C100" s="60">
        <v>20.53</v>
      </c>
      <c r="D100" s="60">
        <v>33.89</v>
      </c>
      <c r="E100" s="60">
        <v>3.69</v>
      </c>
      <c r="F100" s="60">
        <v>0.17</v>
      </c>
      <c r="G100" s="215" t="s">
        <v>36</v>
      </c>
      <c r="H100" s="60">
        <v>16.71</v>
      </c>
      <c r="I100" s="60">
        <v>7.19</v>
      </c>
      <c r="J100" s="60">
        <v>0.26</v>
      </c>
      <c r="K100" s="60">
        <v>33.56</v>
      </c>
      <c r="L100" s="9" t="s">
        <v>36</v>
      </c>
      <c r="M100" s="60">
        <v>82.72</v>
      </c>
      <c r="N100" s="60">
        <v>15</v>
      </c>
      <c r="O100" s="60">
        <v>0</v>
      </c>
      <c r="P100" s="60">
        <v>4.04</v>
      </c>
      <c r="Q100" s="60">
        <v>15.56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628</v>
      </c>
      <c r="B101" s="60">
        <v>13.16</v>
      </c>
      <c r="C101" s="60">
        <v>18.62</v>
      </c>
      <c r="D101" s="60">
        <v>31.78</v>
      </c>
      <c r="E101" s="60">
        <v>4.18</v>
      </c>
      <c r="F101" s="60">
        <v>0.03</v>
      </c>
      <c r="G101" s="215" t="s">
        <v>36</v>
      </c>
      <c r="H101" s="60">
        <v>16.04</v>
      </c>
      <c r="I101" s="60">
        <v>7.12</v>
      </c>
      <c r="J101" s="60">
        <v>0.35</v>
      </c>
      <c r="K101" s="60">
        <v>57.9</v>
      </c>
      <c r="L101" s="9" t="s">
        <v>36</v>
      </c>
      <c r="M101" s="60">
        <v>83.38</v>
      </c>
      <c r="N101" s="60">
        <v>14.9</v>
      </c>
      <c r="O101" s="60">
        <v>0</v>
      </c>
      <c r="P101" s="60">
        <v>4.04</v>
      </c>
      <c r="Q101" s="60">
        <v>15.26</v>
      </c>
      <c r="R101" s="197"/>
      <c r="S101" s="197"/>
      <c r="T101" s="197"/>
      <c r="U101" s="197"/>
    </row>
    <row r="102" spans="1:33" s="12" customFormat="1" x14ac:dyDescent="0.25">
      <c r="A102" s="200" t="s">
        <v>629</v>
      </c>
      <c r="B102" s="60">
        <v>13</v>
      </c>
      <c r="C102" s="60">
        <v>17</v>
      </c>
      <c r="D102" s="60">
        <v>30</v>
      </c>
      <c r="E102" s="60">
        <v>4.22</v>
      </c>
      <c r="F102" s="60">
        <v>0.17</v>
      </c>
      <c r="G102" s="215" t="s">
        <v>36</v>
      </c>
      <c r="H102" s="60">
        <v>14.4</v>
      </c>
      <c r="I102" s="60">
        <v>7.2</v>
      </c>
      <c r="J102" s="60">
        <v>0.28999999999999998</v>
      </c>
      <c r="K102" s="60">
        <v>58.12</v>
      </c>
      <c r="L102" s="9" t="s">
        <v>36</v>
      </c>
      <c r="M102" s="60">
        <v>83.89</v>
      </c>
      <c r="N102" s="60">
        <v>15</v>
      </c>
      <c r="O102" s="60">
        <v>0</v>
      </c>
      <c r="P102" s="60">
        <v>4.03</v>
      </c>
      <c r="Q102" s="60">
        <v>15.17</v>
      </c>
      <c r="R102" s="197"/>
      <c r="S102" s="197"/>
      <c r="T102" s="197"/>
      <c r="U102" s="197"/>
    </row>
    <row r="103" spans="1:33" s="12" customFormat="1" x14ac:dyDescent="0.25">
      <c r="A103" s="200" t="s">
        <v>630</v>
      </c>
      <c r="B103" s="60">
        <v>12.59</v>
      </c>
      <c r="C103" s="60">
        <v>15.89</v>
      </c>
      <c r="D103" s="60">
        <v>28.48</v>
      </c>
      <c r="E103" s="60">
        <v>4.72</v>
      </c>
      <c r="F103" s="60">
        <v>0.24</v>
      </c>
      <c r="G103" s="215" t="s">
        <v>36</v>
      </c>
      <c r="H103" s="60">
        <v>14.4</v>
      </c>
      <c r="I103" s="60">
        <v>7.38</v>
      </c>
      <c r="J103" s="60">
        <v>0.44</v>
      </c>
      <c r="K103" s="60">
        <v>100.14</v>
      </c>
      <c r="L103" s="9" t="s">
        <v>36</v>
      </c>
      <c r="M103" s="60">
        <v>82.84</v>
      </c>
      <c r="N103" s="60">
        <v>14.7</v>
      </c>
      <c r="O103" s="60">
        <v>0</v>
      </c>
      <c r="P103" s="60">
        <v>4.01</v>
      </c>
      <c r="Q103" s="60">
        <v>15.12</v>
      </c>
      <c r="R103" s="197"/>
      <c r="S103" s="197"/>
      <c r="T103" s="197"/>
      <c r="U103" s="197"/>
    </row>
    <row r="104" spans="1:33" s="12" customFormat="1" x14ac:dyDescent="0.25">
      <c r="A104" s="200" t="s">
        <v>631</v>
      </c>
      <c r="B104" s="60">
        <v>12.09</v>
      </c>
      <c r="C104" s="60">
        <v>15.16</v>
      </c>
      <c r="D104" s="60">
        <v>27.25</v>
      </c>
      <c r="E104" s="60">
        <v>2.13</v>
      </c>
      <c r="F104" s="60">
        <v>0.22</v>
      </c>
      <c r="G104" s="215" t="s">
        <v>36</v>
      </c>
      <c r="H104" s="60">
        <v>14.4</v>
      </c>
      <c r="I104" s="60">
        <v>7.31</v>
      </c>
      <c r="J104" s="60">
        <v>0.72</v>
      </c>
      <c r="K104" s="60">
        <v>99.03</v>
      </c>
      <c r="L104" s="9" t="s">
        <v>36</v>
      </c>
      <c r="M104" s="60">
        <v>80.239999999999995</v>
      </c>
      <c r="N104" s="60">
        <v>14.3</v>
      </c>
      <c r="O104" s="60">
        <v>0</v>
      </c>
      <c r="P104" s="60">
        <v>3.97</v>
      </c>
      <c r="Q104" s="60">
        <v>15.12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5" t="s">
        <v>59</v>
      </c>
      <c r="B106" s="67">
        <f>MIN(B9:B104)</f>
        <v>1.62</v>
      </c>
      <c r="C106" s="67">
        <f>MIN(C9:C104)</f>
        <v>7.13</v>
      </c>
      <c r="D106" s="67">
        <f t="shared" ref="D106:Q106" si="0">MIN(D9:D104)</f>
        <v>11.56</v>
      </c>
      <c r="E106" s="67">
        <f t="shared" si="0"/>
        <v>1.57</v>
      </c>
      <c r="F106" s="67">
        <f t="shared" si="0"/>
        <v>0.01</v>
      </c>
      <c r="G106" s="67">
        <f t="shared" si="0"/>
        <v>0</v>
      </c>
      <c r="H106" s="67">
        <f t="shared" si="0"/>
        <v>9.01</v>
      </c>
      <c r="I106" s="67">
        <f t="shared" si="0"/>
        <v>3.07</v>
      </c>
      <c r="J106" s="67">
        <f t="shared" si="0"/>
        <v>0.05</v>
      </c>
      <c r="K106" s="67">
        <f t="shared" si="0"/>
        <v>17.61</v>
      </c>
      <c r="L106" s="67">
        <f t="shared" si="0"/>
        <v>0</v>
      </c>
      <c r="M106" s="67">
        <f t="shared" si="0"/>
        <v>70.47</v>
      </c>
      <c r="N106" s="67">
        <f t="shared" si="0"/>
        <v>14.3</v>
      </c>
      <c r="O106" s="67">
        <f t="shared" si="0"/>
        <v>0</v>
      </c>
      <c r="P106" s="67">
        <f t="shared" si="0"/>
        <v>3.28</v>
      </c>
      <c r="Q106" s="67">
        <f t="shared" si="0"/>
        <v>7.83</v>
      </c>
      <c r="R106" s="198"/>
      <c r="S106" s="198"/>
      <c r="T106" s="198"/>
      <c r="U106" s="198"/>
    </row>
    <row r="107" spans="1:33" x14ac:dyDescent="0.25">
      <c r="A107" s="65" t="s">
        <v>60</v>
      </c>
      <c r="B107" s="66">
        <f>MAX(B9:B104)</f>
        <v>16.71</v>
      </c>
      <c r="C107" s="66">
        <f t="shared" ref="C107:Q107" si="1">MAX(C9:C104)</f>
        <v>30.5</v>
      </c>
      <c r="D107" s="66">
        <f t="shared" si="1"/>
        <v>44.45</v>
      </c>
      <c r="E107" s="66">
        <f t="shared" si="1"/>
        <v>7.96</v>
      </c>
      <c r="F107" s="66">
        <f t="shared" si="1"/>
        <v>0.96</v>
      </c>
      <c r="G107" s="66">
        <f t="shared" si="1"/>
        <v>0</v>
      </c>
      <c r="H107" s="66">
        <f t="shared" si="1"/>
        <v>27.02</v>
      </c>
      <c r="I107" s="66">
        <f t="shared" si="1"/>
        <v>7.46</v>
      </c>
      <c r="J107" s="66">
        <f t="shared" si="1"/>
        <v>2.3199999999999998</v>
      </c>
      <c r="K107" s="66">
        <f t="shared" si="1"/>
        <v>348.4</v>
      </c>
      <c r="L107" s="66">
        <f t="shared" si="1"/>
        <v>0</v>
      </c>
      <c r="M107" s="66">
        <f t="shared" si="1"/>
        <v>96.5</v>
      </c>
      <c r="N107" s="66">
        <f t="shared" si="1"/>
        <v>761.2</v>
      </c>
      <c r="O107" s="66">
        <f t="shared" si="1"/>
        <v>0</v>
      </c>
      <c r="P107" s="66">
        <f t="shared" si="1"/>
        <v>4.0599999999999996</v>
      </c>
      <c r="Q107" s="66">
        <f t="shared" si="1"/>
        <v>22.97</v>
      </c>
      <c r="R107" s="199"/>
      <c r="S107" s="199"/>
      <c r="T107" s="199"/>
      <c r="U107" s="199"/>
    </row>
    <row r="108" spans="1:33" x14ac:dyDescent="0.25">
      <c r="A108" s="65" t="s">
        <v>61</v>
      </c>
      <c r="B108" s="67">
        <f>AVERAGE(B9:B104)</f>
        <v>7.3102083333333328</v>
      </c>
      <c r="C108" s="67">
        <f t="shared" ref="C108:Q108" si="2">AVERAGE(C9:C104)</f>
        <v>11.74739583333333</v>
      </c>
      <c r="D108" s="67">
        <f t="shared" si="2"/>
        <v>19.057291666666668</v>
      </c>
      <c r="E108" s="67">
        <f t="shared" si="2"/>
        <v>5.5753125000000017</v>
      </c>
      <c r="F108" s="67">
        <f t="shared" si="2"/>
        <v>0.27782608695652172</v>
      </c>
      <c r="G108" s="67" t="e">
        <f t="shared" si="2"/>
        <v>#DIV/0!</v>
      </c>
      <c r="H108" s="67">
        <f t="shared" si="2"/>
        <v>18.085312500000004</v>
      </c>
      <c r="I108" s="67">
        <f t="shared" si="2"/>
        <v>4.8851041666666664</v>
      </c>
      <c r="J108" s="67">
        <f t="shared" si="2"/>
        <v>0.73635416666666653</v>
      </c>
      <c r="K108" s="67">
        <f t="shared" si="2"/>
        <v>122.04291666666673</v>
      </c>
      <c r="L108" s="67" t="e">
        <f t="shared" si="2"/>
        <v>#DIV/0!</v>
      </c>
      <c r="M108" s="67">
        <f t="shared" si="2"/>
        <v>82.816145833333337</v>
      </c>
      <c r="N108" s="67">
        <f t="shared" si="2"/>
        <v>150.53958333333333</v>
      </c>
      <c r="O108" s="67">
        <f t="shared" si="2"/>
        <v>0</v>
      </c>
      <c r="P108" s="67">
        <f t="shared" si="2"/>
        <v>3.5283333333333324</v>
      </c>
      <c r="Q108" s="67">
        <f t="shared" si="2"/>
        <v>13.415208333333327</v>
      </c>
      <c r="R108" s="198"/>
      <c r="S108" s="198"/>
      <c r="T108" s="198"/>
      <c r="U108" s="198"/>
    </row>
    <row r="109" spans="1:33" x14ac:dyDescent="0.25">
      <c r="A109" s="65" t="s">
        <v>77</v>
      </c>
      <c r="B109" s="67">
        <f>STDEV(B9:B104)</f>
        <v>4.2432311370530051</v>
      </c>
      <c r="C109" s="67">
        <f t="shared" ref="C109:Q109" si="3">STDEV(C9:C104)</f>
        <v>4.2088896510003995</v>
      </c>
      <c r="D109" s="67">
        <f t="shared" si="3"/>
        <v>7.379623935528457</v>
      </c>
      <c r="E109" s="67">
        <f t="shared" si="3"/>
        <v>1.522538706188481</v>
      </c>
      <c r="F109" s="67">
        <f t="shared" si="3"/>
        <v>0.21262269159786787</v>
      </c>
      <c r="G109" s="67" t="e">
        <f t="shared" si="3"/>
        <v>#DIV/0!</v>
      </c>
      <c r="H109" s="67">
        <f t="shared" si="3"/>
        <v>3.8711303811201407</v>
      </c>
      <c r="I109" s="67">
        <f t="shared" si="3"/>
        <v>1.0422677651631722</v>
      </c>
      <c r="J109" s="67">
        <f t="shared" si="3"/>
        <v>0.51165391220745404</v>
      </c>
      <c r="K109" s="67">
        <f t="shared" si="3"/>
        <v>81.219278148617079</v>
      </c>
      <c r="L109" s="67" t="e">
        <f t="shared" si="3"/>
        <v>#DIV/0!</v>
      </c>
      <c r="M109" s="67">
        <f t="shared" si="3"/>
        <v>6.8933935374907538</v>
      </c>
      <c r="N109" s="67">
        <f t="shared" si="3"/>
        <v>189.06380180645039</v>
      </c>
      <c r="O109" s="67">
        <f t="shared" si="3"/>
        <v>0</v>
      </c>
      <c r="P109" s="67">
        <f t="shared" si="3"/>
        <v>0.22604921060254796</v>
      </c>
      <c r="Q109" s="67">
        <f t="shared" si="3"/>
        <v>3.6263227653155408</v>
      </c>
      <c r="R109" s="198"/>
      <c r="S109" s="198"/>
      <c r="T109" s="198"/>
      <c r="U109" s="198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COUNT(F9:F104)+4</f>
        <v>96</v>
      </c>
      <c r="G110" s="66">
        <f>COUNT(G9:G104)+96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>COUNT(L9:L104)+96</f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9"/>
      <c r="S110" s="199"/>
      <c r="T110" s="199"/>
      <c r="U110" s="199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218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O110" sqref="O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05-08-2022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234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632</v>
      </c>
      <c r="B9" s="60">
        <v>11.66</v>
      </c>
      <c r="C9" s="60">
        <v>13.95</v>
      </c>
      <c r="D9" s="60">
        <v>25.61</v>
      </c>
      <c r="E9" s="60">
        <v>3.87</v>
      </c>
      <c r="F9" s="60">
        <v>0.27</v>
      </c>
      <c r="G9" s="215" t="s">
        <v>36</v>
      </c>
      <c r="H9" s="60">
        <v>15.13</v>
      </c>
      <c r="I9" s="60">
        <v>7.2</v>
      </c>
      <c r="J9" s="60">
        <v>0.1</v>
      </c>
      <c r="K9" s="60">
        <v>251.7</v>
      </c>
      <c r="L9" s="10" t="s">
        <v>43</v>
      </c>
      <c r="M9" s="60">
        <v>81.19</v>
      </c>
      <c r="N9" s="60">
        <v>15.2</v>
      </c>
      <c r="O9" s="60">
        <v>0</v>
      </c>
      <c r="P9" s="60">
        <v>3.91</v>
      </c>
      <c r="Q9" s="60">
        <v>15.38</v>
      </c>
      <c r="R9" s="197"/>
      <c r="S9" s="197"/>
      <c r="T9" s="197"/>
      <c r="U9" s="197"/>
    </row>
    <row r="10" spans="1:21" s="12" customFormat="1" x14ac:dyDescent="0.25">
      <c r="A10" s="200" t="s">
        <v>633</v>
      </c>
      <c r="B10" s="60">
        <v>11.31</v>
      </c>
      <c r="C10" s="60">
        <v>13.16</v>
      </c>
      <c r="D10" s="60">
        <v>24.48</v>
      </c>
      <c r="E10" s="60">
        <v>4.93</v>
      </c>
      <c r="F10" s="60">
        <v>0.32</v>
      </c>
      <c r="G10" s="215" t="s">
        <v>36</v>
      </c>
      <c r="H10" s="60">
        <v>16.940000000000001</v>
      </c>
      <c r="I10" s="60">
        <v>6.57</v>
      </c>
      <c r="J10" s="60">
        <v>0.27</v>
      </c>
      <c r="K10" s="60">
        <v>353.75</v>
      </c>
      <c r="L10" s="60">
        <v>39.85</v>
      </c>
      <c r="M10" s="60">
        <v>84.41</v>
      </c>
      <c r="N10" s="60">
        <v>15.2</v>
      </c>
      <c r="O10" s="60">
        <v>0</v>
      </c>
      <c r="P10" s="60">
        <v>3.9</v>
      </c>
      <c r="Q10" s="60">
        <v>15.73</v>
      </c>
      <c r="R10" s="197"/>
      <c r="S10" s="197"/>
      <c r="T10" s="197"/>
      <c r="U10" s="197"/>
    </row>
    <row r="11" spans="1:21" s="12" customFormat="1" x14ac:dyDescent="0.25">
      <c r="A11" s="200" t="s">
        <v>634</v>
      </c>
      <c r="B11" s="60">
        <v>11.15</v>
      </c>
      <c r="C11" s="60">
        <v>12.38</v>
      </c>
      <c r="D11" s="60">
        <v>23.53</v>
      </c>
      <c r="E11" s="60">
        <v>5.0999999999999996</v>
      </c>
      <c r="F11" s="60">
        <v>0.36</v>
      </c>
      <c r="G11" s="215" t="s">
        <v>36</v>
      </c>
      <c r="H11" s="60">
        <v>16.940000000000001</v>
      </c>
      <c r="I11" s="60">
        <v>4.78</v>
      </c>
      <c r="J11" s="60">
        <v>0.05</v>
      </c>
      <c r="K11" s="60">
        <v>15.7</v>
      </c>
      <c r="L11" s="60">
        <v>39.44</v>
      </c>
      <c r="M11" s="60">
        <v>87.14</v>
      </c>
      <c r="N11" s="60">
        <v>15.2</v>
      </c>
      <c r="O11" s="60">
        <v>0</v>
      </c>
      <c r="P11" s="60">
        <v>3.9</v>
      </c>
      <c r="Q11" s="60">
        <v>16.21</v>
      </c>
      <c r="R11" s="197"/>
      <c r="S11" s="197"/>
      <c r="T11" s="197"/>
      <c r="U11" s="197"/>
    </row>
    <row r="12" spans="1:21" s="12" customFormat="1" x14ac:dyDescent="0.25">
      <c r="A12" s="200" t="s">
        <v>635</v>
      </c>
      <c r="B12" s="60">
        <v>11.05</v>
      </c>
      <c r="C12" s="60">
        <v>11.6</v>
      </c>
      <c r="D12" s="60">
        <v>22.66</v>
      </c>
      <c r="E12" s="60">
        <v>6.35</v>
      </c>
      <c r="F12" s="60">
        <v>0.17</v>
      </c>
      <c r="G12" s="215" t="s">
        <v>36</v>
      </c>
      <c r="H12" s="60">
        <v>16.940000000000001</v>
      </c>
      <c r="I12" s="60">
        <v>4.97</v>
      </c>
      <c r="J12" s="60">
        <v>7.0000000000000007E-2</v>
      </c>
      <c r="K12" s="60">
        <v>18.920000000000002</v>
      </c>
      <c r="L12" s="60">
        <v>39.35</v>
      </c>
      <c r="M12" s="60">
        <v>86.29</v>
      </c>
      <c r="N12" s="60">
        <v>15.1</v>
      </c>
      <c r="O12" s="60">
        <v>0</v>
      </c>
      <c r="P12" s="60">
        <v>3.88</v>
      </c>
      <c r="Q12" s="60">
        <v>16.54</v>
      </c>
      <c r="R12" s="197"/>
      <c r="S12" s="197"/>
      <c r="T12" s="197"/>
      <c r="U12" s="197"/>
    </row>
    <row r="13" spans="1:21" s="12" customFormat="1" x14ac:dyDescent="0.25">
      <c r="A13" s="200" t="s">
        <v>636</v>
      </c>
      <c r="B13" s="60">
        <v>10.91</v>
      </c>
      <c r="C13" s="60">
        <v>11.14</v>
      </c>
      <c r="D13" s="60">
        <v>22.05</v>
      </c>
      <c r="E13" s="60">
        <v>6.55</v>
      </c>
      <c r="F13" s="60">
        <v>0.15</v>
      </c>
      <c r="G13" s="215" t="s">
        <v>36</v>
      </c>
      <c r="H13" s="60">
        <v>16.940000000000001</v>
      </c>
      <c r="I13" s="60">
        <v>5.19</v>
      </c>
      <c r="J13" s="60">
        <v>0.37</v>
      </c>
      <c r="K13" s="60">
        <v>106.45</v>
      </c>
      <c r="L13" s="60">
        <v>39.44</v>
      </c>
      <c r="M13" s="60">
        <v>86.07</v>
      </c>
      <c r="N13" s="60">
        <v>14.7</v>
      </c>
      <c r="O13" s="60">
        <v>0</v>
      </c>
      <c r="P13" s="60">
        <v>3.87</v>
      </c>
      <c r="Q13" s="60">
        <v>16.690000000000001</v>
      </c>
      <c r="R13" s="197"/>
      <c r="S13" s="197"/>
      <c r="T13" s="197"/>
      <c r="U13" s="197"/>
    </row>
    <row r="14" spans="1:21" s="12" customFormat="1" x14ac:dyDescent="0.25">
      <c r="A14" s="200" t="s">
        <v>637</v>
      </c>
      <c r="B14" s="60">
        <v>10.71</v>
      </c>
      <c r="C14" s="60">
        <v>10.89</v>
      </c>
      <c r="D14" s="60">
        <v>21.6</v>
      </c>
      <c r="E14" s="60">
        <v>7.03</v>
      </c>
      <c r="F14" s="60">
        <v>0.28000000000000003</v>
      </c>
      <c r="G14" s="215" t="s">
        <v>36</v>
      </c>
      <c r="H14" s="60">
        <v>16.940000000000001</v>
      </c>
      <c r="I14" s="60">
        <v>5.07</v>
      </c>
      <c r="J14" s="60">
        <v>0.24</v>
      </c>
      <c r="K14" s="60">
        <v>56.63</v>
      </c>
      <c r="L14" s="60">
        <v>39.71</v>
      </c>
      <c r="M14" s="60">
        <v>84.52</v>
      </c>
      <c r="N14" s="60">
        <v>14.8</v>
      </c>
      <c r="O14" s="60">
        <v>0</v>
      </c>
      <c r="P14" s="60">
        <v>3.85</v>
      </c>
      <c r="Q14" s="60">
        <v>16.79</v>
      </c>
      <c r="R14" s="197"/>
      <c r="S14" s="197"/>
      <c r="T14" s="197"/>
      <c r="U14" s="197"/>
    </row>
    <row r="15" spans="1:21" s="12" customFormat="1" x14ac:dyDescent="0.25">
      <c r="A15" s="200" t="s">
        <v>638</v>
      </c>
      <c r="B15" s="60">
        <v>10.49</v>
      </c>
      <c r="C15" s="60">
        <v>10.53</v>
      </c>
      <c r="D15" s="60">
        <v>21.02</v>
      </c>
      <c r="E15" s="60">
        <v>7.01</v>
      </c>
      <c r="F15" s="60">
        <v>0.38</v>
      </c>
      <c r="G15" s="215" t="s">
        <v>36</v>
      </c>
      <c r="H15" s="60">
        <v>16.940000000000001</v>
      </c>
      <c r="I15" s="60">
        <v>5.08</v>
      </c>
      <c r="J15" s="60">
        <v>0.49</v>
      </c>
      <c r="K15" s="60">
        <v>89.46</v>
      </c>
      <c r="L15" s="60">
        <v>39.82</v>
      </c>
      <c r="M15" s="60">
        <v>83.96</v>
      </c>
      <c r="N15" s="60">
        <v>14.7</v>
      </c>
      <c r="O15" s="60">
        <v>0</v>
      </c>
      <c r="P15" s="60">
        <v>3.85</v>
      </c>
      <c r="Q15" s="60">
        <v>16.89</v>
      </c>
      <c r="R15" s="197"/>
      <c r="S15" s="197"/>
      <c r="T15" s="197"/>
      <c r="U15" s="197"/>
    </row>
    <row r="16" spans="1:21" s="12" customFormat="1" x14ac:dyDescent="0.25">
      <c r="A16" s="200" t="s">
        <v>639</v>
      </c>
      <c r="B16" s="60">
        <v>9.93</v>
      </c>
      <c r="C16" s="60">
        <v>10.09</v>
      </c>
      <c r="D16" s="60">
        <v>20.03</v>
      </c>
      <c r="E16" s="60">
        <v>7.55</v>
      </c>
      <c r="F16" s="60">
        <v>0.49</v>
      </c>
      <c r="G16" s="215" t="s">
        <v>36</v>
      </c>
      <c r="H16" s="60">
        <v>16.940000000000001</v>
      </c>
      <c r="I16" s="60">
        <v>5.23</v>
      </c>
      <c r="J16" s="60">
        <v>0.67</v>
      </c>
      <c r="K16" s="60">
        <v>100.32</v>
      </c>
      <c r="L16" s="60">
        <v>39.909999999999997</v>
      </c>
      <c r="M16" s="60">
        <v>83.92</v>
      </c>
      <c r="N16" s="60">
        <v>14.5</v>
      </c>
      <c r="O16" s="60">
        <v>0</v>
      </c>
      <c r="P16" s="60">
        <v>3.83</v>
      </c>
      <c r="Q16" s="60">
        <v>16.559999999999999</v>
      </c>
      <c r="R16" s="197"/>
      <c r="S16" s="197"/>
      <c r="T16" s="197"/>
      <c r="U16" s="197"/>
    </row>
    <row r="17" spans="1:21" s="12" customFormat="1" x14ac:dyDescent="0.25">
      <c r="A17" s="200" t="s">
        <v>640</v>
      </c>
      <c r="B17" s="60">
        <v>9.0500000000000007</v>
      </c>
      <c r="C17" s="60">
        <v>10.64</v>
      </c>
      <c r="D17" s="60">
        <v>19.7</v>
      </c>
      <c r="E17" s="60">
        <v>7.66</v>
      </c>
      <c r="F17" s="60">
        <v>0.34</v>
      </c>
      <c r="G17" s="215" t="s">
        <v>36</v>
      </c>
      <c r="H17" s="60">
        <v>17.07</v>
      </c>
      <c r="I17" s="60">
        <v>5.93</v>
      </c>
      <c r="J17" s="60">
        <v>0.66</v>
      </c>
      <c r="K17" s="60">
        <v>171.34</v>
      </c>
      <c r="L17" s="60">
        <v>39.99</v>
      </c>
      <c r="M17" s="60">
        <v>83.88</v>
      </c>
      <c r="N17" s="60">
        <v>14.8</v>
      </c>
      <c r="O17" s="60">
        <v>0</v>
      </c>
      <c r="P17" s="60">
        <v>3.8</v>
      </c>
      <c r="Q17" s="60">
        <v>15.72</v>
      </c>
      <c r="R17" s="197"/>
      <c r="S17" s="197"/>
      <c r="T17" s="197"/>
      <c r="U17" s="197"/>
    </row>
    <row r="18" spans="1:21" s="12" customFormat="1" x14ac:dyDescent="0.25">
      <c r="A18" s="200" t="s">
        <v>641</v>
      </c>
      <c r="B18" s="60">
        <v>8.19</v>
      </c>
      <c r="C18" s="60">
        <v>10.99</v>
      </c>
      <c r="D18" s="60">
        <v>19.190000000000001</v>
      </c>
      <c r="E18" s="60">
        <v>7.42</v>
      </c>
      <c r="F18" s="60">
        <v>0.2</v>
      </c>
      <c r="G18" s="215" t="s">
        <v>36</v>
      </c>
      <c r="H18" s="60">
        <v>17.41</v>
      </c>
      <c r="I18" s="60">
        <v>6.75</v>
      </c>
      <c r="J18" s="60">
        <v>0.28999999999999998</v>
      </c>
      <c r="K18" s="60">
        <v>102.13</v>
      </c>
      <c r="L18" s="60">
        <v>39.799999999999997</v>
      </c>
      <c r="M18" s="60">
        <v>85.63</v>
      </c>
      <c r="N18" s="60">
        <v>15.4</v>
      </c>
      <c r="O18" s="60">
        <v>0</v>
      </c>
      <c r="P18" s="60">
        <v>3.77</v>
      </c>
      <c r="Q18" s="60">
        <v>15.14</v>
      </c>
      <c r="R18" s="197"/>
      <c r="S18" s="197"/>
      <c r="T18" s="197"/>
      <c r="U18" s="197"/>
    </row>
    <row r="19" spans="1:21" s="12" customFormat="1" x14ac:dyDescent="0.25">
      <c r="A19" s="200" t="s">
        <v>642</v>
      </c>
      <c r="B19" s="60">
        <v>7.51</v>
      </c>
      <c r="C19" s="60">
        <v>10.99</v>
      </c>
      <c r="D19" s="60">
        <v>18.5</v>
      </c>
      <c r="E19" s="60">
        <v>7.35</v>
      </c>
      <c r="F19" s="60">
        <v>0.14000000000000001</v>
      </c>
      <c r="G19" s="215" t="s">
        <v>36</v>
      </c>
      <c r="H19" s="60">
        <v>17.41</v>
      </c>
      <c r="I19" s="60">
        <v>7.12</v>
      </c>
      <c r="J19" s="60">
        <v>0.91</v>
      </c>
      <c r="K19" s="60">
        <v>166.35</v>
      </c>
      <c r="L19" s="60">
        <v>39.72</v>
      </c>
      <c r="M19" s="60">
        <v>86.54</v>
      </c>
      <c r="N19" s="60">
        <v>15.4</v>
      </c>
      <c r="O19" s="60">
        <v>0</v>
      </c>
      <c r="P19" s="60">
        <v>3.73</v>
      </c>
      <c r="Q19" s="60">
        <v>14.49</v>
      </c>
      <c r="R19" s="197"/>
      <c r="S19" s="197"/>
      <c r="T19" s="197"/>
      <c r="U19" s="197"/>
    </row>
    <row r="20" spans="1:21" s="12" customFormat="1" x14ac:dyDescent="0.25">
      <c r="A20" s="200" t="s">
        <v>643</v>
      </c>
      <c r="B20" s="60">
        <v>6.85</v>
      </c>
      <c r="C20" s="60">
        <v>10.75</v>
      </c>
      <c r="D20" s="60">
        <v>17.61</v>
      </c>
      <c r="E20" s="60">
        <v>7.76</v>
      </c>
      <c r="F20" s="60">
        <v>0.38</v>
      </c>
      <c r="G20" s="215" t="s">
        <v>36</v>
      </c>
      <c r="H20" s="60">
        <v>17.41</v>
      </c>
      <c r="I20" s="60">
        <v>7.06</v>
      </c>
      <c r="J20" s="60">
        <v>1.94</v>
      </c>
      <c r="K20" s="60">
        <v>157.19</v>
      </c>
      <c r="L20" s="60">
        <v>38.94</v>
      </c>
      <c r="M20" s="60">
        <v>87.87</v>
      </c>
      <c r="N20" s="60">
        <v>17.899999999999999</v>
      </c>
      <c r="O20" s="60">
        <v>1.8</v>
      </c>
      <c r="P20" s="60">
        <v>3.69</v>
      </c>
      <c r="Q20" s="60">
        <v>13.8</v>
      </c>
      <c r="R20" s="197"/>
      <c r="S20" s="197"/>
      <c r="T20" s="197"/>
      <c r="U20" s="197"/>
    </row>
    <row r="21" spans="1:21" s="12" customFormat="1" x14ac:dyDescent="0.25">
      <c r="A21" s="200" t="s">
        <v>644</v>
      </c>
      <c r="B21" s="60">
        <v>6.18</v>
      </c>
      <c r="C21" s="60">
        <v>10.51</v>
      </c>
      <c r="D21" s="60">
        <v>16.690000000000001</v>
      </c>
      <c r="E21" s="60">
        <v>7.52</v>
      </c>
      <c r="F21" s="60">
        <v>0.47</v>
      </c>
      <c r="G21" s="215" t="s">
        <v>36</v>
      </c>
      <c r="H21" s="60">
        <v>17.62</v>
      </c>
      <c r="I21" s="60">
        <v>6.85</v>
      </c>
      <c r="J21" s="60">
        <v>0.55000000000000004</v>
      </c>
      <c r="K21" s="60">
        <v>171.73</v>
      </c>
      <c r="L21" s="60">
        <v>37.33</v>
      </c>
      <c r="M21" s="60">
        <v>98.48</v>
      </c>
      <c r="N21" s="60">
        <v>16.3</v>
      </c>
      <c r="O21" s="60">
        <v>0.6</v>
      </c>
      <c r="P21" s="60">
        <v>3.66</v>
      </c>
      <c r="Q21" s="60">
        <v>13.17</v>
      </c>
      <c r="R21" s="197"/>
      <c r="S21" s="197"/>
      <c r="T21" s="197"/>
      <c r="U21" s="197"/>
    </row>
    <row r="22" spans="1:21" s="12" customFormat="1" x14ac:dyDescent="0.25">
      <c r="A22" s="200" t="s">
        <v>645</v>
      </c>
      <c r="B22" s="60">
        <v>5.63</v>
      </c>
      <c r="C22" s="60">
        <v>10.4</v>
      </c>
      <c r="D22" s="60">
        <v>16.03</v>
      </c>
      <c r="E22" s="60">
        <v>7.47</v>
      </c>
      <c r="F22" s="60">
        <v>0.13</v>
      </c>
      <c r="G22" s="215" t="s">
        <v>36</v>
      </c>
      <c r="H22" s="60">
        <v>18.12</v>
      </c>
      <c r="I22" s="60">
        <v>6.91</v>
      </c>
      <c r="J22" s="60">
        <v>0.22</v>
      </c>
      <c r="K22" s="60">
        <v>209.9</v>
      </c>
      <c r="L22" s="60">
        <v>37.06</v>
      </c>
      <c r="M22" s="60">
        <v>99.13</v>
      </c>
      <c r="N22" s="60">
        <v>15.4</v>
      </c>
      <c r="O22" s="60">
        <v>0</v>
      </c>
      <c r="P22" s="60">
        <v>3.63</v>
      </c>
      <c r="Q22" s="60">
        <v>12.7</v>
      </c>
      <c r="R22" s="197"/>
      <c r="S22" s="197"/>
      <c r="T22" s="197"/>
      <c r="U22" s="197"/>
    </row>
    <row r="23" spans="1:21" s="12" customFormat="1" x14ac:dyDescent="0.25">
      <c r="A23" s="200" t="s">
        <v>646</v>
      </c>
      <c r="B23" s="60">
        <v>5.37</v>
      </c>
      <c r="C23" s="60">
        <v>9.9</v>
      </c>
      <c r="D23" s="60">
        <v>15.28</v>
      </c>
      <c r="E23" s="60">
        <v>7.63</v>
      </c>
      <c r="F23" s="60">
        <v>0.11</v>
      </c>
      <c r="G23" s="215" t="s">
        <v>36</v>
      </c>
      <c r="H23" s="60">
        <v>18.12</v>
      </c>
      <c r="I23" s="60">
        <v>6.71</v>
      </c>
      <c r="J23" s="60">
        <v>0.17</v>
      </c>
      <c r="K23" s="60">
        <v>238.21</v>
      </c>
      <c r="L23" s="60">
        <v>37.1</v>
      </c>
      <c r="M23" s="60">
        <v>99.15</v>
      </c>
      <c r="N23" s="60">
        <v>14.9</v>
      </c>
      <c r="O23" s="60">
        <v>0</v>
      </c>
      <c r="P23" s="60">
        <v>3.6</v>
      </c>
      <c r="Q23" s="60">
        <v>13.07</v>
      </c>
      <c r="R23" s="197"/>
      <c r="S23" s="197"/>
      <c r="T23" s="197"/>
      <c r="U23" s="197"/>
    </row>
    <row r="24" spans="1:21" s="12" customFormat="1" x14ac:dyDescent="0.25">
      <c r="A24" s="200" t="s">
        <v>647</v>
      </c>
      <c r="B24" s="60">
        <v>5.75</v>
      </c>
      <c r="C24" s="60">
        <v>9.92</v>
      </c>
      <c r="D24" s="60">
        <v>15.66</v>
      </c>
      <c r="E24" s="60">
        <v>2.97</v>
      </c>
      <c r="F24" s="60">
        <v>0.13</v>
      </c>
      <c r="G24" s="215" t="s">
        <v>36</v>
      </c>
      <c r="H24" s="60">
        <v>18.12</v>
      </c>
      <c r="I24" s="60">
        <v>6.05</v>
      </c>
      <c r="J24" s="60">
        <v>0.25</v>
      </c>
      <c r="K24" s="60">
        <v>321.33999999999997</v>
      </c>
      <c r="L24" s="60">
        <v>37.29</v>
      </c>
      <c r="M24" s="60">
        <v>99.15</v>
      </c>
      <c r="N24" s="60">
        <v>15.1</v>
      </c>
      <c r="O24" s="60">
        <v>0</v>
      </c>
      <c r="P24" s="60">
        <v>3.6</v>
      </c>
      <c r="Q24" s="60">
        <v>13.61</v>
      </c>
      <c r="R24" s="197"/>
      <c r="S24" s="197"/>
      <c r="T24" s="197"/>
      <c r="U24" s="197"/>
    </row>
    <row r="25" spans="1:21" s="12" customFormat="1" x14ac:dyDescent="0.25">
      <c r="A25" s="200" t="s">
        <v>648</v>
      </c>
      <c r="B25" s="60">
        <v>6.05</v>
      </c>
      <c r="C25" s="60">
        <v>9.5500000000000007</v>
      </c>
      <c r="D25" s="60">
        <v>15.6</v>
      </c>
      <c r="E25" s="60">
        <v>4.8600000000000003</v>
      </c>
      <c r="F25" s="60">
        <v>0.2</v>
      </c>
      <c r="G25" s="215" t="s">
        <v>36</v>
      </c>
      <c r="H25" s="60">
        <v>16.59</v>
      </c>
      <c r="I25" s="60">
        <v>5.13</v>
      </c>
      <c r="J25" s="60">
        <v>0.31</v>
      </c>
      <c r="K25" s="60">
        <v>195.1</v>
      </c>
      <c r="L25" s="60">
        <v>37.21</v>
      </c>
      <c r="M25" s="60">
        <v>97.15</v>
      </c>
      <c r="N25" s="60">
        <v>15.6</v>
      </c>
      <c r="O25" s="60">
        <v>0</v>
      </c>
      <c r="P25" s="60">
        <v>3.57</v>
      </c>
      <c r="Q25" s="60">
        <v>14.01</v>
      </c>
      <c r="R25" s="197"/>
      <c r="S25" s="197"/>
      <c r="T25" s="197"/>
      <c r="U25" s="197"/>
    </row>
    <row r="26" spans="1:21" s="12" customFormat="1" x14ac:dyDescent="0.25">
      <c r="A26" s="200" t="s">
        <v>649</v>
      </c>
      <c r="B26" s="60">
        <v>6.22</v>
      </c>
      <c r="C26" s="60">
        <v>9.2799999999999994</v>
      </c>
      <c r="D26" s="60">
        <v>15.5</v>
      </c>
      <c r="E26" s="60">
        <v>6.33</v>
      </c>
      <c r="F26" s="60">
        <v>0.16</v>
      </c>
      <c r="G26" s="215" t="s">
        <v>36</v>
      </c>
      <c r="H26" s="60">
        <v>12.83</v>
      </c>
      <c r="I26" s="60">
        <v>5.82</v>
      </c>
      <c r="J26" s="60">
        <v>0.35</v>
      </c>
      <c r="K26" s="60">
        <v>165.72</v>
      </c>
      <c r="L26" s="60">
        <v>37.14</v>
      </c>
      <c r="M26" s="60">
        <v>98</v>
      </c>
      <c r="N26" s="60">
        <v>15.1</v>
      </c>
      <c r="O26" s="60">
        <v>0.2</v>
      </c>
      <c r="P26" s="60">
        <v>3.57</v>
      </c>
      <c r="Q26" s="60">
        <v>14.07</v>
      </c>
      <c r="R26" s="197"/>
      <c r="S26" s="197"/>
      <c r="T26" s="197"/>
      <c r="U26" s="197"/>
    </row>
    <row r="27" spans="1:21" s="12" customFormat="1" x14ac:dyDescent="0.25">
      <c r="A27" s="200" t="s">
        <v>650</v>
      </c>
      <c r="B27" s="60">
        <v>6.32</v>
      </c>
      <c r="C27" s="60">
        <v>8.99</v>
      </c>
      <c r="D27" s="60">
        <v>15.31</v>
      </c>
      <c r="E27" s="60">
        <v>7.27</v>
      </c>
      <c r="F27" s="60">
        <v>0.15</v>
      </c>
      <c r="G27" s="215" t="s">
        <v>36</v>
      </c>
      <c r="H27" s="60">
        <v>12.83</v>
      </c>
      <c r="I27" s="60">
        <v>4.17</v>
      </c>
      <c r="J27" s="60">
        <v>0.34</v>
      </c>
      <c r="K27" s="60">
        <v>194.26</v>
      </c>
      <c r="L27" s="60">
        <v>37.24</v>
      </c>
      <c r="M27" s="60">
        <v>96.92</v>
      </c>
      <c r="N27" s="60">
        <v>15.3</v>
      </c>
      <c r="O27" s="60">
        <v>0</v>
      </c>
      <c r="P27" s="60">
        <v>3.57</v>
      </c>
      <c r="Q27" s="60">
        <v>14.13</v>
      </c>
      <c r="R27" s="197"/>
      <c r="S27" s="197"/>
      <c r="T27" s="197"/>
      <c r="U27" s="197"/>
    </row>
    <row r="28" spans="1:21" s="12" customFormat="1" x14ac:dyDescent="0.25">
      <c r="A28" s="200" t="s">
        <v>651</v>
      </c>
      <c r="B28" s="60">
        <v>6.37</v>
      </c>
      <c r="C28" s="60">
        <v>8.86</v>
      </c>
      <c r="D28" s="60">
        <v>15.23</v>
      </c>
      <c r="E28" s="60">
        <v>7.27</v>
      </c>
      <c r="F28" s="60">
        <v>0.33</v>
      </c>
      <c r="G28" s="215" t="s">
        <v>36</v>
      </c>
      <c r="H28" s="60">
        <v>12.83</v>
      </c>
      <c r="I28" s="60">
        <v>5.32</v>
      </c>
      <c r="J28" s="60">
        <v>0.22</v>
      </c>
      <c r="K28" s="60">
        <v>218.43</v>
      </c>
      <c r="L28" s="60">
        <v>37.14</v>
      </c>
      <c r="M28" s="60">
        <v>97.05</v>
      </c>
      <c r="N28" s="60">
        <v>15.3</v>
      </c>
      <c r="O28" s="60">
        <v>0</v>
      </c>
      <c r="P28" s="60">
        <v>3.54</v>
      </c>
      <c r="Q28" s="60">
        <v>14.21</v>
      </c>
      <c r="R28" s="197"/>
      <c r="S28" s="197"/>
      <c r="T28" s="197"/>
      <c r="U28" s="197"/>
    </row>
    <row r="29" spans="1:21" s="12" customFormat="1" x14ac:dyDescent="0.25">
      <c r="A29" s="200" t="s">
        <v>652</v>
      </c>
      <c r="B29" s="60">
        <v>6.5</v>
      </c>
      <c r="C29" s="60">
        <v>8.68</v>
      </c>
      <c r="D29" s="60">
        <v>15.18</v>
      </c>
      <c r="E29" s="60">
        <v>7.7</v>
      </c>
      <c r="F29" s="60">
        <v>0.28999999999999998</v>
      </c>
      <c r="G29" s="215" t="s">
        <v>36</v>
      </c>
      <c r="H29" s="60">
        <v>11.78</v>
      </c>
      <c r="I29" s="60">
        <v>5.57</v>
      </c>
      <c r="J29" s="60">
        <v>0.67</v>
      </c>
      <c r="K29" s="60">
        <v>178.3</v>
      </c>
      <c r="L29" s="60">
        <v>37.21</v>
      </c>
      <c r="M29" s="60">
        <v>96.92</v>
      </c>
      <c r="N29" s="60">
        <v>15</v>
      </c>
      <c r="O29" s="60">
        <v>0</v>
      </c>
      <c r="P29" s="60">
        <v>3.55</v>
      </c>
      <c r="Q29" s="60">
        <v>14.26</v>
      </c>
      <c r="R29" s="197"/>
      <c r="S29" s="197"/>
      <c r="T29" s="197"/>
      <c r="U29" s="197"/>
    </row>
    <row r="30" spans="1:21" s="12" customFormat="1" x14ac:dyDescent="0.25">
      <c r="A30" s="200" t="s">
        <v>653</v>
      </c>
      <c r="B30" s="60">
        <v>6.61</v>
      </c>
      <c r="C30" s="60">
        <v>8.6999999999999993</v>
      </c>
      <c r="D30" s="60">
        <v>15.31</v>
      </c>
      <c r="E30" s="60">
        <v>7.54</v>
      </c>
      <c r="F30" s="60">
        <v>0.35</v>
      </c>
      <c r="G30" s="215" t="s">
        <v>36</v>
      </c>
      <c r="H30" s="60">
        <v>9.19</v>
      </c>
      <c r="I30" s="60">
        <v>5.53</v>
      </c>
      <c r="J30" s="60">
        <v>0.88</v>
      </c>
      <c r="K30" s="60">
        <v>160.53</v>
      </c>
      <c r="L30" s="60">
        <v>37.299999999999997</v>
      </c>
      <c r="M30" s="60">
        <v>96.28</v>
      </c>
      <c r="N30" s="60">
        <v>16.3</v>
      </c>
      <c r="O30" s="60">
        <v>0</v>
      </c>
      <c r="P30" s="60">
        <v>3.54</v>
      </c>
      <c r="Q30" s="60">
        <v>14.22</v>
      </c>
      <c r="R30" s="197"/>
      <c r="S30" s="197"/>
      <c r="T30" s="197"/>
      <c r="U30" s="197"/>
    </row>
    <row r="31" spans="1:21" s="12" customFormat="1" x14ac:dyDescent="0.25">
      <c r="A31" s="200" t="s">
        <v>654</v>
      </c>
      <c r="B31" s="60">
        <v>6.58</v>
      </c>
      <c r="C31" s="60">
        <v>8.5</v>
      </c>
      <c r="D31" s="60">
        <v>15.08</v>
      </c>
      <c r="E31" s="60">
        <v>7.98</v>
      </c>
      <c r="F31" s="60">
        <v>0.42</v>
      </c>
      <c r="G31" s="215" t="s">
        <v>36</v>
      </c>
      <c r="H31" s="60">
        <v>9.19</v>
      </c>
      <c r="I31" s="60">
        <v>5.86</v>
      </c>
      <c r="J31" s="60">
        <v>0.31</v>
      </c>
      <c r="K31" s="60">
        <v>182.12</v>
      </c>
      <c r="L31" s="60">
        <v>37.21</v>
      </c>
      <c r="M31" s="60">
        <v>97.01</v>
      </c>
      <c r="N31" s="60">
        <v>21.5</v>
      </c>
      <c r="O31" s="60">
        <v>0</v>
      </c>
      <c r="P31" s="60">
        <v>3.51</v>
      </c>
      <c r="Q31" s="60">
        <v>13.8</v>
      </c>
      <c r="R31" s="197"/>
      <c r="S31" s="197"/>
      <c r="T31" s="197"/>
      <c r="U31" s="197"/>
    </row>
    <row r="32" spans="1:21" s="12" customFormat="1" x14ac:dyDescent="0.25">
      <c r="A32" s="200" t="s">
        <v>655</v>
      </c>
      <c r="B32" s="60">
        <v>6.53</v>
      </c>
      <c r="C32" s="60">
        <v>8.98</v>
      </c>
      <c r="D32" s="60">
        <v>15.51</v>
      </c>
      <c r="E32" s="60">
        <v>7.88</v>
      </c>
      <c r="F32" s="60">
        <v>0.4</v>
      </c>
      <c r="G32" s="215" t="s">
        <v>36</v>
      </c>
      <c r="H32" s="60">
        <v>9.19</v>
      </c>
      <c r="I32" s="60">
        <v>6.45</v>
      </c>
      <c r="J32" s="60">
        <v>0.38</v>
      </c>
      <c r="K32" s="60">
        <v>165.57</v>
      </c>
      <c r="L32" s="60">
        <v>37.29</v>
      </c>
      <c r="M32" s="60">
        <v>97.82</v>
      </c>
      <c r="N32" s="60">
        <v>42.1</v>
      </c>
      <c r="O32" s="60">
        <v>0</v>
      </c>
      <c r="P32" s="60">
        <v>3.5</v>
      </c>
      <c r="Q32" s="60">
        <v>13.15</v>
      </c>
      <c r="R32" s="197"/>
      <c r="S32" s="197"/>
      <c r="T32" s="197"/>
      <c r="U32" s="197"/>
    </row>
    <row r="33" spans="1:21" s="12" customFormat="1" x14ac:dyDescent="0.25">
      <c r="A33" s="200" t="s">
        <v>656</v>
      </c>
      <c r="B33" s="60">
        <v>6.49</v>
      </c>
      <c r="C33" s="60">
        <v>9.34</v>
      </c>
      <c r="D33" s="60">
        <v>15.83</v>
      </c>
      <c r="E33" s="60">
        <v>7.57</v>
      </c>
      <c r="F33" s="60">
        <v>0.27</v>
      </c>
      <c r="G33" s="215" t="s">
        <v>36</v>
      </c>
      <c r="H33" s="60">
        <v>8.7100000000000009</v>
      </c>
      <c r="I33" s="60">
        <v>6.45</v>
      </c>
      <c r="J33" s="60">
        <v>0.44</v>
      </c>
      <c r="K33" s="60">
        <v>159.37</v>
      </c>
      <c r="L33" s="60">
        <v>37.799999999999997</v>
      </c>
      <c r="M33" s="60">
        <v>95.33</v>
      </c>
      <c r="N33" s="60">
        <v>64.5</v>
      </c>
      <c r="O33" s="60">
        <v>0</v>
      </c>
      <c r="P33" s="60">
        <v>3.49</v>
      </c>
      <c r="Q33" s="60">
        <v>12.69</v>
      </c>
      <c r="R33" s="197"/>
      <c r="S33" s="197"/>
      <c r="T33" s="197"/>
      <c r="U33" s="197"/>
    </row>
    <row r="34" spans="1:21" s="12" customFormat="1" x14ac:dyDescent="0.25">
      <c r="A34" s="200" t="s">
        <v>657</v>
      </c>
      <c r="B34" s="60">
        <v>6.46</v>
      </c>
      <c r="C34" s="60">
        <v>9.44</v>
      </c>
      <c r="D34" s="60">
        <v>15.9</v>
      </c>
      <c r="E34" s="60">
        <v>7.84</v>
      </c>
      <c r="F34" s="60">
        <v>0.37</v>
      </c>
      <c r="G34" s="215" t="s">
        <v>36</v>
      </c>
      <c r="H34" s="60">
        <v>7.51</v>
      </c>
      <c r="I34" s="60">
        <v>6.32</v>
      </c>
      <c r="J34" s="60">
        <v>0.53</v>
      </c>
      <c r="K34" s="60">
        <v>167.6</v>
      </c>
      <c r="L34" s="60">
        <v>38.46</v>
      </c>
      <c r="M34" s="60">
        <v>92.02</v>
      </c>
      <c r="N34" s="60">
        <v>117.2</v>
      </c>
      <c r="O34" s="60">
        <v>0</v>
      </c>
      <c r="P34" s="60">
        <v>3.47</v>
      </c>
      <c r="Q34" s="60">
        <v>12.26</v>
      </c>
      <c r="R34" s="197"/>
      <c r="S34" s="197"/>
      <c r="T34" s="197"/>
      <c r="U34" s="197"/>
    </row>
    <row r="35" spans="1:21" s="12" customFormat="1" x14ac:dyDescent="0.25">
      <c r="A35" s="200" t="s">
        <v>658</v>
      </c>
      <c r="B35" s="60">
        <v>6.29</v>
      </c>
      <c r="C35" s="60">
        <v>9.23</v>
      </c>
      <c r="D35" s="60">
        <v>15.52</v>
      </c>
      <c r="E35" s="60">
        <v>7.17</v>
      </c>
      <c r="F35" s="60">
        <v>0.22</v>
      </c>
      <c r="G35" s="215" t="s">
        <v>36</v>
      </c>
      <c r="H35" s="60">
        <v>7.51</v>
      </c>
      <c r="I35" s="60">
        <v>6.33</v>
      </c>
      <c r="J35" s="60">
        <v>0.5</v>
      </c>
      <c r="K35" s="60">
        <v>176.33</v>
      </c>
      <c r="L35" s="60">
        <v>38.840000000000003</v>
      </c>
      <c r="M35" s="60">
        <v>91.16</v>
      </c>
      <c r="N35" s="60">
        <v>172.2</v>
      </c>
      <c r="O35" s="60">
        <v>0</v>
      </c>
      <c r="P35" s="60">
        <v>3.45</v>
      </c>
      <c r="Q35" s="60">
        <v>11.97</v>
      </c>
      <c r="R35" s="197"/>
      <c r="S35" s="197"/>
      <c r="T35" s="197"/>
      <c r="U35" s="197"/>
    </row>
    <row r="36" spans="1:21" s="12" customFormat="1" x14ac:dyDescent="0.25">
      <c r="A36" s="200" t="s">
        <v>659</v>
      </c>
      <c r="B36" s="60">
        <v>6.11</v>
      </c>
      <c r="C36" s="60">
        <v>9.31</v>
      </c>
      <c r="D36" s="60">
        <v>15.42</v>
      </c>
      <c r="E36" s="60">
        <v>7.4</v>
      </c>
      <c r="F36" s="60">
        <v>0.11</v>
      </c>
      <c r="G36" s="215" t="s">
        <v>36</v>
      </c>
      <c r="H36" s="60">
        <v>7.51</v>
      </c>
      <c r="I36" s="60">
        <v>6.21</v>
      </c>
      <c r="J36" s="60">
        <v>0.87</v>
      </c>
      <c r="K36" s="60">
        <v>164.48</v>
      </c>
      <c r="L36" s="60">
        <v>39.630000000000003</v>
      </c>
      <c r="M36" s="60">
        <v>88.62</v>
      </c>
      <c r="N36" s="60">
        <v>228.8</v>
      </c>
      <c r="O36" s="60">
        <v>0</v>
      </c>
      <c r="P36" s="60">
        <v>3.44</v>
      </c>
      <c r="Q36" s="60">
        <v>11.67</v>
      </c>
      <c r="R36" s="197"/>
      <c r="S36" s="197"/>
      <c r="T36" s="197"/>
      <c r="U36" s="197"/>
    </row>
    <row r="37" spans="1:21" s="12" customFormat="1" x14ac:dyDescent="0.25">
      <c r="A37" s="200" t="s">
        <v>660</v>
      </c>
      <c r="B37" s="60">
        <v>5.97</v>
      </c>
      <c r="C37" s="60">
        <v>9.49</v>
      </c>
      <c r="D37" s="60">
        <v>15.47</v>
      </c>
      <c r="E37" s="60">
        <v>7.09</v>
      </c>
      <c r="F37" s="60">
        <v>0.44</v>
      </c>
      <c r="G37" s="215" t="s">
        <v>36</v>
      </c>
      <c r="H37" s="60">
        <v>7.65</v>
      </c>
      <c r="I37" s="60">
        <v>6.2</v>
      </c>
      <c r="J37" s="60">
        <v>1.33</v>
      </c>
      <c r="K37" s="60">
        <v>155.41</v>
      </c>
      <c r="L37" s="60">
        <v>39.75</v>
      </c>
      <c r="M37" s="60">
        <v>87.56</v>
      </c>
      <c r="N37" s="60">
        <v>271.10000000000002</v>
      </c>
      <c r="O37" s="60">
        <v>0</v>
      </c>
      <c r="P37" s="60">
        <v>3.42</v>
      </c>
      <c r="Q37" s="60">
        <v>11.62</v>
      </c>
      <c r="R37" s="197"/>
      <c r="S37" s="197"/>
      <c r="T37" s="197"/>
      <c r="U37" s="197"/>
    </row>
    <row r="38" spans="1:21" s="12" customFormat="1" x14ac:dyDescent="0.25">
      <c r="A38" s="200" t="s">
        <v>661</v>
      </c>
      <c r="B38" s="60">
        <v>5.95</v>
      </c>
      <c r="C38" s="60">
        <v>9.23</v>
      </c>
      <c r="D38" s="60">
        <v>15.18</v>
      </c>
      <c r="E38" s="60">
        <v>7.62</v>
      </c>
      <c r="F38" s="60">
        <v>0.2</v>
      </c>
      <c r="G38" s="215" t="s">
        <v>36</v>
      </c>
      <c r="H38" s="60">
        <v>8.02</v>
      </c>
      <c r="I38" s="60">
        <v>6.14</v>
      </c>
      <c r="J38" s="60">
        <v>0.3</v>
      </c>
      <c r="K38" s="60">
        <v>188.83</v>
      </c>
      <c r="L38" s="60">
        <v>40.57</v>
      </c>
      <c r="M38" s="60">
        <v>85.13</v>
      </c>
      <c r="N38" s="60">
        <v>314.3</v>
      </c>
      <c r="O38" s="60">
        <v>0</v>
      </c>
      <c r="P38" s="60">
        <v>3.41</v>
      </c>
      <c r="Q38" s="60">
        <v>11.69</v>
      </c>
      <c r="R38" s="197"/>
      <c r="S38" s="197"/>
      <c r="T38" s="197"/>
      <c r="U38" s="197"/>
    </row>
    <row r="39" spans="1:21" s="12" customFormat="1" x14ac:dyDescent="0.25">
      <c r="A39" s="200" t="s">
        <v>662</v>
      </c>
      <c r="B39" s="60">
        <v>5.87</v>
      </c>
      <c r="C39" s="60">
        <v>9.1</v>
      </c>
      <c r="D39" s="60">
        <v>14.98</v>
      </c>
      <c r="E39" s="60">
        <v>7.7</v>
      </c>
      <c r="F39" s="60">
        <v>0.3</v>
      </c>
      <c r="G39" s="215" t="s">
        <v>36</v>
      </c>
      <c r="H39" s="60">
        <v>8.02</v>
      </c>
      <c r="I39" s="60">
        <v>5.87</v>
      </c>
      <c r="J39" s="60">
        <v>1.05</v>
      </c>
      <c r="K39" s="60">
        <v>155.46</v>
      </c>
      <c r="L39" s="60">
        <v>41.67</v>
      </c>
      <c r="M39" s="60">
        <v>82.58</v>
      </c>
      <c r="N39" s="60">
        <v>385.8</v>
      </c>
      <c r="O39" s="60">
        <v>0</v>
      </c>
      <c r="P39" s="60">
        <v>3.4</v>
      </c>
      <c r="Q39" s="60">
        <v>11.8</v>
      </c>
      <c r="R39" s="197"/>
      <c r="S39" s="197"/>
      <c r="T39" s="197"/>
      <c r="U39" s="197"/>
    </row>
    <row r="40" spans="1:21" s="12" customFormat="1" x14ac:dyDescent="0.25">
      <c r="A40" s="200" t="s">
        <v>663</v>
      </c>
      <c r="B40" s="60">
        <v>5.88</v>
      </c>
      <c r="C40" s="60">
        <v>8.93</v>
      </c>
      <c r="D40" s="60">
        <v>14.81</v>
      </c>
      <c r="E40" s="60">
        <v>2.82</v>
      </c>
      <c r="F40" s="60">
        <v>0.47</v>
      </c>
      <c r="G40" s="215" t="s">
        <v>36</v>
      </c>
      <c r="H40" s="60">
        <v>8.02</v>
      </c>
      <c r="I40" s="60">
        <v>5.58</v>
      </c>
      <c r="J40" s="60">
        <v>1.06</v>
      </c>
      <c r="K40" s="60">
        <v>160.03</v>
      </c>
      <c r="L40" s="60">
        <v>41.62</v>
      </c>
      <c r="M40" s="60">
        <v>83.16</v>
      </c>
      <c r="N40" s="60">
        <v>399.6</v>
      </c>
      <c r="O40" s="60">
        <v>0</v>
      </c>
      <c r="P40" s="60">
        <v>3.39</v>
      </c>
      <c r="Q40" s="60">
        <v>12.04</v>
      </c>
      <c r="R40" s="197"/>
      <c r="S40" s="197"/>
      <c r="T40" s="197"/>
      <c r="U40" s="197"/>
    </row>
    <row r="41" spans="1:21" s="12" customFormat="1" x14ac:dyDescent="0.25">
      <c r="A41" s="200" t="s">
        <v>664</v>
      </c>
      <c r="B41" s="60">
        <v>5.97</v>
      </c>
      <c r="C41" s="60">
        <v>9.15</v>
      </c>
      <c r="D41" s="60">
        <v>15.11</v>
      </c>
      <c r="E41" s="60">
        <v>5.52</v>
      </c>
      <c r="F41" s="60">
        <v>0.35</v>
      </c>
      <c r="G41" s="215" t="s">
        <v>36</v>
      </c>
      <c r="H41" s="60">
        <v>7.58</v>
      </c>
      <c r="I41" s="60">
        <v>5.6</v>
      </c>
      <c r="J41" s="60">
        <v>0.44</v>
      </c>
      <c r="K41" s="60">
        <v>176.18</v>
      </c>
      <c r="L41" s="60">
        <v>42.16</v>
      </c>
      <c r="M41" s="60">
        <v>82.1</v>
      </c>
      <c r="N41" s="60">
        <v>469.8</v>
      </c>
      <c r="O41" s="60">
        <v>0</v>
      </c>
      <c r="P41" s="60">
        <v>3.39</v>
      </c>
      <c r="Q41" s="60">
        <v>12.29</v>
      </c>
      <c r="R41" s="197"/>
      <c r="S41" s="197"/>
      <c r="T41" s="197"/>
      <c r="U41" s="197"/>
    </row>
    <row r="42" spans="1:21" s="12" customFormat="1" x14ac:dyDescent="0.25">
      <c r="A42" s="200" t="s">
        <v>665</v>
      </c>
      <c r="B42" s="60">
        <v>6</v>
      </c>
      <c r="C42" s="60">
        <v>9.2799999999999994</v>
      </c>
      <c r="D42" s="60">
        <v>15.28</v>
      </c>
      <c r="E42" s="60">
        <v>7.12</v>
      </c>
      <c r="F42" s="60">
        <v>0.38</v>
      </c>
      <c r="G42" s="215" t="s">
        <v>36</v>
      </c>
      <c r="H42" s="60">
        <v>6.52</v>
      </c>
      <c r="I42" s="60">
        <v>5.73</v>
      </c>
      <c r="J42" s="60">
        <v>0.35</v>
      </c>
      <c r="K42" s="60">
        <v>186.82</v>
      </c>
      <c r="L42" s="60">
        <v>42.85</v>
      </c>
      <c r="M42" s="60">
        <v>80.17</v>
      </c>
      <c r="N42" s="60">
        <v>482.6</v>
      </c>
      <c r="O42" s="60">
        <v>0</v>
      </c>
      <c r="P42" s="60">
        <v>3.38</v>
      </c>
      <c r="Q42" s="60">
        <v>12.37</v>
      </c>
      <c r="R42" s="197"/>
      <c r="S42" s="197"/>
      <c r="T42" s="197"/>
      <c r="U42" s="197"/>
    </row>
    <row r="43" spans="1:21" s="12" customFormat="1" x14ac:dyDescent="0.25">
      <c r="A43" s="200" t="s">
        <v>666</v>
      </c>
      <c r="B43" s="60">
        <v>5.95</v>
      </c>
      <c r="C43" s="60">
        <v>9.4499999999999993</v>
      </c>
      <c r="D43" s="60">
        <v>15.41</v>
      </c>
      <c r="E43" s="60">
        <v>7.6</v>
      </c>
      <c r="F43" s="60">
        <v>0.36</v>
      </c>
      <c r="G43" s="215" t="s">
        <v>36</v>
      </c>
      <c r="H43" s="60">
        <v>6.52</v>
      </c>
      <c r="I43" s="60">
        <v>5.72</v>
      </c>
      <c r="J43" s="60">
        <v>0.38</v>
      </c>
      <c r="K43" s="60">
        <v>164.59</v>
      </c>
      <c r="L43" s="60">
        <v>43.67</v>
      </c>
      <c r="M43" s="60">
        <v>77.63</v>
      </c>
      <c r="N43" s="60">
        <v>514.9</v>
      </c>
      <c r="O43" s="60">
        <v>0</v>
      </c>
      <c r="P43" s="60">
        <v>3.37</v>
      </c>
      <c r="Q43" s="60">
        <v>12.37</v>
      </c>
      <c r="R43" s="197"/>
      <c r="S43" s="197"/>
      <c r="T43" s="197"/>
      <c r="U43" s="197"/>
    </row>
    <row r="44" spans="1:21" s="12" customFormat="1" x14ac:dyDescent="0.25">
      <c r="A44" s="200" t="s">
        <v>667</v>
      </c>
      <c r="B44" s="60">
        <v>5.76</v>
      </c>
      <c r="C44" s="60">
        <v>9.67</v>
      </c>
      <c r="D44" s="60">
        <v>15.43</v>
      </c>
      <c r="E44" s="60">
        <v>7.44</v>
      </c>
      <c r="F44" s="60">
        <v>0.39</v>
      </c>
      <c r="G44" s="215" t="s">
        <v>36</v>
      </c>
      <c r="H44" s="60">
        <v>6.52</v>
      </c>
      <c r="I44" s="60">
        <v>5.67</v>
      </c>
      <c r="J44" s="60">
        <v>0.62</v>
      </c>
      <c r="K44" s="60">
        <v>174.22</v>
      </c>
      <c r="L44" s="60">
        <v>42.97</v>
      </c>
      <c r="M44" s="60">
        <v>79.39</v>
      </c>
      <c r="N44" s="60">
        <v>428.6</v>
      </c>
      <c r="O44" s="60">
        <v>0</v>
      </c>
      <c r="P44" s="60">
        <v>3.38</v>
      </c>
      <c r="Q44" s="60">
        <v>12.38</v>
      </c>
      <c r="R44" s="197"/>
      <c r="S44" s="197"/>
      <c r="T44" s="197"/>
      <c r="U44" s="197"/>
    </row>
    <row r="45" spans="1:21" s="12" customFormat="1" x14ac:dyDescent="0.25">
      <c r="A45" s="200" t="s">
        <v>668</v>
      </c>
      <c r="B45" s="60">
        <v>5.52</v>
      </c>
      <c r="C45" s="60">
        <v>9.58</v>
      </c>
      <c r="D45" s="60">
        <v>15.1</v>
      </c>
      <c r="E45" s="60">
        <v>7.36</v>
      </c>
      <c r="F45" s="60">
        <v>0.63</v>
      </c>
      <c r="G45" s="215" t="s">
        <v>36</v>
      </c>
      <c r="H45" s="60">
        <v>6.07</v>
      </c>
      <c r="I45" s="60">
        <v>5.63</v>
      </c>
      <c r="J45" s="60">
        <v>0.38</v>
      </c>
      <c r="K45" s="60">
        <v>177.31</v>
      </c>
      <c r="L45" s="60">
        <v>44.13</v>
      </c>
      <c r="M45" s="60">
        <v>76.62</v>
      </c>
      <c r="N45" s="60">
        <v>579.5</v>
      </c>
      <c r="O45" s="60">
        <v>0</v>
      </c>
      <c r="P45" s="60">
        <v>3.37</v>
      </c>
      <c r="Q45" s="60">
        <v>12.29</v>
      </c>
      <c r="R45" s="197"/>
      <c r="S45" s="197"/>
      <c r="T45" s="197"/>
      <c r="U45" s="197"/>
    </row>
    <row r="46" spans="1:21" s="12" customFormat="1" x14ac:dyDescent="0.25">
      <c r="A46" s="200" t="s">
        <v>669</v>
      </c>
      <c r="B46" s="60">
        <v>5.0599999999999996</v>
      </c>
      <c r="C46" s="60">
        <v>9.5</v>
      </c>
      <c r="D46" s="60">
        <v>14.56</v>
      </c>
      <c r="E46" s="60">
        <v>7.83</v>
      </c>
      <c r="F46" s="60">
        <v>0.68</v>
      </c>
      <c r="G46" s="215" t="s">
        <v>36</v>
      </c>
      <c r="H46" s="60">
        <v>4.95</v>
      </c>
      <c r="I46" s="60">
        <v>5.76</v>
      </c>
      <c r="J46" s="60">
        <v>0.23</v>
      </c>
      <c r="K46" s="60">
        <v>169.46</v>
      </c>
      <c r="L46" s="60">
        <v>44.43</v>
      </c>
      <c r="M46" s="60">
        <v>76.010000000000005</v>
      </c>
      <c r="N46" s="60">
        <v>346.3</v>
      </c>
      <c r="O46" s="60">
        <v>0</v>
      </c>
      <c r="P46" s="60">
        <v>3.35</v>
      </c>
      <c r="Q46" s="60">
        <v>11.77</v>
      </c>
      <c r="R46" s="197"/>
      <c r="S46" s="197"/>
      <c r="T46" s="197"/>
      <c r="U46" s="197"/>
    </row>
    <row r="47" spans="1:21" s="12" customFormat="1" x14ac:dyDescent="0.25">
      <c r="A47" s="200" t="s">
        <v>670</v>
      </c>
      <c r="B47" s="60">
        <v>4.93</v>
      </c>
      <c r="C47" s="60">
        <v>9.8699999999999992</v>
      </c>
      <c r="D47" s="60">
        <v>14.8</v>
      </c>
      <c r="E47" s="60">
        <v>7.52</v>
      </c>
      <c r="F47" s="60">
        <v>0.68</v>
      </c>
      <c r="G47" s="215" t="s">
        <v>36</v>
      </c>
      <c r="H47" s="60">
        <v>4.95</v>
      </c>
      <c r="I47" s="60">
        <v>5.76</v>
      </c>
      <c r="J47" s="60">
        <v>0.16</v>
      </c>
      <c r="K47" s="60">
        <v>226.17</v>
      </c>
      <c r="L47" s="60">
        <v>46.03</v>
      </c>
      <c r="M47" s="60">
        <v>74.16</v>
      </c>
      <c r="N47" s="60">
        <v>572.5</v>
      </c>
      <c r="O47" s="60">
        <v>0</v>
      </c>
      <c r="P47" s="60">
        <v>3.36</v>
      </c>
      <c r="Q47" s="60">
        <v>11.21</v>
      </c>
      <c r="R47" s="197"/>
      <c r="S47" s="197"/>
      <c r="T47" s="197"/>
      <c r="U47" s="197"/>
    </row>
    <row r="48" spans="1:21" s="12" customFormat="1" x14ac:dyDescent="0.25">
      <c r="A48" s="200" t="s">
        <v>671</v>
      </c>
      <c r="B48" s="60">
        <v>4.96</v>
      </c>
      <c r="C48" s="60">
        <v>10.23</v>
      </c>
      <c r="D48" s="60">
        <v>15.19</v>
      </c>
      <c r="E48" s="60">
        <v>7.21</v>
      </c>
      <c r="F48" s="60">
        <v>0.64</v>
      </c>
      <c r="G48" s="215" t="s">
        <v>36</v>
      </c>
      <c r="H48" s="60">
        <v>4.95</v>
      </c>
      <c r="I48" s="60">
        <v>5.73</v>
      </c>
      <c r="J48" s="60">
        <v>0.32</v>
      </c>
      <c r="K48" s="60">
        <v>169.84</v>
      </c>
      <c r="L48" s="60">
        <v>46.5</v>
      </c>
      <c r="M48" s="60">
        <v>70.33</v>
      </c>
      <c r="N48" s="60">
        <v>630.9</v>
      </c>
      <c r="O48" s="60">
        <v>0</v>
      </c>
      <c r="P48" s="60">
        <v>3.36</v>
      </c>
      <c r="Q48" s="60">
        <v>10.87</v>
      </c>
      <c r="R48" s="197"/>
      <c r="S48" s="197"/>
      <c r="T48" s="197"/>
      <c r="U48" s="197"/>
    </row>
    <row r="49" spans="1:21" s="12" customFormat="1" x14ac:dyDescent="0.25">
      <c r="A49" s="200" t="s">
        <v>672</v>
      </c>
      <c r="B49" s="60">
        <v>4.54</v>
      </c>
      <c r="C49" s="60">
        <v>10.41</v>
      </c>
      <c r="D49" s="60">
        <v>14.95</v>
      </c>
      <c r="E49" s="60">
        <v>7.39</v>
      </c>
      <c r="F49" s="60">
        <v>0.52</v>
      </c>
      <c r="G49" s="215" t="s">
        <v>36</v>
      </c>
      <c r="H49" s="60">
        <v>5.3</v>
      </c>
      <c r="I49" s="60">
        <v>5.74</v>
      </c>
      <c r="J49" s="60">
        <v>0.73</v>
      </c>
      <c r="K49" s="60">
        <v>150.68</v>
      </c>
      <c r="L49" s="60">
        <v>45.97</v>
      </c>
      <c r="M49" s="60">
        <v>69.650000000000006</v>
      </c>
      <c r="N49" s="60">
        <v>828.3</v>
      </c>
      <c r="O49" s="60">
        <v>0</v>
      </c>
      <c r="P49" s="60">
        <v>3.35</v>
      </c>
      <c r="Q49" s="60">
        <v>10.41</v>
      </c>
      <c r="R49" s="197"/>
      <c r="S49" s="197"/>
      <c r="T49" s="197"/>
      <c r="U49" s="197"/>
    </row>
    <row r="50" spans="1:21" s="12" customFormat="1" x14ac:dyDescent="0.25">
      <c r="A50" s="200" t="s">
        <v>673</v>
      </c>
      <c r="B50" s="60">
        <v>4.1900000000000004</v>
      </c>
      <c r="C50" s="60">
        <v>10.6</v>
      </c>
      <c r="D50" s="60">
        <v>14.79</v>
      </c>
      <c r="E50" s="60">
        <v>7.45</v>
      </c>
      <c r="F50" s="60">
        <v>0.66</v>
      </c>
      <c r="G50" s="215" t="s">
        <v>36</v>
      </c>
      <c r="H50" s="60">
        <v>6.17</v>
      </c>
      <c r="I50" s="60">
        <v>5.68</v>
      </c>
      <c r="J50" s="60">
        <v>1.05</v>
      </c>
      <c r="K50" s="60">
        <v>141.41999999999999</v>
      </c>
      <c r="L50" s="60">
        <v>45.6</v>
      </c>
      <c r="M50" s="60">
        <v>71.180000000000007</v>
      </c>
      <c r="N50" s="60">
        <v>557.20000000000005</v>
      </c>
      <c r="O50" s="60">
        <v>0</v>
      </c>
      <c r="P50" s="60">
        <v>3.33</v>
      </c>
      <c r="Q50" s="60">
        <v>10</v>
      </c>
      <c r="R50" s="197"/>
      <c r="S50" s="197"/>
      <c r="T50" s="197"/>
      <c r="U50" s="197"/>
    </row>
    <row r="51" spans="1:21" s="12" customFormat="1" x14ac:dyDescent="0.25">
      <c r="A51" s="200" t="s">
        <v>674</v>
      </c>
      <c r="B51" s="60">
        <v>3.84</v>
      </c>
      <c r="C51" s="60">
        <v>10.66</v>
      </c>
      <c r="D51" s="60">
        <v>14.5</v>
      </c>
      <c r="E51" s="60">
        <v>6.8</v>
      </c>
      <c r="F51" s="60">
        <v>0.62</v>
      </c>
      <c r="G51" s="215" t="s">
        <v>36</v>
      </c>
      <c r="H51" s="60">
        <v>6.17</v>
      </c>
      <c r="I51" s="60">
        <v>5.64</v>
      </c>
      <c r="J51" s="60">
        <v>0.93</v>
      </c>
      <c r="K51" s="60">
        <v>138.07</v>
      </c>
      <c r="L51" s="60">
        <v>46.18</v>
      </c>
      <c r="M51" s="60">
        <v>70.31</v>
      </c>
      <c r="N51" s="60">
        <v>674.7</v>
      </c>
      <c r="O51" s="60">
        <v>0</v>
      </c>
      <c r="P51" s="60">
        <v>3.34</v>
      </c>
      <c r="Q51" s="60">
        <v>9.74</v>
      </c>
      <c r="R51" s="197"/>
      <c r="S51" s="197"/>
      <c r="T51" s="197"/>
      <c r="U51" s="197"/>
    </row>
    <row r="52" spans="1:21" s="12" customFormat="1" x14ac:dyDescent="0.25">
      <c r="A52" s="200" t="s">
        <v>675</v>
      </c>
      <c r="B52" s="60">
        <v>3.53</v>
      </c>
      <c r="C52" s="60">
        <v>10.49</v>
      </c>
      <c r="D52" s="60">
        <v>14.02</v>
      </c>
      <c r="E52" s="60">
        <v>6.66</v>
      </c>
      <c r="F52" s="60">
        <v>0.55000000000000004</v>
      </c>
      <c r="G52" s="215" t="s">
        <v>36</v>
      </c>
      <c r="H52" s="60">
        <v>6.17</v>
      </c>
      <c r="I52" s="60">
        <v>5.64</v>
      </c>
      <c r="J52" s="60">
        <v>0.92</v>
      </c>
      <c r="K52" s="60">
        <v>142.5</v>
      </c>
      <c r="L52" s="60">
        <v>49.11</v>
      </c>
      <c r="M52" s="60">
        <v>69.12</v>
      </c>
      <c r="N52" s="60">
        <v>1093.7</v>
      </c>
      <c r="O52" s="60">
        <v>0</v>
      </c>
      <c r="P52" s="60">
        <v>3.32</v>
      </c>
      <c r="Q52" s="60">
        <v>9.69</v>
      </c>
      <c r="R52" s="197"/>
      <c r="S52" s="197"/>
      <c r="T52" s="197"/>
      <c r="U52" s="197"/>
    </row>
    <row r="53" spans="1:21" s="12" customFormat="1" x14ac:dyDescent="0.25">
      <c r="A53" s="200" t="s">
        <v>676</v>
      </c>
      <c r="B53" s="60">
        <v>3.34</v>
      </c>
      <c r="C53" s="60">
        <v>10.47</v>
      </c>
      <c r="D53" s="60">
        <v>13.8</v>
      </c>
      <c r="E53" s="60">
        <v>6.81</v>
      </c>
      <c r="F53" s="60">
        <v>0.53</v>
      </c>
      <c r="G53" s="215" t="s">
        <v>36</v>
      </c>
      <c r="H53" s="60">
        <v>5.96</v>
      </c>
      <c r="I53" s="60">
        <v>5.49</v>
      </c>
      <c r="J53" s="60">
        <v>0.53</v>
      </c>
      <c r="K53" s="60">
        <v>167.26</v>
      </c>
      <c r="L53" s="60">
        <v>54</v>
      </c>
      <c r="M53" s="60">
        <v>67.900000000000006</v>
      </c>
      <c r="N53" s="60">
        <v>955.1</v>
      </c>
      <c r="O53" s="60">
        <v>0</v>
      </c>
      <c r="P53" s="60">
        <v>3.31</v>
      </c>
      <c r="Q53" s="60">
        <v>9.9</v>
      </c>
      <c r="R53" s="197"/>
      <c r="S53" s="197"/>
      <c r="T53" s="197"/>
      <c r="U53" s="197"/>
    </row>
    <row r="54" spans="1:21" s="12" customFormat="1" x14ac:dyDescent="0.25">
      <c r="A54" s="200" t="s">
        <v>677</v>
      </c>
      <c r="B54" s="60">
        <v>3.07</v>
      </c>
      <c r="C54" s="60">
        <v>10.31</v>
      </c>
      <c r="D54" s="60">
        <v>13.38</v>
      </c>
      <c r="E54" s="60">
        <v>6.92</v>
      </c>
      <c r="F54" s="60">
        <v>0.55000000000000004</v>
      </c>
      <c r="G54" s="215" t="s">
        <v>36</v>
      </c>
      <c r="H54" s="60">
        <v>5.43</v>
      </c>
      <c r="I54" s="60">
        <v>5.03</v>
      </c>
      <c r="J54" s="60">
        <v>1.22</v>
      </c>
      <c r="K54" s="60">
        <v>158.83000000000001</v>
      </c>
      <c r="L54" s="10" t="s">
        <v>43</v>
      </c>
      <c r="M54" s="60">
        <v>67.709999999999994</v>
      </c>
      <c r="N54" s="60">
        <v>946.1</v>
      </c>
      <c r="O54" s="60">
        <v>0</v>
      </c>
      <c r="P54" s="60">
        <v>3.31</v>
      </c>
      <c r="Q54" s="60">
        <v>10</v>
      </c>
      <c r="R54" s="197"/>
      <c r="S54" s="197"/>
      <c r="T54" s="197"/>
      <c r="U54" s="197"/>
    </row>
    <row r="55" spans="1:21" s="12" customFormat="1" x14ac:dyDescent="0.25">
      <c r="A55" s="200" t="s">
        <v>678</v>
      </c>
      <c r="B55" s="60">
        <v>2.82</v>
      </c>
      <c r="C55" s="60">
        <v>10.28</v>
      </c>
      <c r="D55" s="60">
        <v>13.09</v>
      </c>
      <c r="E55" s="60">
        <v>6.91</v>
      </c>
      <c r="F55" s="60">
        <v>0.69</v>
      </c>
      <c r="G55" s="215" t="s">
        <v>36</v>
      </c>
      <c r="H55" s="60">
        <v>5.43</v>
      </c>
      <c r="I55" s="60">
        <v>5.18</v>
      </c>
      <c r="J55" s="60">
        <v>0.1</v>
      </c>
      <c r="K55" s="60">
        <v>268.62</v>
      </c>
      <c r="L55" s="10" t="s">
        <v>43</v>
      </c>
      <c r="M55" s="60">
        <v>67.069999999999993</v>
      </c>
      <c r="N55" s="60">
        <v>958.4</v>
      </c>
      <c r="O55" s="60">
        <v>0</v>
      </c>
      <c r="P55" s="60">
        <v>3.3</v>
      </c>
      <c r="Q55" s="60">
        <v>9.99</v>
      </c>
      <c r="R55" s="197"/>
      <c r="S55" s="197"/>
      <c r="T55" s="197"/>
      <c r="U55" s="197"/>
    </row>
    <row r="56" spans="1:21" s="12" customFormat="1" x14ac:dyDescent="0.25">
      <c r="A56" s="200" t="s">
        <v>679</v>
      </c>
      <c r="B56" s="60">
        <v>2.7</v>
      </c>
      <c r="C56" s="60">
        <v>10.220000000000001</v>
      </c>
      <c r="D56" s="60">
        <v>12.92</v>
      </c>
      <c r="E56" s="60">
        <v>2.76</v>
      </c>
      <c r="F56" s="60">
        <v>0.81</v>
      </c>
      <c r="G56" s="215" t="s">
        <v>36</v>
      </c>
      <c r="H56" s="60">
        <v>5.43</v>
      </c>
      <c r="I56" s="60">
        <v>5.28</v>
      </c>
      <c r="J56" s="60">
        <v>1.06</v>
      </c>
      <c r="K56" s="60">
        <v>128.54</v>
      </c>
      <c r="L56" s="10" t="s">
        <v>43</v>
      </c>
      <c r="M56" s="60">
        <v>66.150000000000006</v>
      </c>
      <c r="N56" s="60">
        <v>599</v>
      </c>
      <c r="O56" s="60">
        <v>0</v>
      </c>
      <c r="P56" s="60">
        <v>3.29</v>
      </c>
      <c r="Q56" s="60">
        <v>10.08</v>
      </c>
      <c r="R56" s="197"/>
      <c r="S56" s="197"/>
      <c r="T56" s="197"/>
      <c r="U56" s="197"/>
    </row>
    <row r="57" spans="1:21" s="12" customFormat="1" x14ac:dyDescent="0.25">
      <c r="A57" s="200" t="s">
        <v>680</v>
      </c>
      <c r="B57" s="60">
        <v>2.66</v>
      </c>
      <c r="C57" s="60">
        <v>10.28</v>
      </c>
      <c r="D57" s="60">
        <v>12.94</v>
      </c>
      <c r="E57" s="60">
        <v>4.03</v>
      </c>
      <c r="F57" s="60">
        <v>0.53</v>
      </c>
      <c r="G57" s="215" t="s">
        <v>36</v>
      </c>
      <c r="H57" s="60">
        <v>5.18</v>
      </c>
      <c r="I57" s="60">
        <v>5.35</v>
      </c>
      <c r="J57" s="60">
        <v>1.5</v>
      </c>
      <c r="K57" s="60">
        <v>151.87</v>
      </c>
      <c r="L57" s="10" t="s">
        <v>43</v>
      </c>
      <c r="M57" s="60">
        <v>65.569999999999993</v>
      </c>
      <c r="N57" s="60">
        <v>868.5</v>
      </c>
      <c r="O57" s="60">
        <v>0</v>
      </c>
      <c r="P57" s="60">
        <v>3.29</v>
      </c>
      <c r="Q57" s="60">
        <v>10.220000000000001</v>
      </c>
      <c r="R57" s="197"/>
      <c r="S57" s="197"/>
      <c r="T57" s="197"/>
      <c r="U57" s="197"/>
    </row>
    <row r="58" spans="1:21" s="12" customFormat="1" x14ac:dyDescent="0.25">
      <c r="A58" s="200" t="s">
        <v>681</v>
      </c>
      <c r="B58" s="60">
        <v>2.59</v>
      </c>
      <c r="C58" s="60">
        <v>10.130000000000001</v>
      </c>
      <c r="D58" s="60">
        <v>12.73</v>
      </c>
      <c r="E58" s="60">
        <v>5.91</v>
      </c>
      <c r="F58" s="60">
        <v>0.89</v>
      </c>
      <c r="G58" s="215" t="s">
        <v>36</v>
      </c>
      <c r="H58" s="60">
        <v>4.54</v>
      </c>
      <c r="I58" s="60">
        <v>5.27</v>
      </c>
      <c r="J58" s="60">
        <v>0.99</v>
      </c>
      <c r="K58" s="60">
        <v>151.52000000000001</v>
      </c>
      <c r="L58" s="10" t="s">
        <v>43</v>
      </c>
      <c r="M58" s="60">
        <v>65.599999999999994</v>
      </c>
      <c r="N58" s="60">
        <v>666.3</v>
      </c>
      <c r="O58" s="60">
        <v>0</v>
      </c>
      <c r="P58" s="60">
        <v>3.28</v>
      </c>
      <c r="Q58" s="60">
        <v>10.24</v>
      </c>
      <c r="R58" s="197"/>
      <c r="S58" s="197"/>
      <c r="T58" s="197"/>
      <c r="U58" s="197"/>
    </row>
    <row r="59" spans="1:21" s="12" customFormat="1" x14ac:dyDescent="0.25">
      <c r="A59" s="200" t="s">
        <v>682</v>
      </c>
      <c r="B59" s="60">
        <v>2.59</v>
      </c>
      <c r="C59" s="60">
        <v>10.43</v>
      </c>
      <c r="D59" s="60">
        <v>13.02</v>
      </c>
      <c r="E59" s="60">
        <v>6.22</v>
      </c>
      <c r="F59" s="60">
        <v>0.47</v>
      </c>
      <c r="G59" s="215" t="s">
        <v>36</v>
      </c>
      <c r="H59" s="60">
        <v>4.54</v>
      </c>
      <c r="I59" s="60">
        <v>4.82</v>
      </c>
      <c r="J59" s="60">
        <v>0.88</v>
      </c>
      <c r="K59" s="60">
        <v>160.30000000000001</v>
      </c>
      <c r="L59" s="10" t="s">
        <v>43</v>
      </c>
      <c r="M59" s="60">
        <v>65.38</v>
      </c>
      <c r="N59" s="60">
        <v>863.3</v>
      </c>
      <c r="O59" s="60">
        <v>0</v>
      </c>
      <c r="P59" s="60">
        <v>3.29</v>
      </c>
      <c r="Q59" s="60">
        <v>10.18</v>
      </c>
      <c r="R59" s="197"/>
      <c r="S59" s="197"/>
      <c r="T59" s="197"/>
      <c r="U59" s="197"/>
    </row>
    <row r="60" spans="1:21" s="12" customFormat="1" x14ac:dyDescent="0.25">
      <c r="A60" s="200" t="s">
        <v>683</v>
      </c>
      <c r="B60" s="60">
        <v>2.41</v>
      </c>
      <c r="C60" s="60">
        <v>9.65</v>
      </c>
      <c r="D60" s="60">
        <v>12.06</v>
      </c>
      <c r="E60" s="60">
        <v>6.81</v>
      </c>
      <c r="F60" s="60">
        <v>0.89</v>
      </c>
      <c r="G60" s="215" t="s">
        <v>36</v>
      </c>
      <c r="H60" s="60">
        <v>4.54</v>
      </c>
      <c r="I60" s="60">
        <v>4.91</v>
      </c>
      <c r="J60" s="60">
        <v>0.41</v>
      </c>
      <c r="K60" s="60">
        <v>155.66</v>
      </c>
      <c r="L60" s="10" t="s">
        <v>43</v>
      </c>
      <c r="M60" s="60">
        <v>63.16</v>
      </c>
      <c r="N60" s="60">
        <v>1006.7</v>
      </c>
      <c r="O60" s="60">
        <v>0</v>
      </c>
      <c r="P60" s="60">
        <v>3.27</v>
      </c>
      <c r="Q60" s="60">
        <v>10.050000000000001</v>
      </c>
      <c r="R60" s="197"/>
      <c r="S60" s="197"/>
      <c r="T60" s="197"/>
      <c r="U60" s="197"/>
    </row>
    <row r="61" spans="1:21" s="12" customFormat="1" x14ac:dyDescent="0.25">
      <c r="A61" s="200" t="s">
        <v>684</v>
      </c>
      <c r="B61" s="60">
        <v>2.21</v>
      </c>
      <c r="C61" s="60">
        <v>9.52</v>
      </c>
      <c r="D61" s="60">
        <v>11.73</v>
      </c>
      <c r="E61" s="60">
        <v>6.45</v>
      </c>
      <c r="F61" s="60">
        <v>0.93</v>
      </c>
      <c r="G61" s="215" t="s">
        <v>36</v>
      </c>
      <c r="H61" s="60">
        <v>5.49</v>
      </c>
      <c r="I61" s="60">
        <v>5.19</v>
      </c>
      <c r="J61" s="60">
        <v>0.82</v>
      </c>
      <c r="K61" s="60">
        <v>160.57</v>
      </c>
      <c r="L61" s="10" t="s">
        <v>43</v>
      </c>
      <c r="M61" s="60">
        <v>62.43</v>
      </c>
      <c r="N61" s="60">
        <v>838.6</v>
      </c>
      <c r="O61" s="60">
        <v>0</v>
      </c>
      <c r="P61" s="60">
        <v>3.27</v>
      </c>
      <c r="Q61" s="60">
        <v>9.77</v>
      </c>
      <c r="R61" s="197"/>
      <c r="S61" s="197"/>
      <c r="T61" s="197"/>
      <c r="U61" s="197"/>
    </row>
    <row r="62" spans="1:21" s="12" customFormat="1" x14ac:dyDescent="0.25">
      <c r="A62" s="200" t="s">
        <v>685</v>
      </c>
      <c r="B62" s="60">
        <v>2.08</v>
      </c>
      <c r="C62" s="60">
        <v>9.68</v>
      </c>
      <c r="D62" s="60">
        <v>11.76</v>
      </c>
      <c r="E62" s="60">
        <v>6.3</v>
      </c>
      <c r="F62" s="60">
        <v>1.1399999999999999</v>
      </c>
      <c r="G62" s="215" t="s">
        <v>36</v>
      </c>
      <c r="H62" s="60">
        <v>7.83</v>
      </c>
      <c r="I62" s="60">
        <v>4.8899999999999997</v>
      </c>
      <c r="J62" s="60">
        <v>0.16</v>
      </c>
      <c r="K62" s="60">
        <v>131.18</v>
      </c>
      <c r="L62" s="60">
        <v>49.4</v>
      </c>
      <c r="M62" s="60">
        <v>59.84</v>
      </c>
      <c r="N62" s="60">
        <v>1023</v>
      </c>
      <c r="O62" s="60">
        <v>0</v>
      </c>
      <c r="P62" s="60">
        <v>3.27</v>
      </c>
      <c r="Q62" s="60">
        <v>9.0299999999999994</v>
      </c>
      <c r="R62" s="197"/>
      <c r="S62" s="197"/>
      <c r="T62" s="197"/>
      <c r="U62" s="197"/>
    </row>
    <row r="63" spans="1:21" s="12" customFormat="1" x14ac:dyDescent="0.25">
      <c r="A63" s="200" t="s">
        <v>686</v>
      </c>
      <c r="B63" s="60">
        <v>2.1</v>
      </c>
      <c r="C63" s="60">
        <v>9.74</v>
      </c>
      <c r="D63" s="60">
        <v>11.84</v>
      </c>
      <c r="E63" s="60">
        <v>5.99</v>
      </c>
      <c r="F63" s="60">
        <v>0.75</v>
      </c>
      <c r="G63" s="215" t="s">
        <v>36</v>
      </c>
      <c r="H63" s="60">
        <v>7.83</v>
      </c>
      <c r="I63" s="60">
        <v>4.9400000000000004</v>
      </c>
      <c r="J63" s="60">
        <v>0.54</v>
      </c>
      <c r="K63" s="60">
        <v>167.48</v>
      </c>
      <c r="L63" s="60">
        <v>49.86</v>
      </c>
      <c r="M63" s="60">
        <v>58.32</v>
      </c>
      <c r="N63" s="60">
        <v>758.1</v>
      </c>
      <c r="O63" s="60">
        <v>0</v>
      </c>
      <c r="P63" s="60">
        <v>3.27</v>
      </c>
      <c r="Q63" s="60">
        <v>8.6999999999999993</v>
      </c>
      <c r="R63" s="197"/>
      <c r="S63" s="197"/>
      <c r="T63" s="197"/>
      <c r="U63" s="197"/>
    </row>
    <row r="64" spans="1:21" s="12" customFormat="1" x14ac:dyDescent="0.25">
      <c r="A64" s="200" t="s">
        <v>687</v>
      </c>
      <c r="B64" s="60">
        <v>1.99</v>
      </c>
      <c r="C64" s="60">
        <v>9.8699999999999992</v>
      </c>
      <c r="D64" s="60">
        <v>11.86</v>
      </c>
      <c r="E64" s="60">
        <v>5.66</v>
      </c>
      <c r="F64" s="60">
        <v>1.29</v>
      </c>
      <c r="G64" s="215" t="s">
        <v>36</v>
      </c>
      <c r="H64" s="60">
        <v>7.83</v>
      </c>
      <c r="I64" s="60">
        <v>4.8499999999999996</v>
      </c>
      <c r="J64" s="60">
        <v>0.22</v>
      </c>
      <c r="K64" s="60">
        <v>158.57</v>
      </c>
      <c r="L64" s="60">
        <v>47.88</v>
      </c>
      <c r="M64" s="60">
        <v>59.33</v>
      </c>
      <c r="N64" s="60">
        <v>267.3</v>
      </c>
      <c r="O64" s="60">
        <v>0</v>
      </c>
      <c r="P64" s="60">
        <v>3.27</v>
      </c>
      <c r="Q64" s="60">
        <v>8.33</v>
      </c>
      <c r="R64" s="197"/>
      <c r="S64" s="197"/>
      <c r="T64" s="197"/>
      <c r="U64" s="197"/>
    </row>
    <row r="65" spans="1:21" s="12" customFormat="1" x14ac:dyDescent="0.25">
      <c r="A65" s="200" t="s">
        <v>688</v>
      </c>
      <c r="B65" s="60">
        <v>1.74</v>
      </c>
      <c r="C65" s="60">
        <v>9.67</v>
      </c>
      <c r="D65" s="60">
        <v>11.41</v>
      </c>
      <c r="E65" s="60">
        <v>5.88</v>
      </c>
      <c r="F65" s="60">
        <v>0.77</v>
      </c>
      <c r="G65" s="215" t="s">
        <v>36</v>
      </c>
      <c r="H65" s="60">
        <v>7.16</v>
      </c>
      <c r="I65" s="60">
        <v>5.07</v>
      </c>
      <c r="J65" s="60">
        <v>0.59</v>
      </c>
      <c r="K65" s="60">
        <v>336.12</v>
      </c>
      <c r="L65" s="60">
        <v>46.95</v>
      </c>
      <c r="M65" s="60">
        <v>59.27</v>
      </c>
      <c r="N65" s="60">
        <v>410.9</v>
      </c>
      <c r="O65" s="60">
        <v>0</v>
      </c>
      <c r="P65" s="60">
        <v>3.27</v>
      </c>
      <c r="Q65" s="60">
        <v>8</v>
      </c>
      <c r="R65" s="197"/>
      <c r="S65" s="197"/>
      <c r="T65" s="197"/>
      <c r="U65" s="197"/>
    </row>
    <row r="66" spans="1:21" s="12" customFormat="1" x14ac:dyDescent="0.25">
      <c r="A66" s="200" t="s">
        <v>689</v>
      </c>
      <c r="B66" s="60">
        <v>1.96</v>
      </c>
      <c r="C66" s="60">
        <v>10.17</v>
      </c>
      <c r="D66" s="60">
        <v>12.13</v>
      </c>
      <c r="E66" s="60">
        <v>5.82</v>
      </c>
      <c r="F66" s="60">
        <v>0.68</v>
      </c>
      <c r="G66" s="215" t="s">
        <v>36</v>
      </c>
      <c r="H66" s="60">
        <v>5.5</v>
      </c>
      <c r="I66" s="60">
        <v>5.07</v>
      </c>
      <c r="J66" s="60">
        <v>1.6</v>
      </c>
      <c r="K66" s="60">
        <v>333.01</v>
      </c>
      <c r="L66" s="60">
        <v>48.32</v>
      </c>
      <c r="M66" s="60">
        <v>59.14</v>
      </c>
      <c r="N66" s="60">
        <v>688.2</v>
      </c>
      <c r="O66" s="60">
        <v>0</v>
      </c>
      <c r="P66" s="60">
        <v>3.29</v>
      </c>
      <c r="Q66" s="60">
        <v>8.01</v>
      </c>
      <c r="R66" s="197"/>
      <c r="S66" s="197"/>
      <c r="T66" s="197"/>
      <c r="U66" s="197"/>
    </row>
    <row r="67" spans="1:21" s="12" customFormat="1" x14ac:dyDescent="0.25">
      <c r="A67" s="200" t="s">
        <v>690</v>
      </c>
      <c r="B67" s="60">
        <v>2.52</v>
      </c>
      <c r="C67" s="60">
        <v>11.2</v>
      </c>
      <c r="D67" s="60">
        <v>13.72</v>
      </c>
      <c r="E67" s="60">
        <v>5.39</v>
      </c>
      <c r="F67" s="60">
        <v>0.68</v>
      </c>
      <c r="G67" s="215" t="s">
        <v>36</v>
      </c>
      <c r="H67" s="60">
        <v>5.5</v>
      </c>
      <c r="I67" s="60">
        <v>5.03</v>
      </c>
      <c r="J67" s="60">
        <v>1.62</v>
      </c>
      <c r="K67" s="60">
        <v>329.84</v>
      </c>
      <c r="L67" s="10" t="s">
        <v>43</v>
      </c>
      <c r="M67" s="60">
        <v>54.65</v>
      </c>
      <c r="N67" s="60">
        <v>870.4</v>
      </c>
      <c r="O67" s="60">
        <v>0</v>
      </c>
      <c r="P67" s="60">
        <v>3.32</v>
      </c>
      <c r="Q67" s="60">
        <v>8.52</v>
      </c>
      <c r="R67" s="197"/>
      <c r="S67" s="197"/>
      <c r="T67" s="197"/>
      <c r="U67" s="197"/>
    </row>
    <row r="68" spans="1:21" s="12" customFormat="1" x14ac:dyDescent="0.25">
      <c r="A68" s="200" t="s">
        <v>691</v>
      </c>
      <c r="B68" s="60">
        <v>2.97</v>
      </c>
      <c r="C68" s="60">
        <v>12.15</v>
      </c>
      <c r="D68" s="60">
        <v>15.13</v>
      </c>
      <c r="E68" s="60">
        <v>5.55</v>
      </c>
      <c r="F68" s="60">
        <v>0.73</v>
      </c>
      <c r="G68" s="215" t="s">
        <v>36</v>
      </c>
      <c r="H68" s="60">
        <v>5.5</v>
      </c>
      <c r="I68" s="60">
        <v>5.0599999999999996</v>
      </c>
      <c r="J68" s="60">
        <v>1.62</v>
      </c>
      <c r="K68" s="60">
        <v>331.63</v>
      </c>
      <c r="L68" s="10" t="s">
        <v>43</v>
      </c>
      <c r="M68" s="60">
        <v>53.37</v>
      </c>
      <c r="N68" s="60">
        <v>830.6</v>
      </c>
      <c r="O68" s="60">
        <v>0</v>
      </c>
      <c r="P68" s="60">
        <v>3.36</v>
      </c>
      <c r="Q68" s="60">
        <v>9.09</v>
      </c>
      <c r="R68" s="197"/>
      <c r="S68" s="197"/>
      <c r="T68" s="197"/>
      <c r="U68" s="197"/>
    </row>
    <row r="69" spans="1:21" s="12" customFormat="1" x14ac:dyDescent="0.25">
      <c r="A69" s="200" t="s">
        <v>692</v>
      </c>
      <c r="B69" s="60">
        <v>3.34</v>
      </c>
      <c r="C69" s="60">
        <v>13.4</v>
      </c>
      <c r="D69" s="60">
        <v>16.739999999999998</v>
      </c>
      <c r="E69" s="60">
        <v>5.55</v>
      </c>
      <c r="F69" s="60">
        <v>1.08</v>
      </c>
      <c r="G69" s="215" t="s">
        <v>36</v>
      </c>
      <c r="H69" s="60">
        <v>6.8</v>
      </c>
      <c r="I69" s="60">
        <v>5.2</v>
      </c>
      <c r="J69" s="60">
        <v>1.68</v>
      </c>
      <c r="K69" s="60">
        <v>337.44</v>
      </c>
      <c r="L69" s="10" t="s">
        <v>43</v>
      </c>
      <c r="M69" s="60">
        <v>54.38</v>
      </c>
      <c r="N69" s="60">
        <v>309.60000000000002</v>
      </c>
      <c r="O69" s="60">
        <v>0</v>
      </c>
      <c r="P69" s="60">
        <v>3.38</v>
      </c>
      <c r="Q69" s="60">
        <v>9.7200000000000006</v>
      </c>
      <c r="R69" s="197"/>
      <c r="S69" s="197"/>
      <c r="T69" s="197"/>
      <c r="U69" s="197"/>
    </row>
    <row r="70" spans="1:21" s="12" customFormat="1" x14ac:dyDescent="0.25">
      <c r="A70" s="200" t="s">
        <v>693</v>
      </c>
      <c r="B70" s="60">
        <v>3.64</v>
      </c>
      <c r="C70" s="60">
        <v>14.67</v>
      </c>
      <c r="D70" s="60">
        <v>18.32</v>
      </c>
      <c r="E70" s="60">
        <v>5.25</v>
      </c>
      <c r="F70" s="60">
        <v>0.94</v>
      </c>
      <c r="G70" s="215" t="s">
        <v>36</v>
      </c>
      <c r="H70" s="60">
        <v>9.99</v>
      </c>
      <c r="I70" s="60">
        <v>5.3</v>
      </c>
      <c r="J70" s="60">
        <v>1.1499999999999999</v>
      </c>
      <c r="K70" s="60">
        <v>324.16000000000003</v>
      </c>
      <c r="L70" s="10" t="s">
        <v>43</v>
      </c>
      <c r="M70" s="60">
        <v>58.64</v>
      </c>
      <c r="N70" s="60">
        <v>146.1</v>
      </c>
      <c r="O70" s="60">
        <v>0</v>
      </c>
      <c r="P70" s="60">
        <v>3.4</v>
      </c>
      <c r="Q70" s="60">
        <v>10.26</v>
      </c>
      <c r="R70" s="197"/>
      <c r="S70" s="197"/>
      <c r="T70" s="197"/>
      <c r="U70" s="197"/>
    </row>
    <row r="71" spans="1:21" s="12" customFormat="1" x14ac:dyDescent="0.25">
      <c r="A71" s="200" t="s">
        <v>694</v>
      </c>
      <c r="B71" s="60">
        <v>3.79</v>
      </c>
      <c r="C71" s="60">
        <v>15.19</v>
      </c>
      <c r="D71" s="60">
        <v>18.98</v>
      </c>
      <c r="E71" s="60">
        <v>5.71</v>
      </c>
      <c r="F71" s="60">
        <v>0.38</v>
      </c>
      <c r="G71" s="215" t="s">
        <v>36</v>
      </c>
      <c r="H71" s="60">
        <v>9.99</v>
      </c>
      <c r="I71" s="60">
        <v>5.32</v>
      </c>
      <c r="J71" s="60">
        <v>0.79</v>
      </c>
      <c r="K71" s="60">
        <v>1.94</v>
      </c>
      <c r="L71" s="10" t="s">
        <v>43</v>
      </c>
      <c r="M71" s="60">
        <v>61.17</v>
      </c>
      <c r="N71" s="60">
        <v>116.4</v>
      </c>
      <c r="O71" s="60">
        <v>0</v>
      </c>
      <c r="P71" s="60">
        <v>3.42</v>
      </c>
      <c r="Q71" s="60">
        <v>10.6</v>
      </c>
      <c r="R71" s="197"/>
      <c r="S71" s="197"/>
      <c r="T71" s="197"/>
      <c r="U71" s="197"/>
    </row>
    <row r="72" spans="1:21" s="12" customFormat="1" x14ac:dyDescent="0.25">
      <c r="A72" s="200" t="s">
        <v>695</v>
      </c>
      <c r="B72" s="60">
        <v>3.98</v>
      </c>
      <c r="C72" s="60">
        <v>15.51</v>
      </c>
      <c r="D72" s="60">
        <v>19.489999999999998</v>
      </c>
      <c r="E72" s="60">
        <v>3.56</v>
      </c>
      <c r="F72" s="60">
        <v>0.67</v>
      </c>
      <c r="G72" s="215" t="s">
        <v>36</v>
      </c>
      <c r="H72" s="60">
        <v>9.99</v>
      </c>
      <c r="I72" s="60">
        <v>5.24</v>
      </c>
      <c r="J72" s="60">
        <v>1.1499999999999999</v>
      </c>
      <c r="K72" s="60">
        <v>83.98</v>
      </c>
      <c r="L72" s="10" t="s">
        <v>43</v>
      </c>
      <c r="M72" s="60">
        <v>63.5</v>
      </c>
      <c r="N72" s="60">
        <v>100.4</v>
      </c>
      <c r="O72" s="60">
        <v>0</v>
      </c>
      <c r="P72" s="60">
        <v>3.44</v>
      </c>
      <c r="Q72" s="60">
        <v>10.95</v>
      </c>
      <c r="R72" s="197"/>
      <c r="S72" s="197"/>
      <c r="T72" s="197"/>
      <c r="U72" s="197"/>
    </row>
    <row r="73" spans="1:21" s="12" customFormat="1" x14ac:dyDescent="0.25">
      <c r="A73" s="200" t="s">
        <v>696</v>
      </c>
      <c r="B73" s="60">
        <v>3.99</v>
      </c>
      <c r="C73" s="60">
        <v>15.53</v>
      </c>
      <c r="D73" s="60">
        <v>19.52</v>
      </c>
      <c r="E73" s="60">
        <v>5.64</v>
      </c>
      <c r="F73" s="60">
        <v>0.62</v>
      </c>
      <c r="G73" s="215" t="s">
        <v>36</v>
      </c>
      <c r="H73" s="60">
        <v>11.92</v>
      </c>
      <c r="I73" s="60">
        <v>4.87</v>
      </c>
      <c r="J73" s="60">
        <v>0.65</v>
      </c>
      <c r="K73" s="60">
        <v>61.61</v>
      </c>
      <c r="L73" s="10" t="s">
        <v>43</v>
      </c>
      <c r="M73" s="60">
        <v>64.790000000000006</v>
      </c>
      <c r="N73" s="60">
        <v>84</v>
      </c>
      <c r="O73" s="60">
        <v>0</v>
      </c>
      <c r="P73" s="60">
        <v>3.45</v>
      </c>
      <c r="Q73" s="60">
        <v>11.08</v>
      </c>
      <c r="R73" s="197"/>
      <c r="S73" s="197"/>
      <c r="T73" s="197"/>
      <c r="U73" s="197"/>
    </row>
    <row r="74" spans="1:21" s="12" customFormat="1" x14ac:dyDescent="0.25">
      <c r="A74" s="200" t="s">
        <v>697</v>
      </c>
      <c r="B74" s="60">
        <v>3.85</v>
      </c>
      <c r="C74" s="60">
        <v>14.85</v>
      </c>
      <c r="D74" s="60">
        <v>18.7</v>
      </c>
      <c r="E74" s="60">
        <v>6.61</v>
      </c>
      <c r="F74" s="60">
        <v>1.1299999999999999</v>
      </c>
      <c r="G74" s="215" t="s">
        <v>36</v>
      </c>
      <c r="H74" s="60">
        <v>16.66</v>
      </c>
      <c r="I74" s="60">
        <v>5.46</v>
      </c>
      <c r="J74" s="60">
        <v>0.83</v>
      </c>
      <c r="K74" s="60">
        <v>87.16</v>
      </c>
      <c r="L74" s="10" t="s">
        <v>43</v>
      </c>
      <c r="M74" s="60">
        <v>63.12</v>
      </c>
      <c r="N74" s="60">
        <v>58</v>
      </c>
      <c r="O74" s="60">
        <v>0</v>
      </c>
      <c r="P74" s="60">
        <v>3.47</v>
      </c>
      <c r="Q74" s="60">
        <v>10.92</v>
      </c>
      <c r="R74" s="197"/>
      <c r="S74" s="197"/>
      <c r="T74" s="197"/>
      <c r="U74" s="197"/>
    </row>
    <row r="75" spans="1:21" s="12" customFormat="1" x14ac:dyDescent="0.25">
      <c r="A75" s="200" t="s">
        <v>698</v>
      </c>
      <c r="B75" s="60">
        <v>3.62</v>
      </c>
      <c r="C75" s="60">
        <v>14.57</v>
      </c>
      <c r="D75" s="60">
        <v>18.2</v>
      </c>
      <c r="E75" s="60">
        <v>7.06</v>
      </c>
      <c r="F75" s="60">
        <v>1.27</v>
      </c>
      <c r="G75" s="215" t="s">
        <v>36</v>
      </c>
      <c r="H75" s="60">
        <v>16.66</v>
      </c>
      <c r="I75" s="60">
        <v>5.31</v>
      </c>
      <c r="J75" s="60">
        <v>1.1499999999999999</v>
      </c>
      <c r="K75" s="60">
        <v>91.17</v>
      </c>
      <c r="L75" s="10" t="s">
        <v>43</v>
      </c>
      <c r="M75" s="60">
        <v>66.14</v>
      </c>
      <c r="N75" s="60">
        <v>44.7</v>
      </c>
      <c r="O75" s="60">
        <v>0</v>
      </c>
      <c r="P75" s="60">
        <v>3.47</v>
      </c>
      <c r="Q75" s="60">
        <v>10.63</v>
      </c>
      <c r="R75" s="197"/>
      <c r="S75" s="197"/>
      <c r="T75" s="197"/>
      <c r="U75" s="197"/>
    </row>
    <row r="76" spans="1:21" s="12" customFormat="1" x14ac:dyDescent="0.25">
      <c r="A76" s="200" t="s">
        <v>699</v>
      </c>
      <c r="B76" s="60">
        <v>3.53</v>
      </c>
      <c r="C76" s="60">
        <v>15.17</v>
      </c>
      <c r="D76" s="60">
        <v>18.7</v>
      </c>
      <c r="E76" s="60">
        <v>7.24</v>
      </c>
      <c r="F76" s="60">
        <v>0.64</v>
      </c>
      <c r="G76" s="215" t="s">
        <v>36</v>
      </c>
      <c r="H76" s="60">
        <v>16.66</v>
      </c>
      <c r="I76" s="60">
        <v>5.55</v>
      </c>
      <c r="J76" s="60">
        <v>0.99</v>
      </c>
      <c r="K76" s="60">
        <v>126.49</v>
      </c>
      <c r="L76" s="60">
        <v>49.87</v>
      </c>
      <c r="M76" s="60">
        <v>71.489999999999995</v>
      </c>
      <c r="N76" s="60">
        <v>37.700000000000003</v>
      </c>
      <c r="O76" s="60">
        <v>0</v>
      </c>
      <c r="P76" s="60">
        <v>3.48</v>
      </c>
      <c r="Q76" s="60">
        <v>10.25</v>
      </c>
      <c r="R76" s="197"/>
      <c r="S76" s="197"/>
      <c r="T76" s="197"/>
      <c r="U76" s="197"/>
    </row>
    <row r="77" spans="1:21" s="12" customFormat="1" x14ac:dyDescent="0.25">
      <c r="A77" s="200" t="s">
        <v>700</v>
      </c>
      <c r="B77" s="60">
        <v>3.2</v>
      </c>
      <c r="C77" s="60">
        <v>14.51</v>
      </c>
      <c r="D77" s="60">
        <v>17.71</v>
      </c>
      <c r="E77" s="60">
        <v>7.45</v>
      </c>
      <c r="F77" s="60">
        <v>0.76</v>
      </c>
      <c r="G77" s="215" t="s">
        <v>36</v>
      </c>
      <c r="H77" s="60">
        <v>17.850000000000001</v>
      </c>
      <c r="I77" s="60">
        <v>5.76</v>
      </c>
      <c r="J77" s="60">
        <v>1.07</v>
      </c>
      <c r="K77" s="60">
        <v>177.95</v>
      </c>
      <c r="L77" s="60">
        <v>48.87</v>
      </c>
      <c r="M77" s="60">
        <v>75.739999999999995</v>
      </c>
      <c r="N77" s="60">
        <v>57.9</v>
      </c>
      <c r="O77" s="60">
        <v>0</v>
      </c>
      <c r="P77" s="60">
        <v>3.46</v>
      </c>
      <c r="Q77" s="60">
        <v>9.59</v>
      </c>
      <c r="R77" s="197"/>
      <c r="S77" s="197"/>
      <c r="T77" s="197"/>
      <c r="U77" s="197"/>
    </row>
    <row r="78" spans="1:21" s="12" customFormat="1" x14ac:dyDescent="0.25">
      <c r="A78" s="200" t="s">
        <v>701</v>
      </c>
      <c r="B78" s="60">
        <v>2.92</v>
      </c>
      <c r="C78" s="60">
        <v>13.77</v>
      </c>
      <c r="D78" s="60">
        <v>16.690000000000001</v>
      </c>
      <c r="E78" s="60">
        <v>7.19</v>
      </c>
      <c r="F78" s="60">
        <v>0.6</v>
      </c>
      <c r="G78" s="215" t="s">
        <v>36</v>
      </c>
      <c r="H78" s="60">
        <v>20.76</v>
      </c>
      <c r="I78" s="60">
        <v>5.81</v>
      </c>
      <c r="J78" s="60">
        <v>0.39</v>
      </c>
      <c r="K78" s="60">
        <v>198.51</v>
      </c>
      <c r="L78" s="60">
        <v>48.42</v>
      </c>
      <c r="M78" s="60">
        <v>78.47</v>
      </c>
      <c r="N78" s="60">
        <v>96.8</v>
      </c>
      <c r="O78" s="60">
        <v>0</v>
      </c>
      <c r="P78" s="60">
        <v>3.45</v>
      </c>
      <c r="Q78" s="60">
        <v>8.93</v>
      </c>
      <c r="R78" s="197"/>
      <c r="S78" s="197"/>
      <c r="T78" s="197"/>
      <c r="U78" s="197"/>
    </row>
    <row r="79" spans="1:21" s="12" customFormat="1" x14ac:dyDescent="0.25">
      <c r="A79" s="200" t="s">
        <v>702</v>
      </c>
      <c r="B79" s="60">
        <v>2.75</v>
      </c>
      <c r="C79" s="60">
        <v>12.8</v>
      </c>
      <c r="D79" s="60">
        <v>15.55</v>
      </c>
      <c r="E79" s="60">
        <v>6.66</v>
      </c>
      <c r="F79" s="60">
        <v>0.63</v>
      </c>
      <c r="G79" s="215" t="s">
        <v>36</v>
      </c>
      <c r="H79" s="60">
        <v>20.76</v>
      </c>
      <c r="I79" s="60">
        <v>5.7</v>
      </c>
      <c r="J79" s="60">
        <v>0.3</v>
      </c>
      <c r="K79" s="60">
        <v>180.97</v>
      </c>
      <c r="L79" s="60">
        <v>48.57</v>
      </c>
      <c r="M79" s="60">
        <v>78.3</v>
      </c>
      <c r="N79" s="60">
        <v>79.900000000000006</v>
      </c>
      <c r="O79" s="60">
        <v>0</v>
      </c>
      <c r="P79" s="60">
        <v>3.43</v>
      </c>
      <c r="Q79" s="60">
        <v>8.41</v>
      </c>
      <c r="R79" s="197"/>
      <c r="S79" s="197"/>
      <c r="T79" s="197"/>
      <c r="U79" s="197"/>
    </row>
    <row r="80" spans="1:21" s="12" customFormat="1" x14ac:dyDescent="0.25">
      <c r="A80" s="200" t="s">
        <v>703</v>
      </c>
      <c r="B80" s="60">
        <v>2.67</v>
      </c>
      <c r="C80" s="60">
        <v>12.05</v>
      </c>
      <c r="D80" s="60">
        <v>14.72</v>
      </c>
      <c r="E80" s="60">
        <v>6.36</v>
      </c>
      <c r="F80" s="60">
        <v>0.56999999999999995</v>
      </c>
      <c r="G80" s="215" t="s">
        <v>36</v>
      </c>
      <c r="H80" s="60">
        <v>20.76</v>
      </c>
      <c r="I80" s="60">
        <v>5.6</v>
      </c>
      <c r="J80" s="60">
        <v>0.66</v>
      </c>
      <c r="K80" s="60">
        <v>162.66</v>
      </c>
      <c r="L80" s="60">
        <v>48.51</v>
      </c>
      <c r="M80" s="60">
        <v>80.88</v>
      </c>
      <c r="N80" s="60">
        <v>57.2</v>
      </c>
      <c r="O80" s="60">
        <v>0</v>
      </c>
      <c r="P80" s="60">
        <v>3.41</v>
      </c>
      <c r="Q80" s="60">
        <v>8.17</v>
      </c>
      <c r="R80" s="197"/>
      <c r="S80" s="197"/>
      <c r="T80" s="197"/>
      <c r="U80" s="197"/>
    </row>
    <row r="81" spans="1:26" s="12" customFormat="1" x14ac:dyDescent="0.25">
      <c r="A81" s="200" t="s">
        <v>704</v>
      </c>
      <c r="B81" s="60">
        <v>2.71</v>
      </c>
      <c r="C81" s="60">
        <v>12.16</v>
      </c>
      <c r="D81" s="60">
        <v>14.87</v>
      </c>
      <c r="E81" s="60">
        <v>6.7</v>
      </c>
      <c r="F81" s="60">
        <v>0.34</v>
      </c>
      <c r="G81" s="215" t="s">
        <v>36</v>
      </c>
      <c r="H81" s="60">
        <v>19.670000000000002</v>
      </c>
      <c r="I81" s="60">
        <v>5.45</v>
      </c>
      <c r="J81" s="60">
        <v>0.12</v>
      </c>
      <c r="K81" s="60">
        <v>205.92</v>
      </c>
      <c r="L81" s="10" t="s">
        <v>43</v>
      </c>
      <c r="M81" s="60">
        <v>81.040000000000006</v>
      </c>
      <c r="N81" s="60">
        <v>41</v>
      </c>
      <c r="O81" s="60">
        <v>0</v>
      </c>
      <c r="P81" s="60">
        <v>3.41</v>
      </c>
      <c r="Q81" s="60">
        <v>8.17</v>
      </c>
      <c r="R81" s="197"/>
      <c r="S81" s="197"/>
      <c r="T81" s="197"/>
      <c r="U81" s="197"/>
    </row>
    <row r="82" spans="1:26" s="12" customFormat="1" x14ac:dyDescent="0.25">
      <c r="A82" s="200" t="s">
        <v>705</v>
      </c>
      <c r="B82" s="60">
        <v>2.88</v>
      </c>
      <c r="C82" s="60">
        <v>11.74</v>
      </c>
      <c r="D82" s="60">
        <v>14.62</v>
      </c>
      <c r="E82" s="60">
        <v>7.01</v>
      </c>
      <c r="F82" s="60">
        <v>0.2</v>
      </c>
      <c r="G82" s="215" t="s">
        <v>36</v>
      </c>
      <c r="H82" s="60">
        <v>17</v>
      </c>
      <c r="I82" s="60">
        <v>5.2</v>
      </c>
      <c r="J82" s="60">
        <v>0.47</v>
      </c>
      <c r="K82" s="60">
        <v>163.05000000000001</v>
      </c>
      <c r="L82" s="10" t="s">
        <v>43</v>
      </c>
      <c r="M82" s="60">
        <v>78.680000000000007</v>
      </c>
      <c r="N82" s="60">
        <v>30.9</v>
      </c>
      <c r="O82" s="60">
        <v>0</v>
      </c>
      <c r="P82" s="60">
        <v>3.41</v>
      </c>
      <c r="Q82" s="60">
        <v>8.1999999999999993</v>
      </c>
      <c r="R82" s="197"/>
      <c r="S82" s="197"/>
      <c r="T82" s="197"/>
      <c r="U82" s="197"/>
    </row>
    <row r="83" spans="1:26" s="12" customFormat="1" x14ac:dyDescent="0.25">
      <c r="A83" s="200" t="s">
        <v>706</v>
      </c>
      <c r="B83" s="60">
        <v>2.97</v>
      </c>
      <c r="C83" s="60">
        <v>11.42</v>
      </c>
      <c r="D83" s="60">
        <v>14.39</v>
      </c>
      <c r="E83" s="60">
        <v>7.31</v>
      </c>
      <c r="F83" s="60">
        <v>0.43</v>
      </c>
      <c r="G83" s="215" t="s">
        <v>36</v>
      </c>
      <c r="H83" s="60">
        <v>17</v>
      </c>
      <c r="I83" s="60">
        <v>4.22</v>
      </c>
      <c r="J83" s="60">
        <v>0.35</v>
      </c>
      <c r="K83" s="60">
        <v>180.48</v>
      </c>
      <c r="L83" s="10" t="s">
        <v>43</v>
      </c>
      <c r="M83" s="60">
        <v>78.459999999999994</v>
      </c>
      <c r="N83" s="60">
        <v>18.7</v>
      </c>
      <c r="O83" s="60">
        <v>0</v>
      </c>
      <c r="P83" s="60">
        <v>3.4</v>
      </c>
      <c r="Q83" s="60">
        <v>8.34</v>
      </c>
      <c r="R83" s="197"/>
      <c r="S83" s="197"/>
      <c r="T83" s="197"/>
      <c r="U83" s="197"/>
    </row>
    <row r="84" spans="1:26" s="12" customFormat="1" x14ac:dyDescent="0.25">
      <c r="A84" s="200" t="s">
        <v>707</v>
      </c>
      <c r="B84" s="60">
        <v>3.06</v>
      </c>
      <c r="C84" s="60">
        <v>11.01</v>
      </c>
      <c r="D84" s="60">
        <v>14.08</v>
      </c>
      <c r="E84" s="60">
        <v>7.27</v>
      </c>
      <c r="F84" s="60">
        <v>0.55000000000000004</v>
      </c>
      <c r="G84" s="215" t="s">
        <v>36</v>
      </c>
      <c r="H84" s="60">
        <v>17</v>
      </c>
      <c r="I84" s="60">
        <v>4.22</v>
      </c>
      <c r="J84" s="60">
        <v>0.93</v>
      </c>
      <c r="K84" s="60">
        <v>151.84</v>
      </c>
      <c r="L84" s="10" t="s">
        <v>43</v>
      </c>
      <c r="M84" s="60">
        <v>79.87</v>
      </c>
      <c r="N84" s="60">
        <v>15.3</v>
      </c>
      <c r="O84" s="60">
        <v>0</v>
      </c>
      <c r="P84" s="60">
        <v>3.39</v>
      </c>
      <c r="Q84" s="60">
        <v>8.57</v>
      </c>
      <c r="R84" s="197"/>
      <c r="S84" s="197"/>
      <c r="T84" s="197"/>
      <c r="U84" s="197"/>
    </row>
    <row r="85" spans="1:26" s="12" customFormat="1" x14ac:dyDescent="0.25">
      <c r="A85" s="200" t="s">
        <v>708</v>
      </c>
      <c r="B85" s="60">
        <v>3.26</v>
      </c>
      <c r="C85" s="60">
        <v>10.87</v>
      </c>
      <c r="D85" s="60">
        <v>14.14</v>
      </c>
      <c r="E85" s="60">
        <v>7.45</v>
      </c>
      <c r="F85" s="60">
        <v>0.4</v>
      </c>
      <c r="G85" s="215" t="s">
        <v>36</v>
      </c>
      <c r="H85" s="60">
        <v>15.54</v>
      </c>
      <c r="I85" s="60">
        <v>4.1500000000000004</v>
      </c>
      <c r="J85" s="60">
        <v>0.62</v>
      </c>
      <c r="K85" s="60">
        <v>172.13</v>
      </c>
      <c r="L85" s="10" t="s">
        <v>43</v>
      </c>
      <c r="M85" s="60">
        <v>81.150000000000006</v>
      </c>
      <c r="N85" s="60">
        <v>15.2</v>
      </c>
      <c r="O85" s="60">
        <v>0</v>
      </c>
      <c r="P85" s="60">
        <v>3.4</v>
      </c>
      <c r="Q85" s="60">
        <v>8.8000000000000007</v>
      </c>
      <c r="R85" s="197"/>
      <c r="S85" s="197"/>
      <c r="T85" s="197"/>
      <c r="U85" s="197"/>
    </row>
    <row r="86" spans="1:26" s="12" customFormat="1" x14ac:dyDescent="0.25">
      <c r="A86" s="200" t="s">
        <v>709</v>
      </c>
      <c r="B86" s="60">
        <v>3.45</v>
      </c>
      <c r="C86" s="60">
        <v>10.74</v>
      </c>
      <c r="D86" s="60">
        <v>14.19</v>
      </c>
      <c r="E86" s="60">
        <v>7.93</v>
      </c>
      <c r="F86" s="60">
        <v>0.34</v>
      </c>
      <c r="G86" s="215" t="s">
        <v>36</v>
      </c>
      <c r="H86" s="60">
        <v>11.93</v>
      </c>
      <c r="I86" s="60">
        <v>4.53</v>
      </c>
      <c r="J86" s="60">
        <v>0.66</v>
      </c>
      <c r="K86" s="60">
        <v>170.25</v>
      </c>
      <c r="L86" s="10" t="s">
        <v>43</v>
      </c>
      <c r="M86" s="60">
        <v>82.88</v>
      </c>
      <c r="N86" s="60">
        <v>15</v>
      </c>
      <c r="O86" s="60">
        <v>0</v>
      </c>
      <c r="P86" s="60">
        <v>3.39</v>
      </c>
      <c r="Q86" s="60">
        <v>8.86</v>
      </c>
      <c r="R86" s="197"/>
      <c r="S86" s="197"/>
      <c r="T86" s="197"/>
      <c r="U86" s="197"/>
    </row>
    <row r="87" spans="1:26" s="12" customFormat="1" x14ac:dyDescent="0.25">
      <c r="A87" s="200" t="s">
        <v>710</v>
      </c>
      <c r="B87" s="60">
        <v>3.63</v>
      </c>
      <c r="C87" s="60">
        <v>10.56</v>
      </c>
      <c r="D87" s="60">
        <v>14.2</v>
      </c>
      <c r="E87" s="60">
        <v>7.94</v>
      </c>
      <c r="F87" s="60">
        <v>0.27</v>
      </c>
      <c r="G87" s="215" t="s">
        <v>36</v>
      </c>
      <c r="H87" s="60">
        <v>11.93</v>
      </c>
      <c r="I87" s="60">
        <v>4.8</v>
      </c>
      <c r="J87" s="60">
        <v>0.43</v>
      </c>
      <c r="K87" s="60">
        <v>173.75</v>
      </c>
      <c r="L87" s="10" t="s">
        <v>43</v>
      </c>
      <c r="M87" s="60">
        <v>81.44</v>
      </c>
      <c r="N87" s="60">
        <v>15</v>
      </c>
      <c r="O87" s="60">
        <v>0</v>
      </c>
      <c r="P87" s="60">
        <v>3.4</v>
      </c>
      <c r="Q87" s="60">
        <v>8.94</v>
      </c>
      <c r="R87" s="197"/>
      <c r="S87" s="197"/>
      <c r="T87" s="197"/>
      <c r="U87" s="197"/>
    </row>
    <row r="88" spans="1:26" s="12" customFormat="1" x14ac:dyDescent="0.25">
      <c r="A88" s="200" t="s">
        <v>711</v>
      </c>
      <c r="B88" s="60">
        <v>3.85</v>
      </c>
      <c r="C88" s="60">
        <v>10.82</v>
      </c>
      <c r="D88" s="60">
        <v>14.67</v>
      </c>
      <c r="E88" s="60">
        <v>3.21</v>
      </c>
      <c r="F88" s="60">
        <v>0.15</v>
      </c>
      <c r="G88" s="215" t="s">
        <v>36</v>
      </c>
      <c r="H88" s="60">
        <v>11.93</v>
      </c>
      <c r="I88" s="60">
        <v>4.8899999999999997</v>
      </c>
      <c r="J88" s="60">
        <v>0.51</v>
      </c>
      <c r="K88" s="60">
        <v>169.91</v>
      </c>
      <c r="L88" s="10" t="s">
        <v>43</v>
      </c>
      <c r="M88" s="60">
        <v>83.18</v>
      </c>
      <c r="N88" s="60">
        <v>15</v>
      </c>
      <c r="O88" s="60">
        <v>0</v>
      </c>
      <c r="P88" s="60">
        <v>3.41</v>
      </c>
      <c r="Q88" s="60">
        <v>9.17</v>
      </c>
      <c r="R88" s="197"/>
      <c r="S88" s="197"/>
      <c r="T88" s="197"/>
      <c r="U88" s="197"/>
    </row>
    <row r="89" spans="1:26" s="12" customFormat="1" x14ac:dyDescent="0.25">
      <c r="A89" s="200" t="s">
        <v>712</v>
      </c>
      <c r="B89" s="60">
        <v>4.0199999999999996</v>
      </c>
      <c r="C89" s="60">
        <v>10</v>
      </c>
      <c r="D89" s="60">
        <v>14.03</v>
      </c>
      <c r="E89" s="60">
        <v>4.8099999999999996</v>
      </c>
      <c r="F89" s="60">
        <v>0.63</v>
      </c>
      <c r="G89" s="215" t="s">
        <v>36</v>
      </c>
      <c r="H89" s="60">
        <v>10.95</v>
      </c>
      <c r="I89" s="60">
        <v>4.78</v>
      </c>
      <c r="J89" s="60">
        <v>0.34</v>
      </c>
      <c r="K89" s="60">
        <v>173.9</v>
      </c>
      <c r="L89" s="60">
        <v>43.61</v>
      </c>
      <c r="M89" s="60">
        <v>85.34</v>
      </c>
      <c r="N89" s="60">
        <v>14.8</v>
      </c>
      <c r="O89" s="60">
        <v>0</v>
      </c>
      <c r="P89" s="60">
        <v>3.4</v>
      </c>
      <c r="Q89" s="60">
        <v>9.1199999999999992</v>
      </c>
      <c r="R89" s="197"/>
      <c r="S89" s="197"/>
      <c r="T89" s="197"/>
      <c r="U89" s="197"/>
    </row>
    <row r="90" spans="1:26" s="12" customFormat="1" x14ac:dyDescent="0.25">
      <c r="A90" s="200" t="s">
        <v>713</v>
      </c>
      <c r="B90" s="60">
        <v>4.04</v>
      </c>
      <c r="C90" s="60">
        <v>10.31</v>
      </c>
      <c r="D90" s="60">
        <v>14.35</v>
      </c>
      <c r="E90" s="60">
        <v>6.06</v>
      </c>
      <c r="F90" s="60">
        <v>0.38</v>
      </c>
      <c r="G90" s="215" t="s">
        <v>36</v>
      </c>
      <c r="H90" s="60">
        <v>8.5399999999999991</v>
      </c>
      <c r="I90" s="60">
        <v>5.52</v>
      </c>
      <c r="J90" s="60">
        <v>0.38</v>
      </c>
      <c r="K90" s="60">
        <v>183.3</v>
      </c>
      <c r="L90" s="60">
        <v>44.48</v>
      </c>
      <c r="M90" s="60">
        <v>83.52</v>
      </c>
      <c r="N90" s="60">
        <v>14.7</v>
      </c>
      <c r="O90" s="60">
        <v>0</v>
      </c>
      <c r="P90" s="60">
        <v>3.4</v>
      </c>
      <c r="Q90" s="60">
        <v>8.7899999999999991</v>
      </c>
      <c r="R90" s="197"/>
      <c r="S90" s="197"/>
      <c r="T90" s="197"/>
      <c r="U90" s="197"/>
    </row>
    <row r="91" spans="1:26" s="12" customFormat="1" x14ac:dyDescent="0.25">
      <c r="A91" s="200" t="s">
        <v>714</v>
      </c>
      <c r="B91" s="60">
        <v>4.0999999999999996</v>
      </c>
      <c r="C91" s="60">
        <v>10.6</v>
      </c>
      <c r="D91" s="60">
        <v>14.7</v>
      </c>
      <c r="E91" s="60">
        <v>6.52</v>
      </c>
      <c r="F91" s="60">
        <v>0.27</v>
      </c>
      <c r="G91" s="215" t="s">
        <v>36</v>
      </c>
      <c r="H91" s="60">
        <v>8.5399999999999991</v>
      </c>
      <c r="I91" s="60">
        <v>5.42</v>
      </c>
      <c r="J91" s="60">
        <v>0.18</v>
      </c>
      <c r="K91" s="60">
        <v>209.92</v>
      </c>
      <c r="L91" s="60">
        <v>42.37</v>
      </c>
      <c r="M91" s="60">
        <v>85.08</v>
      </c>
      <c r="N91" s="60">
        <v>14.8</v>
      </c>
      <c r="O91" s="60">
        <v>0</v>
      </c>
      <c r="P91" s="60">
        <v>3.4</v>
      </c>
      <c r="Q91" s="60">
        <v>8.44</v>
      </c>
      <c r="R91" s="197"/>
      <c r="S91" s="197"/>
      <c r="T91" s="197"/>
      <c r="U91" s="197"/>
    </row>
    <row r="92" spans="1:26" s="12" customFormat="1" x14ac:dyDescent="0.25">
      <c r="A92" s="200" t="s">
        <v>715</v>
      </c>
      <c r="B92" s="60">
        <v>4.26</v>
      </c>
      <c r="C92" s="60">
        <v>10.57</v>
      </c>
      <c r="D92" s="60">
        <v>14.83</v>
      </c>
      <c r="E92" s="60">
        <v>6.62</v>
      </c>
      <c r="F92" s="60">
        <v>0.21</v>
      </c>
      <c r="G92" s="215" t="s">
        <v>36</v>
      </c>
      <c r="H92" s="60">
        <v>8.5399999999999991</v>
      </c>
      <c r="I92" s="60">
        <v>5.49</v>
      </c>
      <c r="J92" s="60">
        <v>0.21</v>
      </c>
      <c r="K92" s="60">
        <v>198.1</v>
      </c>
      <c r="L92" s="60">
        <v>43.29</v>
      </c>
      <c r="M92" s="60">
        <v>85.82</v>
      </c>
      <c r="N92" s="60">
        <v>14.6</v>
      </c>
      <c r="O92" s="60">
        <v>0</v>
      </c>
      <c r="P92" s="60">
        <v>3.4</v>
      </c>
      <c r="Q92" s="60">
        <v>8.24</v>
      </c>
      <c r="R92" s="197"/>
      <c r="S92" s="197"/>
      <c r="T92" s="197"/>
      <c r="U92" s="197"/>
    </row>
    <row r="93" spans="1:26" s="12" customFormat="1" x14ac:dyDescent="0.25">
      <c r="A93" s="200" t="s">
        <v>716</v>
      </c>
      <c r="B93" s="60">
        <v>4.25</v>
      </c>
      <c r="C93" s="60">
        <v>10.36</v>
      </c>
      <c r="D93" s="60">
        <v>14.6</v>
      </c>
      <c r="E93" s="60">
        <v>6.45</v>
      </c>
      <c r="F93" s="60">
        <v>0.48</v>
      </c>
      <c r="G93" s="215" t="s">
        <v>36</v>
      </c>
      <c r="H93" s="60">
        <v>7.87</v>
      </c>
      <c r="I93" s="60">
        <v>5.56</v>
      </c>
      <c r="J93" s="60">
        <v>0.23</v>
      </c>
      <c r="K93" s="60">
        <v>215.62</v>
      </c>
      <c r="L93" s="60">
        <v>41.61</v>
      </c>
      <c r="M93" s="60">
        <v>86.68</v>
      </c>
      <c r="N93" s="60">
        <v>14.7</v>
      </c>
      <c r="O93" s="60">
        <v>0</v>
      </c>
      <c r="P93" s="60">
        <v>3.4</v>
      </c>
      <c r="Q93" s="60">
        <v>7.99</v>
      </c>
      <c r="R93" s="197"/>
      <c r="S93" s="197"/>
      <c r="T93" s="197"/>
      <c r="U93" s="197"/>
    </row>
    <row r="94" spans="1:26" s="12" customFormat="1" x14ac:dyDescent="0.25">
      <c r="A94" s="200" t="s">
        <v>717</v>
      </c>
      <c r="B94" s="60">
        <v>4.25</v>
      </c>
      <c r="C94" s="60">
        <v>10.3</v>
      </c>
      <c r="D94" s="60">
        <v>14.55</v>
      </c>
      <c r="E94" s="60">
        <v>6.47</v>
      </c>
      <c r="F94" s="60">
        <v>0.18</v>
      </c>
      <c r="G94" s="215" t="s">
        <v>36</v>
      </c>
      <c r="H94" s="60">
        <v>6.23</v>
      </c>
      <c r="I94" s="60">
        <v>5.49</v>
      </c>
      <c r="J94" s="60">
        <v>0.35</v>
      </c>
      <c r="K94" s="60">
        <v>195.62</v>
      </c>
      <c r="L94" s="60">
        <v>42.09</v>
      </c>
      <c r="M94" s="60">
        <v>86.87</v>
      </c>
      <c r="N94" s="60">
        <v>14.6</v>
      </c>
      <c r="O94" s="60">
        <v>0</v>
      </c>
      <c r="P94" s="60">
        <v>3.4</v>
      </c>
      <c r="Q94" s="60">
        <v>7.79</v>
      </c>
      <c r="R94" s="197"/>
      <c r="S94" s="197"/>
      <c r="T94" s="197"/>
      <c r="U94" s="197"/>
    </row>
    <row r="95" spans="1:26" s="12" customFormat="1" x14ac:dyDescent="0.25">
      <c r="A95" s="200" t="s">
        <v>718</v>
      </c>
      <c r="B95" s="60">
        <v>4.16</v>
      </c>
      <c r="C95" s="60">
        <v>10.35</v>
      </c>
      <c r="D95" s="60">
        <v>14.5</v>
      </c>
      <c r="E95" s="60">
        <v>6.18</v>
      </c>
      <c r="F95" s="60">
        <v>0.18</v>
      </c>
      <c r="G95" s="215" t="s">
        <v>36</v>
      </c>
      <c r="H95" s="60">
        <v>6.23</v>
      </c>
      <c r="I95" s="60">
        <v>5.45</v>
      </c>
      <c r="J95" s="60">
        <v>0.33</v>
      </c>
      <c r="K95" s="60">
        <v>190.1</v>
      </c>
      <c r="L95" s="60">
        <v>42.4</v>
      </c>
      <c r="M95" s="60">
        <v>86.53</v>
      </c>
      <c r="N95" s="60">
        <v>14.8</v>
      </c>
      <c r="O95" s="60">
        <v>0</v>
      </c>
      <c r="P95" s="60">
        <v>3.39</v>
      </c>
      <c r="Q95" s="60">
        <v>7.7</v>
      </c>
      <c r="R95" s="197"/>
      <c r="S95" s="197"/>
      <c r="T95" s="197"/>
      <c r="U95" s="197"/>
    </row>
    <row r="96" spans="1:26" s="12" customFormat="1" x14ac:dyDescent="0.25">
      <c r="A96" s="200" t="s">
        <v>719</v>
      </c>
      <c r="B96" s="60">
        <v>4.1500000000000004</v>
      </c>
      <c r="C96" s="60">
        <v>10.119999999999999</v>
      </c>
      <c r="D96" s="60">
        <v>14.27</v>
      </c>
      <c r="E96" s="60">
        <v>6.42</v>
      </c>
      <c r="F96" s="60">
        <v>0.23</v>
      </c>
      <c r="G96" s="215" t="s">
        <v>36</v>
      </c>
      <c r="H96" s="60">
        <v>6.23</v>
      </c>
      <c r="I96" s="60">
        <v>5.35</v>
      </c>
      <c r="J96" s="60">
        <v>0.09</v>
      </c>
      <c r="K96" s="60">
        <v>196.7</v>
      </c>
      <c r="L96" s="60">
        <v>42.32</v>
      </c>
      <c r="M96" s="60">
        <v>86.11</v>
      </c>
      <c r="N96" s="60">
        <v>14.9</v>
      </c>
      <c r="O96" s="60">
        <v>0</v>
      </c>
      <c r="P96" s="60">
        <v>3.39</v>
      </c>
      <c r="Q96" s="60">
        <v>7.87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720</v>
      </c>
      <c r="B97" s="60">
        <v>4.22</v>
      </c>
      <c r="C97" s="60">
        <v>9.9600000000000009</v>
      </c>
      <c r="D97" s="60">
        <v>14.19</v>
      </c>
      <c r="E97" s="60">
        <v>6.56</v>
      </c>
      <c r="F97" s="60">
        <v>0.25</v>
      </c>
      <c r="G97" s="215" t="s">
        <v>36</v>
      </c>
      <c r="H97" s="60">
        <v>6.25</v>
      </c>
      <c r="I97" s="60">
        <v>4.51</v>
      </c>
      <c r="J97" s="60">
        <v>0.18</v>
      </c>
      <c r="K97" s="60">
        <v>212.16</v>
      </c>
      <c r="L97" s="60">
        <v>41.65</v>
      </c>
      <c r="M97" s="60">
        <v>84.97</v>
      </c>
      <c r="N97" s="60">
        <v>15</v>
      </c>
      <c r="O97" s="60">
        <v>0</v>
      </c>
      <c r="P97" s="60">
        <v>3.38</v>
      </c>
      <c r="Q97" s="60">
        <v>8.0500000000000007</v>
      </c>
      <c r="R97" s="197"/>
      <c r="S97" s="197"/>
      <c r="T97" s="197"/>
      <c r="U97" s="197"/>
    </row>
    <row r="98" spans="1:33" s="12" customFormat="1" x14ac:dyDescent="0.25">
      <c r="A98" s="200" t="s">
        <v>721</v>
      </c>
      <c r="B98" s="60">
        <v>4.3600000000000003</v>
      </c>
      <c r="C98" s="60">
        <v>9.89</v>
      </c>
      <c r="D98" s="60">
        <v>14.26</v>
      </c>
      <c r="E98" s="60">
        <v>6.55</v>
      </c>
      <c r="F98" s="60">
        <v>0.13</v>
      </c>
      <c r="G98" s="215" t="s">
        <v>36</v>
      </c>
      <c r="H98" s="60">
        <v>6.31</v>
      </c>
      <c r="I98" s="60">
        <v>4.1399999999999997</v>
      </c>
      <c r="J98" s="60">
        <v>0.25</v>
      </c>
      <c r="K98" s="60">
        <v>221.11</v>
      </c>
      <c r="L98" s="60">
        <v>44.8</v>
      </c>
      <c r="M98" s="60">
        <v>84.36</v>
      </c>
      <c r="N98" s="60">
        <v>15</v>
      </c>
      <c r="O98" s="60">
        <v>0</v>
      </c>
      <c r="P98" s="60">
        <v>3.38</v>
      </c>
      <c r="Q98" s="60">
        <v>8.24</v>
      </c>
      <c r="R98" s="197"/>
      <c r="S98" s="197"/>
      <c r="T98" s="197"/>
      <c r="U98" s="197"/>
    </row>
    <row r="99" spans="1:33" s="12" customFormat="1" x14ac:dyDescent="0.25">
      <c r="A99" s="200" t="s">
        <v>722</v>
      </c>
      <c r="B99" s="60">
        <v>4.6100000000000003</v>
      </c>
      <c r="C99" s="60">
        <v>9.66</v>
      </c>
      <c r="D99" s="60">
        <v>14.26</v>
      </c>
      <c r="E99" s="60">
        <v>6.77</v>
      </c>
      <c r="F99" s="60">
        <v>0.19</v>
      </c>
      <c r="G99" s="215" t="s">
        <v>36</v>
      </c>
      <c r="H99" s="60">
        <v>6.31</v>
      </c>
      <c r="I99" s="60">
        <v>4.1900000000000004</v>
      </c>
      <c r="J99" s="60">
        <v>0.24</v>
      </c>
      <c r="K99" s="60">
        <v>189</v>
      </c>
      <c r="L99" s="60">
        <v>44.75</v>
      </c>
      <c r="M99" s="60">
        <v>85.45</v>
      </c>
      <c r="N99" s="60">
        <v>15.1</v>
      </c>
      <c r="O99" s="60">
        <v>0</v>
      </c>
      <c r="P99" s="60">
        <v>3.38</v>
      </c>
      <c r="Q99" s="60">
        <v>8.4499999999999993</v>
      </c>
      <c r="R99" s="197"/>
      <c r="S99" s="197"/>
      <c r="T99" s="197"/>
      <c r="U99" s="197"/>
    </row>
    <row r="100" spans="1:33" s="12" customFormat="1" x14ac:dyDescent="0.25">
      <c r="A100" s="200" t="s">
        <v>723</v>
      </c>
      <c r="B100" s="60">
        <v>4.7300000000000004</v>
      </c>
      <c r="C100" s="60">
        <v>9.4600000000000009</v>
      </c>
      <c r="D100" s="60">
        <v>14.2</v>
      </c>
      <c r="E100" s="60">
        <v>7.1</v>
      </c>
      <c r="F100" s="60">
        <v>0.14000000000000001</v>
      </c>
      <c r="G100" s="215" t="s">
        <v>36</v>
      </c>
      <c r="H100" s="60">
        <v>6.31</v>
      </c>
      <c r="I100" s="60">
        <v>3.78</v>
      </c>
      <c r="J100" s="60">
        <v>0.09</v>
      </c>
      <c r="K100" s="60">
        <v>215.91</v>
      </c>
      <c r="L100" s="60">
        <v>44.24</v>
      </c>
      <c r="M100" s="60">
        <v>87.11</v>
      </c>
      <c r="N100" s="60">
        <v>15</v>
      </c>
      <c r="O100" s="60">
        <v>0</v>
      </c>
      <c r="P100" s="60">
        <v>3.38</v>
      </c>
      <c r="Q100" s="60">
        <v>8.69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724</v>
      </c>
      <c r="B101" s="60">
        <v>5.01</v>
      </c>
      <c r="C101" s="60">
        <v>9.33</v>
      </c>
      <c r="D101" s="60">
        <v>14.33</v>
      </c>
      <c r="E101" s="60">
        <v>6.72</v>
      </c>
      <c r="F101" s="60">
        <v>0.28000000000000003</v>
      </c>
      <c r="G101" s="215" t="s">
        <v>36</v>
      </c>
      <c r="H101" s="60">
        <v>6.01</v>
      </c>
      <c r="I101" s="60">
        <v>3.99</v>
      </c>
      <c r="J101" s="60">
        <v>0.19</v>
      </c>
      <c r="K101" s="60">
        <v>300.83999999999997</v>
      </c>
      <c r="L101" s="60">
        <v>45.51</v>
      </c>
      <c r="M101" s="60">
        <v>87.91</v>
      </c>
      <c r="N101" s="60">
        <v>15</v>
      </c>
      <c r="O101" s="60">
        <v>0</v>
      </c>
      <c r="P101" s="60">
        <v>3.38</v>
      </c>
      <c r="Q101" s="60">
        <v>8.93</v>
      </c>
      <c r="R101" s="197"/>
      <c r="S101" s="197"/>
      <c r="T101" s="197"/>
      <c r="U101" s="197"/>
    </row>
    <row r="102" spans="1:33" s="12" customFormat="1" x14ac:dyDescent="0.25">
      <c r="A102" s="200" t="s">
        <v>725</v>
      </c>
      <c r="B102" s="60">
        <v>5.56</v>
      </c>
      <c r="C102" s="60">
        <v>9.4700000000000006</v>
      </c>
      <c r="D102" s="60">
        <v>15.03</v>
      </c>
      <c r="E102" s="60">
        <v>7.54</v>
      </c>
      <c r="F102" s="60">
        <v>0.19</v>
      </c>
      <c r="G102" s="215" t="s">
        <v>36</v>
      </c>
      <c r="H102" s="60">
        <v>5.26</v>
      </c>
      <c r="I102" s="60">
        <v>4.13</v>
      </c>
      <c r="J102" s="60">
        <v>0.15</v>
      </c>
      <c r="K102" s="60">
        <v>233.44</v>
      </c>
      <c r="L102" s="60">
        <v>45.15</v>
      </c>
      <c r="M102" s="60">
        <v>87.68</v>
      </c>
      <c r="N102" s="60">
        <v>15.1</v>
      </c>
      <c r="O102" s="60">
        <v>0</v>
      </c>
      <c r="P102" s="60">
        <v>3.39</v>
      </c>
      <c r="Q102" s="60">
        <v>9.2200000000000006</v>
      </c>
      <c r="R102" s="197"/>
      <c r="S102" s="197"/>
      <c r="T102" s="197"/>
      <c r="U102" s="197"/>
    </row>
    <row r="103" spans="1:33" s="12" customFormat="1" x14ac:dyDescent="0.25">
      <c r="A103" s="200" t="s">
        <v>726</v>
      </c>
      <c r="B103" s="60">
        <v>6.3</v>
      </c>
      <c r="C103" s="60">
        <v>9.39</v>
      </c>
      <c r="D103" s="60">
        <v>15.7</v>
      </c>
      <c r="E103" s="60">
        <v>7.45</v>
      </c>
      <c r="F103" s="60">
        <v>0.54</v>
      </c>
      <c r="G103" s="215" t="s">
        <v>36</v>
      </c>
      <c r="H103" s="60">
        <v>5.26</v>
      </c>
      <c r="I103" s="60">
        <v>4.47</v>
      </c>
      <c r="J103" s="60">
        <v>0.15</v>
      </c>
      <c r="K103" s="60">
        <v>208.25</v>
      </c>
      <c r="L103" s="60">
        <v>43.35</v>
      </c>
      <c r="M103" s="60">
        <v>87.43</v>
      </c>
      <c r="N103" s="60">
        <v>14.9</v>
      </c>
      <c r="O103" s="60">
        <v>0</v>
      </c>
      <c r="P103" s="60">
        <v>3.41</v>
      </c>
      <c r="Q103" s="60">
        <v>9.57</v>
      </c>
      <c r="R103" s="197"/>
      <c r="S103" s="197"/>
      <c r="T103" s="197"/>
      <c r="U103" s="197"/>
    </row>
    <row r="104" spans="1:33" s="12" customFormat="1" x14ac:dyDescent="0.25">
      <c r="A104" s="200" t="s">
        <v>727</v>
      </c>
      <c r="B104" s="60">
        <v>6.38</v>
      </c>
      <c r="C104" s="60">
        <v>9.2899999999999991</v>
      </c>
      <c r="D104" s="60">
        <v>15.67</v>
      </c>
      <c r="E104" s="60">
        <v>2.68</v>
      </c>
      <c r="F104" s="60">
        <v>0.31</v>
      </c>
      <c r="G104" s="215" t="s">
        <v>36</v>
      </c>
      <c r="H104" s="60">
        <v>5.26</v>
      </c>
      <c r="I104" s="60">
        <v>4.34</v>
      </c>
      <c r="J104" s="60">
        <v>0.22</v>
      </c>
      <c r="K104" s="60">
        <v>220.35</v>
      </c>
      <c r="L104" s="60">
        <v>41.23</v>
      </c>
      <c r="M104" s="60">
        <v>87.91</v>
      </c>
      <c r="N104" s="60">
        <v>14.7</v>
      </c>
      <c r="O104" s="60">
        <v>0</v>
      </c>
      <c r="P104" s="60">
        <v>3.4</v>
      </c>
      <c r="Q104" s="60">
        <v>9.36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5" t="s">
        <v>59</v>
      </c>
      <c r="B106" s="67">
        <f>MIN(B9:B104)</f>
        <v>1.74</v>
      </c>
      <c r="C106" s="67">
        <f>MIN(C9:C104)</f>
        <v>8.5</v>
      </c>
      <c r="D106" s="67">
        <f t="shared" ref="D106:Q106" si="0">MIN(D9:D104)</f>
        <v>11.41</v>
      </c>
      <c r="E106" s="67">
        <f t="shared" si="0"/>
        <v>2.68</v>
      </c>
      <c r="F106" s="67">
        <f t="shared" si="0"/>
        <v>0.11</v>
      </c>
      <c r="G106" s="67">
        <f t="shared" si="0"/>
        <v>0</v>
      </c>
      <c r="H106" s="67">
        <f t="shared" si="0"/>
        <v>4.54</v>
      </c>
      <c r="I106" s="67">
        <f t="shared" si="0"/>
        <v>3.78</v>
      </c>
      <c r="J106" s="67">
        <f t="shared" si="0"/>
        <v>0.05</v>
      </c>
      <c r="K106" s="67">
        <f t="shared" si="0"/>
        <v>1.94</v>
      </c>
      <c r="L106" s="67">
        <f t="shared" si="0"/>
        <v>37.06</v>
      </c>
      <c r="M106" s="67">
        <f t="shared" si="0"/>
        <v>53.37</v>
      </c>
      <c r="N106" s="67">
        <f t="shared" si="0"/>
        <v>14.5</v>
      </c>
      <c r="O106" s="67">
        <f t="shared" si="0"/>
        <v>0</v>
      </c>
      <c r="P106" s="67">
        <f t="shared" si="0"/>
        <v>3.27</v>
      </c>
      <c r="Q106" s="67">
        <f t="shared" si="0"/>
        <v>7.7</v>
      </c>
      <c r="R106" s="198"/>
      <c r="S106" s="198"/>
      <c r="T106" s="198"/>
      <c r="U106" s="198"/>
    </row>
    <row r="107" spans="1:33" x14ac:dyDescent="0.25">
      <c r="A107" s="65" t="s">
        <v>60</v>
      </c>
      <c r="B107" s="66">
        <f>MAX(B9:B104)</f>
        <v>11.66</v>
      </c>
      <c r="C107" s="66">
        <f t="shared" ref="C107:Q107" si="1">MAX(C9:C104)</f>
        <v>15.53</v>
      </c>
      <c r="D107" s="66">
        <f t="shared" si="1"/>
        <v>25.61</v>
      </c>
      <c r="E107" s="66">
        <f t="shared" si="1"/>
        <v>7.98</v>
      </c>
      <c r="F107" s="66">
        <f t="shared" si="1"/>
        <v>1.29</v>
      </c>
      <c r="G107" s="66">
        <f t="shared" si="1"/>
        <v>0</v>
      </c>
      <c r="H107" s="66">
        <f t="shared" si="1"/>
        <v>20.76</v>
      </c>
      <c r="I107" s="66">
        <f t="shared" si="1"/>
        <v>7.2</v>
      </c>
      <c r="J107" s="66">
        <f t="shared" si="1"/>
        <v>1.94</v>
      </c>
      <c r="K107" s="66">
        <f t="shared" si="1"/>
        <v>353.75</v>
      </c>
      <c r="L107" s="66">
        <f t="shared" si="1"/>
        <v>54</v>
      </c>
      <c r="M107" s="66">
        <f t="shared" si="1"/>
        <v>99.15</v>
      </c>
      <c r="N107" s="66">
        <f t="shared" si="1"/>
        <v>1093.7</v>
      </c>
      <c r="O107" s="66">
        <f t="shared" si="1"/>
        <v>1.8</v>
      </c>
      <c r="P107" s="66">
        <f t="shared" si="1"/>
        <v>3.91</v>
      </c>
      <c r="Q107" s="66">
        <f t="shared" si="1"/>
        <v>16.89</v>
      </c>
      <c r="R107" s="199"/>
      <c r="S107" s="199"/>
      <c r="T107" s="199"/>
      <c r="U107" s="199"/>
    </row>
    <row r="108" spans="1:33" x14ac:dyDescent="0.25">
      <c r="A108" s="65" t="s">
        <v>61</v>
      </c>
      <c r="B108" s="67">
        <f>AVERAGE(B9:B104)</f>
        <v>5.035729166666667</v>
      </c>
      <c r="C108" s="67">
        <f t="shared" ref="C108:Q108" si="2">AVERAGE(C9:C104)</f>
        <v>10.6928125</v>
      </c>
      <c r="D108" s="67">
        <f t="shared" si="2"/>
        <v>15.729999999999999</v>
      </c>
      <c r="E108" s="67">
        <f t="shared" si="2"/>
        <v>6.5158333333333305</v>
      </c>
      <c r="F108" s="67">
        <f t="shared" si="2"/>
        <v>0.46197916666666689</v>
      </c>
      <c r="G108" s="67" t="e">
        <f t="shared" si="2"/>
        <v>#DIV/0!</v>
      </c>
      <c r="H108" s="67">
        <f t="shared" si="2"/>
        <v>10.508645833333322</v>
      </c>
      <c r="I108" s="67">
        <f t="shared" si="2"/>
        <v>5.4097916666666643</v>
      </c>
      <c r="J108" s="67">
        <f t="shared" si="2"/>
        <v>0.57958333333333323</v>
      </c>
      <c r="K108" s="67">
        <f t="shared" si="2"/>
        <v>179.29802083333331</v>
      </c>
      <c r="L108" s="67">
        <f t="shared" si="2"/>
        <v>42.484714285714304</v>
      </c>
      <c r="M108" s="67">
        <f t="shared" si="2"/>
        <v>79.517604166666672</v>
      </c>
      <c r="N108" s="67">
        <f t="shared" si="2"/>
        <v>246.62812500000004</v>
      </c>
      <c r="O108" s="67">
        <f t="shared" si="2"/>
        <v>2.7083333333333334E-2</v>
      </c>
      <c r="P108" s="67">
        <f t="shared" si="2"/>
        <v>3.4583333333333308</v>
      </c>
      <c r="Q108" s="67">
        <f t="shared" si="2"/>
        <v>11.047812500000001</v>
      </c>
      <c r="R108" s="198"/>
      <c r="S108" s="198"/>
      <c r="T108" s="198"/>
      <c r="U108" s="198"/>
    </row>
    <row r="109" spans="1:33" x14ac:dyDescent="0.25">
      <c r="A109" s="65" t="s">
        <v>77</v>
      </c>
      <c r="B109" s="67">
        <f>STDEV(B9:B104)</f>
        <v>2.3549382581208826</v>
      </c>
      <c r="C109" s="67">
        <f t="shared" ref="C109:Q109" si="3">STDEV(C9:C104)</f>
        <v>1.6978355900349662</v>
      </c>
      <c r="D109" s="67">
        <f t="shared" si="3"/>
        <v>2.7767129374212143</v>
      </c>
      <c r="E109" s="67">
        <f t="shared" si="3"/>
        <v>1.2618263010553763</v>
      </c>
      <c r="F109" s="67">
        <f t="shared" si="3"/>
        <v>0.27206663189921376</v>
      </c>
      <c r="G109" s="67" t="e">
        <f t="shared" si="3"/>
        <v>#DIV/0!</v>
      </c>
      <c r="H109" s="67">
        <f t="shared" si="3"/>
        <v>5.0737036446018324</v>
      </c>
      <c r="I109" s="67">
        <f t="shared" si="3"/>
        <v>0.72600707429737332</v>
      </c>
      <c r="J109" s="67">
        <f t="shared" si="3"/>
        <v>0.42568067267344828</v>
      </c>
      <c r="K109" s="67">
        <f t="shared" si="3"/>
        <v>67.123046299037554</v>
      </c>
      <c r="L109" s="67">
        <f t="shared" si="3"/>
        <v>4.1256250194658053</v>
      </c>
      <c r="M109" s="67">
        <f t="shared" si="3"/>
        <v>12.126366032201492</v>
      </c>
      <c r="N109" s="67">
        <f t="shared" si="3"/>
        <v>327.55913076576917</v>
      </c>
      <c r="O109" s="67">
        <f t="shared" si="3"/>
        <v>0.19384158842598451</v>
      </c>
      <c r="P109" s="67">
        <f t="shared" si="3"/>
        <v>0.16570529748331855</v>
      </c>
      <c r="Q109" s="67">
        <f t="shared" si="3"/>
        <v>2.5728007279084601</v>
      </c>
      <c r="R109" s="198"/>
      <c r="S109" s="198"/>
      <c r="T109" s="198"/>
      <c r="U109" s="198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</f>
        <v>96</v>
      </c>
      <c r="G110" s="66">
        <f>COUNT(G9:G104)+96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70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9"/>
      <c r="S110" s="199"/>
      <c r="T110" s="199"/>
      <c r="U110" s="199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&lt;90%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LESS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218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06-08-2022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234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728</v>
      </c>
      <c r="B9" s="60">
        <v>6.21</v>
      </c>
      <c r="C9" s="60">
        <v>9.26</v>
      </c>
      <c r="D9" s="60">
        <v>15.47</v>
      </c>
      <c r="E9" s="60">
        <v>4.33</v>
      </c>
      <c r="F9" s="60">
        <v>0.3</v>
      </c>
      <c r="G9" s="215" t="s">
        <v>36</v>
      </c>
      <c r="H9" s="60">
        <v>4.95</v>
      </c>
      <c r="I9" s="60">
        <v>5.34</v>
      </c>
      <c r="J9" s="60">
        <v>0.26</v>
      </c>
      <c r="K9" s="60">
        <v>197.92</v>
      </c>
      <c r="L9" s="60">
        <v>41.61</v>
      </c>
      <c r="M9" s="60">
        <v>89.99</v>
      </c>
      <c r="N9" s="60">
        <v>14.6</v>
      </c>
      <c r="O9" s="60">
        <v>0</v>
      </c>
      <c r="P9" s="60">
        <v>3.4</v>
      </c>
      <c r="Q9" s="60">
        <v>8.8800000000000008</v>
      </c>
      <c r="R9" s="197"/>
      <c r="S9" s="197"/>
      <c r="T9" s="197"/>
      <c r="U9" s="197"/>
    </row>
    <row r="10" spans="1:21" s="12" customFormat="1" x14ac:dyDescent="0.25">
      <c r="A10" s="200" t="s">
        <v>729</v>
      </c>
      <c r="B10" s="60">
        <v>5.97</v>
      </c>
      <c r="C10" s="60">
        <v>9.2899999999999991</v>
      </c>
      <c r="D10" s="60">
        <v>15.25</v>
      </c>
      <c r="E10" s="60">
        <v>5.35</v>
      </c>
      <c r="F10" s="60">
        <v>0.22</v>
      </c>
      <c r="G10" s="215" t="s">
        <v>36</v>
      </c>
      <c r="H10" s="60">
        <v>4.18</v>
      </c>
      <c r="I10" s="60">
        <v>5.62</v>
      </c>
      <c r="J10" s="60">
        <v>0.15</v>
      </c>
      <c r="K10" s="60">
        <v>224.39</v>
      </c>
      <c r="L10" s="60">
        <v>44.4</v>
      </c>
      <c r="M10" s="60">
        <v>91.99</v>
      </c>
      <c r="N10" s="60">
        <v>14.9</v>
      </c>
      <c r="O10" s="60">
        <v>0</v>
      </c>
      <c r="P10" s="60">
        <v>3.39</v>
      </c>
      <c r="Q10" s="60">
        <v>8.35</v>
      </c>
      <c r="R10" s="197"/>
      <c r="S10" s="197"/>
      <c r="T10" s="197"/>
      <c r="U10" s="197"/>
    </row>
    <row r="11" spans="1:21" s="12" customFormat="1" x14ac:dyDescent="0.25">
      <c r="A11" s="200" t="s">
        <v>730</v>
      </c>
      <c r="B11" s="60">
        <v>5.81</v>
      </c>
      <c r="C11" s="60">
        <v>8.9499999999999993</v>
      </c>
      <c r="D11" s="60">
        <v>14.76</v>
      </c>
      <c r="E11" s="60">
        <v>6.12</v>
      </c>
      <c r="F11" s="60">
        <v>0.32</v>
      </c>
      <c r="G11" s="215" t="s">
        <v>36</v>
      </c>
      <c r="H11" s="60">
        <v>4.18</v>
      </c>
      <c r="I11" s="60">
        <v>5.39</v>
      </c>
      <c r="J11" s="60">
        <v>0.06</v>
      </c>
      <c r="K11" s="60">
        <v>193.28</v>
      </c>
      <c r="L11" s="60">
        <v>45.46</v>
      </c>
      <c r="M11" s="60">
        <v>93.55</v>
      </c>
      <c r="N11" s="60">
        <v>14.8</v>
      </c>
      <c r="O11" s="60">
        <v>0</v>
      </c>
      <c r="P11" s="60">
        <v>3.37</v>
      </c>
      <c r="Q11" s="60">
        <v>8.0399999999999991</v>
      </c>
      <c r="R11" s="197"/>
      <c r="S11" s="197"/>
      <c r="T11" s="197"/>
      <c r="U11" s="197"/>
    </row>
    <row r="12" spans="1:21" s="12" customFormat="1" x14ac:dyDescent="0.25">
      <c r="A12" s="200" t="s">
        <v>731</v>
      </c>
      <c r="B12" s="60">
        <v>5.61</v>
      </c>
      <c r="C12" s="60">
        <v>8.99</v>
      </c>
      <c r="D12" s="60">
        <v>14.6</v>
      </c>
      <c r="E12" s="60">
        <v>5.99</v>
      </c>
      <c r="F12" s="60">
        <v>0.22</v>
      </c>
      <c r="G12" s="215" t="s">
        <v>36</v>
      </c>
      <c r="H12" s="60">
        <v>4.18</v>
      </c>
      <c r="I12" s="60">
        <v>5.51</v>
      </c>
      <c r="J12" s="60">
        <v>0.08</v>
      </c>
      <c r="K12" s="60">
        <v>173.31</v>
      </c>
      <c r="L12" s="60">
        <v>44.54</v>
      </c>
      <c r="M12" s="60">
        <v>93.01</v>
      </c>
      <c r="N12" s="60">
        <v>14.6</v>
      </c>
      <c r="O12" s="60">
        <v>0</v>
      </c>
      <c r="P12" s="60">
        <v>3.36</v>
      </c>
      <c r="Q12" s="60">
        <v>7.72</v>
      </c>
      <c r="R12" s="197"/>
      <c r="S12" s="197"/>
      <c r="T12" s="197"/>
      <c r="U12" s="197"/>
    </row>
    <row r="13" spans="1:21" s="12" customFormat="1" x14ac:dyDescent="0.25">
      <c r="A13" s="200" t="s">
        <v>732</v>
      </c>
      <c r="B13" s="60">
        <v>5.31</v>
      </c>
      <c r="C13" s="60">
        <v>9</v>
      </c>
      <c r="D13" s="60">
        <v>14.31</v>
      </c>
      <c r="E13" s="60">
        <v>6.56</v>
      </c>
      <c r="F13" s="60">
        <v>0.17</v>
      </c>
      <c r="G13" s="215" t="s">
        <v>36</v>
      </c>
      <c r="H13" s="60">
        <v>4.42</v>
      </c>
      <c r="I13" s="60">
        <v>5.52</v>
      </c>
      <c r="J13" s="60">
        <v>0.16</v>
      </c>
      <c r="K13" s="60">
        <v>199.48</v>
      </c>
      <c r="L13" s="60">
        <v>45.3</v>
      </c>
      <c r="M13" s="60">
        <v>91.89</v>
      </c>
      <c r="N13" s="60">
        <v>14.8</v>
      </c>
      <c r="O13" s="60">
        <v>0</v>
      </c>
      <c r="P13" s="60">
        <v>3.35</v>
      </c>
      <c r="Q13" s="60">
        <v>7.52</v>
      </c>
      <c r="R13" s="197"/>
      <c r="S13" s="197"/>
      <c r="T13" s="197"/>
      <c r="U13" s="197"/>
    </row>
    <row r="14" spans="1:21" s="12" customFormat="1" x14ac:dyDescent="0.25">
      <c r="A14" s="200" t="s">
        <v>733</v>
      </c>
      <c r="B14" s="60">
        <v>5.07</v>
      </c>
      <c r="C14" s="60">
        <v>9.1300000000000008</v>
      </c>
      <c r="D14" s="60">
        <v>14.21</v>
      </c>
      <c r="E14" s="60">
        <v>5.58</v>
      </c>
      <c r="F14" s="60">
        <v>0.09</v>
      </c>
      <c r="G14" s="215" t="s">
        <v>36</v>
      </c>
      <c r="H14" s="60">
        <v>5.0199999999999996</v>
      </c>
      <c r="I14" s="60">
        <v>5.48</v>
      </c>
      <c r="J14" s="60">
        <v>0.19</v>
      </c>
      <c r="K14" s="60">
        <v>178.44</v>
      </c>
      <c r="L14" s="60">
        <v>44.63</v>
      </c>
      <c r="M14" s="60">
        <v>90.78</v>
      </c>
      <c r="N14" s="60">
        <v>14.8</v>
      </c>
      <c r="O14" s="60">
        <v>0</v>
      </c>
      <c r="P14" s="60">
        <v>3.34</v>
      </c>
      <c r="Q14" s="60">
        <v>7.36</v>
      </c>
      <c r="R14" s="197"/>
      <c r="S14" s="197"/>
      <c r="T14" s="197"/>
      <c r="U14" s="197"/>
    </row>
    <row r="15" spans="1:21" s="12" customFormat="1" x14ac:dyDescent="0.25">
      <c r="A15" s="200" t="s">
        <v>734</v>
      </c>
      <c r="B15" s="60">
        <v>5.01</v>
      </c>
      <c r="C15" s="60">
        <v>9</v>
      </c>
      <c r="D15" s="60">
        <v>14.01</v>
      </c>
      <c r="E15" s="60">
        <v>6</v>
      </c>
      <c r="F15" s="60">
        <v>0.15</v>
      </c>
      <c r="G15" s="215" t="s">
        <v>36</v>
      </c>
      <c r="H15" s="60">
        <v>5.0199999999999996</v>
      </c>
      <c r="I15" s="60">
        <v>5.13</v>
      </c>
      <c r="J15" s="60">
        <v>0.03</v>
      </c>
      <c r="K15" s="60">
        <v>195.07</v>
      </c>
      <c r="L15" s="60">
        <v>43.12</v>
      </c>
      <c r="M15" s="60">
        <v>88.92</v>
      </c>
      <c r="N15" s="60">
        <v>14.9</v>
      </c>
      <c r="O15" s="60">
        <v>0</v>
      </c>
      <c r="P15" s="60">
        <v>3.33</v>
      </c>
      <c r="Q15" s="60">
        <v>7.64</v>
      </c>
      <c r="R15" s="197"/>
      <c r="S15" s="197"/>
      <c r="T15" s="197"/>
      <c r="U15" s="197"/>
    </row>
    <row r="16" spans="1:21" s="12" customFormat="1" x14ac:dyDescent="0.25">
      <c r="A16" s="200" t="s">
        <v>735</v>
      </c>
      <c r="B16" s="60">
        <v>4.8899999999999997</v>
      </c>
      <c r="C16" s="60">
        <v>8.9600000000000009</v>
      </c>
      <c r="D16" s="60">
        <v>13.84</v>
      </c>
      <c r="E16" s="60">
        <v>6.43</v>
      </c>
      <c r="F16" s="60">
        <v>0.17</v>
      </c>
      <c r="G16" s="215" t="s">
        <v>36</v>
      </c>
      <c r="H16" s="60">
        <v>5.0199999999999996</v>
      </c>
      <c r="I16" s="60">
        <v>3.71</v>
      </c>
      <c r="J16" s="60">
        <v>0.09</v>
      </c>
      <c r="K16" s="60">
        <v>218.62</v>
      </c>
      <c r="L16" s="60">
        <v>39.47</v>
      </c>
      <c r="M16" s="60">
        <v>88.04</v>
      </c>
      <c r="N16" s="60">
        <v>14.7</v>
      </c>
      <c r="O16" s="60">
        <v>0</v>
      </c>
      <c r="P16" s="60">
        <v>3.34</v>
      </c>
      <c r="Q16" s="60">
        <v>7.99</v>
      </c>
      <c r="R16" s="197"/>
      <c r="S16" s="197"/>
      <c r="T16" s="197"/>
      <c r="U16" s="197"/>
    </row>
    <row r="17" spans="1:21" s="12" customFormat="1" x14ac:dyDescent="0.25">
      <c r="A17" s="200" t="s">
        <v>736</v>
      </c>
      <c r="B17" s="60">
        <v>4.76</v>
      </c>
      <c r="C17" s="60">
        <v>9</v>
      </c>
      <c r="D17" s="60">
        <v>13.76</v>
      </c>
      <c r="E17" s="60">
        <v>6.59</v>
      </c>
      <c r="F17" s="60">
        <v>0.2</v>
      </c>
      <c r="G17" s="215" t="s">
        <v>36</v>
      </c>
      <c r="H17" s="60">
        <v>4.76</v>
      </c>
      <c r="I17" s="60">
        <v>3.87</v>
      </c>
      <c r="J17" s="60">
        <v>0.14000000000000001</v>
      </c>
      <c r="K17" s="60">
        <v>231.87</v>
      </c>
      <c r="L17" s="60">
        <v>38.659999999999997</v>
      </c>
      <c r="M17" s="60">
        <v>89.39</v>
      </c>
      <c r="N17" s="60">
        <v>14.7</v>
      </c>
      <c r="O17" s="60">
        <v>0</v>
      </c>
      <c r="P17" s="60">
        <v>3.32</v>
      </c>
      <c r="Q17" s="60">
        <v>8.2200000000000006</v>
      </c>
      <c r="R17" s="197"/>
      <c r="S17" s="197"/>
      <c r="T17" s="197"/>
      <c r="U17" s="197"/>
    </row>
    <row r="18" spans="1:21" s="12" customFormat="1" x14ac:dyDescent="0.25">
      <c r="A18" s="200" t="s">
        <v>737</v>
      </c>
      <c r="B18" s="60">
        <v>4.58</v>
      </c>
      <c r="C18" s="60">
        <v>9</v>
      </c>
      <c r="D18" s="60">
        <v>13.58</v>
      </c>
      <c r="E18" s="60">
        <v>6.29</v>
      </c>
      <c r="F18" s="60">
        <v>0.17</v>
      </c>
      <c r="G18" s="215" t="s">
        <v>36</v>
      </c>
      <c r="H18" s="60">
        <v>4.0999999999999996</v>
      </c>
      <c r="I18" s="60">
        <v>4.4800000000000004</v>
      </c>
      <c r="J18" s="60">
        <v>0.11</v>
      </c>
      <c r="K18" s="60">
        <v>38.020000000000003</v>
      </c>
      <c r="L18" s="60">
        <v>38.43</v>
      </c>
      <c r="M18" s="60">
        <v>90.3</v>
      </c>
      <c r="N18" s="60">
        <v>14.8</v>
      </c>
      <c r="O18" s="60">
        <v>0</v>
      </c>
      <c r="P18" s="60">
        <v>3.31</v>
      </c>
      <c r="Q18" s="60">
        <v>8.25</v>
      </c>
      <c r="R18" s="197"/>
      <c r="S18" s="197"/>
      <c r="T18" s="197"/>
      <c r="U18" s="197"/>
    </row>
    <row r="19" spans="1:21" s="12" customFormat="1" x14ac:dyDescent="0.25">
      <c r="A19" s="200" t="s">
        <v>738</v>
      </c>
      <c r="B19" s="60">
        <v>4.3899999999999997</v>
      </c>
      <c r="C19" s="60">
        <v>8.9499999999999993</v>
      </c>
      <c r="D19" s="60">
        <v>13.34</v>
      </c>
      <c r="E19" s="60">
        <v>6.19</v>
      </c>
      <c r="F19" s="60">
        <v>0.19</v>
      </c>
      <c r="G19" s="215" t="s">
        <v>36</v>
      </c>
      <c r="H19" s="60">
        <v>4.0999999999999996</v>
      </c>
      <c r="I19" s="60">
        <v>4.63</v>
      </c>
      <c r="J19" s="60">
        <v>0.14000000000000001</v>
      </c>
      <c r="K19" s="60">
        <v>50.42</v>
      </c>
      <c r="L19" s="60">
        <v>38.369999999999997</v>
      </c>
      <c r="M19" s="60">
        <v>90.58</v>
      </c>
      <c r="N19" s="60">
        <v>14.7</v>
      </c>
      <c r="O19" s="60">
        <v>0</v>
      </c>
      <c r="P19" s="60">
        <v>3.31</v>
      </c>
      <c r="Q19" s="60">
        <v>8.2200000000000006</v>
      </c>
      <c r="R19" s="197"/>
      <c r="S19" s="197"/>
      <c r="T19" s="197"/>
      <c r="U19" s="197"/>
    </row>
    <row r="20" spans="1:21" s="12" customFormat="1" x14ac:dyDescent="0.25">
      <c r="A20" s="200" t="s">
        <v>739</v>
      </c>
      <c r="B20" s="60">
        <v>4.13</v>
      </c>
      <c r="C20" s="60">
        <v>8.8699999999999992</v>
      </c>
      <c r="D20" s="60">
        <v>13</v>
      </c>
      <c r="E20" s="60">
        <v>6.34</v>
      </c>
      <c r="F20" s="60">
        <v>0.28000000000000003</v>
      </c>
      <c r="G20" s="215" t="s">
        <v>36</v>
      </c>
      <c r="H20" s="60">
        <v>4.0999999999999996</v>
      </c>
      <c r="I20" s="60">
        <v>4.63</v>
      </c>
      <c r="J20" s="60">
        <v>0.12</v>
      </c>
      <c r="K20" s="60">
        <v>16.96</v>
      </c>
      <c r="L20" s="60">
        <v>38.299999999999997</v>
      </c>
      <c r="M20" s="60">
        <v>91.2</v>
      </c>
      <c r="N20" s="60">
        <v>14.8</v>
      </c>
      <c r="O20" s="60">
        <v>0</v>
      </c>
      <c r="P20" s="60">
        <v>3.3</v>
      </c>
      <c r="Q20" s="60">
        <v>8.1999999999999993</v>
      </c>
      <c r="R20" s="197"/>
      <c r="S20" s="197"/>
      <c r="T20" s="197"/>
      <c r="U20" s="197"/>
    </row>
    <row r="21" spans="1:21" s="12" customFormat="1" x14ac:dyDescent="0.25">
      <c r="A21" s="200" t="s">
        <v>740</v>
      </c>
      <c r="B21" s="60">
        <v>3.94</v>
      </c>
      <c r="C21" s="60">
        <v>8.5500000000000007</v>
      </c>
      <c r="D21" s="60">
        <v>12.5</v>
      </c>
      <c r="E21" s="60">
        <v>5.99</v>
      </c>
      <c r="F21" s="60">
        <v>0.31</v>
      </c>
      <c r="G21" s="215" t="s">
        <v>36</v>
      </c>
      <c r="H21" s="60">
        <v>4.9000000000000004</v>
      </c>
      <c r="I21" s="60">
        <v>4.95</v>
      </c>
      <c r="J21" s="60">
        <v>0.13</v>
      </c>
      <c r="K21" s="60">
        <v>45.45</v>
      </c>
      <c r="L21" s="60">
        <v>38.43</v>
      </c>
      <c r="M21" s="60">
        <v>91.44</v>
      </c>
      <c r="N21" s="60">
        <v>14.7</v>
      </c>
      <c r="O21" s="60">
        <v>0</v>
      </c>
      <c r="P21" s="60">
        <v>3.29</v>
      </c>
      <c r="Q21" s="60">
        <v>8.0399999999999991</v>
      </c>
      <c r="R21" s="197"/>
      <c r="S21" s="197"/>
      <c r="T21" s="197"/>
      <c r="U21" s="197"/>
    </row>
    <row r="22" spans="1:21" s="12" customFormat="1" x14ac:dyDescent="0.25">
      <c r="A22" s="200" t="s">
        <v>741</v>
      </c>
      <c r="B22" s="60">
        <v>3.69</v>
      </c>
      <c r="C22" s="60">
        <v>8.14</v>
      </c>
      <c r="D22" s="60">
        <v>11.83</v>
      </c>
      <c r="E22" s="60">
        <v>6.11</v>
      </c>
      <c r="F22" s="60">
        <v>0.44</v>
      </c>
      <c r="G22" s="215" t="s">
        <v>36</v>
      </c>
      <c r="H22" s="60">
        <v>6.87</v>
      </c>
      <c r="I22" s="60">
        <v>4.93</v>
      </c>
      <c r="J22" s="60">
        <v>0.11</v>
      </c>
      <c r="K22" s="60">
        <v>59.23</v>
      </c>
      <c r="L22" s="60">
        <v>39.21</v>
      </c>
      <c r="M22" s="60">
        <v>90.33</v>
      </c>
      <c r="N22" s="60">
        <v>14.6</v>
      </c>
      <c r="O22" s="60">
        <v>0</v>
      </c>
      <c r="P22" s="60">
        <v>3.29</v>
      </c>
      <c r="Q22" s="60">
        <v>7.66</v>
      </c>
      <c r="R22" s="197"/>
      <c r="S22" s="197"/>
      <c r="T22" s="197"/>
      <c r="U22" s="197"/>
    </row>
    <row r="23" spans="1:21" s="12" customFormat="1" x14ac:dyDescent="0.25">
      <c r="A23" s="200" t="s">
        <v>742</v>
      </c>
      <c r="B23" s="60">
        <v>3.36</v>
      </c>
      <c r="C23" s="60">
        <v>8.39</v>
      </c>
      <c r="D23" s="60">
        <v>11.75</v>
      </c>
      <c r="E23" s="60">
        <v>6.22</v>
      </c>
      <c r="F23" s="60">
        <v>0.19</v>
      </c>
      <c r="G23" s="215" t="s">
        <v>36</v>
      </c>
      <c r="H23" s="60">
        <v>6.87</v>
      </c>
      <c r="I23" s="60">
        <v>4.9000000000000004</v>
      </c>
      <c r="J23" s="60">
        <v>0.16</v>
      </c>
      <c r="K23" s="60">
        <v>47.99</v>
      </c>
      <c r="L23" s="60">
        <v>42.85</v>
      </c>
      <c r="M23" s="60">
        <v>88.62</v>
      </c>
      <c r="N23" s="60">
        <v>14.7</v>
      </c>
      <c r="O23" s="60">
        <v>0</v>
      </c>
      <c r="P23" s="60">
        <v>3.27</v>
      </c>
      <c r="Q23" s="60">
        <v>7.08</v>
      </c>
      <c r="R23" s="197"/>
      <c r="S23" s="197"/>
      <c r="T23" s="197"/>
      <c r="U23" s="197"/>
    </row>
    <row r="24" spans="1:21" s="12" customFormat="1" x14ac:dyDescent="0.25">
      <c r="A24" s="200" t="s">
        <v>743</v>
      </c>
      <c r="B24" s="60">
        <v>3.09</v>
      </c>
      <c r="C24" s="60">
        <v>8.68</v>
      </c>
      <c r="D24" s="60">
        <v>11.76</v>
      </c>
      <c r="E24" s="60">
        <v>1.76</v>
      </c>
      <c r="F24" s="60">
        <v>0.32</v>
      </c>
      <c r="G24" s="215" t="s">
        <v>36</v>
      </c>
      <c r="H24" s="60">
        <v>6.87</v>
      </c>
      <c r="I24" s="60">
        <v>4.8899999999999997</v>
      </c>
      <c r="J24" s="60">
        <v>0.1</v>
      </c>
      <c r="K24" s="60">
        <v>33.57</v>
      </c>
      <c r="L24" s="60">
        <v>41.44</v>
      </c>
      <c r="M24" s="60">
        <v>88.99</v>
      </c>
      <c r="N24" s="60">
        <v>14.9</v>
      </c>
      <c r="O24" s="60">
        <v>0</v>
      </c>
      <c r="P24" s="60">
        <v>3.26</v>
      </c>
      <c r="Q24" s="60">
        <v>6.68</v>
      </c>
      <c r="R24" s="197"/>
      <c r="S24" s="197"/>
      <c r="T24" s="197"/>
      <c r="U24" s="197"/>
    </row>
    <row r="25" spans="1:21" s="12" customFormat="1" x14ac:dyDescent="0.25">
      <c r="A25" s="200" t="s">
        <v>744</v>
      </c>
      <c r="B25" s="60">
        <v>2.87</v>
      </c>
      <c r="C25" s="60">
        <v>8.7100000000000009</v>
      </c>
      <c r="D25" s="60">
        <v>11.58</v>
      </c>
      <c r="E25" s="60">
        <v>2.72</v>
      </c>
      <c r="F25" s="60">
        <v>0.46</v>
      </c>
      <c r="G25" s="215" t="s">
        <v>36</v>
      </c>
      <c r="H25" s="60">
        <v>6.34</v>
      </c>
      <c r="I25" s="60">
        <v>4.7300000000000004</v>
      </c>
      <c r="J25" s="60">
        <v>0.17</v>
      </c>
      <c r="K25" s="60">
        <v>44.76</v>
      </c>
      <c r="L25" s="60">
        <v>40.1</v>
      </c>
      <c r="M25" s="60">
        <v>89.28</v>
      </c>
      <c r="N25" s="60">
        <v>14.8</v>
      </c>
      <c r="O25" s="60">
        <v>0</v>
      </c>
      <c r="P25" s="60">
        <v>3.25</v>
      </c>
      <c r="Q25" s="60">
        <v>6.36</v>
      </c>
      <c r="R25" s="197"/>
      <c r="S25" s="197"/>
      <c r="T25" s="197"/>
      <c r="U25" s="197"/>
    </row>
    <row r="26" spans="1:21" s="12" customFormat="1" x14ac:dyDescent="0.25">
      <c r="A26" s="200" t="s">
        <v>745</v>
      </c>
      <c r="B26" s="60">
        <v>2.74</v>
      </c>
      <c r="C26" s="60">
        <v>8.8800000000000008</v>
      </c>
      <c r="D26" s="60">
        <v>11.62</v>
      </c>
      <c r="E26" s="60">
        <v>4.72</v>
      </c>
      <c r="F26" s="60">
        <v>0.26</v>
      </c>
      <c r="G26" s="215" t="s">
        <v>36</v>
      </c>
      <c r="H26" s="60">
        <v>5.04</v>
      </c>
      <c r="I26" s="60">
        <v>4.63</v>
      </c>
      <c r="J26" s="60">
        <v>0.15</v>
      </c>
      <c r="K26" s="60">
        <v>47.97</v>
      </c>
      <c r="L26" s="60">
        <v>42.14</v>
      </c>
      <c r="M26" s="60">
        <v>89.06</v>
      </c>
      <c r="N26" s="60">
        <v>14.8</v>
      </c>
      <c r="O26" s="60">
        <v>0</v>
      </c>
      <c r="P26" s="60">
        <v>3.24</v>
      </c>
      <c r="Q26" s="60">
        <v>5.96</v>
      </c>
      <c r="R26" s="197"/>
      <c r="S26" s="197"/>
      <c r="T26" s="197"/>
      <c r="U26" s="197"/>
    </row>
    <row r="27" spans="1:21" s="12" customFormat="1" x14ac:dyDescent="0.25">
      <c r="A27" s="200" t="s">
        <v>746</v>
      </c>
      <c r="B27" s="60">
        <v>2.39</v>
      </c>
      <c r="C27" s="60">
        <v>9.1300000000000008</v>
      </c>
      <c r="D27" s="60">
        <v>11.52</v>
      </c>
      <c r="E27" s="60">
        <v>4.66</v>
      </c>
      <c r="F27" s="60">
        <v>0.24</v>
      </c>
      <c r="G27" s="215" t="s">
        <v>36</v>
      </c>
      <c r="H27" s="60">
        <v>5.04</v>
      </c>
      <c r="I27" s="60">
        <v>4.59</v>
      </c>
      <c r="J27" s="60">
        <v>0.11</v>
      </c>
      <c r="K27" s="60">
        <v>49.81</v>
      </c>
      <c r="L27" s="60">
        <v>40.96</v>
      </c>
      <c r="M27" s="60">
        <v>89.44</v>
      </c>
      <c r="N27" s="60">
        <v>14.9</v>
      </c>
      <c r="O27" s="60">
        <v>0</v>
      </c>
      <c r="P27" s="60">
        <v>3.24</v>
      </c>
      <c r="Q27" s="60">
        <v>5.66</v>
      </c>
      <c r="R27" s="197"/>
      <c r="S27" s="197"/>
      <c r="T27" s="197"/>
      <c r="U27" s="197"/>
    </row>
    <row r="28" spans="1:21" s="12" customFormat="1" x14ac:dyDescent="0.25">
      <c r="A28" s="200" t="s">
        <v>747</v>
      </c>
      <c r="B28" s="60">
        <v>2.1800000000000002</v>
      </c>
      <c r="C28" s="60">
        <v>9.23</v>
      </c>
      <c r="D28" s="60">
        <v>11.4</v>
      </c>
      <c r="E28" s="60">
        <v>4.82</v>
      </c>
      <c r="F28" s="60">
        <v>0.1</v>
      </c>
      <c r="G28" s="215" t="s">
        <v>36</v>
      </c>
      <c r="H28" s="60">
        <v>5.04</v>
      </c>
      <c r="I28" s="60">
        <v>4.49</v>
      </c>
      <c r="J28" s="60">
        <v>0.16</v>
      </c>
      <c r="K28" s="60">
        <v>351.85</v>
      </c>
      <c r="L28" s="60">
        <v>44.12</v>
      </c>
      <c r="M28" s="60">
        <v>90.16</v>
      </c>
      <c r="N28" s="60">
        <v>14.9</v>
      </c>
      <c r="O28" s="60">
        <v>0</v>
      </c>
      <c r="P28" s="60">
        <v>3.23</v>
      </c>
      <c r="Q28" s="60">
        <v>5.57</v>
      </c>
      <c r="R28" s="197"/>
      <c r="S28" s="197"/>
      <c r="T28" s="197"/>
      <c r="U28" s="197"/>
    </row>
    <row r="29" spans="1:21" s="12" customFormat="1" x14ac:dyDescent="0.25">
      <c r="A29" s="200" t="s">
        <v>748</v>
      </c>
      <c r="B29" s="60">
        <v>2.13</v>
      </c>
      <c r="C29" s="60">
        <v>9.3000000000000007</v>
      </c>
      <c r="D29" s="60">
        <v>11.43</v>
      </c>
      <c r="E29" s="60">
        <v>4.84</v>
      </c>
      <c r="F29" s="60">
        <v>0.05</v>
      </c>
      <c r="G29" s="215" t="s">
        <v>36</v>
      </c>
      <c r="H29" s="60">
        <v>4.7</v>
      </c>
      <c r="I29" s="60">
        <v>4.34</v>
      </c>
      <c r="J29" s="60">
        <v>0.09</v>
      </c>
      <c r="K29" s="60">
        <v>31.41</v>
      </c>
      <c r="L29" s="60">
        <v>40.15</v>
      </c>
      <c r="M29" s="60">
        <v>90.3</v>
      </c>
      <c r="N29" s="60">
        <v>14.7</v>
      </c>
      <c r="O29" s="60">
        <v>0</v>
      </c>
      <c r="P29" s="60">
        <v>3.22</v>
      </c>
      <c r="Q29" s="60">
        <v>5.73</v>
      </c>
      <c r="R29" s="197"/>
      <c r="S29" s="197"/>
      <c r="T29" s="197"/>
      <c r="U29" s="197"/>
    </row>
    <row r="30" spans="1:21" s="12" customFormat="1" x14ac:dyDescent="0.25">
      <c r="A30" s="200" t="s">
        <v>749</v>
      </c>
      <c r="B30" s="60">
        <v>2.19</v>
      </c>
      <c r="C30" s="60">
        <v>9.25</v>
      </c>
      <c r="D30" s="60">
        <v>11.44</v>
      </c>
      <c r="E30" s="60">
        <v>4.9800000000000004</v>
      </c>
      <c r="F30" s="60">
        <v>0.06</v>
      </c>
      <c r="G30" s="215" t="s">
        <v>36</v>
      </c>
      <c r="H30" s="60">
        <v>3.86</v>
      </c>
      <c r="I30" s="60">
        <v>4.25</v>
      </c>
      <c r="J30" s="60">
        <v>0.09</v>
      </c>
      <c r="K30" s="60">
        <v>288.55</v>
      </c>
      <c r="L30" s="60">
        <v>37.33</v>
      </c>
      <c r="M30" s="60">
        <v>91.02</v>
      </c>
      <c r="N30" s="60">
        <v>15.2</v>
      </c>
      <c r="O30" s="60">
        <v>0</v>
      </c>
      <c r="P30" s="60">
        <v>3.23</v>
      </c>
      <c r="Q30" s="60">
        <v>5.93</v>
      </c>
      <c r="R30" s="197"/>
      <c r="S30" s="197"/>
      <c r="T30" s="197"/>
      <c r="U30" s="197"/>
    </row>
    <row r="31" spans="1:21" s="12" customFormat="1" x14ac:dyDescent="0.25">
      <c r="A31" s="200" t="s">
        <v>750</v>
      </c>
      <c r="B31" s="60">
        <v>2.4300000000000002</v>
      </c>
      <c r="C31" s="60">
        <v>9.16</v>
      </c>
      <c r="D31" s="60">
        <v>11.59</v>
      </c>
      <c r="E31" s="60">
        <v>5.53</v>
      </c>
      <c r="F31" s="60">
        <v>0.05</v>
      </c>
      <c r="G31" s="215" t="s">
        <v>36</v>
      </c>
      <c r="H31" s="60">
        <v>3.86</v>
      </c>
      <c r="I31" s="60">
        <v>4.21</v>
      </c>
      <c r="J31" s="60">
        <v>0.02</v>
      </c>
      <c r="K31" s="60">
        <v>46.42</v>
      </c>
      <c r="L31" s="60">
        <v>38.86</v>
      </c>
      <c r="M31" s="60">
        <v>91.27</v>
      </c>
      <c r="N31" s="60">
        <v>17.8</v>
      </c>
      <c r="O31" s="60">
        <v>0</v>
      </c>
      <c r="P31" s="60">
        <v>3.24</v>
      </c>
      <c r="Q31" s="60">
        <v>6.32</v>
      </c>
      <c r="R31" s="197"/>
      <c r="S31" s="197"/>
      <c r="T31" s="197"/>
      <c r="U31" s="197"/>
    </row>
    <row r="32" spans="1:21" s="12" customFormat="1" x14ac:dyDescent="0.25">
      <c r="A32" s="200" t="s">
        <v>751</v>
      </c>
      <c r="B32" s="60">
        <v>2.73</v>
      </c>
      <c r="C32" s="60">
        <v>9.35</v>
      </c>
      <c r="D32" s="60">
        <v>12.08</v>
      </c>
      <c r="E32" s="60">
        <v>6.25</v>
      </c>
      <c r="F32" s="60">
        <v>0.08</v>
      </c>
      <c r="G32" s="215" t="s">
        <v>36</v>
      </c>
      <c r="H32" s="60">
        <v>3.86</v>
      </c>
      <c r="I32" s="60">
        <v>4.13</v>
      </c>
      <c r="J32" s="60">
        <v>0.14000000000000001</v>
      </c>
      <c r="K32" s="60">
        <v>216.14</v>
      </c>
      <c r="L32" s="60">
        <v>40.46</v>
      </c>
      <c r="M32" s="60">
        <v>91.02</v>
      </c>
      <c r="N32" s="60">
        <v>29.2</v>
      </c>
      <c r="O32" s="60">
        <v>0</v>
      </c>
      <c r="P32" s="60">
        <v>3.26</v>
      </c>
      <c r="Q32" s="60">
        <v>6.74</v>
      </c>
      <c r="R32" s="197"/>
      <c r="S32" s="197"/>
      <c r="T32" s="197"/>
      <c r="U32" s="197"/>
    </row>
    <row r="33" spans="1:21" s="12" customFormat="1" x14ac:dyDescent="0.25">
      <c r="A33" s="200" t="s">
        <v>752</v>
      </c>
      <c r="B33" s="60">
        <v>2.93</v>
      </c>
      <c r="C33" s="60">
        <v>9.39</v>
      </c>
      <c r="D33" s="60">
        <v>12.31</v>
      </c>
      <c r="E33" s="60">
        <v>5.63</v>
      </c>
      <c r="F33" s="60">
        <v>0.16</v>
      </c>
      <c r="G33" s="215" t="s">
        <v>36</v>
      </c>
      <c r="H33" s="60">
        <v>3.62</v>
      </c>
      <c r="I33" s="60">
        <v>4.2300000000000004</v>
      </c>
      <c r="J33" s="60">
        <v>0.06</v>
      </c>
      <c r="K33" s="60">
        <v>326.86</v>
      </c>
      <c r="L33" s="60">
        <v>40.4</v>
      </c>
      <c r="M33" s="60">
        <v>90.96</v>
      </c>
      <c r="N33" s="60">
        <v>47.8</v>
      </c>
      <c r="O33" s="60">
        <v>0</v>
      </c>
      <c r="P33" s="60">
        <v>3.27</v>
      </c>
      <c r="Q33" s="60">
        <v>6.96</v>
      </c>
      <c r="R33" s="197"/>
      <c r="S33" s="197"/>
      <c r="T33" s="197"/>
      <c r="U33" s="197"/>
    </row>
    <row r="34" spans="1:21" s="12" customFormat="1" x14ac:dyDescent="0.25">
      <c r="A34" s="200" t="s">
        <v>753</v>
      </c>
      <c r="B34" s="60">
        <v>3.15</v>
      </c>
      <c r="C34" s="60">
        <v>9.76</v>
      </c>
      <c r="D34" s="60">
        <v>12.91</v>
      </c>
      <c r="E34" s="60">
        <v>5.91</v>
      </c>
      <c r="F34" s="60">
        <v>0.19</v>
      </c>
      <c r="G34" s="215" t="s">
        <v>36</v>
      </c>
      <c r="H34" s="60">
        <v>3.02</v>
      </c>
      <c r="I34" s="60">
        <v>4.54</v>
      </c>
      <c r="J34" s="60">
        <v>0.04</v>
      </c>
      <c r="K34" s="60">
        <v>16.86</v>
      </c>
      <c r="L34" s="60">
        <v>39.19</v>
      </c>
      <c r="M34" s="60">
        <v>89.83</v>
      </c>
      <c r="N34" s="60">
        <v>73</v>
      </c>
      <c r="O34" s="60">
        <v>0</v>
      </c>
      <c r="P34" s="60">
        <v>3.27</v>
      </c>
      <c r="Q34" s="60">
        <v>7.13</v>
      </c>
      <c r="R34" s="197"/>
      <c r="S34" s="197"/>
      <c r="T34" s="197"/>
      <c r="U34" s="197"/>
    </row>
    <row r="35" spans="1:21" s="12" customFormat="1" x14ac:dyDescent="0.25">
      <c r="A35" s="200" t="s">
        <v>754</v>
      </c>
      <c r="B35" s="60">
        <v>3.31</v>
      </c>
      <c r="C35" s="60">
        <v>10.35</v>
      </c>
      <c r="D35" s="60">
        <v>13.66</v>
      </c>
      <c r="E35" s="60">
        <v>5.32</v>
      </c>
      <c r="F35" s="60">
        <v>0.21</v>
      </c>
      <c r="G35" s="215" t="s">
        <v>36</v>
      </c>
      <c r="H35" s="60">
        <v>3.02</v>
      </c>
      <c r="I35" s="60">
        <v>4.37</v>
      </c>
      <c r="J35" s="60">
        <v>0.04</v>
      </c>
      <c r="K35" s="60">
        <v>51.96</v>
      </c>
      <c r="L35" s="60">
        <v>39.33</v>
      </c>
      <c r="M35" s="60">
        <v>89.03</v>
      </c>
      <c r="N35" s="60">
        <v>95.1</v>
      </c>
      <c r="O35" s="60">
        <v>0</v>
      </c>
      <c r="P35" s="60">
        <v>3.27</v>
      </c>
      <c r="Q35" s="60">
        <v>7.38</v>
      </c>
      <c r="R35" s="197"/>
      <c r="S35" s="197"/>
      <c r="T35" s="197"/>
      <c r="U35" s="197"/>
    </row>
    <row r="36" spans="1:21" s="12" customFormat="1" x14ac:dyDescent="0.25">
      <c r="A36" s="200" t="s">
        <v>755</v>
      </c>
      <c r="B36" s="60">
        <v>3.69</v>
      </c>
      <c r="C36" s="60">
        <v>10.5</v>
      </c>
      <c r="D36" s="60">
        <v>14.19</v>
      </c>
      <c r="E36" s="60">
        <v>5.89</v>
      </c>
      <c r="F36" s="60">
        <v>0.53</v>
      </c>
      <c r="G36" s="215" t="s">
        <v>36</v>
      </c>
      <c r="H36" s="60">
        <v>3.02</v>
      </c>
      <c r="I36" s="60">
        <v>4.6100000000000003</v>
      </c>
      <c r="J36" s="60">
        <v>0.17</v>
      </c>
      <c r="K36" s="60">
        <v>23.77</v>
      </c>
      <c r="L36" s="60">
        <v>39.79</v>
      </c>
      <c r="M36" s="60">
        <v>88.28</v>
      </c>
      <c r="N36" s="60">
        <v>92.8</v>
      </c>
      <c r="O36" s="60">
        <v>0</v>
      </c>
      <c r="P36" s="60">
        <v>3.28</v>
      </c>
      <c r="Q36" s="60">
        <v>7.6</v>
      </c>
      <c r="R36" s="197"/>
      <c r="S36" s="197"/>
      <c r="T36" s="197"/>
      <c r="U36" s="197"/>
    </row>
    <row r="37" spans="1:21" s="12" customFormat="1" x14ac:dyDescent="0.25">
      <c r="A37" s="200" t="s">
        <v>756</v>
      </c>
      <c r="B37" s="60">
        <v>3.9</v>
      </c>
      <c r="C37" s="60">
        <v>10.41</v>
      </c>
      <c r="D37" s="60">
        <v>14.31</v>
      </c>
      <c r="E37" s="60">
        <v>5.66</v>
      </c>
      <c r="F37" s="60">
        <v>0.42</v>
      </c>
      <c r="G37" s="215" t="s">
        <v>36</v>
      </c>
      <c r="H37" s="60">
        <v>2.81</v>
      </c>
      <c r="I37" s="60">
        <v>4.5199999999999996</v>
      </c>
      <c r="J37" s="60">
        <v>0.13</v>
      </c>
      <c r="K37" s="60">
        <v>355.25</v>
      </c>
      <c r="L37" s="60">
        <v>40.450000000000003</v>
      </c>
      <c r="M37" s="60">
        <v>86.76</v>
      </c>
      <c r="N37" s="60">
        <v>133.19999999999999</v>
      </c>
      <c r="O37" s="60">
        <v>0</v>
      </c>
      <c r="P37" s="60">
        <v>3.28</v>
      </c>
      <c r="Q37" s="60">
        <v>7.59</v>
      </c>
      <c r="R37" s="197"/>
      <c r="S37" s="197"/>
      <c r="T37" s="197"/>
      <c r="U37" s="197"/>
    </row>
    <row r="38" spans="1:21" s="12" customFormat="1" x14ac:dyDescent="0.25">
      <c r="A38" s="200" t="s">
        <v>757</v>
      </c>
      <c r="B38" s="60">
        <v>4.74</v>
      </c>
      <c r="C38" s="60">
        <v>11.03</v>
      </c>
      <c r="D38" s="60">
        <v>15.77</v>
      </c>
      <c r="E38" s="60">
        <v>5.2</v>
      </c>
      <c r="F38" s="60">
        <v>0.32</v>
      </c>
      <c r="G38" s="215" t="s">
        <v>36</v>
      </c>
      <c r="H38" s="60">
        <v>2.29</v>
      </c>
      <c r="I38" s="60">
        <v>4.67</v>
      </c>
      <c r="J38" s="60">
        <v>0.53</v>
      </c>
      <c r="K38" s="60">
        <v>313.60000000000002</v>
      </c>
      <c r="L38" s="60">
        <v>37.450000000000003</v>
      </c>
      <c r="M38" s="60">
        <v>83.1</v>
      </c>
      <c r="N38" s="60">
        <v>203.3</v>
      </c>
      <c r="O38" s="60">
        <v>0</v>
      </c>
      <c r="P38" s="60">
        <v>3.34</v>
      </c>
      <c r="Q38" s="60">
        <v>7.62</v>
      </c>
      <c r="R38" s="197"/>
      <c r="S38" s="197"/>
      <c r="T38" s="197"/>
      <c r="U38" s="197"/>
    </row>
    <row r="39" spans="1:21" s="12" customFormat="1" x14ac:dyDescent="0.25">
      <c r="A39" s="200" t="s">
        <v>758</v>
      </c>
      <c r="B39" s="60">
        <v>5.73</v>
      </c>
      <c r="C39" s="60">
        <v>11.6</v>
      </c>
      <c r="D39" s="60">
        <v>17.329999999999998</v>
      </c>
      <c r="E39" s="60">
        <v>5.46</v>
      </c>
      <c r="F39" s="60">
        <v>0.16</v>
      </c>
      <c r="G39" s="215" t="s">
        <v>36</v>
      </c>
      <c r="H39" s="60">
        <v>2.29</v>
      </c>
      <c r="I39" s="60">
        <v>4.76</v>
      </c>
      <c r="J39" s="60">
        <v>0.11</v>
      </c>
      <c r="K39" s="60">
        <v>27.27</v>
      </c>
      <c r="L39" s="60">
        <v>37.33</v>
      </c>
      <c r="M39" s="60">
        <v>81.05</v>
      </c>
      <c r="N39" s="60">
        <v>199.2</v>
      </c>
      <c r="O39" s="60">
        <v>0</v>
      </c>
      <c r="P39" s="60">
        <v>3.4</v>
      </c>
      <c r="Q39" s="60">
        <v>7.84</v>
      </c>
      <c r="R39" s="197"/>
      <c r="S39" s="197"/>
      <c r="T39" s="197"/>
      <c r="U39" s="197"/>
    </row>
    <row r="40" spans="1:21" s="12" customFormat="1" x14ac:dyDescent="0.25">
      <c r="A40" s="200" t="s">
        <v>759</v>
      </c>
      <c r="B40" s="60">
        <v>6.2</v>
      </c>
      <c r="C40" s="60">
        <v>12.13</v>
      </c>
      <c r="D40" s="60">
        <v>18.329999999999998</v>
      </c>
      <c r="E40" s="60">
        <v>2.2400000000000002</v>
      </c>
      <c r="F40" s="60">
        <v>0.28999999999999998</v>
      </c>
      <c r="G40" s="215" t="s">
        <v>36</v>
      </c>
      <c r="H40" s="60">
        <v>2.29</v>
      </c>
      <c r="I40" s="60">
        <v>5.1100000000000003</v>
      </c>
      <c r="J40" s="60">
        <v>0.41</v>
      </c>
      <c r="K40" s="60">
        <v>319.10000000000002</v>
      </c>
      <c r="L40" s="60">
        <v>37.19</v>
      </c>
      <c r="M40" s="60">
        <v>81.459999999999994</v>
      </c>
      <c r="N40" s="60">
        <v>185.2</v>
      </c>
      <c r="O40" s="60">
        <v>0</v>
      </c>
      <c r="P40" s="60">
        <v>3.42</v>
      </c>
      <c r="Q40" s="60">
        <v>8</v>
      </c>
      <c r="R40" s="197"/>
      <c r="S40" s="197"/>
      <c r="T40" s="197"/>
      <c r="U40" s="197"/>
    </row>
    <row r="41" spans="1:21" s="12" customFormat="1" x14ac:dyDescent="0.25">
      <c r="A41" s="200" t="s">
        <v>760</v>
      </c>
      <c r="B41" s="60">
        <v>6.7</v>
      </c>
      <c r="C41" s="60">
        <v>12.79</v>
      </c>
      <c r="D41" s="60">
        <v>19.48</v>
      </c>
      <c r="E41" s="60">
        <v>3.23</v>
      </c>
      <c r="F41" s="60">
        <v>0.38</v>
      </c>
      <c r="G41" s="215" t="s">
        <v>36</v>
      </c>
      <c r="H41" s="60">
        <v>4.46</v>
      </c>
      <c r="I41" s="60">
        <v>5.66</v>
      </c>
      <c r="J41" s="60">
        <v>0.22</v>
      </c>
      <c r="K41" s="60">
        <v>349.83</v>
      </c>
      <c r="L41" s="60">
        <v>37.43</v>
      </c>
      <c r="M41" s="60">
        <v>80.69</v>
      </c>
      <c r="N41" s="60">
        <v>234.4</v>
      </c>
      <c r="O41" s="60">
        <v>0</v>
      </c>
      <c r="P41" s="60">
        <v>3.43</v>
      </c>
      <c r="Q41" s="60">
        <v>8.25</v>
      </c>
      <c r="R41" s="197"/>
      <c r="S41" s="197"/>
      <c r="T41" s="197"/>
      <c r="U41" s="197"/>
    </row>
    <row r="42" spans="1:21" s="12" customFormat="1" x14ac:dyDescent="0.25">
      <c r="A42" s="200" t="s">
        <v>761</v>
      </c>
      <c r="B42" s="60">
        <v>7.12</v>
      </c>
      <c r="C42" s="60">
        <v>13.56</v>
      </c>
      <c r="D42" s="60">
        <v>20.68</v>
      </c>
      <c r="E42" s="60">
        <v>4.03</v>
      </c>
      <c r="F42" s="60">
        <v>0.38</v>
      </c>
      <c r="G42" s="215" t="s">
        <v>36</v>
      </c>
      <c r="H42" s="60">
        <v>9.83</v>
      </c>
      <c r="I42" s="60">
        <v>5.76</v>
      </c>
      <c r="J42" s="60">
        <v>0.56000000000000005</v>
      </c>
      <c r="K42" s="60">
        <v>311.72000000000003</v>
      </c>
      <c r="L42" s="60">
        <v>38.35</v>
      </c>
      <c r="M42" s="60">
        <v>78.17</v>
      </c>
      <c r="N42" s="60">
        <v>303.3</v>
      </c>
      <c r="O42" s="60">
        <v>0</v>
      </c>
      <c r="P42" s="60">
        <v>3.43</v>
      </c>
      <c r="Q42" s="60">
        <v>8.44</v>
      </c>
      <c r="R42" s="197"/>
      <c r="S42" s="197"/>
      <c r="T42" s="197"/>
      <c r="U42" s="197"/>
    </row>
    <row r="43" spans="1:21" s="12" customFormat="1" x14ac:dyDescent="0.25">
      <c r="A43" s="200" t="s">
        <v>762</v>
      </c>
      <c r="B43" s="60">
        <v>7.29</v>
      </c>
      <c r="C43" s="60">
        <v>13.78</v>
      </c>
      <c r="D43" s="60">
        <v>21.08</v>
      </c>
      <c r="E43" s="60">
        <v>5.17</v>
      </c>
      <c r="F43" s="60">
        <v>0.13</v>
      </c>
      <c r="G43" s="215" t="s">
        <v>36</v>
      </c>
      <c r="H43" s="60">
        <v>9.83</v>
      </c>
      <c r="I43" s="60">
        <v>5.74</v>
      </c>
      <c r="J43" s="60">
        <v>0.14000000000000001</v>
      </c>
      <c r="K43" s="60">
        <v>11.08</v>
      </c>
      <c r="L43" s="60">
        <v>38.92</v>
      </c>
      <c r="M43" s="60">
        <v>76.13</v>
      </c>
      <c r="N43" s="60">
        <v>387.9</v>
      </c>
      <c r="O43" s="60">
        <v>0</v>
      </c>
      <c r="P43" s="60">
        <v>3.44</v>
      </c>
      <c r="Q43" s="60">
        <v>8.52</v>
      </c>
      <c r="R43" s="197"/>
      <c r="S43" s="197"/>
      <c r="T43" s="197"/>
      <c r="U43" s="197"/>
    </row>
    <row r="44" spans="1:21" s="12" customFormat="1" x14ac:dyDescent="0.25">
      <c r="A44" s="200" t="s">
        <v>763</v>
      </c>
      <c r="B44" s="60">
        <v>7.39</v>
      </c>
      <c r="C44" s="60">
        <v>13.89</v>
      </c>
      <c r="D44" s="60">
        <v>21.29</v>
      </c>
      <c r="E44" s="60">
        <v>5.16</v>
      </c>
      <c r="F44" s="60">
        <v>0.25</v>
      </c>
      <c r="G44" s="215" t="s">
        <v>36</v>
      </c>
      <c r="H44" s="60">
        <v>9.83</v>
      </c>
      <c r="I44" s="60">
        <v>5.71</v>
      </c>
      <c r="J44" s="60">
        <v>0.43</v>
      </c>
      <c r="K44" s="60">
        <v>329.74</v>
      </c>
      <c r="L44" s="60">
        <v>41.27</v>
      </c>
      <c r="M44" s="60">
        <v>74.959999999999994</v>
      </c>
      <c r="N44" s="60">
        <v>457.1</v>
      </c>
      <c r="O44" s="60">
        <v>0</v>
      </c>
      <c r="P44" s="60">
        <v>3.44</v>
      </c>
      <c r="Q44" s="60">
        <v>8.94</v>
      </c>
      <c r="R44" s="197"/>
      <c r="S44" s="197"/>
      <c r="T44" s="197"/>
      <c r="U44" s="197"/>
    </row>
    <row r="45" spans="1:21" s="12" customFormat="1" x14ac:dyDescent="0.25">
      <c r="A45" s="200" t="s">
        <v>764</v>
      </c>
      <c r="B45" s="60">
        <v>7.46</v>
      </c>
      <c r="C45" s="60">
        <v>14.41</v>
      </c>
      <c r="D45" s="60">
        <v>21.87</v>
      </c>
      <c r="E45" s="60">
        <v>4.68</v>
      </c>
      <c r="F45" s="60">
        <v>0.34</v>
      </c>
      <c r="G45" s="215" t="s">
        <v>36</v>
      </c>
      <c r="H45" s="60">
        <v>11.3</v>
      </c>
      <c r="I45" s="60">
        <v>5.65</v>
      </c>
      <c r="J45" s="60">
        <v>0.31</v>
      </c>
      <c r="K45" s="60">
        <v>341.87</v>
      </c>
      <c r="L45" s="60">
        <v>45.32</v>
      </c>
      <c r="M45" s="60">
        <v>69.510000000000005</v>
      </c>
      <c r="N45" s="60">
        <v>478</v>
      </c>
      <c r="O45" s="60">
        <v>0</v>
      </c>
      <c r="P45" s="60">
        <v>3.44</v>
      </c>
      <c r="Q45" s="60">
        <v>9.36</v>
      </c>
      <c r="R45" s="197"/>
      <c r="S45" s="197"/>
      <c r="T45" s="197"/>
      <c r="U45" s="197"/>
    </row>
    <row r="46" spans="1:21" s="12" customFormat="1" x14ac:dyDescent="0.25">
      <c r="A46" s="200" t="s">
        <v>765</v>
      </c>
      <c r="B46" s="60">
        <v>7.47</v>
      </c>
      <c r="C46" s="60">
        <v>15.07</v>
      </c>
      <c r="D46" s="60">
        <v>22.53</v>
      </c>
      <c r="E46" s="60">
        <v>4.3899999999999997</v>
      </c>
      <c r="F46" s="60">
        <v>0.5</v>
      </c>
      <c r="G46" s="215" t="s">
        <v>36</v>
      </c>
      <c r="H46" s="60">
        <v>14.93</v>
      </c>
      <c r="I46" s="60">
        <v>5.71</v>
      </c>
      <c r="J46" s="60">
        <v>0.64</v>
      </c>
      <c r="K46" s="60">
        <v>323.33</v>
      </c>
      <c r="L46" s="60">
        <v>45.43</v>
      </c>
      <c r="M46" s="60">
        <v>66.790000000000006</v>
      </c>
      <c r="N46" s="60">
        <v>590.1</v>
      </c>
      <c r="O46" s="60">
        <v>0</v>
      </c>
      <c r="P46" s="60">
        <v>3.45</v>
      </c>
      <c r="Q46" s="60">
        <v>9.6999999999999993</v>
      </c>
      <c r="R46" s="197"/>
      <c r="S46" s="197"/>
      <c r="T46" s="197"/>
      <c r="U46" s="197"/>
    </row>
    <row r="47" spans="1:21" s="12" customFormat="1" x14ac:dyDescent="0.25">
      <c r="A47" s="200" t="s">
        <v>766</v>
      </c>
      <c r="B47" s="60">
        <v>7.57</v>
      </c>
      <c r="C47" s="60">
        <v>15.41</v>
      </c>
      <c r="D47" s="60">
        <v>22.98</v>
      </c>
      <c r="E47" s="60">
        <v>4.7699999999999996</v>
      </c>
      <c r="F47" s="60">
        <v>0.49</v>
      </c>
      <c r="G47" s="215" t="s">
        <v>36</v>
      </c>
      <c r="H47" s="60">
        <v>14.93</v>
      </c>
      <c r="I47" s="60">
        <v>5.72</v>
      </c>
      <c r="J47" s="60">
        <v>0.72</v>
      </c>
      <c r="K47" s="60">
        <v>319.37</v>
      </c>
      <c r="L47" s="60">
        <v>48.04</v>
      </c>
      <c r="M47" s="60">
        <v>64.02</v>
      </c>
      <c r="N47" s="60">
        <v>623</v>
      </c>
      <c r="O47" s="60">
        <v>0</v>
      </c>
      <c r="P47" s="60">
        <v>3.46</v>
      </c>
      <c r="Q47" s="60">
        <v>9.98</v>
      </c>
      <c r="R47" s="197"/>
      <c r="S47" s="197"/>
      <c r="T47" s="197"/>
      <c r="U47" s="197"/>
    </row>
    <row r="48" spans="1:21" s="12" customFormat="1" x14ac:dyDescent="0.25">
      <c r="A48" s="200" t="s">
        <v>767</v>
      </c>
      <c r="B48" s="60">
        <v>7.53</v>
      </c>
      <c r="C48" s="60">
        <v>15.65</v>
      </c>
      <c r="D48" s="60">
        <v>23.18</v>
      </c>
      <c r="E48" s="60">
        <v>4.72</v>
      </c>
      <c r="F48" s="60">
        <v>0.59</v>
      </c>
      <c r="G48" s="215" t="s">
        <v>36</v>
      </c>
      <c r="H48" s="60">
        <v>14.93</v>
      </c>
      <c r="I48" s="60">
        <v>5.66</v>
      </c>
      <c r="J48" s="60">
        <v>1.25</v>
      </c>
      <c r="K48" s="60">
        <v>330.55</v>
      </c>
      <c r="L48" s="60">
        <v>48.67</v>
      </c>
      <c r="M48" s="60">
        <v>62.42</v>
      </c>
      <c r="N48" s="60">
        <v>537.6</v>
      </c>
      <c r="O48" s="60">
        <v>0</v>
      </c>
      <c r="P48" s="60">
        <v>3.48</v>
      </c>
      <c r="Q48" s="60">
        <v>10.19</v>
      </c>
      <c r="R48" s="197"/>
      <c r="S48" s="197"/>
      <c r="T48" s="197"/>
      <c r="U48" s="197"/>
    </row>
    <row r="49" spans="1:21" s="12" customFormat="1" x14ac:dyDescent="0.25">
      <c r="A49" s="200" t="s">
        <v>768</v>
      </c>
      <c r="B49" s="60">
        <v>7.04</v>
      </c>
      <c r="C49" s="60">
        <v>17.07</v>
      </c>
      <c r="D49" s="60">
        <v>24.12</v>
      </c>
      <c r="E49" s="60">
        <v>4.7699999999999996</v>
      </c>
      <c r="F49" s="60">
        <v>1.31</v>
      </c>
      <c r="G49" s="215" t="s">
        <v>36</v>
      </c>
      <c r="H49" s="60">
        <v>13.66</v>
      </c>
      <c r="I49" s="60">
        <v>5.54</v>
      </c>
      <c r="J49" s="60">
        <v>1.05</v>
      </c>
      <c r="K49" s="60">
        <v>321.31</v>
      </c>
      <c r="L49" s="60">
        <v>47.88</v>
      </c>
      <c r="M49" s="60">
        <v>61.11</v>
      </c>
      <c r="N49" s="60">
        <v>842.2</v>
      </c>
      <c r="O49" s="60">
        <v>0</v>
      </c>
      <c r="P49" s="60">
        <v>3.51</v>
      </c>
      <c r="Q49" s="60">
        <v>10.62</v>
      </c>
      <c r="R49" s="197"/>
      <c r="S49" s="197"/>
      <c r="T49" s="197"/>
      <c r="U49" s="197"/>
    </row>
    <row r="50" spans="1:21" s="12" customFormat="1" x14ac:dyDescent="0.25">
      <c r="A50" s="200" t="s">
        <v>769</v>
      </c>
      <c r="B50" s="60">
        <v>6.73</v>
      </c>
      <c r="C50" s="60">
        <v>18.43</v>
      </c>
      <c r="D50" s="60">
        <v>25.16</v>
      </c>
      <c r="E50" s="60">
        <v>4.3499999999999996</v>
      </c>
      <c r="F50" s="60">
        <v>1.56</v>
      </c>
      <c r="G50" s="215" t="s">
        <v>36</v>
      </c>
      <c r="H50" s="60">
        <v>10.56</v>
      </c>
      <c r="I50" s="60">
        <v>5.48</v>
      </c>
      <c r="J50" s="60">
        <v>0.78</v>
      </c>
      <c r="K50" s="60">
        <v>320.01</v>
      </c>
      <c r="L50" s="60">
        <v>52.34</v>
      </c>
      <c r="M50" s="60">
        <v>56.41</v>
      </c>
      <c r="N50" s="60">
        <v>857.9</v>
      </c>
      <c r="O50" s="60">
        <v>0</v>
      </c>
      <c r="P50" s="60">
        <v>3.54</v>
      </c>
      <c r="Q50" s="60">
        <v>10.85</v>
      </c>
      <c r="R50" s="197"/>
      <c r="S50" s="197"/>
      <c r="T50" s="197"/>
      <c r="U50" s="197"/>
    </row>
    <row r="51" spans="1:21" s="12" customFormat="1" x14ac:dyDescent="0.25">
      <c r="A51" s="200" t="s">
        <v>770</v>
      </c>
      <c r="B51" s="60">
        <v>6.08</v>
      </c>
      <c r="C51" s="60">
        <v>21.01</v>
      </c>
      <c r="D51" s="60">
        <v>27.09</v>
      </c>
      <c r="E51" s="60">
        <v>3.9</v>
      </c>
      <c r="F51" s="60">
        <v>1.75</v>
      </c>
      <c r="G51" s="215" t="s">
        <v>36</v>
      </c>
      <c r="H51" s="60">
        <v>10.56</v>
      </c>
      <c r="I51" s="60">
        <v>5.28</v>
      </c>
      <c r="J51" s="60">
        <v>0.73</v>
      </c>
      <c r="K51" s="60">
        <v>337.69</v>
      </c>
      <c r="L51" s="60">
        <v>47</v>
      </c>
      <c r="M51" s="60">
        <v>57.74</v>
      </c>
      <c r="N51" s="60">
        <v>704.6</v>
      </c>
      <c r="O51" s="60">
        <v>0</v>
      </c>
      <c r="P51" s="60">
        <v>3.57</v>
      </c>
      <c r="Q51" s="60">
        <v>10.8</v>
      </c>
      <c r="R51" s="197"/>
      <c r="S51" s="197"/>
      <c r="T51" s="197"/>
      <c r="U51" s="197"/>
    </row>
    <row r="52" spans="1:21" s="12" customFormat="1" x14ac:dyDescent="0.25">
      <c r="A52" s="200" t="s">
        <v>771</v>
      </c>
      <c r="B52" s="60">
        <v>4.83</v>
      </c>
      <c r="C52" s="60">
        <v>21.82</v>
      </c>
      <c r="D52" s="60">
        <v>26.64</v>
      </c>
      <c r="E52" s="60">
        <v>3.25</v>
      </c>
      <c r="F52" s="60">
        <v>1.76</v>
      </c>
      <c r="G52" s="215" t="s">
        <v>36</v>
      </c>
      <c r="H52" s="60">
        <v>10.56</v>
      </c>
      <c r="I52" s="60">
        <v>5.3</v>
      </c>
      <c r="J52" s="60">
        <v>1.01</v>
      </c>
      <c r="K52" s="60">
        <v>328.25</v>
      </c>
      <c r="L52" s="60">
        <v>45.49</v>
      </c>
      <c r="M52" s="60">
        <v>59.62</v>
      </c>
      <c r="N52" s="60">
        <v>479.9</v>
      </c>
      <c r="O52" s="60">
        <v>0</v>
      </c>
      <c r="P52" s="60">
        <v>3.58</v>
      </c>
      <c r="Q52" s="60">
        <v>10.119999999999999</v>
      </c>
      <c r="R52" s="197"/>
      <c r="S52" s="197"/>
      <c r="T52" s="197"/>
      <c r="U52" s="197"/>
    </row>
    <row r="53" spans="1:21" s="12" customFormat="1" x14ac:dyDescent="0.25">
      <c r="A53" s="200" t="s">
        <v>772</v>
      </c>
      <c r="B53" s="60">
        <v>5.15</v>
      </c>
      <c r="C53" s="60">
        <v>22.68</v>
      </c>
      <c r="D53" s="60">
        <v>27.83</v>
      </c>
      <c r="E53" s="60">
        <v>2.79</v>
      </c>
      <c r="F53" s="60">
        <v>1.49</v>
      </c>
      <c r="G53" s="215" t="s">
        <v>36</v>
      </c>
      <c r="H53" s="60">
        <v>11.57</v>
      </c>
      <c r="I53" s="60">
        <v>4.9000000000000004</v>
      </c>
      <c r="J53" s="60">
        <v>1.0900000000000001</v>
      </c>
      <c r="K53" s="60">
        <v>336.24</v>
      </c>
      <c r="L53" s="60">
        <v>49.21</v>
      </c>
      <c r="M53" s="60">
        <v>57.95</v>
      </c>
      <c r="N53" s="60">
        <v>758.3</v>
      </c>
      <c r="O53" s="60">
        <v>0</v>
      </c>
      <c r="P53" s="60">
        <v>3.63</v>
      </c>
      <c r="Q53" s="60">
        <v>9.98</v>
      </c>
      <c r="R53" s="197"/>
      <c r="S53" s="197"/>
      <c r="T53" s="197"/>
      <c r="U53" s="197"/>
    </row>
    <row r="54" spans="1:21" s="12" customFormat="1" x14ac:dyDescent="0.25">
      <c r="A54" s="200" t="s">
        <v>773</v>
      </c>
      <c r="B54" s="60">
        <v>4.95</v>
      </c>
      <c r="C54" s="60">
        <v>24.07</v>
      </c>
      <c r="D54" s="60">
        <v>29.02</v>
      </c>
      <c r="E54" s="60">
        <v>2.4700000000000002</v>
      </c>
      <c r="F54" s="60">
        <v>1.38</v>
      </c>
      <c r="G54" s="215" t="s">
        <v>36</v>
      </c>
      <c r="H54" s="60">
        <v>14.05</v>
      </c>
      <c r="I54" s="60">
        <v>5.09</v>
      </c>
      <c r="J54" s="60">
        <v>0.54</v>
      </c>
      <c r="K54" s="60">
        <v>348.6</v>
      </c>
      <c r="L54" s="60">
        <v>49.07</v>
      </c>
      <c r="M54" s="60">
        <v>56</v>
      </c>
      <c r="N54" s="60">
        <v>903.9</v>
      </c>
      <c r="O54" s="60">
        <v>0</v>
      </c>
      <c r="P54" s="60">
        <v>3.63</v>
      </c>
      <c r="Q54" s="60">
        <v>9.8699999999999992</v>
      </c>
      <c r="R54" s="197"/>
      <c r="S54" s="197"/>
      <c r="T54" s="197"/>
      <c r="U54" s="197"/>
    </row>
    <row r="55" spans="1:21" s="12" customFormat="1" x14ac:dyDescent="0.25">
      <c r="A55" s="200" t="s">
        <v>774</v>
      </c>
      <c r="B55" s="60">
        <v>4.58</v>
      </c>
      <c r="C55" s="60">
        <v>22.27</v>
      </c>
      <c r="D55" s="60">
        <v>26.84</v>
      </c>
      <c r="E55" s="60">
        <v>2.1</v>
      </c>
      <c r="F55" s="60">
        <v>1.1000000000000001</v>
      </c>
      <c r="G55" s="215" t="s">
        <v>36</v>
      </c>
      <c r="H55" s="60">
        <v>14.05</v>
      </c>
      <c r="I55" s="60">
        <v>4.7300000000000004</v>
      </c>
      <c r="J55" s="60">
        <v>0.66</v>
      </c>
      <c r="K55" s="60">
        <v>332.66</v>
      </c>
      <c r="L55" s="60">
        <v>47.57</v>
      </c>
      <c r="M55" s="60">
        <v>55.21</v>
      </c>
      <c r="N55" s="60">
        <v>722.5</v>
      </c>
      <c r="O55" s="60">
        <v>0</v>
      </c>
      <c r="P55" s="60">
        <v>3.65</v>
      </c>
      <c r="Q55" s="60">
        <v>9.2799999999999994</v>
      </c>
      <c r="R55" s="197"/>
      <c r="S55" s="197"/>
      <c r="T55" s="197"/>
      <c r="U55" s="197"/>
    </row>
    <row r="56" spans="1:21" s="12" customFormat="1" x14ac:dyDescent="0.25">
      <c r="A56" s="200" t="s">
        <v>775</v>
      </c>
      <c r="B56" s="60">
        <v>4.32</v>
      </c>
      <c r="C56" s="60">
        <v>20.170000000000002</v>
      </c>
      <c r="D56" s="60">
        <v>24.5</v>
      </c>
      <c r="E56" s="60">
        <v>0.8</v>
      </c>
      <c r="F56" s="60">
        <v>0.8</v>
      </c>
      <c r="G56" s="215" t="s">
        <v>36</v>
      </c>
      <c r="H56" s="60">
        <v>14.05</v>
      </c>
      <c r="I56" s="60">
        <v>4.76</v>
      </c>
      <c r="J56" s="60">
        <v>0.32</v>
      </c>
      <c r="K56" s="60">
        <v>50.92</v>
      </c>
      <c r="L56" s="60">
        <v>46.19</v>
      </c>
      <c r="M56" s="60">
        <v>57.26</v>
      </c>
      <c r="N56" s="60">
        <v>634.5</v>
      </c>
      <c r="O56" s="60">
        <v>0</v>
      </c>
      <c r="P56" s="60">
        <v>3.64</v>
      </c>
      <c r="Q56" s="60">
        <v>8.68</v>
      </c>
      <c r="R56" s="197"/>
      <c r="S56" s="197"/>
      <c r="T56" s="197"/>
      <c r="U56" s="197"/>
    </row>
    <row r="57" spans="1:21" s="12" customFormat="1" x14ac:dyDescent="0.25">
      <c r="A57" s="200" t="s">
        <v>776</v>
      </c>
      <c r="B57" s="60">
        <v>4.08</v>
      </c>
      <c r="C57" s="60">
        <v>18.45</v>
      </c>
      <c r="D57" s="60">
        <v>22.53</v>
      </c>
      <c r="E57" s="60">
        <v>2.0099999999999998</v>
      </c>
      <c r="F57" s="60">
        <v>0.63</v>
      </c>
      <c r="G57" s="215" t="s">
        <v>36</v>
      </c>
      <c r="H57" s="60">
        <v>14.31</v>
      </c>
      <c r="I57" s="60">
        <v>5.1100000000000003</v>
      </c>
      <c r="J57" s="60">
        <v>0.4</v>
      </c>
      <c r="K57" s="60">
        <v>145.86000000000001</v>
      </c>
      <c r="L57" s="60">
        <v>45.3</v>
      </c>
      <c r="M57" s="60">
        <v>62.08</v>
      </c>
      <c r="N57" s="60">
        <v>549.20000000000005</v>
      </c>
      <c r="O57" s="60">
        <v>0</v>
      </c>
      <c r="P57" s="60">
        <v>3.65</v>
      </c>
      <c r="Q57" s="60">
        <v>8.1300000000000008</v>
      </c>
      <c r="R57" s="197"/>
      <c r="S57" s="197"/>
      <c r="T57" s="197"/>
      <c r="U57" s="197"/>
    </row>
    <row r="58" spans="1:21" s="12" customFormat="1" x14ac:dyDescent="0.25">
      <c r="A58" s="200" t="s">
        <v>777</v>
      </c>
      <c r="B58" s="60">
        <v>3.77</v>
      </c>
      <c r="C58" s="60">
        <v>16.670000000000002</v>
      </c>
      <c r="D58" s="60">
        <v>20.440000000000001</v>
      </c>
      <c r="E58" s="60">
        <v>3.04</v>
      </c>
      <c r="F58" s="60">
        <v>0.63</v>
      </c>
      <c r="G58" s="215" t="s">
        <v>36</v>
      </c>
      <c r="H58" s="60">
        <v>14.94</v>
      </c>
      <c r="I58" s="60">
        <v>5.37</v>
      </c>
      <c r="J58" s="60">
        <v>0.36</v>
      </c>
      <c r="K58" s="60">
        <v>347.34</v>
      </c>
      <c r="L58" s="60">
        <v>44.8</v>
      </c>
      <c r="M58" s="60">
        <v>60.43</v>
      </c>
      <c r="N58" s="60">
        <v>589.70000000000005</v>
      </c>
      <c r="O58" s="60">
        <v>0</v>
      </c>
      <c r="P58" s="60">
        <v>3.64</v>
      </c>
      <c r="Q58" s="60">
        <v>7.88</v>
      </c>
      <c r="R58" s="197"/>
      <c r="S58" s="197"/>
      <c r="T58" s="197"/>
      <c r="U58" s="197"/>
    </row>
    <row r="59" spans="1:21" s="12" customFormat="1" x14ac:dyDescent="0.25">
      <c r="A59" s="200" t="s">
        <v>778</v>
      </c>
      <c r="B59" s="60">
        <v>3.52</v>
      </c>
      <c r="C59" s="60">
        <v>15.85</v>
      </c>
      <c r="D59" s="60">
        <v>19.37</v>
      </c>
      <c r="E59" s="60">
        <v>4.37</v>
      </c>
      <c r="F59" s="60">
        <v>0.99</v>
      </c>
      <c r="G59" s="215" t="s">
        <v>36</v>
      </c>
      <c r="H59" s="60">
        <v>14.94</v>
      </c>
      <c r="I59" s="60">
        <v>5.2</v>
      </c>
      <c r="J59" s="60">
        <v>0.41</v>
      </c>
      <c r="K59" s="60">
        <v>172.5</v>
      </c>
      <c r="L59" s="60">
        <v>43.19</v>
      </c>
      <c r="M59" s="60">
        <v>63.01</v>
      </c>
      <c r="N59" s="60">
        <v>356.2</v>
      </c>
      <c r="O59" s="60">
        <v>0</v>
      </c>
      <c r="P59" s="60">
        <v>3.62</v>
      </c>
      <c r="Q59" s="60">
        <v>7.94</v>
      </c>
      <c r="R59" s="197"/>
      <c r="S59" s="197"/>
      <c r="T59" s="197"/>
      <c r="U59" s="197"/>
    </row>
    <row r="60" spans="1:21" s="12" customFormat="1" x14ac:dyDescent="0.25">
      <c r="A60" s="200" t="s">
        <v>779</v>
      </c>
      <c r="B60" s="60">
        <v>2.96</v>
      </c>
      <c r="C60" s="60">
        <v>15.45</v>
      </c>
      <c r="D60" s="60">
        <v>18.420000000000002</v>
      </c>
      <c r="E60" s="60">
        <v>4.5999999999999996</v>
      </c>
      <c r="F60" s="60">
        <v>0.63</v>
      </c>
      <c r="G60" s="215" t="s">
        <v>36</v>
      </c>
      <c r="H60" s="60">
        <v>14.94</v>
      </c>
      <c r="I60" s="60">
        <v>4.8899999999999997</v>
      </c>
      <c r="J60" s="60">
        <v>0.12</v>
      </c>
      <c r="K60" s="60">
        <v>307.7</v>
      </c>
      <c r="L60" s="60">
        <v>43.95</v>
      </c>
      <c r="M60" s="60">
        <v>62.48</v>
      </c>
      <c r="N60" s="60">
        <v>419.5</v>
      </c>
      <c r="O60" s="60">
        <v>0</v>
      </c>
      <c r="P60" s="60">
        <v>3.62</v>
      </c>
      <c r="Q60" s="60">
        <v>7.98</v>
      </c>
      <c r="R60" s="197"/>
      <c r="S60" s="197"/>
      <c r="T60" s="197"/>
      <c r="U60" s="197"/>
    </row>
    <row r="61" spans="1:21" s="12" customFormat="1" x14ac:dyDescent="0.25">
      <c r="A61" s="200" t="s">
        <v>780</v>
      </c>
      <c r="B61" s="60">
        <v>2.78</v>
      </c>
      <c r="C61" s="60">
        <v>14.97</v>
      </c>
      <c r="D61" s="60">
        <v>17.760000000000002</v>
      </c>
      <c r="E61" s="60">
        <v>4.3600000000000003</v>
      </c>
      <c r="F61" s="60">
        <v>0.7</v>
      </c>
      <c r="G61" s="215" t="s">
        <v>36</v>
      </c>
      <c r="H61" s="60">
        <v>14.85</v>
      </c>
      <c r="I61" s="60">
        <v>5.28</v>
      </c>
      <c r="J61" s="60">
        <v>0.19</v>
      </c>
      <c r="K61" s="60">
        <v>202.04</v>
      </c>
      <c r="L61" s="60">
        <v>45.46</v>
      </c>
      <c r="M61" s="60">
        <v>62.34</v>
      </c>
      <c r="N61" s="60">
        <v>163.80000000000001</v>
      </c>
      <c r="O61" s="60">
        <v>0</v>
      </c>
      <c r="P61" s="60">
        <v>3.62</v>
      </c>
      <c r="Q61" s="60">
        <v>8.18</v>
      </c>
      <c r="R61" s="197"/>
      <c r="S61" s="197"/>
      <c r="T61" s="197"/>
      <c r="U61" s="197"/>
    </row>
    <row r="62" spans="1:21" s="12" customFormat="1" x14ac:dyDescent="0.25">
      <c r="A62" s="200" t="s">
        <v>781</v>
      </c>
      <c r="B62" s="60">
        <v>2.59</v>
      </c>
      <c r="C62" s="60">
        <v>14.52</v>
      </c>
      <c r="D62" s="60">
        <v>17.11</v>
      </c>
      <c r="E62" s="60">
        <v>4.78</v>
      </c>
      <c r="F62" s="60">
        <v>1.03</v>
      </c>
      <c r="G62" s="215" t="s">
        <v>36</v>
      </c>
      <c r="H62" s="60">
        <v>14.61</v>
      </c>
      <c r="I62" s="60">
        <v>5.29</v>
      </c>
      <c r="J62" s="60">
        <v>0.12</v>
      </c>
      <c r="K62" s="60">
        <v>162.63</v>
      </c>
      <c r="L62" s="60">
        <v>50.99</v>
      </c>
      <c r="M62" s="60">
        <v>65.83</v>
      </c>
      <c r="N62" s="60">
        <v>141.1</v>
      </c>
      <c r="O62" s="60">
        <v>0</v>
      </c>
      <c r="P62" s="60">
        <v>3.6</v>
      </c>
      <c r="Q62" s="60">
        <v>7.99</v>
      </c>
      <c r="R62" s="197"/>
      <c r="S62" s="197"/>
      <c r="T62" s="197"/>
      <c r="U62" s="197"/>
    </row>
    <row r="63" spans="1:21" s="12" customFormat="1" x14ac:dyDescent="0.25">
      <c r="A63" s="200" t="s">
        <v>782</v>
      </c>
      <c r="B63" s="60">
        <v>2.42</v>
      </c>
      <c r="C63" s="60">
        <v>14.37</v>
      </c>
      <c r="D63" s="60">
        <v>16.79</v>
      </c>
      <c r="E63" s="60">
        <v>5.37</v>
      </c>
      <c r="F63" s="60">
        <v>0.7</v>
      </c>
      <c r="G63" s="215" t="s">
        <v>36</v>
      </c>
      <c r="H63" s="60">
        <v>14.61</v>
      </c>
      <c r="I63" s="60">
        <v>5.23</v>
      </c>
      <c r="J63" s="60">
        <v>0.73</v>
      </c>
      <c r="K63" s="60">
        <v>150.43</v>
      </c>
      <c r="L63" s="60">
        <v>50.27</v>
      </c>
      <c r="M63" s="60">
        <v>64.89</v>
      </c>
      <c r="N63" s="60">
        <v>321.5</v>
      </c>
      <c r="O63" s="60">
        <v>0</v>
      </c>
      <c r="P63" s="60">
        <v>3.61</v>
      </c>
      <c r="Q63" s="60">
        <v>8.01</v>
      </c>
      <c r="R63" s="197"/>
      <c r="S63" s="197"/>
      <c r="T63" s="197"/>
      <c r="U63" s="197"/>
    </row>
    <row r="64" spans="1:21" s="12" customFormat="1" x14ac:dyDescent="0.25">
      <c r="A64" s="200" t="s">
        <v>783</v>
      </c>
      <c r="B64" s="60">
        <v>2.2599999999999998</v>
      </c>
      <c r="C64" s="60">
        <v>13.64</v>
      </c>
      <c r="D64" s="60">
        <v>15.9</v>
      </c>
      <c r="E64" s="60">
        <v>5.49</v>
      </c>
      <c r="F64" s="60">
        <v>1.08</v>
      </c>
      <c r="G64" s="215" t="s">
        <v>36</v>
      </c>
      <c r="H64" s="60">
        <v>14.61</v>
      </c>
      <c r="I64" s="60">
        <v>4.5</v>
      </c>
      <c r="J64" s="60">
        <v>0.7</v>
      </c>
      <c r="K64" s="60">
        <v>160.29</v>
      </c>
      <c r="L64" s="60">
        <v>51.07</v>
      </c>
      <c r="M64" s="60">
        <v>63.87</v>
      </c>
      <c r="N64" s="60">
        <v>706.2</v>
      </c>
      <c r="O64" s="60">
        <v>0</v>
      </c>
      <c r="P64" s="60">
        <v>3.59</v>
      </c>
      <c r="Q64" s="60">
        <v>8.0399999999999991</v>
      </c>
      <c r="R64" s="197"/>
      <c r="S64" s="197"/>
      <c r="T64" s="197"/>
      <c r="U64" s="197"/>
    </row>
    <row r="65" spans="1:21" s="12" customFormat="1" x14ac:dyDescent="0.25">
      <c r="A65" s="200" t="s">
        <v>784</v>
      </c>
      <c r="B65" s="60">
        <v>1.93</v>
      </c>
      <c r="C65" s="60">
        <v>13.58</v>
      </c>
      <c r="D65" s="60">
        <v>15.51</v>
      </c>
      <c r="E65" s="60">
        <v>5.2</v>
      </c>
      <c r="F65" s="60">
        <v>1.01</v>
      </c>
      <c r="G65" s="215" t="s">
        <v>36</v>
      </c>
      <c r="H65" s="60">
        <v>14.83</v>
      </c>
      <c r="I65" s="60">
        <v>5.0599999999999996</v>
      </c>
      <c r="J65" s="60">
        <v>0.45</v>
      </c>
      <c r="K65" s="60">
        <v>183.35</v>
      </c>
      <c r="L65" s="60">
        <v>47.63</v>
      </c>
      <c r="M65" s="60">
        <v>61.58</v>
      </c>
      <c r="N65" s="60">
        <v>541.6</v>
      </c>
      <c r="O65" s="60">
        <v>0</v>
      </c>
      <c r="P65" s="60">
        <v>3.59</v>
      </c>
      <c r="Q65" s="60">
        <v>7.71</v>
      </c>
      <c r="R65" s="197"/>
      <c r="S65" s="197"/>
      <c r="T65" s="197"/>
      <c r="U65" s="197"/>
    </row>
    <row r="66" spans="1:21" s="12" customFormat="1" x14ac:dyDescent="0.25">
      <c r="A66" s="200" t="s">
        <v>785</v>
      </c>
      <c r="B66" s="60">
        <v>1.43</v>
      </c>
      <c r="C66" s="60">
        <v>12.4</v>
      </c>
      <c r="D66" s="60">
        <v>13.83</v>
      </c>
      <c r="E66" s="60">
        <v>5.84</v>
      </c>
      <c r="F66" s="60">
        <v>1.56</v>
      </c>
      <c r="G66" s="215" t="s">
        <v>36</v>
      </c>
      <c r="H66" s="60">
        <v>15.37</v>
      </c>
      <c r="I66" s="60">
        <v>5.54</v>
      </c>
      <c r="J66" s="60">
        <v>0.84</v>
      </c>
      <c r="K66" s="60">
        <v>159.69</v>
      </c>
      <c r="L66" s="60">
        <v>47.97</v>
      </c>
      <c r="M66" s="60">
        <v>62.65</v>
      </c>
      <c r="N66" s="60">
        <v>471.2</v>
      </c>
      <c r="O66" s="60">
        <v>0</v>
      </c>
      <c r="P66" s="60">
        <v>3.55</v>
      </c>
      <c r="Q66" s="60">
        <v>7.39</v>
      </c>
      <c r="R66" s="197"/>
      <c r="S66" s="197"/>
      <c r="T66" s="197"/>
      <c r="U66" s="197"/>
    </row>
    <row r="67" spans="1:21" s="12" customFormat="1" x14ac:dyDescent="0.25">
      <c r="A67" s="200" t="s">
        <v>786</v>
      </c>
      <c r="B67" s="60">
        <v>1.04</v>
      </c>
      <c r="C67" s="60">
        <v>12.03</v>
      </c>
      <c r="D67" s="60">
        <v>13.07</v>
      </c>
      <c r="E67" s="60">
        <v>5.59</v>
      </c>
      <c r="F67" s="60">
        <v>1.63</v>
      </c>
      <c r="G67" s="215" t="s">
        <v>36</v>
      </c>
      <c r="H67" s="60">
        <v>15.37</v>
      </c>
      <c r="I67" s="60">
        <v>6.08</v>
      </c>
      <c r="J67" s="60">
        <v>0.76</v>
      </c>
      <c r="K67" s="60">
        <v>175.58</v>
      </c>
      <c r="L67" s="60">
        <v>49.16</v>
      </c>
      <c r="M67" s="60">
        <v>63.2</v>
      </c>
      <c r="N67" s="60">
        <v>275.3</v>
      </c>
      <c r="O67" s="60">
        <v>0</v>
      </c>
      <c r="P67" s="60">
        <v>3.53</v>
      </c>
      <c r="Q67" s="60">
        <v>6.87</v>
      </c>
      <c r="R67" s="197"/>
      <c r="S67" s="197"/>
      <c r="T67" s="197"/>
      <c r="U67" s="197"/>
    </row>
    <row r="68" spans="1:21" s="12" customFormat="1" x14ac:dyDescent="0.25">
      <c r="A68" s="200" t="s">
        <v>787</v>
      </c>
      <c r="B68" s="60">
        <v>0.87</v>
      </c>
      <c r="C68" s="60">
        <v>11.84</v>
      </c>
      <c r="D68" s="60">
        <v>12.7</v>
      </c>
      <c r="E68" s="60">
        <v>5.19</v>
      </c>
      <c r="F68" s="60">
        <v>1.4</v>
      </c>
      <c r="G68" s="215" t="s">
        <v>36</v>
      </c>
      <c r="H68" s="60">
        <v>15.37</v>
      </c>
      <c r="I68" s="60">
        <v>5.89</v>
      </c>
      <c r="J68" s="60">
        <v>1.55</v>
      </c>
      <c r="K68" s="60">
        <v>156.87</v>
      </c>
      <c r="L68" s="60">
        <v>50.61</v>
      </c>
      <c r="M68" s="60">
        <v>66.61</v>
      </c>
      <c r="N68" s="60">
        <v>213.1</v>
      </c>
      <c r="O68" s="60">
        <v>0</v>
      </c>
      <c r="P68" s="60">
        <v>3.51</v>
      </c>
      <c r="Q68" s="60">
        <v>6.28</v>
      </c>
      <c r="R68" s="197"/>
      <c r="S68" s="197"/>
      <c r="T68" s="197"/>
      <c r="U68" s="197"/>
    </row>
    <row r="69" spans="1:21" s="12" customFormat="1" x14ac:dyDescent="0.25">
      <c r="A69" s="200" t="s">
        <v>788</v>
      </c>
      <c r="B69" s="60">
        <v>0.82</v>
      </c>
      <c r="C69" s="60">
        <v>11.51</v>
      </c>
      <c r="D69" s="60">
        <v>12.32</v>
      </c>
      <c r="E69" s="60">
        <v>5.6</v>
      </c>
      <c r="F69" s="60">
        <v>1.33</v>
      </c>
      <c r="G69" s="215" t="s">
        <v>36</v>
      </c>
      <c r="H69" s="60">
        <v>15.44</v>
      </c>
      <c r="I69" s="60">
        <v>5.85</v>
      </c>
      <c r="J69" s="60">
        <v>1.38</v>
      </c>
      <c r="K69" s="60">
        <v>155.84</v>
      </c>
      <c r="L69" s="60">
        <v>47.23</v>
      </c>
      <c r="M69" s="60">
        <v>68.739999999999995</v>
      </c>
      <c r="N69" s="60">
        <v>198.8</v>
      </c>
      <c r="O69" s="60">
        <v>0</v>
      </c>
      <c r="P69" s="60">
        <v>3.5</v>
      </c>
      <c r="Q69" s="60">
        <v>6</v>
      </c>
      <c r="R69" s="197"/>
      <c r="S69" s="197"/>
      <c r="T69" s="197"/>
      <c r="U69" s="197"/>
    </row>
    <row r="70" spans="1:21" s="12" customFormat="1" x14ac:dyDescent="0.25">
      <c r="A70" s="200" t="s">
        <v>789</v>
      </c>
      <c r="B70" s="60">
        <v>0.81</v>
      </c>
      <c r="C70" s="60">
        <v>11.47</v>
      </c>
      <c r="D70" s="60">
        <v>12.27</v>
      </c>
      <c r="E70" s="60">
        <v>5.29</v>
      </c>
      <c r="F70" s="60">
        <v>1.35</v>
      </c>
      <c r="G70" s="215" t="s">
        <v>36</v>
      </c>
      <c r="H70" s="60">
        <v>15.61</v>
      </c>
      <c r="I70" s="60">
        <v>5.84</v>
      </c>
      <c r="J70" s="60">
        <v>0.48</v>
      </c>
      <c r="K70" s="60">
        <v>198.6</v>
      </c>
      <c r="L70" s="60">
        <v>46.95</v>
      </c>
      <c r="M70" s="60">
        <v>69.31</v>
      </c>
      <c r="N70" s="60">
        <v>164</v>
      </c>
      <c r="O70" s="60">
        <v>0</v>
      </c>
      <c r="P70" s="60">
        <v>3.48</v>
      </c>
      <c r="Q70" s="60">
        <v>5.71</v>
      </c>
      <c r="R70" s="197"/>
      <c r="S70" s="197"/>
      <c r="T70" s="197"/>
      <c r="U70" s="197"/>
    </row>
    <row r="71" spans="1:21" s="12" customFormat="1" x14ac:dyDescent="0.25">
      <c r="A71" s="200" t="s">
        <v>790</v>
      </c>
      <c r="B71" s="60">
        <v>0.73</v>
      </c>
      <c r="C71" s="60">
        <v>11.09</v>
      </c>
      <c r="D71" s="60">
        <v>11.82</v>
      </c>
      <c r="E71" s="60">
        <v>5.14</v>
      </c>
      <c r="F71" s="60">
        <v>1.47</v>
      </c>
      <c r="G71" s="215" t="s">
        <v>36</v>
      </c>
      <c r="H71" s="60">
        <v>15.61</v>
      </c>
      <c r="I71" s="60">
        <v>5.78</v>
      </c>
      <c r="J71" s="60">
        <v>0.57999999999999996</v>
      </c>
      <c r="K71" s="60">
        <v>175.38</v>
      </c>
      <c r="L71" s="60">
        <v>45.07</v>
      </c>
      <c r="M71" s="60">
        <v>70.52</v>
      </c>
      <c r="N71" s="60">
        <v>146.9</v>
      </c>
      <c r="O71" s="60">
        <v>0</v>
      </c>
      <c r="P71" s="60">
        <v>3.47</v>
      </c>
      <c r="Q71" s="60">
        <v>5.47</v>
      </c>
      <c r="R71" s="197"/>
      <c r="S71" s="197"/>
      <c r="T71" s="197"/>
      <c r="U71" s="197"/>
    </row>
    <row r="72" spans="1:21" s="12" customFormat="1" x14ac:dyDescent="0.25">
      <c r="A72" s="200" t="s">
        <v>791</v>
      </c>
      <c r="B72" s="60">
        <v>0.61</v>
      </c>
      <c r="C72" s="60">
        <v>11.06</v>
      </c>
      <c r="D72" s="60">
        <v>11.67</v>
      </c>
      <c r="E72" s="60">
        <v>2</v>
      </c>
      <c r="F72" s="60">
        <v>1.0900000000000001</v>
      </c>
      <c r="G72" s="215" t="s">
        <v>36</v>
      </c>
      <c r="H72" s="60">
        <v>15.61</v>
      </c>
      <c r="I72" s="60">
        <v>5.75</v>
      </c>
      <c r="J72" s="60">
        <v>1.95</v>
      </c>
      <c r="K72" s="60">
        <v>157.81</v>
      </c>
      <c r="L72" s="60">
        <v>48.34</v>
      </c>
      <c r="M72" s="60">
        <v>70.62</v>
      </c>
      <c r="N72" s="60">
        <v>136.4</v>
      </c>
      <c r="O72" s="60">
        <v>0</v>
      </c>
      <c r="P72" s="60">
        <v>3.47</v>
      </c>
      <c r="Q72" s="60">
        <v>5.38</v>
      </c>
      <c r="R72" s="197"/>
      <c r="S72" s="197"/>
      <c r="T72" s="197"/>
      <c r="U72" s="197"/>
    </row>
    <row r="73" spans="1:21" s="12" customFormat="1" x14ac:dyDescent="0.25">
      <c r="A73" s="200" t="s">
        <v>792</v>
      </c>
      <c r="B73" s="60">
        <v>0.53</v>
      </c>
      <c r="C73" s="60">
        <v>10.98</v>
      </c>
      <c r="D73" s="60">
        <v>11.51</v>
      </c>
      <c r="E73" s="60">
        <v>3.89</v>
      </c>
      <c r="F73" s="60">
        <v>1.04</v>
      </c>
      <c r="G73" s="215" t="s">
        <v>36</v>
      </c>
      <c r="H73" s="60">
        <v>15.57</v>
      </c>
      <c r="I73" s="60">
        <v>5.77</v>
      </c>
      <c r="J73" s="60">
        <v>1.5</v>
      </c>
      <c r="K73" s="60">
        <v>157.86000000000001</v>
      </c>
      <c r="L73" s="60">
        <v>46.05</v>
      </c>
      <c r="M73" s="60">
        <v>71.209999999999994</v>
      </c>
      <c r="N73" s="60">
        <v>125.5</v>
      </c>
      <c r="O73" s="60">
        <v>0</v>
      </c>
      <c r="P73" s="60">
        <v>3.45</v>
      </c>
      <c r="Q73" s="60">
        <v>5.51</v>
      </c>
      <c r="R73" s="197"/>
      <c r="S73" s="197"/>
      <c r="T73" s="197"/>
      <c r="U73" s="197"/>
    </row>
    <row r="74" spans="1:21" s="12" customFormat="1" x14ac:dyDescent="0.25">
      <c r="A74" s="200" t="s">
        <v>793</v>
      </c>
      <c r="B74" s="60">
        <v>0.51</v>
      </c>
      <c r="C74" s="60">
        <v>10.83</v>
      </c>
      <c r="D74" s="60">
        <v>11.34</v>
      </c>
      <c r="E74" s="60">
        <v>4.91</v>
      </c>
      <c r="F74" s="60">
        <v>0.99</v>
      </c>
      <c r="G74" s="215" t="s">
        <v>36</v>
      </c>
      <c r="H74" s="60">
        <v>15.49</v>
      </c>
      <c r="I74" s="60">
        <v>5.73</v>
      </c>
      <c r="J74" s="60">
        <v>0.49</v>
      </c>
      <c r="K74" s="60">
        <v>178.23</v>
      </c>
      <c r="L74" s="60">
        <v>45.36</v>
      </c>
      <c r="M74" s="60">
        <v>71.52</v>
      </c>
      <c r="N74" s="60">
        <v>95.4</v>
      </c>
      <c r="O74" s="60">
        <v>0</v>
      </c>
      <c r="P74" s="60">
        <v>3.45</v>
      </c>
      <c r="Q74" s="60">
        <v>5.73</v>
      </c>
      <c r="R74" s="197"/>
      <c r="S74" s="197"/>
      <c r="T74" s="197"/>
      <c r="U74" s="197"/>
    </row>
    <row r="75" spans="1:21" s="12" customFormat="1" x14ac:dyDescent="0.25">
      <c r="A75" s="200" t="s">
        <v>794</v>
      </c>
      <c r="B75" s="60">
        <v>0.49</v>
      </c>
      <c r="C75" s="60">
        <v>10.75</v>
      </c>
      <c r="D75" s="60">
        <v>11.25</v>
      </c>
      <c r="E75" s="60">
        <v>5.33</v>
      </c>
      <c r="F75" s="60">
        <v>0.77</v>
      </c>
      <c r="G75" s="215" t="s">
        <v>36</v>
      </c>
      <c r="H75" s="60">
        <v>15.49</v>
      </c>
      <c r="I75" s="60">
        <v>5.45</v>
      </c>
      <c r="J75" s="60">
        <v>1.68</v>
      </c>
      <c r="K75" s="60">
        <v>152.63</v>
      </c>
      <c r="L75" s="60">
        <v>43.08</v>
      </c>
      <c r="M75" s="60">
        <v>72.489999999999995</v>
      </c>
      <c r="N75" s="60">
        <v>69</v>
      </c>
      <c r="O75" s="60">
        <v>0</v>
      </c>
      <c r="P75" s="60">
        <v>3.45</v>
      </c>
      <c r="Q75" s="60">
        <v>6.07</v>
      </c>
      <c r="R75" s="197"/>
      <c r="S75" s="197"/>
      <c r="T75" s="197"/>
      <c r="U75" s="197"/>
    </row>
    <row r="76" spans="1:21" s="12" customFormat="1" x14ac:dyDescent="0.25">
      <c r="A76" s="200" t="s">
        <v>795</v>
      </c>
      <c r="B76" s="60">
        <v>0.53</v>
      </c>
      <c r="C76" s="60">
        <v>10.68</v>
      </c>
      <c r="D76" s="60">
        <v>11.21</v>
      </c>
      <c r="E76" s="60">
        <v>5.62</v>
      </c>
      <c r="F76" s="60">
        <v>1.03</v>
      </c>
      <c r="G76" s="215" t="s">
        <v>36</v>
      </c>
      <c r="H76" s="60">
        <v>15.49</v>
      </c>
      <c r="I76" s="60">
        <v>5.01</v>
      </c>
      <c r="J76" s="60">
        <v>1.1200000000000001</v>
      </c>
      <c r="K76" s="60">
        <v>159.41</v>
      </c>
      <c r="L76" s="60">
        <v>43.07</v>
      </c>
      <c r="M76" s="60">
        <v>73.94</v>
      </c>
      <c r="N76" s="60">
        <v>52.3</v>
      </c>
      <c r="O76" s="60">
        <v>0</v>
      </c>
      <c r="P76" s="60">
        <v>3.45</v>
      </c>
      <c r="Q76" s="60">
        <v>6.46</v>
      </c>
      <c r="R76" s="197"/>
      <c r="S76" s="197"/>
      <c r="T76" s="197"/>
      <c r="U76" s="197"/>
    </row>
    <row r="77" spans="1:21" s="12" customFormat="1" x14ac:dyDescent="0.25">
      <c r="A77" s="200" t="s">
        <v>796</v>
      </c>
      <c r="B77" s="60">
        <v>0.59</v>
      </c>
      <c r="C77" s="60">
        <v>10.79</v>
      </c>
      <c r="D77" s="60">
        <v>11.39</v>
      </c>
      <c r="E77" s="60">
        <v>5.54</v>
      </c>
      <c r="F77" s="60">
        <v>0.99</v>
      </c>
      <c r="G77" s="215" t="s">
        <v>36</v>
      </c>
      <c r="H77" s="60">
        <v>15.21</v>
      </c>
      <c r="I77" s="60">
        <v>5.49</v>
      </c>
      <c r="J77" s="60">
        <v>1.29</v>
      </c>
      <c r="K77" s="60">
        <v>159.08000000000001</v>
      </c>
      <c r="L77" s="60">
        <v>41.79</v>
      </c>
      <c r="M77" s="60">
        <v>75.3</v>
      </c>
      <c r="N77" s="60">
        <v>37.299999999999997</v>
      </c>
      <c r="O77" s="60">
        <v>0</v>
      </c>
      <c r="P77" s="60">
        <v>3.45</v>
      </c>
      <c r="Q77" s="60">
        <v>6.73</v>
      </c>
      <c r="R77" s="197"/>
      <c r="S77" s="197"/>
      <c r="T77" s="197"/>
      <c r="U77" s="197"/>
    </row>
    <row r="78" spans="1:21" s="12" customFormat="1" x14ac:dyDescent="0.25">
      <c r="A78" s="200" t="s">
        <v>797</v>
      </c>
      <c r="B78" s="60">
        <v>0.71</v>
      </c>
      <c r="C78" s="60">
        <v>10.84</v>
      </c>
      <c r="D78" s="60">
        <v>11.55</v>
      </c>
      <c r="E78" s="60">
        <v>5.91</v>
      </c>
      <c r="F78" s="60">
        <v>1.07</v>
      </c>
      <c r="G78" s="215" t="s">
        <v>36</v>
      </c>
      <c r="H78" s="60">
        <v>14.53</v>
      </c>
      <c r="I78" s="60">
        <v>5.67</v>
      </c>
      <c r="J78" s="60">
        <v>1.5</v>
      </c>
      <c r="K78" s="60">
        <v>152.59</v>
      </c>
      <c r="L78" s="60">
        <v>41.7</v>
      </c>
      <c r="M78" s="60">
        <v>76.41</v>
      </c>
      <c r="N78" s="60">
        <v>25.3</v>
      </c>
      <c r="O78" s="60">
        <v>0</v>
      </c>
      <c r="P78" s="60">
        <v>3.45</v>
      </c>
      <c r="Q78" s="60">
        <v>6.97</v>
      </c>
      <c r="R78" s="197"/>
      <c r="S78" s="197"/>
      <c r="T78" s="197"/>
      <c r="U78" s="197"/>
    </row>
    <row r="79" spans="1:21" s="12" customFormat="1" x14ac:dyDescent="0.25">
      <c r="A79" s="200" t="s">
        <v>798</v>
      </c>
      <c r="B79" s="60">
        <v>0.9</v>
      </c>
      <c r="C79" s="60">
        <v>11.48</v>
      </c>
      <c r="D79" s="60">
        <v>12.38</v>
      </c>
      <c r="E79" s="60">
        <v>6.22</v>
      </c>
      <c r="F79" s="60">
        <v>0.66</v>
      </c>
      <c r="G79" s="215" t="s">
        <v>36</v>
      </c>
      <c r="H79" s="60">
        <v>14.53</v>
      </c>
      <c r="I79" s="60">
        <v>5.47</v>
      </c>
      <c r="J79" s="60">
        <v>1.1299999999999999</v>
      </c>
      <c r="K79" s="60">
        <v>165.35</v>
      </c>
      <c r="L79" s="60">
        <v>41.48</v>
      </c>
      <c r="M79" s="60">
        <v>76.989999999999995</v>
      </c>
      <c r="N79" s="60">
        <v>22</v>
      </c>
      <c r="O79" s="60">
        <v>0</v>
      </c>
      <c r="P79" s="60">
        <v>3.45</v>
      </c>
      <c r="Q79" s="60">
        <v>7.27</v>
      </c>
      <c r="R79" s="197"/>
      <c r="S79" s="197"/>
      <c r="T79" s="197"/>
      <c r="U79" s="197"/>
    </row>
    <row r="80" spans="1:21" s="12" customFormat="1" x14ac:dyDescent="0.25">
      <c r="A80" s="200" t="s">
        <v>799</v>
      </c>
      <c r="B80" s="60">
        <v>1.1299999999999999</v>
      </c>
      <c r="C80" s="60">
        <v>10.96</v>
      </c>
      <c r="D80" s="60">
        <v>12.09</v>
      </c>
      <c r="E80" s="60">
        <v>5.96</v>
      </c>
      <c r="F80" s="60">
        <v>1.23</v>
      </c>
      <c r="G80" s="215" t="s">
        <v>36</v>
      </c>
      <c r="H80" s="60">
        <v>14.53</v>
      </c>
      <c r="I80" s="60">
        <v>5.61</v>
      </c>
      <c r="J80" s="60">
        <v>0.79</v>
      </c>
      <c r="K80" s="60">
        <v>150.22</v>
      </c>
      <c r="L80" s="60">
        <v>41.47</v>
      </c>
      <c r="M80" s="60">
        <v>76.569999999999993</v>
      </c>
      <c r="N80" s="60">
        <v>18.899999999999999</v>
      </c>
      <c r="O80" s="60">
        <v>0</v>
      </c>
      <c r="P80" s="60">
        <v>3.44</v>
      </c>
      <c r="Q80" s="60">
        <v>7.44</v>
      </c>
      <c r="R80" s="197"/>
      <c r="S80" s="197"/>
      <c r="T80" s="197"/>
      <c r="U80" s="197"/>
    </row>
    <row r="81" spans="1:26" s="12" customFormat="1" x14ac:dyDescent="0.25">
      <c r="A81" s="200" t="s">
        <v>800</v>
      </c>
      <c r="B81" s="60">
        <v>1.28</v>
      </c>
      <c r="C81" s="60">
        <v>11.01</v>
      </c>
      <c r="D81" s="60">
        <v>12.29</v>
      </c>
      <c r="E81" s="60">
        <v>5.75</v>
      </c>
      <c r="F81" s="60">
        <v>0.97</v>
      </c>
      <c r="G81" s="215" t="s">
        <v>36</v>
      </c>
      <c r="H81" s="60">
        <v>14.84</v>
      </c>
      <c r="I81" s="60">
        <v>5.83</v>
      </c>
      <c r="J81" s="60">
        <v>0.46</v>
      </c>
      <c r="K81" s="60">
        <v>138.55000000000001</v>
      </c>
      <c r="L81" s="60">
        <v>41.47</v>
      </c>
      <c r="M81" s="60">
        <v>76.63</v>
      </c>
      <c r="N81" s="60">
        <v>16.600000000000001</v>
      </c>
      <c r="O81" s="60">
        <v>0</v>
      </c>
      <c r="P81" s="60">
        <v>3.44</v>
      </c>
      <c r="Q81" s="60">
        <v>7.27</v>
      </c>
      <c r="R81" s="197"/>
      <c r="S81" s="197"/>
      <c r="T81" s="197"/>
      <c r="U81" s="197"/>
    </row>
    <row r="82" spans="1:26" s="12" customFormat="1" x14ac:dyDescent="0.25">
      <c r="A82" s="200" t="s">
        <v>801</v>
      </c>
      <c r="B82" s="60">
        <v>1.48</v>
      </c>
      <c r="C82" s="60">
        <v>11.08</v>
      </c>
      <c r="D82" s="60">
        <v>12.56</v>
      </c>
      <c r="E82" s="60">
        <v>6.46</v>
      </c>
      <c r="F82" s="60">
        <v>0.86</v>
      </c>
      <c r="G82" s="215" t="s">
        <v>36</v>
      </c>
      <c r="H82" s="60">
        <v>15.59</v>
      </c>
      <c r="I82" s="60">
        <v>5.9</v>
      </c>
      <c r="J82" s="60">
        <v>0.5</v>
      </c>
      <c r="K82" s="60">
        <v>146.47</v>
      </c>
      <c r="L82" s="60">
        <v>41.16</v>
      </c>
      <c r="M82" s="60">
        <v>80.61</v>
      </c>
      <c r="N82" s="60">
        <v>15.3</v>
      </c>
      <c r="O82" s="60">
        <v>0</v>
      </c>
      <c r="P82" s="60">
        <v>3.44</v>
      </c>
      <c r="Q82" s="60">
        <v>6.82</v>
      </c>
      <c r="R82" s="197"/>
      <c r="S82" s="197"/>
      <c r="T82" s="197"/>
      <c r="U82" s="197"/>
    </row>
    <row r="83" spans="1:26" s="12" customFormat="1" x14ac:dyDescent="0.25">
      <c r="A83" s="200" t="s">
        <v>802</v>
      </c>
      <c r="B83" s="60">
        <v>1.59</v>
      </c>
      <c r="C83" s="60">
        <v>11.01</v>
      </c>
      <c r="D83" s="60">
        <v>12.59</v>
      </c>
      <c r="E83" s="60">
        <v>6.34</v>
      </c>
      <c r="F83" s="60">
        <v>0.6</v>
      </c>
      <c r="G83" s="215" t="s">
        <v>36</v>
      </c>
      <c r="H83" s="60">
        <v>15.59</v>
      </c>
      <c r="I83" s="60">
        <v>5.9</v>
      </c>
      <c r="J83" s="60">
        <v>0.56999999999999995</v>
      </c>
      <c r="K83" s="60">
        <v>102.69</v>
      </c>
      <c r="L83" s="60">
        <v>40.82</v>
      </c>
      <c r="M83" s="60">
        <v>81.33</v>
      </c>
      <c r="N83" s="60">
        <v>14.5</v>
      </c>
      <c r="O83" s="60">
        <v>0</v>
      </c>
      <c r="P83" s="60">
        <v>3.43</v>
      </c>
      <c r="Q83" s="60">
        <v>6.51</v>
      </c>
      <c r="R83" s="197"/>
      <c r="S83" s="197"/>
      <c r="T83" s="197"/>
      <c r="U83" s="197"/>
    </row>
    <row r="84" spans="1:26" s="12" customFormat="1" x14ac:dyDescent="0.25">
      <c r="A84" s="200" t="s">
        <v>803</v>
      </c>
      <c r="B84" s="60">
        <v>1.78</v>
      </c>
      <c r="C84" s="60">
        <v>11.04</v>
      </c>
      <c r="D84" s="60">
        <v>12.82</v>
      </c>
      <c r="E84" s="60">
        <v>6.06</v>
      </c>
      <c r="F84" s="60">
        <v>0.49</v>
      </c>
      <c r="G84" s="215" t="s">
        <v>36</v>
      </c>
      <c r="H84" s="60">
        <v>15.59</v>
      </c>
      <c r="I84" s="60">
        <v>5.89</v>
      </c>
      <c r="J84" s="60">
        <v>0.71</v>
      </c>
      <c r="K84" s="60">
        <v>104.76</v>
      </c>
      <c r="L84" s="60">
        <v>40.75</v>
      </c>
      <c r="M84" s="60">
        <v>81.27</v>
      </c>
      <c r="N84" s="60">
        <v>14.9</v>
      </c>
      <c r="O84" s="60">
        <v>0</v>
      </c>
      <c r="P84" s="60">
        <v>3.44</v>
      </c>
      <c r="Q84" s="60">
        <v>6.32</v>
      </c>
      <c r="R84" s="197"/>
      <c r="S84" s="197"/>
      <c r="T84" s="197"/>
      <c r="U84" s="197"/>
    </row>
    <row r="85" spans="1:26" s="12" customFormat="1" x14ac:dyDescent="0.25">
      <c r="A85" s="200" t="s">
        <v>804</v>
      </c>
      <c r="B85" s="60">
        <v>2.0699999999999998</v>
      </c>
      <c r="C85" s="60">
        <v>11.16</v>
      </c>
      <c r="D85" s="60">
        <v>13.23</v>
      </c>
      <c r="E85" s="60">
        <v>5.94</v>
      </c>
      <c r="F85" s="60">
        <v>0.79</v>
      </c>
      <c r="G85" s="215" t="s">
        <v>36</v>
      </c>
      <c r="H85" s="60">
        <v>14.59</v>
      </c>
      <c r="I85" s="60">
        <v>5.95</v>
      </c>
      <c r="J85" s="60">
        <v>1.53</v>
      </c>
      <c r="K85" s="60">
        <v>30.15</v>
      </c>
      <c r="L85" s="60">
        <v>37.43</v>
      </c>
      <c r="M85" s="60">
        <v>87.05</v>
      </c>
      <c r="N85" s="60">
        <v>23.8</v>
      </c>
      <c r="O85" s="60">
        <v>7.2</v>
      </c>
      <c r="P85" s="60">
        <v>3.44</v>
      </c>
      <c r="Q85" s="60">
        <v>6.33</v>
      </c>
      <c r="R85" s="197"/>
      <c r="S85" s="197"/>
      <c r="T85" s="197"/>
      <c r="U85" s="197"/>
    </row>
    <row r="86" spans="1:26" s="12" customFormat="1" x14ac:dyDescent="0.25">
      <c r="A86" s="200" t="s">
        <v>805</v>
      </c>
      <c r="B86" s="60">
        <v>2.25</v>
      </c>
      <c r="C86" s="60">
        <v>11.99</v>
      </c>
      <c r="D86" s="60">
        <v>14.24</v>
      </c>
      <c r="E86" s="60">
        <v>6.2</v>
      </c>
      <c r="F86" s="60">
        <v>1.01</v>
      </c>
      <c r="G86" s="215" t="s">
        <v>36</v>
      </c>
      <c r="H86" s="60">
        <v>12.13</v>
      </c>
      <c r="I86" s="60">
        <v>5.98</v>
      </c>
      <c r="J86" s="60">
        <v>1.99</v>
      </c>
      <c r="K86" s="60">
        <v>352.81</v>
      </c>
      <c r="L86" s="60">
        <v>33.86</v>
      </c>
      <c r="M86" s="60">
        <v>99.15</v>
      </c>
      <c r="N86" s="60">
        <v>16.899999999999999</v>
      </c>
      <c r="O86" s="60">
        <v>14.6</v>
      </c>
      <c r="P86" s="60">
        <v>3.43</v>
      </c>
      <c r="Q86" s="60">
        <v>6.35</v>
      </c>
      <c r="R86" s="197"/>
      <c r="S86" s="197"/>
      <c r="T86" s="197"/>
      <c r="U86" s="197"/>
    </row>
    <row r="87" spans="1:26" s="12" customFormat="1" x14ac:dyDescent="0.25">
      <c r="A87" s="200" t="s">
        <v>806</v>
      </c>
      <c r="B87" s="60">
        <v>2.2599999999999998</v>
      </c>
      <c r="C87" s="60">
        <v>12.43</v>
      </c>
      <c r="D87" s="60">
        <v>14.68</v>
      </c>
      <c r="E87" s="60">
        <v>6.02</v>
      </c>
      <c r="F87" s="60">
        <v>0.68</v>
      </c>
      <c r="G87" s="215" t="s">
        <v>36</v>
      </c>
      <c r="H87" s="60">
        <v>12.13</v>
      </c>
      <c r="I87" s="60">
        <v>5.94</v>
      </c>
      <c r="J87" s="60">
        <v>0.66</v>
      </c>
      <c r="K87" s="60">
        <v>343.44</v>
      </c>
      <c r="L87" s="60">
        <v>33.82</v>
      </c>
      <c r="M87" s="60">
        <v>99.15</v>
      </c>
      <c r="N87" s="60">
        <v>15.5</v>
      </c>
      <c r="O87" s="60">
        <v>1.4</v>
      </c>
      <c r="P87" s="60">
        <v>3.43</v>
      </c>
      <c r="Q87" s="60">
        <v>6.37</v>
      </c>
      <c r="R87" s="197"/>
      <c r="S87" s="197"/>
      <c r="T87" s="197"/>
      <c r="U87" s="197"/>
    </row>
    <row r="88" spans="1:26" s="12" customFormat="1" x14ac:dyDescent="0.25">
      <c r="A88" s="200" t="s">
        <v>807</v>
      </c>
      <c r="B88" s="60">
        <v>2.78</v>
      </c>
      <c r="C88" s="60">
        <v>12.19</v>
      </c>
      <c r="D88" s="60">
        <v>14.97</v>
      </c>
      <c r="E88" s="60">
        <v>1.84</v>
      </c>
      <c r="F88" s="60">
        <v>0.25</v>
      </c>
      <c r="G88" s="215" t="s">
        <v>36</v>
      </c>
      <c r="H88" s="60">
        <v>12.13</v>
      </c>
      <c r="I88" s="60">
        <v>5.74</v>
      </c>
      <c r="J88" s="60">
        <v>0.32</v>
      </c>
      <c r="K88" s="60">
        <v>328.58</v>
      </c>
      <c r="L88" s="60">
        <v>34.08</v>
      </c>
      <c r="M88" s="60">
        <v>99.15</v>
      </c>
      <c r="N88" s="60">
        <v>15</v>
      </c>
      <c r="O88" s="60">
        <v>0.6</v>
      </c>
      <c r="P88" s="60">
        <v>3.45</v>
      </c>
      <c r="Q88" s="60">
        <v>6.75</v>
      </c>
      <c r="R88" s="197"/>
      <c r="S88" s="197"/>
      <c r="T88" s="197"/>
      <c r="U88" s="197"/>
    </row>
    <row r="89" spans="1:26" s="12" customFormat="1" x14ac:dyDescent="0.25">
      <c r="A89" s="200" t="s">
        <v>808</v>
      </c>
      <c r="B89" s="60">
        <v>3.44</v>
      </c>
      <c r="C89" s="60">
        <v>11.85</v>
      </c>
      <c r="D89" s="60">
        <v>15.29</v>
      </c>
      <c r="E89" s="60">
        <v>4.07</v>
      </c>
      <c r="F89" s="60">
        <v>0.09</v>
      </c>
      <c r="G89" s="215" t="s">
        <v>36</v>
      </c>
      <c r="H89" s="60">
        <v>12.02</v>
      </c>
      <c r="I89" s="60">
        <v>5.59</v>
      </c>
      <c r="J89" s="60">
        <v>0.35</v>
      </c>
      <c r="K89" s="60">
        <v>218.6</v>
      </c>
      <c r="L89" s="60">
        <v>34.28</v>
      </c>
      <c r="M89" s="60">
        <v>99.15</v>
      </c>
      <c r="N89" s="60">
        <v>14.9</v>
      </c>
      <c r="O89" s="60">
        <v>0.4</v>
      </c>
      <c r="P89" s="60">
        <v>3.49</v>
      </c>
      <c r="Q89" s="60">
        <v>7.3</v>
      </c>
      <c r="R89" s="197"/>
      <c r="S89" s="197"/>
      <c r="T89" s="197"/>
      <c r="U89" s="197"/>
    </row>
    <row r="90" spans="1:26" s="12" customFormat="1" x14ac:dyDescent="0.25">
      <c r="A90" s="200" t="s">
        <v>809</v>
      </c>
      <c r="B90" s="60">
        <v>4.2699999999999996</v>
      </c>
      <c r="C90" s="60">
        <v>11.79</v>
      </c>
      <c r="D90" s="60">
        <v>16.059999999999999</v>
      </c>
      <c r="E90" s="60">
        <v>5.49</v>
      </c>
      <c r="F90" s="60">
        <v>0.08</v>
      </c>
      <c r="G90" s="215" t="s">
        <v>36</v>
      </c>
      <c r="H90" s="60">
        <v>11.75</v>
      </c>
      <c r="I90" s="60">
        <v>5.69</v>
      </c>
      <c r="J90" s="60">
        <v>0.21</v>
      </c>
      <c r="K90" s="60">
        <v>192.76</v>
      </c>
      <c r="L90" s="60">
        <v>34.450000000000003</v>
      </c>
      <c r="M90" s="60">
        <v>99.15</v>
      </c>
      <c r="N90" s="60">
        <v>15.3</v>
      </c>
      <c r="O90" s="60">
        <v>0.2</v>
      </c>
      <c r="P90" s="60">
        <v>3.51</v>
      </c>
      <c r="Q90" s="60">
        <v>7.83</v>
      </c>
      <c r="R90" s="197"/>
      <c r="S90" s="197"/>
      <c r="T90" s="197"/>
      <c r="U90" s="197"/>
    </row>
    <row r="91" spans="1:26" s="12" customFormat="1" x14ac:dyDescent="0.25">
      <c r="A91" s="200" t="s">
        <v>810</v>
      </c>
      <c r="B91" s="60">
        <v>4.92</v>
      </c>
      <c r="C91" s="60">
        <v>12.07</v>
      </c>
      <c r="D91" s="60">
        <v>16.989999999999998</v>
      </c>
      <c r="E91" s="60">
        <v>6.51</v>
      </c>
      <c r="F91" s="60">
        <v>0.02</v>
      </c>
      <c r="G91" s="215" t="s">
        <v>36</v>
      </c>
      <c r="H91" s="60">
        <v>11.75</v>
      </c>
      <c r="I91" s="60">
        <v>5.7</v>
      </c>
      <c r="J91" s="60">
        <v>0.32</v>
      </c>
      <c r="K91" s="60">
        <v>313.26</v>
      </c>
      <c r="L91" s="60">
        <v>34.56</v>
      </c>
      <c r="M91" s="60">
        <v>99.15</v>
      </c>
      <c r="N91" s="60">
        <v>15.4</v>
      </c>
      <c r="O91" s="60">
        <v>0.4</v>
      </c>
      <c r="P91" s="60">
        <v>3.53</v>
      </c>
      <c r="Q91" s="60">
        <v>8.3800000000000008</v>
      </c>
      <c r="R91" s="197"/>
      <c r="S91" s="197"/>
      <c r="T91" s="197"/>
      <c r="U91" s="197"/>
    </row>
    <row r="92" spans="1:26" s="12" customFormat="1" x14ac:dyDescent="0.25">
      <c r="A92" s="200" t="s">
        <v>811</v>
      </c>
      <c r="B92" s="60">
        <v>5.42</v>
      </c>
      <c r="C92" s="60">
        <v>12.25</v>
      </c>
      <c r="D92" s="60">
        <v>17.670000000000002</v>
      </c>
      <c r="E92" s="60">
        <v>6.63</v>
      </c>
      <c r="F92" s="60">
        <v>0.14000000000000001</v>
      </c>
      <c r="G92" s="215" t="s">
        <v>36</v>
      </c>
      <c r="H92" s="60">
        <v>11.75</v>
      </c>
      <c r="I92" s="60">
        <v>6.06</v>
      </c>
      <c r="J92" s="60">
        <v>0.73</v>
      </c>
      <c r="K92" s="60">
        <v>316.57</v>
      </c>
      <c r="L92" s="60">
        <v>34.5</v>
      </c>
      <c r="M92" s="60">
        <v>99.15</v>
      </c>
      <c r="N92" s="60">
        <v>15.9</v>
      </c>
      <c r="O92" s="60">
        <v>0.4</v>
      </c>
      <c r="P92" s="60">
        <v>3.55</v>
      </c>
      <c r="Q92" s="60">
        <v>8.8800000000000008</v>
      </c>
      <c r="R92" s="197"/>
      <c r="S92" s="197"/>
      <c r="T92" s="197"/>
      <c r="U92" s="197"/>
    </row>
    <row r="93" spans="1:26" s="12" customFormat="1" x14ac:dyDescent="0.25">
      <c r="A93" s="200" t="s">
        <v>812</v>
      </c>
      <c r="B93" s="60">
        <v>5.84</v>
      </c>
      <c r="C93" s="60">
        <v>12.58</v>
      </c>
      <c r="D93" s="60">
        <v>18.43</v>
      </c>
      <c r="E93" s="60">
        <v>6.84</v>
      </c>
      <c r="F93" s="60">
        <v>0.23</v>
      </c>
      <c r="G93" s="215" t="s">
        <v>36</v>
      </c>
      <c r="H93" s="60">
        <v>11.44</v>
      </c>
      <c r="I93" s="60">
        <v>6.12</v>
      </c>
      <c r="J93" s="60">
        <v>0.99</v>
      </c>
      <c r="K93" s="60">
        <v>328.33</v>
      </c>
      <c r="L93" s="60">
        <v>34.479999999999997</v>
      </c>
      <c r="M93" s="60">
        <v>99.15</v>
      </c>
      <c r="N93" s="60">
        <v>15.5</v>
      </c>
      <c r="O93" s="60">
        <v>0</v>
      </c>
      <c r="P93" s="60">
        <v>3.56</v>
      </c>
      <c r="Q93" s="60">
        <v>9.18</v>
      </c>
      <c r="R93" s="197"/>
      <c r="S93" s="197"/>
      <c r="T93" s="197"/>
      <c r="U93" s="197"/>
    </row>
    <row r="94" spans="1:26" s="12" customFormat="1" x14ac:dyDescent="0.25">
      <c r="A94" s="200" t="s">
        <v>813</v>
      </c>
      <c r="B94" s="60">
        <v>6.57</v>
      </c>
      <c r="C94" s="60">
        <v>12.78</v>
      </c>
      <c r="D94" s="60">
        <v>19.36</v>
      </c>
      <c r="E94" s="60">
        <v>7.38</v>
      </c>
      <c r="F94" s="60">
        <v>0.28999999999999998</v>
      </c>
      <c r="G94" s="215" t="s">
        <v>36</v>
      </c>
      <c r="H94" s="60">
        <v>10.68</v>
      </c>
      <c r="I94" s="60">
        <v>6.16</v>
      </c>
      <c r="J94" s="60">
        <v>0.37</v>
      </c>
      <c r="K94" s="60">
        <v>286.70999999999998</v>
      </c>
      <c r="L94" s="60">
        <v>34.44</v>
      </c>
      <c r="M94" s="60">
        <v>99.15</v>
      </c>
      <c r="N94" s="60">
        <v>15.3</v>
      </c>
      <c r="O94" s="60">
        <v>0.2</v>
      </c>
      <c r="P94" s="60">
        <v>3.58</v>
      </c>
      <c r="Q94" s="60">
        <v>9.5299999999999994</v>
      </c>
      <c r="R94" s="197"/>
      <c r="S94" s="197"/>
      <c r="T94" s="197"/>
      <c r="U94" s="197"/>
    </row>
    <row r="95" spans="1:26" s="12" customFormat="1" x14ac:dyDescent="0.25">
      <c r="A95" s="200" t="s">
        <v>814</v>
      </c>
      <c r="B95" s="60">
        <v>7.43</v>
      </c>
      <c r="C95" s="60">
        <v>13.1</v>
      </c>
      <c r="D95" s="60">
        <v>20.53</v>
      </c>
      <c r="E95" s="60">
        <v>7.41</v>
      </c>
      <c r="F95" s="60">
        <v>0.25</v>
      </c>
      <c r="G95" s="215" t="s">
        <v>36</v>
      </c>
      <c r="H95" s="60">
        <v>10.68</v>
      </c>
      <c r="I95" s="60">
        <v>6.21</v>
      </c>
      <c r="J95" s="60">
        <v>0.61</v>
      </c>
      <c r="K95" s="60">
        <v>181.78</v>
      </c>
      <c r="L95" s="60">
        <v>34.36</v>
      </c>
      <c r="M95" s="60">
        <v>99.15</v>
      </c>
      <c r="N95" s="60">
        <v>15.2</v>
      </c>
      <c r="O95" s="60">
        <v>0</v>
      </c>
      <c r="P95" s="60">
        <v>3.6</v>
      </c>
      <c r="Q95" s="60">
        <v>9.99</v>
      </c>
      <c r="R95" s="197"/>
      <c r="S95" s="197"/>
      <c r="T95" s="197"/>
      <c r="U95" s="197"/>
    </row>
    <row r="96" spans="1:26" s="12" customFormat="1" x14ac:dyDescent="0.25">
      <c r="A96" s="200" t="s">
        <v>815</v>
      </c>
      <c r="B96" s="60">
        <v>7.61</v>
      </c>
      <c r="C96" s="60">
        <v>13.52</v>
      </c>
      <c r="D96" s="60">
        <v>21.12</v>
      </c>
      <c r="E96" s="60">
        <v>7.29</v>
      </c>
      <c r="F96" s="60">
        <v>0.11</v>
      </c>
      <c r="G96" s="215" t="s">
        <v>36</v>
      </c>
      <c r="H96" s="60">
        <v>10.68</v>
      </c>
      <c r="I96" s="60">
        <v>6.29</v>
      </c>
      <c r="J96" s="60">
        <v>0.78</v>
      </c>
      <c r="K96" s="60">
        <v>203.21</v>
      </c>
      <c r="L96" s="60">
        <v>34.520000000000003</v>
      </c>
      <c r="M96" s="60">
        <v>99.15</v>
      </c>
      <c r="N96" s="60">
        <v>15.1</v>
      </c>
      <c r="O96" s="60">
        <v>0</v>
      </c>
      <c r="P96" s="60">
        <v>3.6</v>
      </c>
      <c r="Q96" s="60">
        <v>9.7200000000000006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816</v>
      </c>
      <c r="B97" s="60">
        <v>7.72</v>
      </c>
      <c r="C97" s="60">
        <v>13.69</v>
      </c>
      <c r="D97" s="60">
        <v>21.41</v>
      </c>
      <c r="E97" s="60">
        <v>7.43</v>
      </c>
      <c r="F97" s="60">
        <v>7.0000000000000007E-2</v>
      </c>
      <c r="G97" s="215" t="s">
        <v>36</v>
      </c>
      <c r="H97" s="60">
        <v>11.27</v>
      </c>
      <c r="I97" s="60">
        <v>6.37</v>
      </c>
      <c r="J97" s="60">
        <v>1.53</v>
      </c>
      <c r="K97" s="60">
        <v>194.11</v>
      </c>
      <c r="L97" s="60">
        <v>34.799999999999997</v>
      </c>
      <c r="M97" s="60">
        <v>99.15</v>
      </c>
      <c r="N97" s="60">
        <v>15.2</v>
      </c>
      <c r="O97" s="60">
        <v>0</v>
      </c>
      <c r="P97" s="60">
        <v>3.61</v>
      </c>
      <c r="Q97" s="60">
        <v>9.44</v>
      </c>
      <c r="R97" s="197"/>
      <c r="S97" s="197"/>
      <c r="T97" s="197"/>
      <c r="U97" s="197"/>
    </row>
    <row r="98" spans="1:33" s="12" customFormat="1" x14ac:dyDescent="0.25">
      <c r="A98" s="200" t="s">
        <v>817</v>
      </c>
      <c r="B98" s="60">
        <v>7.94</v>
      </c>
      <c r="C98" s="60">
        <v>13.74</v>
      </c>
      <c r="D98" s="60">
        <v>21.68</v>
      </c>
      <c r="E98" s="60">
        <v>7.28</v>
      </c>
      <c r="F98" s="60">
        <v>0.37</v>
      </c>
      <c r="G98" s="215" t="s">
        <v>36</v>
      </c>
      <c r="H98" s="60">
        <v>12.74</v>
      </c>
      <c r="I98" s="60">
        <v>6.47</v>
      </c>
      <c r="J98" s="60">
        <v>1.96</v>
      </c>
      <c r="K98" s="60">
        <v>192.22</v>
      </c>
      <c r="L98" s="60">
        <v>34.85</v>
      </c>
      <c r="M98" s="60">
        <v>99.15</v>
      </c>
      <c r="N98" s="60">
        <v>15.9</v>
      </c>
      <c r="O98" s="60">
        <v>0</v>
      </c>
      <c r="P98" s="60">
        <v>3.62</v>
      </c>
      <c r="Q98" s="60">
        <v>9.1999999999999993</v>
      </c>
      <c r="R98" s="197"/>
      <c r="S98" s="197"/>
      <c r="T98" s="197"/>
      <c r="U98" s="197"/>
    </row>
    <row r="99" spans="1:33" s="12" customFormat="1" x14ac:dyDescent="0.25">
      <c r="A99" s="200" t="s">
        <v>818</v>
      </c>
      <c r="B99" s="60">
        <v>8.35</v>
      </c>
      <c r="C99" s="60">
        <v>13.73</v>
      </c>
      <c r="D99" s="60">
        <v>22.08</v>
      </c>
      <c r="E99" s="60">
        <v>7.26</v>
      </c>
      <c r="F99" s="60">
        <v>0.16</v>
      </c>
      <c r="G99" s="215" t="s">
        <v>36</v>
      </c>
      <c r="H99" s="60">
        <v>12.74</v>
      </c>
      <c r="I99" s="60">
        <v>6.59</v>
      </c>
      <c r="J99" s="60">
        <v>1.69</v>
      </c>
      <c r="K99" s="60">
        <v>206.3</v>
      </c>
      <c r="L99" s="60">
        <v>35.11</v>
      </c>
      <c r="M99" s="60">
        <v>99.15</v>
      </c>
      <c r="N99" s="60">
        <v>15.2</v>
      </c>
      <c r="O99" s="60">
        <v>0</v>
      </c>
      <c r="P99" s="60">
        <v>3.63</v>
      </c>
      <c r="Q99" s="60">
        <v>9.3800000000000008</v>
      </c>
      <c r="R99" s="197"/>
      <c r="S99" s="197"/>
      <c r="T99" s="197"/>
      <c r="U99" s="197"/>
    </row>
    <row r="100" spans="1:33" s="12" customFormat="1" x14ac:dyDescent="0.25">
      <c r="A100" s="200" t="s">
        <v>819</v>
      </c>
      <c r="B100" s="60">
        <v>8.69</v>
      </c>
      <c r="C100" s="60">
        <v>13.64</v>
      </c>
      <c r="D100" s="60">
        <v>22.32</v>
      </c>
      <c r="E100" s="60">
        <v>6.85</v>
      </c>
      <c r="F100" s="60">
        <v>0.18</v>
      </c>
      <c r="G100" s="215" t="s">
        <v>36</v>
      </c>
      <c r="H100" s="60">
        <v>12.74</v>
      </c>
      <c r="I100" s="60">
        <v>6.7</v>
      </c>
      <c r="J100" s="60">
        <v>1.63</v>
      </c>
      <c r="K100" s="60">
        <v>205.09</v>
      </c>
      <c r="L100" s="60">
        <v>35.14</v>
      </c>
      <c r="M100" s="60">
        <v>99.15</v>
      </c>
      <c r="N100" s="60">
        <v>15.5</v>
      </c>
      <c r="O100" s="60">
        <v>0</v>
      </c>
      <c r="P100" s="60">
        <v>3.64</v>
      </c>
      <c r="Q100" s="60">
        <v>9.51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820</v>
      </c>
      <c r="B101" s="60">
        <v>8.42</v>
      </c>
      <c r="C101" s="60">
        <v>12.88</v>
      </c>
      <c r="D101" s="60">
        <v>21.29</v>
      </c>
      <c r="E101" s="60">
        <v>6.81</v>
      </c>
      <c r="F101" s="60">
        <v>0.04</v>
      </c>
      <c r="G101" s="215" t="s">
        <v>36</v>
      </c>
      <c r="H101" s="60">
        <v>12.01</v>
      </c>
      <c r="I101" s="60">
        <v>6.8</v>
      </c>
      <c r="J101" s="60">
        <v>1.53</v>
      </c>
      <c r="K101" s="60">
        <v>203.57</v>
      </c>
      <c r="L101" s="60">
        <v>35.119999999999997</v>
      </c>
      <c r="M101" s="60">
        <v>99.15</v>
      </c>
      <c r="N101" s="60">
        <v>15.7</v>
      </c>
      <c r="O101" s="60">
        <v>0</v>
      </c>
      <c r="P101" s="60">
        <v>3.63</v>
      </c>
      <c r="Q101" s="60">
        <v>9.1199999999999992</v>
      </c>
      <c r="R101" s="197"/>
      <c r="S101" s="197"/>
      <c r="T101" s="197"/>
      <c r="U101" s="197"/>
    </row>
    <row r="102" spans="1:33" s="12" customFormat="1" x14ac:dyDescent="0.25">
      <c r="A102" s="200" t="s">
        <v>821</v>
      </c>
      <c r="B102" s="60">
        <v>8.41</v>
      </c>
      <c r="C102" s="60">
        <v>12.33</v>
      </c>
      <c r="D102" s="60">
        <v>20.74</v>
      </c>
      <c r="E102" s="60">
        <v>7.36</v>
      </c>
      <c r="F102" s="60">
        <v>0.06</v>
      </c>
      <c r="G102" s="215" t="s">
        <v>36</v>
      </c>
      <c r="H102" s="60">
        <v>10.23</v>
      </c>
      <c r="I102" s="60">
        <v>6.8</v>
      </c>
      <c r="J102" s="60">
        <v>1.36</v>
      </c>
      <c r="K102" s="60">
        <v>205.52</v>
      </c>
      <c r="L102" s="60">
        <v>35.31</v>
      </c>
      <c r="M102" s="60">
        <v>99.15</v>
      </c>
      <c r="N102" s="60">
        <v>15.5</v>
      </c>
      <c r="O102" s="60">
        <v>0</v>
      </c>
      <c r="P102" s="60">
        <v>3.62</v>
      </c>
      <c r="Q102" s="60">
        <v>9.1</v>
      </c>
      <c r="R102" s="197"/>
      <c r="S102" s="197"/>
      <c r="T102" s="197"/>
      <c r="U102" s="197"/>
    </row>
    <row r="103" spans="1:33" s="12" customFormat="1" x14ac:dyDescent="0.25">
      <c r="A103" s="200" t="s">
        <v>822</v>
      </c>
      <c r="B103" s="60">
        <v>8.81</v>
      </c>
      <c r="C103" s="60">
        <v>12.3</v>
      </c>
      <c r="D103" s="60">
        <v>21.11</v>
      </c>
      <c r="E103" s="60">
        <v>7.85</v>
      </c>
      <c r="F103" s="60">
        <v>0.15</v>
      </c>
      <c r="G103" s="215" t="s">
        <v>36</v>
      </c>
      <c r="H103" s="60">
        <v>10.23</v>
      </c>
      <c r="I103" s="60">
        <v>6.51</v>
      </c>
      <c r="J103" s="60">
        <v>1.1599999999999999</v>
      </c>
      <c r="K103" s="60">
        <v>208.23</v>
      </c>
      <c r="L103" s="60">
        <v>35.42</v>
      </c>
      <c r="M103" s="60">
        <v>99.15</v>
      </c>
      <c r="N103" s="60">
        <v>15.5</v>
      </c>
      <c r="O103" s="60">
        <v>0</v>
      </c>
      <c r="P103" s="60">
        <v>3.61</v>
      </c>
      <c r="Q103" s="60">
        <v>9.65</v>
      </c>
      <c r="R103" s="197"/>
      <c r="S103" s="197"/>
      <c r="T103" s="197"/>
      <c r="U103" s="197"/>
    </row>
    <row r="104" spans="1:33" s="12" customFormat="1" x14ac:dyDescent="0.25">
      <c r="A104" s="200" t="s">
        <v>823</v>
      </c>
      <c r="B104" s="60">
        <v>9</v>
      </c>
      <c r="C104" s="60">
        <v>12.5</v>
      </c>
      <c r="D104" s="60">
        <v>21.5</v>
      </c>
      <c r="E104" s="60">
        <v>2.4700000000000002</v>
      </c>
      <c r="F104" s="60">
        <v>0.28000000000000003</v>
      </c>
      <c r="G104" s="215" t="s">
        <v>36</v>
      </c>
      <c r="H104" s="60">
        <v>10.23</v>
      </c>
      <c r="I104" s="60">
        <v>6.78</v>
      </c>
      <c r="J104" s="60">
        <v>0.8</v>
      </c>
      <c r="K104" s="60">
        <v>256.88</v>
      </c>
      <c r="L104" s="60">
        <v>35.57</v>
      </c>
      <c r="M104" s="60">
        <v>99.15</v>
      </c>
      <c r="N104" s="60">
        <v>15.7</v>
      </c>
      <c r="O104" s="60">
        <v>0</v>
      </c>
      <c r="P104" s="60">
        <v>3.59</v>
      </c>
      <c r="Q104" s="60">
        <v>10.24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5" t="s">
        <v>59</v>
      </c>
      <c r="B106" s="67">
        <f>MIN(B9:B104)</f>
        <v>0.49</v>
      </c>
      <c r="C106" s="67">
        <f>MIN(C9:C104)</f>
        <v>8.14</v>
      </c>
      <c r="D106" s="67">
        <f t="shared" ref="D106:Q106" si="0">MIN(D9:D104)</f>
        <v>11.21</v>
      </c>
      <c r="E106" s="67">
        <f t="shared" si="0"/>
        <v>0.8</v>
      </c>
      <c r="F106" s="67">
        <f t="shared" si="0"/>
        <v>0.02</v>
      </c>
      <c r="G106" s="67">
        <f t="shared" si="0"/>
        <v>0</v>
      </c>
      <c r="H106" s="67">
        <f t="shared" si="0"/>
        <v>2.29</v>
      </c>
      <c r="I106" s="67">
        <f t="shared" si="0"/>
        <v>3.71</v>
      </c>
      <c r="J106" s="67">
        <f t="shared" si="0"/>
        <v>0.02</v>
      </c>
      <c r="K106" s="67">
        <f t="shared" si="0"/>
        <v>11.08</v>
      </c>
      <c r="L106" s="67">
        <f t="shared" si="0"/>
        <v>33.82</v>
      </c>
      <c r="M106" s="67">
        <f t="shared" si="0"/>
        <v>55.21</v>
      </c>
      <c r="N106" s="67">
        <f t="shared" si="0"/>
        <v>14.5</v>
      </c>
      <c r="O106" s="67">
        <f t="shared" si="0"/>
        <v>0</v>
      </c>
      <c r="P106" s="67">
        <f t="shared" si="0"/>
        <v>3.22</v>
      </c>
      <c r="Q106" s="67">
        <f t="shared" si="0"/>
        <v>5.38</v>
      </c>
      <c r="R106" s="198"/>
      <c r="S106" s="198"/>
      <c r="T106" s="198"/>
      <c r="U106" s="198"/>
    </row>
    <row r="107" spans="1:33" x14ac:dyDescent="0.25">
      <c r="A107" s="65" t="s">
        <v>60</v>
      </c>
      <c r="B107" s="66">
        <f>MAX(B9:B104)</f>
        <v>9</v>
      </c>
      <c r="C107" s="66">
        <f t="shared" ref="C107:Q107" si="1">MAX(C9:C104)</f>
        <v>24.07</v>
      </c>
      <c r="D107" s="66">
        <f t="shared" si="1"/>
        <v>29.02</v>
      </c>
      <c r="E107" s="66">
        <f t="shared" si="1"/>
        <v>7.85</v>
      </c>
      <c r="F107" s="66">
        <f t="shared" si="1"/>
        <v>1.76</v>
      </c>
      <c r="G107" s="66">
        <f t="shared" si="1"/>
        <v>0</v>
      </c>
      <c r="H107" s="66">
        <f t="shared" si="1"/>
        <v>15.61</v>
      </c>
      <c r="I107" s="66">
        <f t="shared" si="1"/>
        <v>6.8</v>
      </c>
      <c r="J107" s="66">
        <f t="shared" si="1"/>
        <v>1.99</v>
      </c>
      <c r="K107" s="66">
        <f t="shared" si="1"/>
        <v>355.25</v>
      </c>
      <c r="L107" s="66">
        <f t="shared" si="1"/>
        <v>52.34</v>
      </c>
      <c r="M107" s="66">
        <f t="shared" si="1"/>
        <v>99.15</v>
      </c>
      <c r="N107" s="66">
        <f t="shared" si="1"/>
        <v>903.9</v>
      </c>
      <c r="O107" s="66">
        <f t="shared" si="1"/>
        <v>14.6</v>
      </c>
      <c r="P107" s="66">
        <f t="shared" si="1"/>
        <v>3.65</v>
      </c>
      <c r="Q107" s="66">
        <f t="shared" si="1"/>
        <v>10.85</v>
      </c>
      <c r="R107" s="199"/>
      <c r="S107" s="199"/>
      <c r="T107" s="199"/>
      <c r="U107" s="199"/>
    </row>
    <row r="108" spans="1:33" x14ac:dyDescent="0.25">
      <c r="A108" s="65" t="s">
        <v>61</v>
      </c>
      <c r="B108" s="67">
        <f>AVERAGE(B9:B104)</f>
        <v>4.1424999999999992</v>
      </c>
      <c r="C108" s="67">
        <f t="shared" ref="C108:Q108" si="2">AVERAGE(C9:C104)</f>
        <v>12.346770833333332</v>
      </c>
      <c r="D108" s="67">
        <f t="shared" si="2"/>
        <v>16.488749999999996</v>
      </c>
      <c r="E108" s="67">
        <f t="shared" si="2"/>
        <v>5.1984374999999998</v>
      </c>
      <c r="F108" s="67">
        <f t="shared" si="2"/>
        <v>0.56989583333333327</v>
      </c>
      <c r="G108" s="67" t="e">
        <f t="shared" si="2"/>
        <v>#DIV/0!</v>
      </c>
      <c r="H108" s="67">
        <f t="shared" si="2"/>
        <v>10.272187500000003</v>
      </c>
      <c r="I108" s="67">
        <f t="shared" si="2"/>
        <v>5.3820833333333331</v>
      </c>
      <c r="J108" s="67">
        <f t="shared" si="2"/>
        <v>0.6060416666666667</v>
      </c>
      <c r="K108" s="67">
        <f t="shared" si="2"/>
        <v>196.42333333333337</v>
      </c>
      <c r="L108" s="67">
        <f t="shared" si="2"/>
        <v>41.561875000000008</v>
      </c>
      <c r="M108" s="67">
        <f t="shared" si="2"/>
        <v>81.441249999999926</v>
      </c>
      <c r="N108" s="67">
        <f t="shared" si="2"/>
        <v>178.50625000000005</v>
      </c>
      <c r="O108" s="67">
        <f t="shared" si="2"/>
        <v>0.26458333333333328</v>
      </c>
      <c r="P108" s="67">
        <f t="shared" si="2"/>
        <v>3.4531249999999987</v>
      </c>
      <c r="Q108" s="67">
        <f t="shared" si="2"/>
        <v>7.8555208333333368</v>
      </c>
      <c r="R108" s="198"/>
      <c r="S108" s="198"/>
      <c r="T108" s="198"/>
      <c r="U108" s="198"/>
    </row>
    <row r="109" spans="1:33" x14ac:dyDescent="0.25">
      <c r="A109" s="65" t="s">
        <v>77</v>
      </c>
      <c r="B109" s="67">
        <f>STDEV(B9:B104)</f>
        <v>2.4399335625122442</v>
      </c>
      <c r="C109" s="67">
        <f t="shared" ref="C109:Q109" si="3">STDEV(C9:C104)</f>
        <v>3.4167147948043866</v>
      </c>
      <c r="D109" s="67">
        <f t="shared" si="3"/>
        <v>4.7478081923745794</v>
      </c>
      <c r="E109" s="67">
        <f t="shared" si="3"/>
        <v>1.4836585847332413</v>
      </c>
      <c r="F109" s="67">
        <f t="shared" si="3"/>
        <v>0.47830070874132735</v>
      </c>
      <c r="G109" s="67" t="e">
        <f t="shared" si="3"/>
        <v>#DIV/0!</v>
      </c>
      <c r="H109" s="67">
        <f t="shared" si="3"/>
        <v>4.6447337928646535</v>
      </c>
      <c r="I109" s="67">
        <f t="shared" si="3"/>
        <v>0.6849432042019713</v>
      </c>
      <c r="J109" s="67">
        <f t="shared" si="3"/>
        <v>0.53415250959699878</v>
      </c>
      <c r="K109" s="67">
        <f t="shared" si="3"/>
        <v>105.04448418763174</v>
      </c>
      <c r="L109" s="67">
        <f t="shared" si="3"/>
        <v>4.9858450822512994</v>
      </c>
      <c r="M109" s="67">
        <f t="shared" si="3"/>
        <v>14.122971079248192</v>
      </c>
      <c r="N109" s="67">
        <f t="shared" si="3"/>
        <v>245.80060546047642</v>
      </c>
      <c r="O109" s="67">
        <f t="shared" si="3"/>
        <v>1.6580254055996959</v>
      </c>
      <c r="P109" s="67">
        <f t="shared" si="3"/>
        <v>0.12905578149328334</v>
      </c>
      <c r="Q109" s="67">
        <f t="shared" si="3"/>
        <v>1.3920260658415924</v>
      </c>
      <c r="R109" s="198"/>
      <c r="S109" s="198"/>
      <c r="T109" s="198"/>
      <c r="U109" s="198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COUNT(G9:G104)+96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9"/>
      <c r="S110" s="199"/>
      <c r="T110" s="199"/>
      <c r="U110" s="199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218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07-08-2022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234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824</v>
      </c>
      <c r="B9" s="60">
        <v>8.6</v>
      </c>
      <c r="C9" s="60">
        <v>12.7</v>
      </c>
      <c r="D9" s="60">
        <v>21.3</v>
      </c>
      <c r="E9" s="60">
        <v>4.4800000000000004</v>
      </c>
      <c r="F9" s="60">
        <v>0.3</v>
      </c>
      <c r="G9" s="215" t="s">
        <v>36</v>
      </c>
      <c r="H9" s="60">
        <v>9.5</v>
      </c>
      <c r="I9" s="60">
        <v>6.68</v>
      </c>
      <c r="J9" s="60">
        <v>1.02</v>
      </c>
      <c r="K9" s="60">
        <v>300.07</v>
      </c>
      <c r="L9" s="60">
        <v>35.51</v>
      </c>
      <c r="M9" s="60">
        <v>99.15</v>
      </c>
      <c r="N9" s="60">
        <v>16</v>
      </c>
      <c r="O9" s="60">
        <v>0</v>
      </c>
      <c r="P9" s="60">
        <v>3.58</v>
      </c>
      <c r="Q9" s="60">
        <v>10.48</v>
      </c>
      <c r="R9" s="197"/>
      <c r="S9" s="197"/>
      <c r="T9" s="197"/>
      <c r="U9" s="197"/>
    </row>
    <row r="10" spans="1:21" s="12" customFormat="1" x14ac:dyDescent="0.25">
      <c r="A10" s="200" t="s">
        <v>825</v>
      </c>
      <c r="B10" s="60">
        <v>8.11</v>
      </c>
      <c r="C10" s="60">
        <v>12.75</v>
      </c>
      <c r="D10" s="60">
        <v>20.86</v>
      </c>
      <c r="E10" s="60">
        <v>6.12</v>
      </c>
      <c r="F10" s="60">
        <v>0.12</v>
      </c>
      <c r="G10" s="215" t="s">
        <v>36</v>
      </c>
      <c r="H10" s="60">
        <v>7.7</v>
      </c>
      <c r="I10" s="60">
        <v>6.63</v>
      </c>
      <c r="J10" s="60">
        <v>1.31</v>
      </c>
      <c r="K10" s="60">
        <v>312.85000000000002</v>
      </c>
      <c r="L10" s="60">
        <v>35.36</v>
      </c>
      <c r="M10" s="60">
        <v>99.15</v>
      </c>
      <c r="N10" s="60">
        <v>16.2</v>
      </c>
      <c r="O10" s="60">
        <v>0</v>
      </c>
      <c r="P10" s="60">
        <v>3.57</v>
      </c>
      <c r="Q10" s="60">
        <v>10.27</v>
      </c>
      <c r="R10" s="197"/>
      <c r="S10" s="197"/>
      <c r="T10" s="197"/>
      <c r="U10" s="197"/>
    </row>
    <row r="11" spans="1:21" s="12" customFormat="1" x14ac:dyDescent="0.25">
      <c r="A11" s="200" t="s">
        <v>826</v>
      </c>
      <c r="B11" s="60">
        <v>7.41</v>
      </c>
      <c r="C11" s="60">
        <v>12.63</v>
      </c>
      <c r="D11" s="60">
        <v>20.03</v>
      </c>
      <c r="E11" s="60">
        <v>7.03</v>
      </c>
      <c r="F11" s="60">
        <v>0.41</v>
      </c>
      <c r="G11" s="215" t="s">
        <v>36</v>
      </c>
      <c r="H11" s="60">
        <v>7.7</v>
      </c>
      <c r="I11" s="60">
        <v>6.58</v>
      </c>
      <c r="J11" s="60">
        <v>1.3</v>
      </c>
      <c r="K11" s="60">
        <v>317.2</v>
      </c>
      <c r="L11" s="60">
        <v>35.39</v>
      </c>
      <c r="M11" s="60">
        <v>99.15</v>
      </c>
      <c r="N11" s="60">
        <v>16</v>
      </c>
      <c r="O11" s="60">
        <v>0</v>
      </c>
      <c r="P11" s="60">
        <v>3.55</v>
      </c>
      <c r="Q11" s="60">
        <v>10.11</v>
      </c>
      <c r="R11" s="197"/>
      <c r="S11" s="197"/>
      <c r="T11" s="197"/>
      <c r="U11" s="197"/>
    </row>
    <row r="12" spans="1:21" s="12" customFormat="1" x14ac:dyDescent="0.25">
      <c r="A12" s="200" t="s">
        <v>827</v>
      </c>
      <c r="B12" s="60">
        <v>6.67</v>
      </c>
      <c r="C12" s="60">
        <v>12.7</v>
      </c>
      <c r="D12" s="60">
        <v>19.37</v>
      </c>
      <c r="E12" s="60">
        <v>7</v>
      </c>
      <c r="F12" s="60">
        <v>0.15</v>
      </c>
      <c r="G12" s="215" t="s">
        <v>36</v>
      </c>
      <c r="H12" s="60">
        <v>7.7</v>
      </c>
      <c r="I12" s="60">
        <v>6.52</v>
      </c>
      <c r="J12" s="60">
        <v>1.08</v>
      </c>
      <c r="K12" s="60">
        <v>316.45999999999998</v>
      </c>
      <c r="L12" s="60">
        <v>35.4</v>
      </c>
      <c r="M12" s="60">
        <v>99.15</v>
      </c>
      <c r="N12" s="60">
        <v>15.7</v>
      </c>
      <c r="O12" s="60">
        <v>0</v>
      </c>
      <c r="P12" s="60">
        <v>3.53</v>
      </c>
      <c r="Q12" s="60">
        <v>9.76</v>
      </c>
      <c r="R12" s="197"/>
      <c r="S12" s="197"/>
      <c r="T12" s="197"/>
      <c r="U12" s="197"/>
    </row>
    <row r="13" spans="1:21" s="12" customFormat="1" x14ac:dyDescent="0.25">
      <c r="A13" s="200" t="s">
        <v>828</v>
      </c>
      <c r="B13" s="60">
        <v>6.05</v>
      </c>
      <c r="C13" s="60">
        <v>11.91</v>
      </c>
      <c r="D13" s="60">
        <v>17.96</v>
      </c>
      <c r="E13" s="60">
        <v>7.1</v>
      </c>
      <c r="F13" s="60">
        <v>0.57999999999999996</v>
      </c>
      <c r="G13" s="215" t="s">
        <v>36</v>
      </c>
      <c r="H13" s="60">
        <v>8.0500000000000007</v>
      </c>
      <c r="I13" s="60">
        <v>6.34</v>
      </c>
      <c r="J13" s="60">
        <v>1.1100000000000001</v>
      </c>
      <c r="K13" s="60">
        <v>315.45999999999998</v>
      </c>
      <c r="L13" s="60">
        <v>35.5</v>
      </c>
      <c r="M13" s="60">
        <v>99.15</v>
      </c>
      <c r="N13" s="60">
        <v>15.9</v>
      </c>
      <c r="O13" s="60">
        <v>0</v>
      </c>
      <c r="P13" s="60">
        <v>3.5</v>
      </c>
      <c r="Q13" s="60">
        <v>9.5</v>
      </c>
      <c r="R13" s="197"/>
      <c r="S13" s="197"/>
      <c r="T13" s="197"/>
      <c r="U13" s="197"/>
    </row>
    <row r="14" spans="1:21" s="12" customFormat="1" x14ac:dyDescent="0.25">
      <c r="A14" s="200" t="s">
        <v>829</v>
      </c>
      <c r="B14" s="60">
        <v>5.19</v>
      </c>
      <c r="C14" s="60">
        <v>11.7</v>
      </c>
      <c r="D14" s="60">
        <v>16.89</v>
      </c>
      <c r="E14" s="60">
        <v>7.11</v>
      </c>
      <c r="F14" s="60">
        <v>0.62</v>
      </c>
      <c r="G14" s="215" t="s">
        <v>36</v>
      </c>
      <c r="H14" s="60">
        <v>8.9600000000000009</v>
      </c>
      <c r="I14" s="60">
        <v>6.28</v>
      </c>
      <c r="J14" s="60">
        <v>1.18</v>
      </c>
      <c r="K14" s="60">
        <v>315.60000000000002</v>
      </c>
      <c r="L14" s="60">
        <v>35.520000000000003</v>
      </c>
      <c r="M14" s="60">
        <v>99.15</v>
      </c>
      <c r="N14" s="60">
        <v>16</v>
      </c>
      <c r="O14" s="60">
        <v>0</v>
      </c>
      <c r="P14" s="60">
        <v>3.49</v>
      </c>
      <c r="Q14" s="60">
        <v>8.57</v>
      </c>
      <c r="R14" s="197"/>
      <c r="S14" s="197"/>
      <c r="T14" s="197"/>
      <c r="U14" s="197"/>
    </row>
    <row r="15" spans="1:21" s="12" customFormat="1" x14ac:dyDescent="0.25">
      <c r="A15" s="200" t="s">
        <v>830</v>
      </c>
      <c r="B15" s="60">
        <v>4.34</v>
      </c>
      <c r="C15" s="60">
        <v>11.51</v>
      </c>
      <c r="D15" s="60">
        <v>15.84</v>
      </c>
      <c r="E15" s="60">
        <v>6.89</v>
      </c>
      <c r="F15" s="60">
        <v>0.55000000000000004</v>
      </c>
      <c r="G15" s="215" t="s">
        <v>36</v>
      </c>
      <c r="H15" s="60">
        <v>8.9600000000000009</v>
      </c>
      <c r="I15" s="60">
        <v>6.14</v>
      </c>
      <c r="J15" s="60">
        <v>0.99</v>
      </c>
      <c r="K15" s="60">
        <v>316.64999999999998</v>
      </c>
      <c r="L15" s="60">
        <v>35.53</v>
      </c>
      <c r="M15" s="60">
        <v>99.15</v>
      </c>
      <c r="N15" s="60">
        <v>16.100000000000001</v>
      </c>
      <c r="O15" s="60">
        <v>0</v>
      </c>
      <c r="P15" s="60">
        <v>3.47</v>
      </c>
      <c r="Q15" s="60">
        <v>7.66</v>
      </c>
      <c r="R15" s="197"/>
      <c r="S15" s="197"/>
      <c r="T15" s="197"/>
      <c r="U15" s="197"/>
    </row>
    <row r="16" spans="1:21" s="12" customFormat="1" x14ac:dyDescent="0.25">
      <c r="A16" s="200" t="s">
        <v>831</v>
      </c>
      <c r="B16" s="60">
        <v>3.93</v>
      </c>
      <c r="C16" s="60">
        <v>11.41</v>
      </c>
      <c r="D16" s="60">
        <v>15.33</v>
      </c>
      <c r="E16" s="60">
        <v>7.13</v>
      </c>
      <c r="F16" s="60">
        <v>0.43</v>
      </c>
      <c r="G16" s="215" t="s">
        <v>36</v>
      </c>
      <c r="H16" s="60">
        <v>8.9600000000000009</v>
      </c>
      <c r="I16" s="60">
        <v>6.02</v>
      </c>
      <c r="J16" s="60">
        <v>0.62</v>
      </c>
      <c r="K16" s="60">
        <v>314.22000000000003</v>
      </c>
      <c r="L16" s="60">
        <v>35.42</v>
      </c>
      <c r="M16" s="60">
        <v>99.15</v>
      </c>
      <c r="N16" s="60">
        <v>16</v>
      </c>
      <c r="O16" s="60">
        <v>0</v>
      </c>
      <c r="P16" s="60">
        <v>3.45</v>
      </c>
      <c r="Q16" s="60">
        <v>7.2</v>
      </c>
      <c r="R16" s="197"/>
      <c r="S16" s="197"/>
      <c r="T16" s="197"/>
      <c r="U16" s="197"/>
    </row>
    <row r="17" spans="1:21" s="12" customFormat="1" x14ac:dyDescent="0.25">
      <c r="A17" s="200" t="s">
        <v>832</v>
      </c>
      <c r="B17" s="60">
        <v>3.73</v>
      </c>
      <c r="C17" s="60">
        <v>11.33</v>
      </c>
      <c r="D17" s="60">
        <v>15.06</v>
      </c>
      <c r="E17" s="60">
        <v>6.87</v>
      </c>
      <c r="F17" s="60">
        <v>0.67</v>
      </c>
      <c r="G17" s="215" t="s">
        <v>36</v>
      </c>
      <c r="H17" s="60">
        <v>8.2200000000000006</v>
      </c>
      <c r="I17" s="60">
        <v>5.94</v>
      </c>
      <c r="J17" s="60">
        <v>0.78</v>
      </c>
      <c r="K17" s="60">
        <v>322.24</v>
      </c>
      <c r="L17" s="60">
        <v>35.380000000000003</v>
      </c>
      <c r="M17" s="60">
        <v>99.15</v>
      </c>
      <c r="N17" s="60">
        <v>15.7</v>
      </c>
      <c r="O17" s="60">
        <v>0</v>
      </c>
      <c r="P17" s="60">
        <v>3.43</v>
      </c>
      <c r="Q17" s="60">
        <v>6.88</v>
      </c>
      <c r="R17" s="197"/>
      <c r="S17" s="197"/>
      <c r="T17" s="197"/>
      <c r="U17" s="197"/>
    </row>
    <row r="18" spans="1:21" s="12" customFormat="1" x14ac:dyDescent="0.25">
      <c r="A18" s="200" t="s">
        <v>833</v>
      </c>
      <c r="B18" s="60">
        <v>3.32</v>
      </c>
      <c r="C18" s="60">
        <v>10.82</v>
      </c>
      <c r="D18" s="60">
        <v>14.14</v>
      </c>
      <c r="E18" s="60">
        <v>6.99</v>
      </c>
      <c r="F18" s="60">
        <v>0.48</v>
      </c>
      <c r="G18" s="215" t="s">
        <v>36</v>
      </c>
      <c r="H18" s="60">
        <v>6.38</v>
      </c>
      <c r="I18" s="60">
        <v>5.87</v>
      </c>
      <c r="J18" s="60">
        <v>0.94</v>
      </c>
      <c r="K18" s="60">
        <v>317.64999999999998</v>
      </c>
      <c r="L18" s="60">
        <v>35.369999999999997</v>
      </c>
      <c r="M18" s="60">
        <v>99.15</v>
      </c>
      <c r="N18" s="60">
        <v>15.5</v>
      </c>
      <c r="O18" s="60">
        <v>0</v>
      </c>
      <c r="P18" s="60">
        <v>3.42</v>
      </c>
      <c r="Q18" s="60">
        <v>6.39</v>
      </c>
      <c r="R18" s="197"/>
      <c r="S18" s="197"/>
      <c r="T18" s="197"/>
      <c r="U18" s="197"/>
    </row>
    <row r="19" spans="1:21" s="12" customFormat="1" x14ac:dyDescent="0.25">
      <c r="A19" s="200" t="s">
        <v>834</v>
      </c>
      <c r="B19" s="60">
        <v>2.95</v>
      </c>
      <c r="C19" s="60">
        <v>10.24</v>
      </c>
      <c r="D19" s="60">
        <v>13.19</v>
      </c>
      <c r="E19" s="60">
        <v>6.9</v>
      </c>
      <c r="F19" s="60">
        <v>0.43</v>
      </c>
      <c r="G19" s="215" t="s">
        <v>36</v>
      </c>
      <c r="H19" s="60">
        <v>6.38</v>
      </c>
      <c r="I19" s="60">
        <v>5.82</v>
      </c>
      <c r="J19" s="60">
        <v>0.7</v>
      </c>
      <c r="K19" s="60">
        <v>316.76</v>
      </c>
      <c r="L19" s="60">
        <v>35.39</v>
      </c>
      <c r="M19" s="60">
        <v>99.15</v>
      </c>
      <c r="N19" s="60">
        <v>15.4</v>
      </c>
      <c r="O19" s="60">
        <v>0</v>
      </c>
      <c r="P19" s="60">
        <v>3.4</v>
      </c>
      <c r="Q19" s="60">
        <v>6.21</v>
      </c>
      <c r="R19" s="197"/>
      <c r="S19" s="197"/>
      <c r="T19" s="197"/>
      <c r="U19" s="197"/>
    </row>
    <row r="20" spans="1:21" s="12" customFormat="1" x14ac:dyDescent="0.25">
      <c r="A20" s="200" t="s">
        <v>835</v>
      </c>
      <c r="B20" s="60">
        <v>2.76</v>
      </c>
      <c r="C20" s="60">
        <v>10.050000000000001</v>
      </c>
      <c r="D20" s="60">
        <v>12.81</v>
      </c>
      <c r="E20" s="60">
        <v>6.46</v>
      </c>
      <c r="F20" s="60">
        <v>0.39</v>
      </c>
      <c r="G20" s="215" t="s">
        <v>36</v>
      </c>
      <c r="H20" s="60">
        <v>6.38</v>
      </c>
      <c r="I20" s="60">
        <v>5.76</v>
      </c>
      <c r="J20" s="60">
        <v>0.84</v>
      </c>
      <c r="K20" s="60">
        <v>313.66000000000003</v>
      </c>
      <c r="L20" s="60">
        <v>35.35</v>
      </c>
      <c r="M20" s="60">
        <v>99.15</v>
      </c>
      <c r="N20" s="60">
        <v>15.2</v>
      </c>
      <c r="O20" s="60">
        <v>0</v>
      </c>
      <c r="P20" s="60">
        <v>3.41</v>
      </c>
      <c r="Q20" s="60">
        <v>6.12</v>
      </c>
      <c r="R20" s="197"/>
      <c r="S20" s="197"/>
      <c r="T20" s="197"/>
      <c r="U20" s="197"/>
    </row>
    <row r="21" spans="1:21" s="12" customFormat="1" x14ac:dyDescent="0.25">
      <c r="A21" s="200" t="s">
        <v>836</v>
      </c>
      <c r="B21" s="60">
        <v>2.75</v>
      </c>
      <c r="C21" s="60">
        <v>10.039999999999999</v>
      </c>
      <c r="D21" s="60">
        <v>12.79</v>
      </c>
      <c r="E21" s="60">
        <v>6.63</v>
      </c>
      <c r="F21" s="60">
        <v>0.02</v>
      </c>
      <c r="G21" s="215" t="s">
        <v>36</v>
      </c>
      <c r="H21" s="60">
        <v>5.92</v>
      </c>
      <c r="I21" s="60">
        <v>5.7</v>
      </c>
      <c r="J21" s="60">
        <v>0.53</v>
      </c>
      <c r="K21" s="60">
        <v>308.31</v>
      </c>
      <c r="L21" s="60">
        <v>35.33</v>
      </c>
      <c r="M21" s="60">
        <v>99.15</v>
      </c>
      <c r="N21" s="60">
        <v>15.2</v>
      </c>
      <c r="O21" s="60">
        <v>0</v>
      </c>
      <c r="P21" s="60">
        <v>3.42</v>
      </c>
      <c r="Q21" s="60">
        <v>6.33</v>
      </c>
      <c r="R21" s="197"/>
      <c r="S21" s="197"/>
      <c r="T21" s="197"/>
      <c r="U21" s="197"/>
    </row>
    <row r="22" spans="1:21" s="12" customFormat="1" x14ac:dyDescent="0.25">
      <c r="A22" s="200" t="s">
        <v>837</v>
      </c>
      <c r="B22" s="60">
        <v>2.83</v>
      </c>
      <c r="C22" s="60">
        <v>9.7899999999999991</v>
      </c>
      <c r="D22" s="60">
        <v>12.62</v>
      </c>
      <c r="E22" s="60">
        <v>6.96</v>
      </c>
      <c r="F22" s="60">
        <v>0.1</v>
      </c>
      <c r="G22" s="215" t="s">
        <v>36</v>
      </c>
      <c r="H22" s="60">
        <v>4.8</v>
      </c>
      <c r="I22" s="60">
        <v>5.72</v>
      </c>
      <c r="J22" s="60">
        <v>0.73</v>
      </c>
      <c r="K22" s="60">
        <v>310.81</v>
      </c>
      <c r="L22" s="60">
        <v>35.36</v>
      </c>
      <c r="M22" s="60">
        <v>99.15</v>
      </c>
      <c r="N22" s="60">
        <v>15.3</v>
      </c>
      <c r="O22" s="60">
        <v>0</v>
      </c>
      <c r="P22" s="60">
        <v>3.41</v>
      </c>
      <c r="Q22" s="60">
        <v>6.62</v>
      </c>
      <c r="R22" s="197"/>
      <c r="S22" s="197"/>
      <c r="T22" s="197"/>
      <c r="U22" s="197"/>
    </row>
    <row r="23" spans="1:21" s="12" customFormat="1" x14ac:dyDescent="0.25">
      <c r="A23" s="200" t="s">
        <v>838</v>
      </c>
      <c r="B23" s="60">
        <v>2.97</v>
      </c>
      <c r="C23" s="60">
        <v>9.76</v>
      </c>
      <c r="D23" s="60">
        <v>12.72</v>
      </c>
      <c r="E23" s="60">
        <v>6.83</v>
      </c>
      <c r="F23" s="60">
        <v>0.19</v>
      </c>
      <c r="G23" s="215" t="s">
        <v>36</v>
      </c>
      <c r="H23" s="60">
        <v>4.8</v>
      </c>
      <c r="I23" s="60">
        <v>5.73</v>
      </c>
      <c r="J23" s="60">
        <v>0.52</v>
      </c>
      <c r="K23" s="60">
        <v>306.43</v>
      </c>
      <c r="L23" s="60">
        <v>35.380000000000003</v>
      </c>
      <c r="M23" s="60">
        <v>99.15</v>
      </c>
      <c r="N23" s="60">
        <v>15.4</v>
      </c>
      <c r="O23" s="60">
        <v>0</v>
      </c>
      <c r="P23" s="60">
        <v>3.42</v>
      </c>
      <c r="Q23" s="60">
        <v>6.89</v>
      </c>
      <c r="R23" s="197"/>
      <c r="S23" s="197"/>
      <c r="T23" s="197"/>
      <c r="U23" s="197"/>
    </row>
    <row r="24" spans="1:21" s="12" customFormat="1" x14ac:dyDescent="0.25">
      <c r="A24" s="200" t="s">
        <v>839</v>
      </c>
      <c r="B24" s="60">
        <v>3.07</v>
      </c>
      <c r="C24" s="60">
        <v>9.66</v>
      </c>
      <c r="D24" s="60">
        <v>12.74</v>
      </c>
      <c r="E24" s="60">
        <v>3.12</v>
      </c>
      <c r="F24" s="60">
        <v>0.34</v>
      </c>
      <c r="G24" s="215" t="s">
        <v>36</v>
      </c>
      <c r="H24" s="60">
        <v>4.8</v>
      </c>
      <c r="I24" s="60">
        <v>5.71</v>
      </c>
      <c r="J24" s="60">
        <v>0.08</v>
      </c>
      <c r="K24" s="60">
        <v>280.10000000000002</v>
      </c>
      <c r="L24" s="60">
        <v>35.409999999999997</v>
      </c>
      <c r="M24" s="60">
        <v>99.03</v>
      </c>
      <c r="N24" s="60">
        <v>15.3</v>
      </c>
      <c r="O24" s="60">
        <v>0</v>
      </c>
      <c r="P24" s="60">
        <v>3.41</v>
      </c>
      <c r="Q24" s="60">
        <v>7.21</v>
      </c>
      <c r="R24" s="197"/>
      <c r="S24" s="197"/>
      <c r="T24" s="197"/>
      <c r="U24" s="197"/>
    </row>
    <row r="25" spans="1:21" s="12" customFormat="1" x14ac:dyDescent="0.25">
      <c r="A25" s="200" t="s">
        <v>840</v>
      </c>
      <c r="B25" s="60">
        <v>3.2</v>
      </c>
      <c r="C25" s="60">
        <v>9.5299999999999994</v>
      </c>
      <c r="D25" s="60">
        <v>12.73</v>
      </c>
      <c r="E25" s="60">
        <v>5.83</v>
      </c>
      <c r="F25" s="60">
        <v>0.39</v>
      </c>
      <c r="G25" s="215" t="s">
        <v>36</v>
      </c>
      <c r="H25" s="60">
        <v>6.68</v>
      </c>
      <c r="I25" s="60">
        <v>5.75</v>
      </c>
      <c r="J25" s="60">
        <v>0.12</v>
      </c>
      <c r="K25" s="60">
        <v>338.18</v>
      </c>
      <c r="L25" s="60">
        <v>35.200000000000003</v>
      </c>
      <c r="M25" s="60">
        <v>99.15</v>
      </c>
      <c r="N25" s="60">
        <v>15.4</v>
      </c>
      <c r="O25" s="60">
        <v>0</v>
      </c>
      <c r="P25" s="60">
        <v>3.42</v>
      </c>
      <c r="Q25" s="60">
        <v>7.38</v>
      </c>
      <c r="R25" s="197"/>
      <c r="S25" s="197"/>
      <c r="T25" s="197"/>
      <c r="U25" s="197"/>
    </row>
    <row r="26" spans="1:21" s="12" customFormat="1" x14ac:dyDescent="0.25">
      <c r="A26" s="200" t="s">
        <v>841</v>
      </c>
      <c r="B26" s="60">
        <v>3.47</v>
      </c>
      <c r="C26" s="60">
        <v>9.5</v>
      </c>
      <c r="D26" s="60">
        <v>12.98</v>
      </c>
      <c r="E26" s="60">
        <v>6.95</v>
      </c>
      <c r="F26" s="60">
        <v>0.35</v>
      </c>
      <c r="G26" s="215" t="s">
        <v>36</v>
      </c>
      <c r="H26" s="60">
        <v>11.23</v>
      </c>
      <c r="I26" s="60">
        <v>5.61</v>
      </c>
      <c r="J26" s="60">
        <v>0.13</v>
      </c>
      <c r="K26" s="60">
        <v>184.19</v>
      </c>
      <c r="L26" s="60">
        <v>35.08</v>
      </c>
      <c r="M26" s="60">
        <v>99.15</v>
      </c>
      <c r="N26" s="60">
        <v>15.2</v>
      </c>
      <c r="O26" s="60">
        <v>0</v>
      </c>
      <c r="P26" s="60">
        <v>3.42</v>
      </c>
      <c r="Q26" s="60">
        <v>7.39</v>
      </c>
      <c r="R26" s="197"/>
      <c r="S26" s="197"/>
      <c r="T26" s="197"/>
      <c r="U26" s="197"/>
    </row>
    <row r="27" spans="1:21" s="12" customFormat="1" x14ac:dyDescent="0.25">
      <c r="A27" s="200" t="s">
        <v>842</v>
      </c>
      <c r="B27" s="60">
        <v>3.81</v>
      </c>
      <c r="C27" s="60">
        <v>9.44</v>
      </c>
      <c r="D27" s="60">
        <v>13.26</v>
      </c>
      <c r="E27" s="60">
        <v>8.31</v>
      </c>
      <c r="F27" s="60">
        <v>0.5</v>
      </c>
      <c r="G27" s="215" t="s">
        <v>36</v>
      </c>
      <c r="H27" s="60">
        <v>11.23</v>
      </c>
      <c r="I27" s="60">
        <v>4.8099999999999996</v>
      </c>
      <c r="J27" s="60">
        <v>0.38</v>
      </c>
      <c r="K27" s="60">
        <v>302.56</v>
      </c>
      <c r="L27" s="60">
        <v>34.93</v>
      </c>
      <c r="M27" s="60">
        <v>98.71</v>
      </c>
      <c r="N27" s="60">
        <v>14.9</v>
      </c>
      <c r="O27" s="60">
        <v>0</v>
      </c>
      <c r="P27" s="60">
        <v>3.42</v>
      </c>
      <c r="Q27" s="60">
        <v>7.82</v>
      </c>
      <c r="R27" s="197"/>
      <c r="S27" s="197"/>
      <c r="T27" s="197"/>
      <c r="U27" s="197"/>
    </row>
    <row r="28" spans="1:21" s="12" customFormat="1" x14ac:dyDescent="0.25">
      <c r="A28" s="200" t="s">
        <v>843</v>
      </c>
      <c r="B28" s="60">
        <v>4.3600000000000003</v>
      </c>
      <c r="C28" s="60">
        <v>9.34</v>
      </c>
      <c r="D28" s="60">
        <v>13.7</v>
      </c>
      <c r="E28" s="60">
        <v>8.14</v>
      </c>
      <c r="F28" s="60">
        <v>0.61</v>
      </c>
      <c r="G28" s="215" t="s">
        <v>36</v>
      </c>
      <c r="H28" s="60">
        <v>11.23</v>
      </c>
      <c r="I28" s="60">
        <v>5.18</v>
      </c>
      <c r="J28" s="60">
        <v>0.34</v>
      </c>
      <c r="K28" s="60">
        <v>322.85000000000002</v>
      </c>
      <c r="L28" s="60">
        <v>35</v>
      </c>
      <c r="M28" s="60">
        <v>98.72</v>
      </c>
      <c r="N28" s="60">
        <v>14.9</v>
      </c>
      <c r="O28" s="60">
        <v>0</v>
      </c>
      <c r="P28" s="60">
        <v>3.43</v>
      </c>
      <c r="Q28" s="60">
        <v>8.17</v>
      </c>
      <c r="R28" s="197"/>
      <c r="S28" s="197"/>
      <c r="T28" s="197"/>
      <c r="U28" s="197"/>
    </row>
    <row r="29" spans="1:21" s="12" customFormat="1" x14ac:dyDescent="0.25">
      <c r="A29" s="200" t="s">
        <v>844</v>
      </c>
      <c r="B29" s="60">
        <v>4.7</v>
      </c>
      <c r="C29" s="60">
        <v>9.83</v>
      </c>
      <c r="D29" s="60">
        <v>14.53</v>
      </c>
      <c r="E29" s="60">
        <v>7.99</v>
      </c>
      <c r="F29" s="60">
        <v>0.47</v>
      </c>
      <c r="G29" s="215" t="s">
        <v>36</v>
      </c>
      <c r="H29" s="60">
        <v>11.25</v>
      </c>
      <c r="I29" s="60">
        <v>5.59</v>
      </c>
      <c r="J29" s="60">
        <v>0.3</v>
      </c>
      <c r="K29" s="60">
        <v>317.05</v>
      </c>
      <c r="L29" s="60">
        <v>34.880000000000003</v>
      </c>
      <c r="M29" s="60">
        <v>99.14</v>
      </c>
      <c r="N29" s="60">
        <v>15</v>
      </c>
      <c r="O29" s="60">
        <v>0</v>
      </c>
      <c r="P29" s="60">
        <v>3.43</v>
      </c>
      <c r="Q29" s="60">
        <v>7.81</v>
      </c>
      <c r="R29" s="197"/>
      <c r="S29" s="197"/>
      <c r="T29" s="197"/>
      <c r="U29" s="197"/>
    </row>
    <row r="30" spans="1:21" s="12" customFormat="1" x14ac:dyDescent="0.25">
      <c r="A30" s="200" t="s">
        <v>845</v>
      </c>
      <c r="B30" s="60">
        <v>5</v>
      </c>
      <c r="C30" s="60">
        <v>10.08</v>
      </c>
      <c r="D30" s="60">
        <v>15.08</v>
      </c>
      <c r="E30" s="60">
        <v>8.2799999999999994</v>
      </c>
      <c r="F30" s="60">
        <v>0.37</v>
      </c>
      <c r="G30" s="215" t="s">
        <v>36</v>
      </c>
      <c r="H30" s="60">
        <v>11.29</v>
      </c>
      <c r="I30" s="60">
        <v>5.87</v>
      </c>
      <c r="J30" s="60">
        <v>0.74</v>
      </c>
      <c r="K30" s="60">
        <v>314.89</v>
      </c>
      <c r="L30" s="60">
        <v>34.909999999999997</v>
      </c>
      <c r="M30" s="60">
        <v>98.72</v>
      </c>
      <c r="N30" s="60">
        <v>15.3</v>
      </c>
      <c r="O30" s="60">
        <v>0</v>
      </c>
      <c r="P30" s="60">
        <v>3.43</v>
      </c>
      <c r="Q30" s="60">
        <v>7.59</v>
      </c>
      <c r="R30" s="197"/>
      <c r="S30" s="197"/>
      <c r="T30" s="197"/>
      <c r="U30" s="197"/>
    </row>
    <row r="31" spans="1:21" s="12" customFormat="1" x14ac:dyDescent="0.25">
      <c r="A31" s="200" t="s">
        <v>846</v>
      </c>
      <c r="B31" s="60">
        <v>5.27</v>
      </c>
      <c r="C31" s="60">
        <v>10.41</v>
      </c>
      <c r="D31" s="60">
        <v>15.68</v>
      </c>
      <c r="E31" s="60">
        <v>7.89</v>
      </c>
      <c r="F31" s="60">
        <v>0.38</v>
      </c>
      <c r="G31" s="215" t="s">
        <v>36</v>
      </c>
      <c r="H31" s="60">
        <v>11.29</v>
      </c>
      <c r="I31" s="60">
        <v>5.92</v>
      </c>
      <c r="J31" s="60">
        <v>0.95</v>
      </c>
      <c r="K31" s="60">
        <v>311.63</v>
      </c>
      <c r="L31" s="60">
        <v>35.159999999999997</v>
      </c>
      <c r="M31" s="60">
        <v>99.15</v>
      </c>
      <c r="N31" s="60">
        <v>19.3</v>
      </c>
      <c r="O31" s="60">
        <v>0</v>
      </c>
      <c r="P31" s="60">
        <v>3.43</v>
      </c>
      <c r="Q31" s="60">
        <v>7.55</v>
      </c>
      <c r="R31" s="197"/>
      <c r="S31" s="197"/>
      <c r="T31" s="197"/>
      <c r="U31" s="197"/>
    </row>
    <row r="32" spans="1:21" s="12" customFormat="1" x14ac:dyDescent="0.25">
      <c r="A32" s="200" t="s">
        <v>847</v>
      </c>
      <c r="B32" s="60">
        <v>5.51</v>
      </c>
      <c r="C32" s="60">
        <v>10.74</v>
      </c>
      <c r="D32" s="60">
        <v>16.25</v>
      </c>
      <c r="E32" s="60">
        <v>7.43</v>
      </c>
      <c r="F32" s="60">
        <v>0.37</v>
      </c>
      <c r="G32" s="215" t="s">
        <v>36</v>
      </c>
      <c r="H32" s="60">
        <v>11.29</v>
      </c>
      <c r="I32" s="60">
        <v>5.96</v>
      </c>
      <c r="J32" s="60">
        <v>0.53</v>
      </c>
      <c r="K32" s="60">
        <v>305.88</v>
      </c>
      <c r="L32" s="60">
        <v>35.31</v>
      </c>
      <c r="M32" s="60">
        <v>99.15</v>
      </c>
      <c r="N32" s="60">
        <v>30.2</v>
      </c>
      <c r="O32" s="60">
        <v>0</v>
      </c>
      <c r="P32" s="60">
        <v>3.43</v>
      </c>
      <c r="Q32" s="60">
        <v>7.63</v>
      </c>
      <c r="R32" s="197"/>
      <c r="S32" s="197"/>
      <c r="T32" s="197"/>
      <c r="U32" s="197"/>
    </row>
    <row r="33" spans="1:21" s="12" customFormat="1" x14ac:dyDescent="0.25">
      <c r="A33" s="200" t="s">
        <v>848</v>
      </c>
      <c r="B33" s="60">
        <v>5.95</v>
      </c>
      <c r="C33" s="60">
        <v>10.99</v>
      </c>
      <c r="D33" s="60">
        <v>16.93</v>
      </c>
      <c r="E33" s="60">
        <v>7.87</v>
      </c>
      <c r="F33" s="60">
        <v>0.35</v>
      </c>
      <c r="G33" s="215" t="s">
        <v>36</v>
      </c>
      <c r="H33" s="60">
        <v>11.17</v>
      </c>
      <c r="I33" s="60">
        <v>5.97</v>
      </c>
      <c r="J33" s="60">
        <v>0.74</v>
      </c>
      <c r="K33" s="60">
        <v>331.67</v>
      </c>
      <c r="L33" s="60">
        <v>35.58</v>
      </c>
      <c r="M33" s="60">
        <v>99.13</v>
      </c>
      <c r="N33" s="60">
        <v>54.5</v>
      </c>
      <c r="O33" s="60">
        <v>0</v>
      </c>
      <c r="P33" s="60">
        <v>3.43</v>
      </c>
      <c r="Q33" s="60">
        <v>7.76</v>
      </c>
      <c r="R33" s="197"/>
      <c r="S33" s="197"/>
      <c r="T33" s="197"/>
      <c r="U33" s="197"/>
    </row>
    <row r="34" spans="1:21" s="12" customFormat="1" x14ac:dyDescent="0.25">
      <c r="A34" s="200" t="s">
        <v>849</v>
      </c>
      <c r="B34" s="60">
        <v>6.8</v>
      </c>
      <c r="C34" s="60">
        <v>11.59</v>
      </c>
      <c r="D34" s="60">
        <v>18.399999999999999</v>
      </c>
      <c r="E34" s="60">
        <v>7.56</v>
      </c>
      <c r="F34" s="60">
        <v>7.0000000000000007E-2</v>
      </c>
      <c r="G34" s="215" t="s">
        <v>36</v>
      </c>
      <c r="H34" s="60">
        <v>10.89</v>
      </c>
      <c r="I34" s="60">
        <v>5.93</v>
      </c>
      <c r="J34" s="60">
        <v>1.0900000000000001</v>
      </c>
      <c r="K34" s="60">
        <v>329.53</v>
      </c>
      <c r="L34" s="60">
        <v>36.200000000000003</v>
      </c>
      <c r="M34" s="60">
        <v>97.69</v>
      </c>
      <c r="N34" s="60">
        <v>91.8</v>
      </c>
      <c r="O34" s="60">
        <v>0</v>
      </c>
      <c r="P34" s="60">
        <v>3.44</v>
      </c>
      <c r="Q34" s="60">
        <v>8.0299999999999994</v>
      </c>
      <c r="R34" s="197"/>
      <c r="S34" s="197"/>
      <c r="T34" s="197"/>
      <c r="U34" s="197"/>
    </row>
    <row r="35" spans="1:21" s="12" customFormat="1" x14ac:dyDescent="0.25">
      <c r="A35" s="200" t="s">
        <v>850</v>
      </c>
      <c r="B35" s="60">
        <v>7.51</v>
      </c>
      <c r="C35" s="60">
        <v>11.57</v>
      </c>
      <c r="D35" s="60">
        <v>19.079999999999998</v>
      </c>
      <c r="E35" s="60">
        <v>8.24</v>
      </c>
      <c r="F35" s="60">
        <v>0.21</v>
      </c>
      <c r="G35" s="215" t="s">
        <v>36</v>
      </c>
      <c r="H35" s="60">
        <v>10.89</v>
      </c>
      <c r="I35" s="60">
        <v>5.93</v>
      </c>
      <c r="J35" s="60">
        <v>0.93</v>
      </c>
      <c r="K35" s="60">
        <v>316.64</v>
      </c>
      <c r="L35" s="60">
        <v>36.81</v>
      </c>
      <c r="M35" s="60">
        <v>95.18</v>
      </c>
      <c r="N35" s="60">
        <v>115</v>
      </c>
      <c r="O35" s="60">
        <v>0</v>
      </c>
      <c r="P35" s="60">
        <v>3.44</v>
      </c>
      <c r="Q35" s="60">
        <v>8.57</v>
      </c>
      <c r="R35" s="197"/>
      <c r="S35" s="197"/>
      <c r="T35" s="197"/>
      <c r="U35" s="197"/>
    </row>
    <row r="36" spans="1:21" s="12" customFormat="1" x14ac:dyDescent="0.25">
      <c r="A36" s="200" t="s">
        <v>851</v>
      </c>
      <c r="B36" s="60">
        <v>8.33</v>
      </c>
      <c r="C36" s="60">
        <v>11.57</v>
      </c>
      <c r="D36" s="60">
        <v>19.91</v>
      </c>
      <c r="E36" s="60">
        <v>8.16</v>
      </c>
      <c r="F36" s="60">
        <v>0.28999999999999998</v>
      </c>
      <c r="G36" s="215" t="s">
        <v>36</v>
      </c>
      <c r="H36" s="60">
        <v>10.89</v>
      </c>
      <c r="I36" s="60">
        <v>5.99</v>
      </c>
      <c r="J36" s="60">
        <v>0.81</v>
      </c>
      <c r="K36" s="60">
        <v>334.3</v>
      </c>
      <c r="L36" s="60">
        <v>37.24</v>
      </c>
      <c r="M36" s="60">
        <v>94.12</v>
      </c>
      <c r="N36" s="60">
        <v>129.6</v>
      </c>
      <c r="O36" s="60">
        <v>0</v>
      </c>
      <c r="P36" s="60">
        <v>3.45</v>
      </c>
      <c r="Q36" s="60">
        <v>9.33</v>
      </c>
      <c r="R36" s="197"/>
      <c r="S36" s="197"/>
      <c r="T36" s="197"/>
      <c r="U36" s="197"/>
    </row>
    <row r="37" spans="1:21" s="12" customFormat="1" x14ac:dyDescent="0.25">
      <c r="A37" s="200" t="s">
        <v>852</v>
      </c>
      <c r="B37" s="60">
        <v>9.11</v>
      </c>
      <c r="C37" s="60">
        <v>11.56</v>
      </c>
      <c r="D37" s="60">
        <v>20.67</v>
      </c>
      <c r="E37" s="60">
        <v>7.93</v>
      </c>
      <c r="F37" s="60">
        <v>0.45</v>
      </c>
      <c r="G37" s="215" t="s">
        <v>36</v>
      </c>
      <c r="H37" s="60">
        <v>11.88</v>
      </c>
      <c r="I37" s="60">
        <v>6.02</v>
      </c>
      <c r="J37" s="60">
        <v>0.89</v>
      </c>
      <c r="K37" s="60">
        <v>347.86</v>
      </c>
      <c r="L37" s="60">
        <v>37.35</v>
      </c>
      <c r="M37" s="60">
        <v>91.81</v>
      </c>
      <c r="N37" s="60">
        <v>115.1</v>
      </c>
      <c r="O37" s="60">
        <v>0</v>
      </c>
      <c r="P37" s="60">
        <v>3.49</v>
      </c>
      <c r="Q37" s="60">
        <v>10.02</v>
      </c>
      <c r="R37" s="197"/>
      <c r="S37" s="197"/>
      <c r="T37" s="197"/>
      <c r="U37" s="197"/>
    </row>
    <row r="38" spans="1:21" s="12" customFormat="1" x14ac:dyDescent="0.25">
      <c r="A38" s="200" t="s">
        <v>853</v>
      </c>
      <c r="B38" s="60">
        <v>10.43</v>
      </c>
      <c r="C38" s="60">
        <v>11.73</v>
      </c>
      <c r="D38" s="60">
        <v>22.16</v>
      </c>
      <c r="E38" s="60">
        <v>7.93</v>
      </c>
      <c r="F38" s="60">
        <v>0.34</v>
      </c>
      <c r="G38" s="215" t="s">
        <v>36</v>
      </c>
      <c r="H38" s="60">
        <v>14.47</v>
      </c>
      <c r="I38" s="60">
        <v>6.08</v>
      </c>
      <c r="J38" s="60">
        <v>0.79</v>
      </c>
      <c r="K38" s="60">
        <v>325.99</v>
      </c>
      <c r="L38" s="60">
        <v>38.07</v>
      </c>
      <c r="M38" s="60">
        <v>90.1</v>
      </c>
      <c r="N38" s="60">
        <v>231.2</v>
      </c>
      <c r="O38" s="60">
        <v>0</v>
      </c>
      <c r="P38" s="60">
        <v>3.53</v>
      </c>
      <c r="Q38" s="60">
        <v>10.77</v>
      </c>
      <c r="R38" s="197"/>
      <c r="S38" s="197"/>
      <c r="T38" s="197"/>
      <c r="U38" s="197"/>
    </row>
    <row r="39" spans="1:21" s="12" customFormat="1" x14ac:dyDescent="0.25">
      <c r="A39" s="200" t="s">
        <v>854</v>
      </c>
      <c r="B39" s="60">
        <v>11.63</v>
      </c>
      <c r="C39" s="60">
        <v>12.24</v>
      </c>
      <c r="D39" s="60">
        <v>23.87</v>
      </c>
      <c r="E39" s="60">
        <v>8.01</v>
      </c>
      <c r="F39" s="60">
        <v>0.4</v>
      </c>
      <c r="G39" s="215" t="s">
        <v>36</v>
      </c>
      <c r="H39" s="60">
        <v>14.47</v>
      </c>
      <c r="I39" s="60">
        <v>6.19</v>
      </c>
      <c r="J39" s="60">
        <v>0.88</v>
      </c>
      <c r="K39" s="60">
        <v>341.48</v>
      </c>
      <c r="L39" s="60">
        <v>39.340000000000003</v>
      </c>
      <c r="M39" s="60">
        <v>84.66</v>
      </c>
      <c r="N39" s="60">
        <v>255.5</v>
      </c>
      <c r="O39" s="60">
        <v>0</v>
      </c>
      <c r="P39" s="60">
        <v>3.57</v>
      </c>
      <c r="Q39" s="60">
        <v>11.58</v>
      </c>
      <c r="R39" s="197"/>
      <c r="S39" s="197"/>
      <c r="T39" s="197"/>
      <c r="U39" s="197"/>
    </row>
    <row r="40" spans="1:21" s="12" customFormat="1" x14ac:dyDescent="0.25">
      <c r="A40" s="200" t="s">
        <v>855</v>
      </c>
      <c r="B40" s="60">
        <v>13.11</v>
      </c>
      <c r="C40" s="60">
        <v>12.6</v>
      </c>
      <c r="D40" s="60">
        <v>25.72</v>
      </c>
      <c r="E40" s="60">
        <v>3.17</v>
      </c>
      <c r="F40" s="60">
        <v>0.47</v>
      </c>
      <c r="G40" s="215" t="s">
        <v>36</v>
      </c>
      <c r="H40" s="60">
        <v>14.47</v>
      </c>
      <c r="I40" s="60">
        <v>6.44</v>
      </c>
      <c r="J40" s="60">
        <v>0.66</v>
      </c>
      <c r="K40" s="60">
        <v>341.78</v>
      </c>
      <c r="L40" s="60">
        <v>40.72</v>
      </c>
      <c r="M40" s="60">
        <v>80.540000000000006</v>
      </c>
      <c r="N40" s="60">
        <v>357</v>
      </c>
      <c r="O40" s="60">
        <v>0</v>
      </c>
      <c r="P40" s="60">
        <v>3.61</v>
      </c>
      <c r="Q40" s="60">
        <v>12.49</v>
      </c>
      <c r="R40" s="197"/>
      <c r="S40" s="197"/>
      <c r="T40" s="197"/>
      <c r="U40" s="197"/>
    </row>
    <row r="41" spans="1:21" s="12" customFormat="1" x14ac:dyDescent="0.25">
      <c r="A41" s="200" t="s">
        <v>856</v>
      </c>
      <c r="B41" s="60">
        <v>14.6</v>
      </c>
      <c r="C41" s="60">
        <v>12.96</v>
      </c>
      <c r="D41" s="60">
        <v>27.56</v>
      </c>
      <c r="E41" s="60">
        <v>6.35</v>
      </c>
      <c r="F41" s="60">
        <v>0.32</v>
      </c>
      <c r="G41" s="215" t="s">
        <v>36</v>
      </c>
      <c r="H41" s="60">
        <v>18.98</v>
      </c>
      <c r="I41" s="60">
        <v>6.65</v>
      </c>
      <c r="J41" s="60">
        <v>0.52</v>
      </c>
      <c r="K41" s="60">
        <v>354.04</v>
      </c>
      <c r="L41" s="60">
        <v>41.64</v>
      </c>
      <c r="M41" s="60">
        <v>78.739999999999995</v>
      </c>
      <c r="N41" s="60">
        <v>257.39999999999998</v>
      </c>
      <c r="O41" s="60">
        <v>0</v>
      </c>
      <c r="P41" s="60">
        <v>3.63</v>
      </c>
      <c r="Q41" s="60">
        <v>13.31</v>
      </c>
      <c r="R41" s="197"/>
      <c r="S41" s="197"/>
      <c r="T41" s="197"/>
      <c r="U41" s="197"/>
    </row>
    <row r="42" spans="1:21" s="12" customFormat="1" x14ac:dyDescent="0.25">
      <c r="A42" s="200" t="s">
        <v>857</v>
      </c>
      <c r="B42" s="60">
        <v>16.38</v>
      </c>
      <c r="C42" s="60">
        <v>13.24</v>
      </c>
      <c r="D42" s="60">
        <v>29.62</v>
      </c>
      <c r="E42" s="60">
        <v>8.1</v>
      </c>
      <c r="F42" s="60">
        <v>0.57999999999999996</v>
      </c>
      <c r="G42" s="215" t="s">
        <v>36</v>
      </c>
      <c r="H42" s="60">
        <v>30.09</v>
      </c>
      <c r="I42" s="60">
        <v>6.82</v>
      </c>
      <c r="J42" s="60">
        <v>0.63</v>
      </c>
      <c r="K42" s="60">
        <v>4.13</v>
      </c>
      <c r="L42" s="60">
        <v>42.14</v>
      </c>
      <c r="M42" s="60">
        <v>80.849999999999994</v>
      </c>
      <c r="N42" s="60">
        <v>301.10000000000002</v>
      </c>
      <c r="O42" s="60">
        <v>0</v>
      </c>
      <c r="P42" s="60">
        <v>3.67</v>
      </c>
      <c r="Q42" s="60">
        <v>14.49</v>
      </c>
      <c r="R42" s="197"/>
      <c r="S42" s="197"/>
      <c r="T42" s="197"/>
      <c r="U42" s="197"/>
    </row>
    <row r="43" spans="1:21" s="12" customFormat="1" x14ac:dyDescent="0.25">
      <c r="A43" s="200" t="s">
        <v>858</v>
      </c>
      <c r="B43" s="60">
        <v>17.7</v>
      </c>
      <c r="C43" s="60">
        <v>14.17</v>
      </c>
      <c r="D43" s="60">
        <v>31.87</v>
      </c>
      <c r="E43" s="60">
        <v>8.08</v>
      </c>
      <c r="F43" s="60">
        <v>0.43</v>
      </c>
      <c r="G43" s="215" t="s">
        <v>36</v>
      </c>
      <c r="H43" s="60">
        <v>30.09</v>
      </c>
      <c r="I43" s="60">
        <v>6.79</v>
      </c>
      <c r="J43" s="60">
        <v>0.76</v>
      </c>
      <c r="K43" s="60">
        <v>340.88</v>
      </c>
      <c r="L43" s="60">
        <v>43.81</v>
      </c>
      <c r="M43" s="60">
        <v>77.650000000000006</v>
      </c>
      <c r="N43" s="60">
        <v>404.4</v>
      </c>
      <c r="O43" s="60">
        <v>0</v>
      </c>
      <c r="P43" s="60">
        <v>3.72</v>
      </c>
      <c r="Q43" s="60">
        <v>14.92</v>
      </c>
      <c r="R43" s="197"/>
      <c r="S43" s="197"/>
      <c r="T43" s="197"/>
      <c r="U43" s="197"/>
    </row>
    <row r="44" spans="1:21" s="12" customFormat="1" x14ac:dyDescent="0.25">
      <c r="A44" s="200" t="s">
        <v>859</v>
      </c>
      <c r="B44" s="60">
        <v>18.39</v>
      </c>
      <c r="C44" s="60">
        <v>15.16</v>
      </c>
      <c r="D44" s="60">
        <v>33.549999999999997</v>
      </c>
      <c r="E44" s="60">
        <v>7.92</v>
      </c>
      <c r="F44" s="60">
        <v>0.4</v>
      </c>
      <c r="G44" s="215" t="s">
        <v>36</v>
      </c>
      <c r="H44" s="60">
        <v>30.09</v>
      </c>
      <c r="I44" s="60">
        <v>7.05</v>
      </c>
      <c r="J44" s="60">
        <v>1.1599999999999999</v>
      </c>
      <c r="K44" s="60">
        <v>327.06</v>
      </c>
      <c r="L44" s="60">
        <v>44.59</v>
      </c>
      <c r="M44" s="60">
        <v>74.08</v>
      </c>
      <c r="N44" s="60">
        <v>437.9</v>
      </c>
      <c r="O44" s="60">
        <v>0</v>
      </c>
      <c r="P44" s="60">
        <v>3.76</v>
      </c>
      <c r="Q44" s="60">
        <v>14.9</v>
      </c>
      <c r="R44" s="197"/>
      <c r="S44" s="197"/>
      <c r="T44" s="197"/>
      <c r="U44" s="197"/>
    </row>
    <row r="45" spans="1:21" s="12" customFormat="1" x14ac:dyDescent="0.25">
      <c r="A45" s="200" t="s">
        <v>860</v>
      </c>
      <c r="B45" s="60">
        <v>18.7</v>
      </c>
      <c r="C45" s="60">
        <v>16.03</v>
      </c>
      <c r="D45" s="60">
        <v>34.74</v>
      </c>
      <c r="E45" s="60">
        <v>7.9</v>
      </c>
      <c r="F45" s="60">
        <v>0.4</v>
      </c>
      <c r="G45" s="215" t="s">
        <v>36</v>
      </c>
      <c r="H45" s="60">
        <v>31.16</v>
      </c>
      <c r="I45" s="60">
        <v>7.27</v>
      </c>
      <c r="J45" s="60">
        <v>1.6</v>
      </c>
      <c r="K45" s="60">
        <v>337.55</v>
      </c>
      <c r="L45" s="60">
        <v>44.59</v>
      </c>
      <c r="M45" s="60">
        <v>73.290000000000006</v>
      </c>
      <c r="N45" s="60">
        <v>510.3</v>
      </c>
      <c r="O45" s="60">
        <v>0</v>
      </c>
      <c r="P45" s="60">
        <v>3.78</v>
      </c>
      <c r="Q45" s="60">
        <v>14.95</v>
      </c>
      <c r="R45" s="197"/>
      <c r="S45" s="197"/>
      <c r="T45" s="197"/>
      <c r="U45" s="197"/>
    </row>
    <row r="46" spans="1:21" s="12" customFormat="1" x14ac:dyDescent="0.25">
      <c r="A46" s="200" t="s">
        <v>861</v>
      </c>
      <c r="B46" s="60">
        <v>18.77</v>
      </c>
      <c r="C46" s="60">
        <v>16.95</v>
      </c>
      <c r="D46" s="60">
        <v>35.72</v>
      </c>
      <c r="E46" s="60">
        <v>7.74</v>
      </c>
      <c r="F46" s="60">
        <v>0.43</v>
      </c>
      <c r="G46" s="215" t="s">
        <v>36</v>
      </c>
      <c r="H46" s="60">
        <v>33.81</v>
      </c>
      <c r="I46" s="60">
        <v>7.44</v>
      </c>
      <c r="J46" s="60">
        <v>1.42</v>
      </c>
      <c r="K46" s="60">
        <v>338.19</v>
      </c>
      <c r="L46" s="60">
        <v>45.21</v>
      </c>
      <c r="M46" s="60">
        <v>71.849999999999994</v>
      </c>
      <c r="N46" s="60">
        <v>377.3</v>
      </c>
      <c r="O46" s="60">
        <v>0</v>
      </c>
      <c r="P46" s="60">
        <v>3.8</v>
      </c>
      <c r="Q46" s="60">
        <v>14.95</v>
      </c>
      <c r="R46" s="197"/>
      <c r="S46" s="197"/>
      <c r="T46" s="197"/>
      <c r="U46" s="197"/>
    </row>
    <row r="47" spans="1:21" s="12" customFormat="1" x14ac:dyDescent="0.25">
      <c r="A47" s="200" t="s">
        <v>862</v>
      </c>
      <c r="B47" s="60">
        <v>18.8</v>
      </c>
      <c r="C47" s="60">
        <v>17.71</v>
      </c>
      <c r="D47" s="60">
        <v>36.5</v>
      </c>
      <c r="E47" s="60">
        <v>7.3</v>
      </c>
      <c r="F47" s="60">
        <v>0.24</v>
      </c>
      <c r="G47" s="215" t="s">
        <v>36</v>
      </c>
      <c r="H47" s="60">
        <v>33.81</v>
      </c>
      <c r="I47" s="60">
        <v>7.55</v>
      </c>
      <c r="J47" s="60">
        <v>1.51</v>
      </c>
      <c r="K47" s="60">
        <v>341.58</v>
      </c>
      <c r="L47" s="60">
        <v>44.42</v>
      </c>
      <c r="M47" s="60">
        <v>73.33</v>
      </c>
      <c r="N47" s="60">
        <v>391.3</v>
      </c>
      <c r="O47" s="60">
        <v>0</v>
      </c>
      <c r="P47" s="60">
        <v>3.83</v>
      </c>
      <c r="Q47" s="60">
        <v>14.92</v>
      </c>
      <c r="R47" s="197"/>
      <c r="S47" s="197"/>
      <c r="T47" s="197"/>
      <c r="U47" s="197"/>
    </row>
    <row r="48" spans="1:21" s="12" customFormat="1" x14ac:dyDescent="0.25">
      <c r="A48" s="200" t="s">
        <v>863</v>
      </c>
      <c r="B48" s="60">
        <v>18.649999999999999</v>
      </c>
      <c r="C48" s="60">
        <v>17.8</v>
      </c>
      <c r="D48" s="60">
        <v>36.450000000000003</v>
      </c>
      <c r="E48" s="60">
        <v>7.19</v>
      </c>
      <c r="F48" s="60">
        <v>0.31</v>
      </c>
      <c r="G48" s="215" t="s">
        <v>36</v>
      </c>
      <c r="H48" s="60">
        <v>33.81</v>
      </c>
      <c r="I48" s="60">
        <v>7.57</v>
      </c>
      <c r="J48" s="60">
        <v>1.1599999999999999</v>
      </c>
      <c r="K48" s="60">
        <v>336.98</v>
      </c>
      <c r="L48" s="60">
        <v>45.05</v>
      </c>
      <c r="M48" s="60">
        <v>73.53</v>
      </c>
      <c r="N48" s="60">
        <v>381.2</v>
      </c>
      <c r="O48" s="60">
        <v>0</v>
      </c>
      <c r="P48" s="60">
        <v>3.84</v>
      </c>
      <c r="Q48" s="60">
        <v>14.75</v>
      </c>
      <c r="R48" s="197"/>
      <c r="S48" s="197"/>
      <c r="T48" s="197"/>
      <c r="U48" s="197"/>
    </row>
    <row r="49" spans="1:21" s="12" customFormat="1" x14ac:dyDescent="0.25">
      <c r="A49" s="200" t="s">
        <v>864</v>
      </c>
      <c r="B49" s="60">
        <v>18.11</v>
      </c>
      <c r="C49" s="60">
        <v>17.989999999999998</v>
      </c>
      <c r="D49" s="60">
        <v>36.1</v>
      </c>
      <c r="E49" s="60">
        <v>6.97</v>
      </c>
      <c r="F49" s="60">
        <v>0.36</v>
      </c>
      <c r="G49" s="215" t="s">
        <v>36</v>
      </c>
      <c r="H49" s="60">
        <v>34.49</v>
      </c>
      <c r="I49" s="60">
        <v>7.62</v>
      </c>
      <c r="J49" s="60">
        <v>2.04</v>
      </c>
      <c r="K49" s="60">
        <v>339.95</v>
      </c>
      <c r="L49" s="60">
        <v>46.32</v>
      </c>
      <c r="M49" s="60">
        <v>70.37</v>
      </c>
      <c r="N49" s="60">
        <v>691.7</v>
      </c>
      <c r="O49" s="60">
        <v>0</v>
      </c>
      <c r="P49" s="60">
        <v>3.84</v>
      </c>
      <c r="Q49" s="60">
        <v>14.59</v>
      </c>
      <c r="R49" s="197"/>
      <c r="S49" s="197"/>
      <c r="T49" s="197"/>
      <c r="U49" s="197"/>
    </row>
    <row r="50" spans="1:21" s="12" customFormat="1" x14ac:dyDescent="0.25">
      <c r="A50" s="200" t="s">
        <v>865</v>
      </c>
      <c r="B50" s="60">
        <v>17.760000000000002</v>
      </c>
      <c r="C50" s="60">
        <v>18.48</v>
      </c>
      <c r="D50" s="60">
        <v>36.229999999999997</v>
      </c>
      <c r="E50" s="60">
        <v>6.54</v>
      </c>
      <c r="F50" s="60">
        <v>0.37</v>
      </c>
      <c r="G50" s="215" t="s">
        <v>36</v>
      </c>
      <c r="H50" s="60">
        <v>36.15</v>
      </c>
      <c r="I50" s="60">
        <v>7.37</v>
      </c>
      <c r="J50" s="60">
        <v>1.32</v>
      </c>
      <c r="K50" s="60">
        <v>356.82</v>
      </c>
      <c r="L50" s="60">
        <v>44.89</v>
      </c>
      <c r="M50" s="60">
        <v>68.33</v>
      </c>
      <c r="N50" s="60">
        <v>751.2</v>
      </c>
      <c r="O50" s="60">
        <v>0</v>
      </c>
      <c r="P50" s="60">
        <v>3.85</v>
      </c>
      <c r="Q50" s="60">
        <v>14.69</v>
      </c>
      <c r="R50" s="197"/>
      <c r="S50" s="197"/>
      <c r="T50" s="197"/>
      <c r="U50" s="197"/>
    </row>
    <row r="51" spans="1:21" s="12" customFormat="1" x14ac:dyDescent="0.25">
      <c r="A51" s="200" t="s">
        <v>866</v>
      </c>
      <c r="B51" s="60">
        <v>17.29</v>
      </c>
      <c r="C51" s="60">
        <v>18.46</v>
      </c>
      <c r="D51" s="60">
        <v>35.75</v>
      </c>
      <c r="E51" s="60">
        <v>6.59</v>
      </c>
      <c r="F51" s="60">
        <v>0.46</v>
      </c>
      <c r="G51" s="215" t="s">
        <v>36</v>
      </c>
      <c r="H51" s="60">
        <v>36.15</v>
      </c>
      <c r="I51" s="60">
        <v>7.23</v>
      </c>
      <c r="J51" s="60">
        <v>1.43</v>
      </c>
      <c r="K51" s="60">
        <v>352.78</v>
      </c>
      <c r="L51" s="60">
        <v>45.33</v>
      </c>
      <c r="M51" s="60">
        <v>67.33</v>
      </c>
      <c r="N51" s="60">
        <v>656.5</v>
      </c>
      <c r="O51" s="60">
        <v>0</v>
      </c>
      <c r="P51" s="60">
        <v>3.87</v>
      </c>
      <c r="Q51" s="60">
        <v>14.78</v>
      </c>
      <c r="R51" s="197"/>
      <c r="S51" s="197"/>
      <c r="T51" s="197"/>
      <c r="U51" s="197"/>
    </row>
    <row r="52" spans="1:21" s="12" customFormat="1" x14ac:dyDescent="0.25">
      <c r="A52" s="200" t="s">
        <v>867</v>
      </c>
      <c r="B52" s="60">
        <v>16.57</v>
      </c>
      <c r="C52" s="60">
        <v>18.82</v>
      </c>
      <c r="D52" s="60">
        <v>35.39</v>
      </c>
      <c r="E52" s="60">
        <v>6.47</v>
      </c>
      <c r="F52" s="60">
        <v>0.62</v>
      </c>
      <c r="G52" s="215" t="s">
        <v>36</v>
      </c>
      <c r="H52" s="60">
        <v>36.15</v>
      </c>
      <c r="I52" s="60">
        <v>7.04</v>
      </c>
      <c r="J52" s="60">
        <v>1.42</v>
      </c>
      <c r="K52" s="60">
        <v>358.15</v>
      </c>
      <c r="L52" s="60">
        <v>45.56</v>
      </c>
      <c r="M52" s="60">
        <v>65.87</v>
      </c>
      <c r="N52" s="60">
        <v>812.7</v>
      </c>
      <c r="O52" s="60">
        <v>0</v>
      </c>
      <c r="P52" s="60">
        <v>3.87</v>
      </c>
      <c r="Q52" s="60">
        <v>14.94</v>
      </c>
      <c r="R52" s="197"/>
      <c r="S52" s="197"/>
      <c r="T52" s="197"/>
      <c r="U52" s="197"/>
    </row>
    <row r="53" spans="1:21" s="12" customFormat="1" x14ac:dyDescent="0.25">
      <c r="A53" s="200" t="s">
        <v>868</v>
      </c>
      <c r="B53" s="60">
        <v>16.21</v>
      </c>
      <c r="C53" s="60">
        <v>19.600000000000001</v>
      </c>
      <c r="D53" s="60">
        <v>35.81</v>
      </c>
      <c r="E53" s="60">
        <v>6.42</v>
      </c>
      <c r="F53" s="60">
        <v>0.53</v>
      </c>
      <c r="G53" s="215" t="s">
        <v>36</v>
      </c>
      <c r="H53" s="60">
        <v>34.6</v>
      </c>
      <c r="I53" s="60">
        <v>6.3</v>
      </c>
      <c r="J53" s="60">
        <v>1.42</v>
      </c>
      <c r="K53" s="60">
        <v>6.8</v>
      </c>
      <c r="L53" s="60">
        <v>44.87</v>
      </c>
      <c r="M53" s="60">
        <v>66.12</v>
      </c>
      <c r="N53" s="60">
        <v>789.1</v>
      </c>
      <c r="O53" s="60">
        <v>0</v>
      </c>
      <c r="P53" s="60">
        <v>3.87</v>
      </c>
      <c r="Q53" s="60">
        <v>15.34</v>
      </c>
      <c r="R53" s="197"/>
      <c r="S53" s="197"/>
      <c r="T53" s="197"/>
      <c r="U53" s="197"/>
    </row>
    <row r="54" spans="1:21" s="12" customFormat="1" x14ac:dyDescent="0.25">
      <c r="A54" s="200" t="s">
        <v>869</v>
      </c>
      <c r="B54" s="60">
        <v>15.81</v>
      </c>
      <c r="C54" s="60">
        <v>19.84</v>
      </c>
      <c r="D54" s="60">
        <v>35.65</v>
      </c>
      <c r="E54" s="60">
        <v>6.46</v>
      </c>
      <c r="F54" s="60">
        <v>0.66</v>
      </c>
      <c r="G54" s="215" t="s">
        <v>36</v>
      </c>
      <c r="H54" s="60">
        <v>30.77</v>
      </c>
      <c r="I54" s="60">
        <v>6.65</v>
      </c>
      <c r="J54" s="60">
        <v>1.62</v>
      </c>
      <c r="K54" s="60">
        <v>359.87</v>
      </c>
      <c r="L54" s="60">
        <v>44.8</v>
      </c>
      <c r="M54" s="60">
        <v>65.88</v>
      </c>
      <c r="N54" s="60">
        <v>794.7</v>
      </c>
      <c r="O54" s="60">
        <v>0</v>
      </c>
      <c r="P54" s="60">
        <v>3.86</v>
      </c>
      <c r="Q54" s="60">
        <v>15.5</v>
      </c>
      <c r="R54" s="197"/>
      <c r="S54" s="197"/>
      <c r="T54" s="197"/>
      <c r="U54" s="197"/>
    </row>
    <row r="55" spans="1:21" s="12" customFormat="1" x14ac:dyDescent="0.25">
      <c r="A55" s="200" t="s">
        <v>870</v>
      </c>
      <c r="B55" s="60">
        <v>15.21</v>
      </c>
      <c r="C55" s="60">
        <v>19.989999999999998</v>
      </c>
      <c r="D55" s="60">
        <v>35.19</v>
      </c>
      <c r="E55" s="60">
        <v>6.74</v>
      </c>
      <c r="F55" s="60">
        <v>0.67</v>
      </c>
      <c r="G55" s="215" t="s">
        <v>36</v>
      </c>
      <c r="H55" s="60">
        <v>30.77</v>
      </c>
      <c r="I55" s="60">
        <v>6.72</v>
      </c>
      <c r="J55" s="60">
        <v>0.85</v>
      </c>
      <c r="K55" s="60">
        <v>26.39</v>
      </c>
      <c r="L55" s="60">
        <v>44.09</v>
      </c>
      <c r="M55" s="60">
        <v>68.12</v>
      </c>
      <c r="N55" s="60">
        <v>480.7</v>
      </c>
      <c r="O55" s="60">
        <v>0</v>
      </c>
      <c r="P55" s="60">
        <v>3.86</v>
      </c>
      <c r="Q55" s="60">
        <v>15.44</v>
      </c>
      <c r="R55" s="197"/>
      <c r="S55" s="197"/>
      <c r="T55" s="197"/>
      <c r="U55" s="197"/>
    </row>
    <row r="56" spans="1:21" s="12" customFormat="1" x14ac:dyDescent="0.25">
      <c r="A56" s="200" t="s">
        <v>871</v>
      </c>
      <c r="B56" s="60">
        <v>15.01</v>
      </c>
      <c r="C56" s="60">
        <v>20.49</v>
      </c>
      <c r="D56" s="60">
        <v>35.5</v>
      </c>
      <c r="E56" s="60">
        <v>3.09</v>
      </c>
      <c r="F56" s="60">
        <v>0.48</v>
      </c>
      <c r="G56" s="215" t="s">
        <v>36</v>
      </c>
      <c r="H56" s="60">
        <v>30.77</v>
      </c>
      <c r="I56" s="60">
        <v>6.72</v>
      </c>
      <c r="J56" s="60">
        <v>1.48</v>
      </c>
      <c r="K56" s="60">
        <v>355.24</v>
      </c>
      <c r="L56" s="60">
        <v>45.73</v>
      </c>
      <c r="M56" s="60">
        <v>64.83</v>
      </c>
      <c r="N56" s="60">
        <v>1001.5</v>
      </c>
      <c r="O56" s="60">
        <v>0</v>
      </c>
      <c r="P56" s="60">
        <v>3.85</v>
      </c>
      <c r="Q56" s="60">
        <v>15.3</v>
      </c>
      <c r="R56" s="197"/>
      <c r="S56" s="197"/>
      <c r="T56" s="197"/>
      <c r="U56" s="197"/>
    </row>
    <row r="57" spans="1:21" s="12" customFormat="1" x14ac:dyDescent="0.25">
      <c r="A57" s="200" t="s">
        <v>872</v>
      </c>
      <c r="B57" s="60">
        <v>14.31</v>
      </c>
      <c r="C57" s="60">
        <v>20.010000000000002</v>
      </c>
      <c r="D57" s="60">
        <v>34.32</v>
      </c>
      <c r="E57" s="60">
        <v>4.8</v>
      </c>
      <c r="F57" s="60">
        <v>0.99</v>
      </c>
      <c r="G57" s="215" t="s">
        <v>36</v>
      </c>
      <c r="H57" s="60">
        <v>30.71</v>
      </c>
      <c r="I57" s="60">
        <v>6.44</v>
      </c>
      <c r="J57" s="60">
        <v>0.82</v>
      </c>
      <c r="K57" s="60">
        <v>15.23</v>
      </c>
      <c r="L57" s="60">
        <v>46.32</v>
      </c>
      <c r="M57" s="60">
        <v>63.63</v>
      </c>
      <c r="N57" s="60">
        <v>673.8</v>
      </c>
      <c r="O57" s="60">
        <v>0</v>
      </c>
      <c r="P57" s="60">
        <v>3.85</v>
      </c>
      <c r="Q57" s="60">
        <v>15.35</v>
      </c>
      <c r="R57" s="197"/>
      <c r="S57" s="197"/>
      <c r="T57" s="197"/>
      <c r="U57" s="197"/>
    </row>
    <row r="58" spans="1:21" s="12" customFormat="1" x14ac:dyDescent="0.25">
      <c r="A58" s="200" t="s">
        <v>873</v>
      </c>
      <c r="B58" s="60">
        <v>13.82</v>
      </c>
      <c r="C58" s="60">
        <v>20.5</v>
      </c>
      <c r="D58" s="60">
        <v>34.32</v>
      </c>
      <c r="E58" s="60">
        <v>5.99</v>
      </c>
      <c r="F58" s="60">
        <v>0.8</v>
      </c>
      <c r="G58" s="215" t="s">
        <v>36</v>
      </c>
      <c r="H58" s="60">
        <v>30.58</v>
      </c>
      <c r="I58" s="60">
        <v>6.75</v>
      </c>
      <c r="J58" s="60">
        <v>0.91</v>
      </c>
      <c r="K58" s="60">
        <v>13.68</v>
      </c>
      <c r="L58" s="60">
        <v>46.02</v>
      </c>
      <c r="M58" s="60">
        <v>64.849999999999994</v>
      </c>
      <c r="N58" s="60">
        <v>746.7</v>
      </c>
      <c r="O58" s="60">
        <v>0</v>
      </c>
      <c r="P58" s="60">
        <v>3.85</v>
      </c>
      <c r="Q58" s="60">
        <v>14.83</v>
      </c>
      <c r="R58" s="197"/>
      <c r="S58" s="197"/>
      <c r="T58" s="197"/>
      <c r="U58" s="197"/>
    </row>
    <row r="59" spans="1:21" s="12" customFormat="1" x14ac:dyDescent="0.25">
      <c r="A59" s="200" t="s">
        <v>874</v>
      </c>
      <c r="B59" s="60">
        <v>12.92</v>
      </c>
      <c r="C59" s="60">
        <v>21.01</v>
      </c>
      <c r="D59" s="60">
        <v>33.92</v>
      </c>
      <c r="E59" s="60">
        <v>6.94</v>
      </c>
      <c r="F59" s="60">
        <v>0.81</v>
      </c>
      <c r="G59" s="215" t="s">
        <v>36</v>
      </c>
      <c r="H59" s="60">
        <v>30.58</v>
      </c>
      <c r="I59" s="60">
        <v>6.81</v>
      </c>
      <c r="J59" s="60">
        <v>0.92</v>
      </c>
      <c r="K59" s="60">
        <v>42.77</v>
      </c>
      <c r="L59" s="60">
        <v>45.3</v>
      </c>
      <c r="M59" s="60">
        <v>66.52</v>
      </c>
      <c r="N59" s="60">
        <v>699.5</v>
      </c>
      <c r="O59" s="60">
        <v>0</v>
      </c>
      <c r="P59" s="60">
        <v>3.85</v>
      </c>
      <c r="Q59" s="60">
        <v>14.13</v>
      </c>
      <c r="R59" s="197"/>
      <c r="S59" s="197"/>
      <c r="T59" s="197"/>
      <c r="U59" s="197"/>
    </row>
    <row r="60" spans="1:21" s="12" customFormat="1" x14ac:dyDescent="0.25">
      <c r="A60" s="200" t="s">
        <v>875</v>
      </c>
      <c r="B60" s="60">
        <v>11.19</v>
      </c>
      <c r="C60" s="60">
        <v>20.91</v>
      </c>
      <c r="D60" s="60">
        <v>32.1</v>
      </c>
      <c r="E60" s="60">
        <v>6.75</v>
      </c>
      <c r="F60" s="60">
        <v>1.05</v>
      </c>
      <c r="G60" s="215" t="s">
        <v>36</v>
      </c>
      <c r="H60" s="60">
        <v>30.58</v>
      </c>
      <c r="I60" s="60">
        <v>7</v>
      </c>
      <c r="J60" s="60">
        <v>1.57</v>
      </c>
      <c r="K60" s="60">
        <v>349.98</v>
      </c>
      <c r="L60" s="60">
        <v>46.05</v>
      </c>
      <c r="M60" s="60">
        <v>61.59</v>
      </c>
      <c r="N60" s="60">
        <v>511.1</v>
      </c>
      <c r="O60" s="60">
        <v>0</v>
      </c>
      <c r="P60" s="60">
        <v>3.84</v>
      </c>
      <c r="Q60" s="60">
        <v>13.16</v>
      </c>
      <c r="R60" s="197"/>
      <c r="S60" s="197"/>
      <c r="T60" s="197"/>
      <c r="U60" s="197"/>
    </row>
    <row r="61" spans="1:21" s="12" customFormat="1" x14ac:dyDescent="0.25">
      <c r="A61" s="200" t="s">
        <v>876</v>
      </c>
      <c r="B61" s="60">
        <v>9.39</v>
      </c>
      <c r="C61" s="60">
        <v>21.4</v>
      </c>
      <c r="D61" s="60">
        <v>30.79</v>
      </c>
      <c r="E61" s="60">
        <v>6.53</v>
      </c>
      <c r="F61" s="60">
        <v>0.77</v>
      </c>
      <c r="G61" s="215" t="s">
        <v>36</v>
      </c>
      <c r="H61" s="60">
        <v>32.19</v>
      </c>
      <c r="I61" s="60">
        <v>6.93</v>
      </c>
      <c r="J61" s="60">
        <v>1.1000000000000001</v>
      </c>
      <c r="K61" s="60">
        <v>358.61</v>
      </c>
      <c r="L61" s="60">
        <v>45.4</v>
      </c>
      <c r="M61" s="60">
        <v>62.69</v>
      </c>
      <c r="N61" s="60">
        <v>469.7</v>
      </c>
      <c r="O61" s="60">
        <v>0</v>
      </c>
      <c r="P61" s="60">
        <v>3.84</v>
      </c>
      <c r="Q61" s="60">
        <v>12.26</v>
      </c>
      <c r="R61" s="197"/>
      <c r="S61" s="197"/>
      <c r="T61" s="197"/>
      <c r="U61" s="197"/>
    </row>
    <row r="62" spans="1:21" s="12" customFormat="1" x14ac:dyDescent="0.25">
      <c r="A62" s="200" t="s">
        <v>877</v>
      </c>
      <c r="B62" s="60">
        <v>8.25</v>
      </c>
      <c r="C62" s="60">
        <v>21.55</v>
      </c>
      <c r="D62" s="60">
        <v>29.8</v>
      </c>
      <c r="E62" s="60">
        <v>6.81</v>
      </c>
      <c r="F62" s="60">
        <v>0.97</v>
      </c>
      <c r="G62" s="215" t="s">
        <v>36</v>
      </c>
      <c r="H62" s="60">
        <v>36.17</v>
      </c>
      <c r="I62" s="60">
        <v>6.93</v>
      </c>
      <c r="J62" s="60">
        <v>1.53</v>
      </c>
      <c r="K62" s="60">
        <v>355.21</v>
      </c>
      <c r="L62" s="60">
        <v>45.34</v>
      </c>
      <c r="M62" s="60">
        <v>63.09</v>
      </c>
      <c r="N62" s="60">
        <v>363.3</v>
      </c>
      <c r="O62" s="60">
        <v>0</v>
      </c>
      <c r="P62" s="60">
        <v>3.85</v>
      </c>
      <c r="Q62" s="60">
        <v>11.59</v>
      </c>
      <c r="R62" s="197"/>
      <c r="S62" s="197"/>
      <c r="T62" s="197"/>
      <c r="U62" s="197"/>
    </row>
    <row r="63" spans="1:21" s="12" customFormat="1" x14ac:dyDescent="0.25">
      <c r="A63" s="200" t="s">
        <v>878</v>
      </c>
      <c r="B63" s="60">
        <v>7.21</v>
      </c>
      <c r="C63" s="60">
        <v>21.5</v>
      </c>
      <c r="D63" s="60">
        <v>28.71</v>
      </c>
      <c r="E63" s="60">
        <v>6.39</v>
      </c>
      <c r="F63" s="60">
        <v>0.85</v>
      </c>
      <c r="G63" s="215" t="s">
        <v>36</v>
      </c>
      <c r="H63" s="60">
        <v>36.17</v>
      </c>
      <c r="I63" s="60">
        <v>6.98</v>
      </c>
      <c r="J63" s="60">
        <v>0.98</v>
      </c>
      <c r="K63" s="60">
        <v>1.23</v>
      </c>
      <c r="L63" s="60">
        <v>44.19</v>
      </c>
      <c r="M63" s="60">
        <v>66.3</v>
      </c>
      <c r="N63" s="60">
        <v>144</v>
      </c>
      <c r="O63" s="60">
        <v>0</v>
      </c>
      <c r="P63" s="60">
        <v>3.86</v>
      </c>
      <c r="Q63" s="60">
        <v>11.24</v>
      </c>
      <c r="R63" s="197"/>
      <c r="S63" s="197"/>
      <c r="T63" s="197"/>
      <c r="U63" s="197"/>
    </row>
    <row r="64" spans="1:21" s="12" customFormat="1" x14ac:dyDescent="0.25">
      <c r="A64" s="200" t="s">
        <v>879</v>
      </c>
      <c r="B64" s="60">
        <v>6.85</v>
      </c>
      <c r="C64" s="60">
        <v>21.38</v>
      </c>
      <c r="D64" s="60">
        <v>28.23</v>
      </c>
      <c r="E64" s="60">
        <v>6.19</v>
      </c>
      <c r="F64" s="60">
        <v>0.63</v>
      </c>
      <c r="G64" s="215" t="s">
        <v>36</v>
      </c>
      <c r="H64" s="60">
        <v>36.17</v>
      </c>
      <c r="I64" s="60">
        <v>6.93</v>
      </c>
      <c r="J64" s="60">
        <v>0.98</v>
      </c>
      <c r="K64" s="60">
        <v>5.93</v>
      </c>
      <c r="L64" s="60">
        <v>43.38</v>
      </c>
      <c r="M64" s="60">
        <v>67.94</v>
      </c>
      <c r="N64" s="60">
        <v>94</v>
      </c>
      <c r="O64" s="60">
        <v>0</v>
      </c>
      <c r="P64" s="60">
        <v>3.88</v>
      </c>
      <c r="Q64" s="60">
        <v>11.12</v>
      </c>
      <c r="R64" s="197"/>
      <c r="S64" s="197"/>
      <c r="T64" s="197"/>
      <c r="U64" s="197"/>
    </row>
    <row r="65" spans="1:21" s="12" customFormat="1" x14ac:dyDescent="0.25">
      <c r="A65" s="200" t="s">
        <v>880</v>
      </c>
      <c r="B65" s="60">
        <v>6.86</v>
      </c>
      <c r="C65" s="60">
        <v>20.68</v>
      </c>
      <c r="D65" s="60">
        <v>27.54</v>
      </c>
      <c r="E65" s="60">
        <v>6.34</v>
      </c>
      <c r="F65" s="60">
        <v>0.72</v>
      </c>
      <c r="G65" s="215" t="s">
        <v>36</v>
      </c>
      <c r="H65" s="60">
        <v>36.33</v>
      </c>
      <c r="I65" s="60">
        <v>6.57</v>
      </c>
      <c r="J65" s="60">
        <v>0.57999999999999996</v>
      </c>
      <c r="K65" s="60">
        <v>55.72</v>
      </c>
      <c r="L65" s="60">
        <v>42.51</v>
      </c>
      <c r="M65" s="60">
        <v>70.650000000000006</v>
      </c>
      <c r="N65" s="60">
        <v>78.3</v>
      </c>
      <c r="O65" s="60">
        <v>0</v>
      </c>
      <c r="P65" s="60">
        <v>3.91</v>
      </c>
      <c r="Q65" s="60">
        <v>11.48</v>
      </c>
      <c r="R65" s="197"/>
      <c r="S65" s="197"/>
      <c r="T65" s="197"/>
      <c r="U65" s="197"/>
    </row>
    <row r="66" spans="1:21" s="12" customFormat="1" x14ac:dyDescent="0.25">
      <c r="A66" s="200" t="s">
        <v>881</v>
      </c>
      <c r="B66" s="60">
        <v>6.7</v>
      </c>
      <c r="C66" s="60">
        <v>19.41</v>
      </c>
      <c r="D66" s="60">
        <v>26.11</v>
      </c>
      <c r="E66" s="60">
        <v>6.1</v>
      </c>
      <c r="F66" s="60">
        <v>0.71</v>
      </c>
      <c r="G66" s="215" t="s">
        <v>36</v>
      </c>
      <c r="H66" s="60">
        <v>36.75</v>
      </c>
      <c r="I66" s="60">
        <v>6.35</v>
      </c>
      <c r="J66" s="60">
        <v>0.79</v>
      </c>
      <c r="K66" s="60">
        <v>64.040000000000006</v>
      </c>
      <c r="L66" s="60">
        <v>42.32</v>
      </c>
      <c r="M66" s="60">
        <v>69.900000000000006</v>
      </c>
      <c r="N66" s="60">
        <v>154.19999999999999</v>
      </c>
      <c r="O66" s="60">
        <v>0</v>
      </c>
      <c r="P66" s="60">
        <v>3.89</v>
      </c>
      <c r="Q66" s="60">
        <v>11.49</v>
      </c>
      <c r="R66" s="197"/>
      <c r="S66" s="197"/>
      <c r="T66" s="197"/>
      <c r="U66" s="197"/>
    </row>
    <row r="67" spans="1:21" s="12" customFormat="1" x14ac:dyDescent="0.25">
      <c r="A67" s="200" t="s">
        <v>882</v>
      </c>
      <c r="B67" s="60">
        <v>6.55</v>
      </c>
      <c r="C67" s="60">
        <v>18.73</v>
      </c>
      <c r="D67" s="60">
        <v>25.28</v>
      </c>
      <c r="E67" s="60">
        <v>6.68</v>
      </c>
      <c r="F67" s="60">
        <v>0.74</v>
      </c>
      <c r="G67" s="215" t="s">
        <v>36</v>
      </c>
      <c r="H67" s="60">
        <v>36.75</v>
      </c>
      <c r="I67" s="60">
        <v>6.05</v>
      </c>
      <c r="J67" s="60">
        <v>1.1499999999999999</v>
      </c>
      <c r="K67" s="60">
        <v>357.67</v>
      </c>
      <c r="L67" s="60">
        <v>43.58</v>
      </c>
      <c r="M67" s="60">
        <v>68.959999999999994</v>
      </c>
      <c r="N67" s="60">
        <v>211.1</v>
      </c>
      <c r="O67" s="60">
        <v>0</v>
      </c>
      <c r="P67" s="60">
        <v>3.89</v>
      </c>
      <c r="Q67" s="60">
        <v>11.54</v>
      </c>
      <c r="R67" s="197"/>
      <c r="S67" s="197"/>
      <c r="T67" s="197"/>
      <c r="U67" s="197"/>
    </row>
    <row r="68" spans="1:21" s="12" customFormat="1" x14ac:dyDescent="0.25">
      <c r="A68" s="200" t="s">
        <v>883</v>
      </c>
      <c r="B68" s="60">
        <v>6.7</v>
      </c>
      <c r="C68" s="60">
        <v>18.93</v>
      </c>
      <c r="D68" s="60">
        <v>25.63</v>
      </c>
      <c r="E68" s="60">
        <v>6.96</v>
      </c>
      <c r="F68" s="60">
        <v>0.86</v>
      </c>
      <c r="G68" s="215" t="s">
        <v>36</v>
      </c>
      <c r="H68" s="60">
        <v>36.75</v>
      </c>
      <c r="I68" s="60">
        <v>6.56</v>
      </c>
      <c r="J68" s="60">
        <v>0.74</v>
      </c>
      <c r="K68" s="60">
        <v>5.16</v>
      </c>
      <c r="L68" s="60">
        <v>44.96</v>
      </c>
      <c r="M68" s="60">
        <v>68.459999999999994</v>
      </c>
      <c r="N68" s="60">
        <v>237.1</v>
      </c>
      <c r="O68" s="60">
        <v>0</v>
      </c>
      <c r="P68" s="60">
        <v>3.9</v>
      </c>
      <c r="Q68" s="60">
        <v>11.95</v>
      </c>
      <c r="R68" s="197"/>
      <c r="S68" s="197"/>
      <c r="T68" s="197"/>
      <c r="U68" s="197"/>
    </row>
    <row r="69" spans="1:21" s="12" customFormat="1" x14ac:dyDescent="0.25">
      <c r="A69" s="200" t="s">
        <v>884</v>
      </c>
      <c r="B69" s="60">
        <v>6.83</v>
      </c>
      <c r="C69" s="60">
        <v>19.07</v>
      </c>
      <c r="D69" s="60">
        <v>25.9</v>
      </c>
      <c r="E69" s="60">
        <v>6.87</v>
      </c>
      <c r="F69" s="60">
        <v>0.45</v>
      </c>
      <c r="G69" s="215" t="s">
        <v>36</v>
      </c>
      <c r="H69" s="60">
        <v>36.04</v>
      </c>
      <c r="I69" s="60">
        <v>6.17</v>
      </c>
      <c r="J69" s="60">
        <v>0.7</v>
      </c>
      <c r="K69" s="60">
        <v>3.91</v>
      </c>
      <c r="L69" s="60">
        <v>45.21</v>
      </c>
      <c r="M69" s="60">
        <v>66.95</v>
      </c>
      <c r="N69" s="60">
        <v>324.60000000000002</v>
      </c>
      <c r="O69" s="60">
        <v>0</v>
      </c>
      <c r="P69" s="60">
        <v>3.92</v>
      </c>
      <c r="Q69" s="60">
        <v>12.09</v>
      </c>
      <c r="R69" s="197"/>
      <c r="S69" s="197"/>
      <c r="T69" s="197"/>
      <c r="U69" s="197"/>
    </row>
    <row r="70" spans="1:21" s="12" customFormat="1" x14ac:dyDescent="0.25">
      <c r="A70" s="200" t="s">
        <v>885</v>
      </c>
      <c r="B70" s="60">
        <v>6.9</v>
      </c>
      <c r="C70" s="60">
        <v>18.59</v>
      </c>
      <c r="D70" s="60">
        <v>25.49</v>
      </c>
      <c r="E70" s="60">
        <v>6.87</v>
      </c>
      <c r="F70" s="60">
        <v>0.65</v>
      </c>
      <c r="G70" s="215" t="s">
        <v>36</v>
      </c>
      <c r="H70" s="60">
        <v>34.29</v>
      </c>
      <c r="I70" s="60">
        <v>5.83</v>
      </c>
      <c r="J70" s="60">
        <v>0.88</v>
      </c>
      <c r="K70" s="60">
        <v>359.4</v>
      </c>
      <c r="L70" s="60">
        <v>48.21</v>
      </c>
      <c r="M70" s="60">
        <v>63.63</v>
      </c>
      <c r="N70" s="60">
        <v>340.4</v>
      </c>
      <c r="O70" s="60">
        <v>0</v>
      </c>
      <c r="P70" s="60">
        <v>3.9</v>
      </c>
      <c r="Q70" s="60">
        <v>12.02</v>
      </c>
      <c r="R70" s="197"/>
      <c r="S70" s="197"/>
      <c r="T70" s="197"/>
      <c r="U70" s="197"/>
    </row>
    <row r="71" spans="1:21" s="12" customFormat="1" x14ac:dyDescent="0.25">
      <c r="A71" s="200" t="s">
        <v>886</v>
      </c>
      <c r="B71" s="60">
        <v>7</v>
      </c>
      <c r="C71" s="60">
        <v>18.12</v>
      </c>
      <c r="D71" s="60">
        <v>25.12</v>
      </c>
      <c r="E71" s="60">
        <v>7.31</v>
      </c>
      <c r="F71" s="60">
        <v>0.77</v>
      </c>
      <c r="G71" s="215" t="s">
        <v>36</v>
      </c>
      <c r="H71" s="60">
        <v>34.29</v>
      </c>
      <c r="I71" s="60">
        <v>5.95</v>
      </c>
      <c r="J71" s="60">
        <v>1.37</v>
      </c>
      <c r="K71" s="60">
        <v>350.79</v>
      </c>
      <c r="L71" s="60">
        <v>46.84</v>
      </c>
      <c r="M71" s="60">
        <v>62.26</v>
      </c>
      <c r="N71" s="60">
        <v>387.9</v>
      </c>
      <c r="O71" s="60">
        <v>0</v>
      </c>
      <c r="P71" s="60">
        <v>3.91</v>
      </c>
      <c r="Q71" s="60">
        <v>12.03</v>
      </c>
      <c r="R71" s="197"/>
      <c r="S71" s="197"/>
      <c r="T71" s="197"/>
      <c r="U71" s="197"/>
    </row>
    <row r="72" spans="1:21" s="12" customFormat="1" x14ac:dyDescent="0.25">
      <c r="A72" s="200" t="s">
        <v>887</v>
      </c>
      <c r="B72" s="60">
        <v>7.02</v>
      </c>
      <c r="C72" s="60">
        <v>17.739999999999998</v>
      </c>
      <c r="D72" s="60">
        <v>24.76</v>
      </c>
      <c r="E72" s="60">
        <v>2.73</v>
      </c>
      <c r="F72" s="60">
        <v>0.99</v>
      </c>
      <c r="G72" s="215" t="s">
        <v>36</v>
      </c>
      <c r="H72" s="60">
        <v>34.29</v>
      </c>
      <c r="I72" s="60">
        <v>5.54</v>
      </c>
      <c r="J72" s="60">
        <v>1.38</v>
      </c>
      <c r="K72" s="60">
        <v>346.74</v>
      </c>
      <c r="L72" s="60">
        <v>46.73</v>
      </c>
      <c r="M72" s="60">
        <v>60.13</v>
      </c>
      <c r="N72" s="60">
        <v>458.1</v>
      </c>
      <c r="O72" s="60">
        <v>0</v>
      </c>
      <c r="P72" s="60">
        <v>3.91</v>
      </c>
      <c r="Q72" s="60">
        <v>12.1</v>
      </c>
      <c r="R72" s="197"/>
      <c r="S72" s="197"/>
      <c r="T72" s="197"/>
      <c r="U72" s="197"/>
    </row>
    <row r="73" spans="1:21" s="12" customFormat="1" x14ac:dyDescent="0.25">
      <c r="A73" s="200" t="s">
        <v>888</v>
      </c>
      <c r="B73" s="60">
        <v>6.73</v>
      </c>
      <c r="C73" s="60">
        <v>18.18</v>
      </c>
      <c r="D73" s="60">
        <v>24.9</v>
      </c>
      <c r="E73" s="60">
        <v>4.8099999999999996</v>
      </c>
      <c r="F73" s="60">
        <v>0.91</v>
      </c>
      <c r="G73" s="215" t="s">
        <v>36</v>
      </c>
      <c r="H73" s="60">
        <v>33.979999999999997</v>
      </c>
      <c r="I73" s="60">
        <v>7.08</v>
      </c>
      <c r="J73" s="60">
        <v>0.9</v>
      </c>
      <c r="K73" s="60">
        <v>333.62</v>
      </c>
      <c r="L73" s="60">
        <v>47.88</v>
      </c>
      <c r="M73" s="60">
        <v>60.26</v>
      </c>
      <c r="N73" s="60">
        <v>257.60000000000002</v>
      </c>
      <c r="O73" s="60">
        <v>0</v>
      </c>
      <c r="P73" s="60">
        <v>3.92</v>
      </c>
      <c r="Q73" s="60">
        <v>11.33</v>
      </c>
      <c r="R73" s="197"/>
      <c r="S73" s="197"/>
      <c r="T73" s="197"/>
      <c r="U73" s="197"/>
    </row>
    <row r="74" spans="1:21" s="12" customFormat="1" x14ac:dyDescent="0.25">
      <c r="A74" s="200" t="s">
        <v>889</v>
      </c>
      <c r="B74" s="60">
        <v>6.52</v>
      </c>
      <c r="C74" s="60">
        <v>18.420000000000002</v>
      </c>
      <c r="D74" s="60">
        <v>24.93</v>
      </c>
      <c r="E74" s="60">
        <v>6.77</v>
      </c>
      <c r="F74" s="60">
        <v>0.83</v>
      </c>
      <c r="G74" s="215" t="s">
        <v>36</v>
      </c>
      <c r="H74" s="60">
        <v>33.21</v>
      </c>
      <c r="I74" s="60">
        <v>7.09</v>
      </c>
      <c r="J74" s="60">
        <v>0.8</v>
      </c>
      <c r="K74" s="60">
        <v>348.67</v>
      </c>
      <c r="L74" s="60">
        <v>50.36</v>
      </c>
      <c r="M74" s="60">
        <v>62.99</v>
      </c>
      <c r="N74" s="60">
        <v>250.2</v>
      </c>
      <c r="O74" s="60">
        <v>0</v>
      </c>
      <c r="P74" s="60">
        <v>3.9</v>
      </c>
      <c r="Q74" s="60">
        <v>10.71</v>
      </c>
      <c r="R74" s="197"/>
      <c r="S74" s="197"/>
      <c r="T74" s="197"/>
      <c r="U74" s="197"/>
    </row>
    <row r="75" spans="1:21" s="12" customFormat="1" x14ac:dyDescent="0.25">
      <c r="A75" s="200" t="s">
        <v>890</v>
      </c>
      <c r="B75" s="60">
        <v>6.55</v>
      </c>
      <c r="C75" s="60">
        <v>18.329999999999998</v>
      </c>
      <c r="D75" s="60">
        <v>24.87</v>
      </c>
      <c r="E75" s="60">
        <v>6.83</v>
      </c>
      <c r="F75" s="60">
        <v>0.89</v>
      </c>
      <c r="G75" s="215" t="s">
        <v>36</v>
      </c>
      <c r="H75" s="60">
        <v>33.21</v>
      </c>
      <c r="I75" s="60">
        <v>7.07</v>
      </c>
      <c r="J75" s="60">
        <v>0.48</v>
      </c>
      <c r="K75" s="60">
        <v>36.96</v>
      </c>
      <c r="L75" s="60">
        <v>50.08</v>
      </c>
      <c r="M75" s="60">
        <v>66.36</v>
      </c>
      <c r="N75" s="60">
        <v>162.30000000000001</v>
      </c>
      <c r="O75" s="60">
        <v>0</v>
      </c>
      <c r="P75" s="60">
        <v>3.91</v>
      </c>
      <c r="Q75" s="60">
        <v>10.53</v>
      </c>
      <c r="R75" s="197"/>
      <c r="S75" s="197"/>
      <c r="T75" s="197"/>
      <c r="U75" s="197"/>
    </row>
    <row r="76" spans="1:21" s="12" customFormat="1" x14ac:dyDescent="0.25">
      <c r="A76" s="200" t="s">
        <v>891</v>
      </c>
      <c r="B76" s="60">
        <v>6.32</v>
      </c>
      <c r="C76" s="60">
        <v>18.3</v>
      </c>
      <c r="D76" s="60">
        <v>24.62</v>
      </c>
      <c r="E76" s="60">
        <v>6.09</v>
      </c>
      <c r="F76" s="60">
        <v>0.95</v>
      </c>
      <c r="G76" s="215" t="s">
        <v>36</v>
      </c>
      <c r="H76" s="60">
        <v>33.21</v>
      </c>
      <c r="I76" s="60">
        <v>6.86</v>
      </c>
      <c r="J76" s="60">
        <v>0.93</v>
      </c>
      <c r="K76" s="60">
        <v>79.95</v>
      </c>
      <c r="L76" s="60">
        <v>48.38</v>
      </c>
      <c r="M76" s="60">
        <v>68.459999999999994</v>
      </c>
      <c r="N76" s="60">
        <v>123.7</v>
      </c>
      <c r="O76" s="60">
        <v>0</v>
      </c>
      <c r="P76" s="60">
        <v>3.91</v>
      </c>
      <c r="Q76" s="60">
        <v>10.35</v>
      </c>
      <c r="R76" s="197"/>
      <c r="S76" s="197"/>
      <c r="T76" s="197"/>
      <c r="U76" s="197"/>
    </row>
    <row r="77" spans="1:21" s="12" customFormat="1" x14ac:dyDescent="0.25">
      <c r="A77" s="200" t="s">
        <v>892</v>
      </c>
      <c r="B77" s="60">
        <v>5.76</v>
      </c>
      <c r="C77" s="60">
        <v>18.010000000000002</v>
      </c>
      <c r="D77" s="60">
        <v>23.77</v>
      </c>
      <c r="E77" s="60">
        <v>6.58</v>
      </c>
      <c r="F77" s="60">
        <v>0.57999999999999996</v>
      </c>
      <c r="G77" s="215" t="s">
        <v>36</v>
      </c>
      <c r="H77" s="60">
        <v>32.22</v>
      </c>
      <c r="I77" s="60">
        <v>7.01</v>
      </c>
      <c r="J77" s="60">
        <v>0.45</v>
      </c>
      <c r="K77" s="60">
        <v>60.25</v>
      </c>
      <c r="L77" s="60">
        <v>48.13</v>
      </c>
      <c r="M77" s="60">
        <v>69.31</v>
      </c>
      <c r="N77" s="60">
        <v>90.6</v>
      </c>
      <c r="O77" s="60">
        <v>0</v>
      </c>
      <c r="P77" s="60">
        <v>3.89</v>
      </c>
      <c r="Q77" s="60">
        <v>9.9600000000000009</v>
      </c>
      <c r="R77" s="197"/>
      <c r="S77" s="197"/>
      <c r="T77" s="197"/>
      <c r="U77" s="197"/>
    </row>
    <row r="78" spans="1:21" s="12" customFormat="1" x14ac:dyDescent="0.25">
      <c r="A78" s="200" t="s">
        <v>893</v>
      </c>
      <c r="B78" s="60">
        <v>5.68</v>
      </c>
      <c r="C78" s="60">
        <v>18.100000000000001</v>
      </c>
      <c r="D78" s="60">
        <v>23.77</v>
      </c>
      <c r="E78" s="60">
        <v>6.56</v>
      </c>
      <c r="F78" s="60">
        <v>0.36</v>
      </c>
      <c r="G78" s="215" t="s">
        <v>36</v>
      </c>
      <c r="H78" s="60">
        <v>29.8</v>
      </c>
      <c r="I78" s="60">
        <v>7.06</v>
      </c>
      <c r="J78" s="60">
        <v>0.56000000000000005</v>
      </c>
      <c r="K78" s="60">
        <v>6.78</v>
      </c>
      <c r="L78" s="60">
        <v>48.82</v>
      </c>
      <c r="M78" s="60">
        <v>69.58</v>
      </c>
      <c r="N78" s="60">
        <v>67.5</v>
      </c>
      <c r="O78" s="60">
        <v>0</v>
      </c>
      <c r="P78" s="60">
        <v>3.9</v>
      </c>
      <c r="Q78" s="60">
        <v>9.9600000000000009</v>
      </c>
      <c r="R78" s="197"/>
      <c r="S78" s="197"/>
      <c r="T78" s="197"/>
      <c r="U78" s="197"/>
    </row>
    <row r="79" spans="1:21" s="12" customFormat="1" x14ac:dyDescent="0.25">
      <c r="A79" s="200" t="s">
        <v>894</v>
      </c>
      <c r="B79" s="60">
        <v>6.25</v>
      </c>
      <c r="C79" s="60">
        <v>17.75</v>
      </c>
      <c r="D79" s="60">
        <v>24</v>
      </c>
      <c r="E79" s="60">
        <v>6.92</v>
      </c>
      <c r="F79" s="60">
        <v>0.5</v>
      </c>
      <c r="G79" s="215" t="s">
        <v>36</v>
      </c>
      <c r="H79" s="60">
        <v>29.8</v>
      </c>
      <c r="I79" s="60">
        <v>6.77</v>
      </c>
      <c r="J79" s="60">
        <v>0.28999999999999998</v>
      </c>
      <c r="K79" s="60">
        <v>0.01</v>
      </c>
      <c r="L79" s="60">
        <v>49.86</v>
      </c>
      <c r="M79" s="60">
        <v>69.45</v>
      </c>
      <c r="N79" s="60">
        <v>64.5</v>
      </c>
      <c r="O79" s="60">
        <v>0</v>
      </c>
      <c r="P79" s="60">
        <v>3.92</v>
      </c>
      <c r="Q79" s="60">
        <v>10.38</v>
      </c>
      <c r="R79" s="197"/>
      <c r="S79" s="197"/>
      <c r="T79" s="197"/>
      <c r="U79" s="197"/>
    </row>
    <row r="80" spans="1:21" s="12" customFormat="1" x14ac:dyDescent="0.25">
      <c r="A80" s="200" t="s">
        <v>895</v>
      </c>
      <c r="B80" s="60">
        <v>6.39</v>
      </c>
      <c r="C80" s="60">
        <v>17.11</v>
      </c>
      <c r="D80" s="60">
        <v>23.49</v>
      </c>
      <c r="E80" s="60">
        <v>6.53</v>
      </c>
      <c r="F80" s="60">
        <v>0.53</v>
      </c>
      <c r="G80" s="215" t="s">
        <v>36</v>
      </c>
      <c r="H80" s="60">
        <v>29.8</v>
      </c>
      <c r="I80" s="60">
        <v>5.94</v>
      </c>
      <c r="J80" s="60">
        <v>0.43</v>
      </c>
      <c r="K80" s="60">
        <v>92.68</v>
      </c>
      <c r="L80" s="60">
        <v>44.96</v>
      </c>
      <c r="M80" s="60">
        <v>70.17</v>
      </c>
      <c r="N80" s="60">
        <v>22</v>
      </c>
      <c r="O80" s="60">
        <v>0</v>
      </c>
      <c r="P80" s="60">
        <v>3.86</v>
      </c>
      <c r="Q80" s="60">
        <v>10.7</v>
      </c>
      <c r="R80" s="197"/>
      <c r="S80" s="197"/>
      <c r="T80" s="197"/>
      <c r="U80" s="197"/>
    </row>
    <row r="81" spans="1:26" s="12" customFormat="1" x14ac:dyDescent="0.25">
      <c r="A81" s="200" t="s">
        <v>896</v>
      </c>
      <c r="B81" s="60">
        <v>6.08</v>
      </c>
      <c r="C81" s="60">
        <v>16.41</v>
      </c>
      <c r="D81" s="60">
        <v>22.49</v>
      </c>
      <c r="E81" s="60">
        <v>6.75</v>
      </c>
      <c r="F81" s="60">
        <v>0.43</v>
      </c>
      <c r="G81" s="215" t="s">
        <v>36</v>
      </c>
      <c r="H81" s="60">
        <v>28.55</v>
      </c>
      <c r="I81" s="60">
        <v>5.94</v>
      </c>
      <c r="J81" s="60">
        <v>1.84</v>
      </c>
      <c r="K81" s="60">
        <v>80.739999999999995</v>
      </c>
      <c r="L81" s="60">
        <v>42.25</v>
      </c>
      <c r="M81" s="60">
        <v>80.010000000000005</v>
      </c>
      <c r="N81" s="60">
        <v>27.6</v>
      </c>
      <c r="O81" s="60">
        <v>8.6</v>
      </c>
      <c r="P81" s="60">
        <v>3.86</v>
      </c>
      <c r="Q81" s="60">
        <v>10.66</v>
      </c>
      <c r="R81" s="197"/>
      <c r="S81" s="197"/>
      <c r="T81" s="197"/>
      <c r="U81" s="197"/>
    </row>
    <row r="82" spans="1:26" s="12" customFormat="1" x14ac:dyDescent="0.25">
      <c r="A82" s="200" t="s">
        <v>897</v>
      </c>
      <c r="B82" s="60">
        <v>5.65</v>
      </c>
      <c r="C82" s="60">
        <v>15.78</v>
      </c>
      <c r="D82" s="60">
        <v>21.43</v>
      </c>
      <c r="E82" s="60">
        <v>6.57</v>
      </c>
      <c r="F82" s="60">
        <v>0.53</v>
      </c>
      <c r="G82" s="215" t="s">
        <v>36</v>
      </c>
      <c r="H82" s="60">
        <v>25.46</v>
      </c>
      <c r="I82" s="60">
        <v>4.79</v>
      </c>
      <c r="J82" s="60">
        <v>1.45</v>
      </c>
      <c r="K82" s="60">
        <v>153.47999999999999</v>
      </c>
      <c r="L82" s="60">
        <v>36.81</v>
      </c>
      <c r="M82" s="60">
        <v>99.07</v>
      </c>
      <c r="N82" s="60">
        <v>19</v>
      </c>
      <c r="O82" s="60">
        <v>12.2</v>
      </c>
      <c r="P82" s="60">
        <v>3.83</v>
      </c>
      <c r="Q82" s="60">
        <v>10.26</v>
      </c>
      <c r="R82" s="197"/>
      <c r="S82" s="197"/>
      <c r="T82" s="197"/>
      <c r="U82" s="197"/>
    </row>
    <row r="83" spans="1:26" s="12" customFormat="1" x14ac:dyDescent="0.25">
      <c r="A83" s="200" t="s">
        <v>898</v>
      </c>
      <c r="B83" s="60">
        <v>4.5599999999999996</v>
      </c>
      <c r="C83" s="60">
        <v>14.89</v>
      </c>
      <c r="D83" s="60">
        <v>19.45</v>
      </c>
      <c r="E83" s="60">
        <v>6.45</v>
      </c>
      <c r="F83" s="60">
        <v>0.45</v>
      </c>
      <c r="G83" s="215" t="s">
        <v>36</v>
      </c>
      <c r="H83" s="60">
        <v>25.46</v>
      </c>
      <c r="I83" s="60">
        <v>6.15</v>
      </c>
      <c r="J83" s="60">
        <v>0.36</v>
      </c>
      <c r="K83" s="60">
        <v>76.72</v>
      </c>
      <c r="L83" s="60">
        <v>39.49</v>
      </c>
      <c r="M83" s="60">
        <v>99.15</v>
      </c>
      <c r="N83" s="60">
        <v>15.5</v>
      </c>
      <c r="O83" s="60">
        <v>0</v>
      </c>
      <c r="P83" s="60">
        <v>3.77</v>
      </c>
      <c r="Q83" s="60">
        <v>9.1999999999999993</v>
      </c>
      <c r="R83" s="197"/>
      <c r="S83" s="197"/>
      <c r="T83" s="197"/>
      <c r="U83" s="197"/>
    </row>
    <row r="84" spans="1:26" s="12" customFormat="1" x14ac:dyDescent="0.25">
      <c r="A84" s="200" t="s">
        <v>899</v>
      </c>
      <c r="B84" s="60">
        <v>4.8499999999999996</v>
      </c>
      <c r="C84" s="60">
        <v>14.04</v>
      </c>
      <c r="D84" s="60">
        <v>18.88</v>
      </c>
      <c r="E84" s="60">
        <v>6.69</v>
      </c>
      <c r="F84" s="60">
        <v>0.04</v>
      </c>
      <c r="G84" s="215" t="s">
        <v>36</v>
      </c>
      <c r="H84" s="60">
        <v>25.46</v>
      </c>
      <c r="I84" s="60">
        <v>6.73</v>
      </c>
      <c r="J84" s="60">
        <v>0.3</v>
      </c>
      <c r="K84" s="60">
        <v>334.34</v>
      </c>
      <c r="L84" s="60">
        <v>40.9</v>
      </c>
      <c r="M84" s="60">
        <v>99.15</v>
      </c>
      <c r="N84" s="60">
        <v>15.2</v>
      </c>
      <c r="O84" s="60">
        <v>0</v>
      </c>
      <c r="P84" s="60">
        <v>3.77</v>
      </c>
      <c r="Q84" s="60">
        <v>8.9700000000000006</v>
      </c>
      <c r="R84" s="197"/>
      <c r="S84" s="197"/>
      <c r="T84" s="197"/>
      <c r="U84" s="197"/>
    </row>
    <row r="85" spans="1:26" s="12" customFormat="1" x14ac:dyDescent="0.25">
      <c r="A85" s="200" t="s">
        <v>900</v>
      </c>
      <c r="B85" s="60">
        <v>5.49</v>
      </c>
      <c r="C85" s="60">
        <v>13.38</v>
      </c>
      <c r="D85" s="60">
        <v>18.87</v>
      </c>
      <c r="E85" s="60">
        <v>6.48</v>
      </c>
      <c r="F85" s="60">
        <v>0.33</v>
      </c>
      <c r="G85" s="215" t="s">
        <v>36</v>
      </c>
      <c r="H85" s="60">
        <v>24.29</v>
      </c>
      <c r="I85" s="60">
        <v>6.11</v>
      </c>
      <c r="J85" s="60">
        <v>0.75</v>
      </c>
      <c r="K85" s="60">
        <v>86.49</v>
      </c>
      <c r="L85" s="60">
        <v>41.43</v>
      </c>
      <c r="M85" s="60">
        <v>99.15</v>
      </c>
      <c r="N85" s="60">
        <v>15.7</v>
      </c>
      <c r="O85" s="60">
        <v>0</v>
      </c>
      <c r="P85" s="60">
        <v>3.78</v>
      </c>
      <c r="Q85" s="60">
        <v>9.35</v>
      </c>
      <c r="R85" s="197"/>
      <c r="S85" s="197"/>
      <c r="T85" s="197"/>
      <c r="U85" s="197"/>
    </row>
    <row r="86" spans="1:26" s="12" customFormat="1" x14ac:dyDescent="0.25">
      <c r="A86" s="200" t="s">
        <v>901</v>
      </c>
      <c r="B86" s="60">
        <v>5.82</v>
      </c>
      <c r="C86" s="60">
        <v>12.75</v>
      </c>
      <c r="D86" s="60">
        <v>18.57</v>
      </c>
      <c r="E86" s="60">
        <v>7.14</v>
      </c>
      <c r="F86" s="60">
        <v>0.89</v>
      </c>
      <c r="G86" s="215" t="s">
        <v>36</v>
      </c>
      <c r="H86" s="60">
        <v>21.38</v>
      </c>
      <c r="I86" s="60">
        <v>6.27</v>
      </c>
      <c r="J86" s="60">
        <v>0.75</v>
      </c>
      <c r="K86" s="60">
        <v>105.01</v>
      </c>
      <c r="L86" s="60">
        <v>47.52</v>
      </c>
      <c r="M86" s="60">
        <v>99.15</v>
      </c>
      <c r="N86" s="60">
        <v>16.2</v>
      </c>
      <c r="O86" s="60">
        <v>0</v>
      </c>
      <c r="P86" s="60">
        <v>3.77</v>
      </c>
      <c r="Q86" s="60">
        <v>9.48</v>
      </c>
      <c r="R86" s="197"/>
      <c r="S86" s="197"/>
      <c r="T86" s="197"/>
      <c r="U86" s="197"/>
    </row>
    <row r="87" spans="1:26" s="12" customFormat="1" x14ac:dyDescent="0.25">
      <c r="A87" s="200" t="s">
        <v>902</v>
      </c>
      <c r="B87" s="60">
        <v>5.98</v>
      </c>
      <c r="C87" s="60">
        <v>12.36</v>
      </c>
      <c r="D87" s="60">
        <v>18.34</v>
      </c>
      <c r="E87" s="60">
        <v>6.71</v>
      </c>
      <c r="F87" s="60">
        <v>0.76</v>
      </c>
      <c r="G87" s="215" t="s">
        <v>36</v>
      </c>
      <c r="H87" s="60">
        <v>21.38</v>
      </c>
      <c r="I87" s="60">
        <v>6.23</v>
      </c>
      <c r="J87" s="60">
        <v>0.39</v>
      </c>
      <c r="K87" s="60">
        <v>182</v>
      </c>
      <c r="L87" s="60">
        <v>43.69</v>
      </c>
      <c r="M87" s="60">
        <v>99.15</v>
      </c>
      <c r="N87" s="60">
        <v>16.3</v>
      </c>
      <c r="O87" s="60">
        <v>0.2</v>
      </c>
      <c r="P87" s="60">
        <v>3.76</v>
      </c>
      <c r="Q87" s="60">
        <v>8.99</v>
      </c>
      <c r="R87" s="197"/>
      <c r="S87" s="197"/>
      <c r="T87" s="197"/>
      <c r="U87" s="197"/>
    </row>
    <row r="88" spans="1:26" s="12" customFormat="1" x14ac:dyDescent="0.25">
      <c r="A88" s="200" t="s">
        <v>903</v>
      </c>
      <c r="B88" s="60">
        <v>5.99</v>
      </c>
      <c r="C88" s="60">
        <v>12.12</v>
      </c>
      <c r="D88" s="60">
        <v>18.12</v>
      </c>
      <c r="E88" s="60">
        <v>2.8</v>
      </c>
      <c r="F88" s="60">
        <v>1.2</v>
      </c>
      <c r="G88" s="215" t="s">
        <v>36</v>
      </c>
      <c r="H88" s="60">
        <v>21.38</v>
      </c>
      <c r="I88" s="60">
        <v>6.5</v>
      </c>
      <c r="J88" s="60">
        <v>1.26</v>
      </c>
      <c r="K88" s="60">
        <v>172.1</v>
      </c>
      <c r="L88" s="60">
        <v>39.93</v>
      </c>
      <c r="M88" s="60">
        <v>99.15</v>
      </c>
      <c r="N88" s="60">
        <v>15.4</v>
      </c>
      <c r="O88" s="60">
        <v>0</v>
      </c>
      <c r="P88" s="60">
        <v>3.76</v>
      </c>
      <c r="Q88" s="60">
        <v>8.49</v>
      </c>
      <c r="R88" s="197"/>
      <c r="S88" s="197"/>
      <c r="T88" s="197"/>
      <c r="U88" s="197"/>
    </row>
    <row r="89" spans="1:26" s="12" customFormat="1" x14ac:dyDescent="0.25">
      <c r="A89" s="200" t="s">
        <v>904</v>
      </c>
      <c r="B89" s="60">
        <v>6.18</v>
      </c>
      <c r="C89" s="60">
        <v>12.01</v>
      </c>
      <c r="D89" s="60">
        <v>18.190000000000001</v>
      </c>
      <c r="E89" s="60">
        <v>4.34</v>
      </c>
      <c r="F89" s="60">
        <v>0.49</v>
      </c>
      <c r="G89" s="215" t="s">
        <v>36</v>
      </c>
      <c r="H89" s="60">
        <v>20.29</v>
      </c>
      <c r="I89" s="60">
        <v>6.62</v>
      </c>
      <c r="J89" s="60">
        <v>0.38</v>
      </c>
      <c r="K89" s="60">
        <v>276.29000000000002</v>
      </c>
      <c r="L89" s="60">
        <v>39.340000000000003</v>
      </c>
      <c r="M89" s="60">
        <v>99.15</v>
      </c>
      <c r="N89" s="60">
        <v>15</v>
      </c>
      <c r="O89" s="60">
        <v>0</v>
      </c>
      <c r="P89" s="60">
        <v>3.75</v>
      </c>
      <c r="Q89" s="60">
        <v>8.34</v>
      </c>
      <c r="R89" s="197"/>
      <c r="S89" s="197"/>
      <c r="T89" s="197"/>
      <c r="U89" s="197"/>
    </row>
    <row r="90" spans="1:26" s="12" customFormat="1" x14ac:dyDescent="0.25">
      <c r="A90" s="200" t="s">
        <v>905</v>
      </c>
      <c r="B90" s="60">
        <v>6.94</v>
      </c>
      <c r="C90" s="60">
        <v>12.22</v>
      </c>
      <c r="D90" s="60">
        <v>19.16</v>
      </c>
      <c r="E90" s="60">
        <v>5.58</v>
      </c>
      <c r="F90" s="60">
        <v>0.39</v>
      </c>
      <c r="G90" s="215" t="s">
        <v>36</v>
      </c>
      <c r="H90" s="60">
        <v>17.600000000000001</v>
      </c>
      <c r="I90" s="60">
        <v>6.65</v>
      </c>
      <c r="J90" s="60">
        <v>0.37</v>
      </c>
      <c r="K90" s="60">
        <v>305.19</v>
      </c>
      <c r="L90" s="60">
        <v>40.65</v>
      </c>
      <c r="M90" s="60">
        <v>99.15</v>
      </c>
      <c r="N90" s="60">
        <v>15.5</v>
      </c>
      <c r="O90" s="60">
        <v>0</v>
      </c>
      <c r="P90" s="60">
        <v>3.75</v>
      </c>
      <c r="Q90" s="60">
        <v>8.35</v>
      </c>
      <c r="R90" s="197"/>
      <c r="S90" s="197"/>
      <c r="T90" s="197"/>
      <c r="U90" s="197"/>
    </row>
    <row r="91" spans="1:26" s="12" customFormat="1" x14ac:dyDescent="0.25">
      <c r="A91" s="200" t="s">
        <v>906</v>
      </c>
      <c r="B91" s="60">
        <v>7.67</v>
      </c>
      <c r="C91" s="60">
        <v>12.46</v>
      </c>
      <c r="D91" s="60">
        <v>20.13</v>
      </c>
      <c r="E91" s="60">
        <v>6.05</v>
      </c>
      <c r="F91" s="60">
        <v>0.05</v>
      </c>
      <c r="G91" s="215" t="s">
        <v>36</v>
      </c>
      <c r="H91" s="60">
        <v>17.600000000000001</v>
      </c>
      <c r="I91" s="60">
        <v>6.72</v>
      </c>
      <c r="J91" s="60">
        <v>0.67</v>
      </c>
      <c r="K91" s="60">
        <v>318.75</v>
      </c>
      <c r="L91" s="60">
        <v>40.94</v>
      </c>
      <c r="M91" s="60">
        <v>99.15</v>
      </c>
      <c r="N91" s="60">
        <v>15.6</v>
      </c>
      <c r="O91" s="60">
        <v>0</v>
      </c>
      <c r="P91" s="60">
        <v>3.75</v>
      </c>
      <c r="Q91" s="60">
        <v>8.6199999999999992</v>
      </c>
      <c r="R91" s="197"/>
      <c r="S91" s="197"/>
      <c r="T91" s="197"/>
      <c r="U91" s="197"/>
    </row>
    <row r="92" spans="1:26" s="12" customFormat="1" x14ac:dyDescent="0.25">
      <c r="A92" s="200" t="s">
        <v>907</v>
      </c>
      <c r="B92" s="60">
        <v>8.19</v>
      </c>
      <c r="C92" s="60">
        <v>12.96</v>
      </c>
      <c r="D92" s="60">
        <v>21.15</v>
      </c>
      <c r="E92" s="60">
        <v>6.27</v>
      </c>
      <c r="F92" s="60">
        <v>0.03</v>
      </c>
      <c r="G92" s="215" t="s">
        <v>36</v>
      </c>
      <c r="H92" s="60">
        <v>17.600000000000001</v>
      </c>
      <c r="I92" s="60">
        <v>6.76</v>
      </c>
      <c r="J92" s="60">
        <v>1.75</v>
      </c>
      <c r="K92" s="60">
        <v>332.96</v>
      </c>
      <c r="L92" s="60">
        <v>41.12</v>
      </c>
      <c r="M92" s="60">
        <v>99.15</v>
      </c>
      <c r="N92" s="60">
        <v>15.8</v>
      </c>
      <c r="O92" s="60">
        <v>2.2000000000000002</v>
      </c>
      <c r="P92" s="60">
        <v>3.74</v>
      </c>
      <c r="Q92" s="60">
        <v>8.82</v>
      </c>
      <c r="R92" s="197"/>
      <c r="S92" s="197"/>
      <c r="T92" s="197"/>
      <c r="U92" s="197"/>
    </row>
    <row r="93" spans="1:26" s="12" customFormat="1" x14ac:dyDescent="0.25">
      <c r="A93" s="200" t="s">
        <v>908</v>
      </c>
      <c r="B93" s="60">
        <v>7.78</v>
      </c>
      <c r="C93" s="60">
        <v>13.67</v>
      </c>
      <c r="D93" s="60">
        <v>21.46</v>
      </c>
      <c r="E93" s="60">
        <v>6.25</v>
      </c>
      <c r="F93" s="60">
        <v>0.2</v>
      </c>
      <c r="G93" s="215" t="s">
        <v>36</v>
      </c>
      <c r="H93" s="60">
        <v>16.55</v>
      </c>
      <c r="I93" s="60">
        <v>6.71</v>
      </c>
      <c r="J93" s="60">
        <v>1.97</v>
      </c>
      <c r="K93" s="60">
        <v>357.93</v>
      </c>
      <c r="L93" s="60">
        <v>40.64</v>
      </c>
      <c r="M93" s="60">
        <v>99.15</v>
      </c>
      <c r="N93" s="60">
        <v>17.100000000000001</v>
      </c>
      <c r="O93" s="60">
        <v>11.2</v>
      </c>
      <c r="P93" s="60">
        <v>3.71</v>
      </c>
      <c r="Q93" s="60">
        <v>8.84</v>
      </c>
      <c r="R93" s="197"/>
      <c r="S93" s="197"/>
      <c r="T93" s="197"/>
      <c r="U93" s="197"/>
    </row>
    <row r="94" spans="1:26" s="12" customFormat="1" x14ac:dyDescent="0.25">
      <c r="A94" s="200" t="s">
        <v>909</v>
      </c>
      <c r="B94" s="60">
        <v>7.66</v>
      </c>
      <c r="C94" s="60">
        <v>13.44</v>
      </c>
      <c r="D94" s="60">
        <v>21.11</v>
      </c>
      <c r="E94" s="60">
        <v>6.01</v>
      </c>
      <c r="F94" s="60">
        <v>0.04</v>
      </c>
      <c r="G94" s="215" t="s">
        <v>36</v>
      </c>
      <c r="H94" s="60">
        <v>13.98</v>
      </c>
      <c r="I94" s="60">
        <v>6.58</v>
      </c>
      <c r="J94" s="60">
        <v>0.68</v>
      </c>
      <c r="K94" s="60">
        <v>338.71</v>
      </c>
      <c r="L94" s="60">
        <v>40.200000000000003</v>
      </c>
      <c r="M94" s="60">
        <v>99.15</v>
      </c>
      <c r="N94" s="60">
        <v>15.1</v>
      </c>
      <c r="O94" s="60">
        <v>4.4000000000000004</v>
      </c>
      <c r="P94" s="60">
        <v>3.7</v>
      </c>
      <c r="Q94" s="60">
        <v>8.8800000000000008</v>
      </c>
      <c r="R94" s="197"/>
      <c r="S94" s="197"/>
      <c r="T94" s="197"/>
      <c r="U94" s="197"/>
    </row>
    <row r="95" spans="1:26" s="12" customFormat="1" x14ac:dyDescent="0.25">
      <c r="A95" s="200" t="s">
        <v>910</v>
      </c>
      <c r="B95" s="60">
        <v>7.92</v>
      </c>
      <c r="C95" s="60">
        <v>12.43</v>
      </c>
      <c r="D95" s="60">
        <v>20.350000000000001</v>
      </c>
      <c r="E95" s="60">
        <v>6.18</v>
      </c>
      <c r="F95" s="60">
        <v>0.05</v>
      </c>
      <c r="G95" s="215" t="s">
        <v>36</v>
      </c>
      <c r="H95" s="60">
        <v>13.98</v>
      </c>
      <c r="I95" s="60">
        <v>6.27</v>
      </c>
      <c r="J95" s="60">
        <v>0.61</v>
      </c>
      <c r="K95" s="60">
        <v>345.68</v>
      </c>
      <c r="L95" s="60">
        <v>40.729999999999997</v>
      </c>
      <c r="M95" s="60">
        <v>99.15</v>
      </c>
      <c r="N95" s="60">
        <v>14.9</v>
      </c>
      <c r="O95" s="60">
        <v>0.2</v>
      </c>
      <c r="P95" s="60">
        <v>3.7</v>
      </c>
      <c r="Q95" s="60">
        <v>9.01</v>
      </c>
      <c r="R95" s="197"/>
      <c r="S95" s="197"/>
      <c r="T95" s="197"/>
      <c r="U95" s="197"/>
    </row>
    <row r="96" spans="1:26" s="12" customFormat="1" x14ac:dyDescent="0.25">
      <c r="A96" s="200" t="s">
        <v>911</v>
      </c>
      <c r="B96" s="60">
        <v>8.9</v>
      </c>
      <c r="C96" s="60">
        <v>11.93</v>
      </c>
      <c r="D96" s="60">
        <v>20.83</v>
      </c>
      <c r="E96" s="60">
        <v>6.24</v>
      </c>
      <c r="F96" s="60">
        <v>0.06</v>
      </c>
      <c r="G96" s="215" t="s">
        <v>36</v>
      </c>
      <c r="H96" s="60">
        <v>13.98</v>
      </c>
      <c r="I96" s="60">
        <v>6.13</v>
      </c>
      <c r="J96" s="60">
        <v>1.35</v>
      </c>
      <c r="K96" s="60">
        <v>350.79</v>
      </c>
      <c r="L96" s="60">
        <v>41.05</v>
      </c>
      <c r="M96" s="60">
        <v>99.15</v>
      </c>
      <c r="N96" s="60">
        <v>15.4</v>
      </c>
      <c r="O96" s="60">
        <v>0</v>
      </c>
      <c r="P96" s="60">
        <v>3.71</v>
      </c>
      <c r="Q96" s="60">
        <v>9.66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912</v>
      </c>
      <c r="B97" s="60">
        <v>10.24</v>
      </c>
      <c r="C97" s="60">
        <v>11.81</v>
      </c>
      <c r="D97" s="60">
        <v>22.05</v>
      </c>
      <c r="E97" s="60">
        <v>6.72</v>
      </c>
      <c r="F97" s="60">
        <v>0.02</v>
      </c>
      <c r="G97" s="215" t="s">
        <v>36</v>
      </c>
      <c r="H97" s="60">
        <v>13.37</v>
      </c>
      <c r="I97" s="60">
        <v>6.05</v>
      </c>
      <c r="J97" s="60">
        <v>0.57999999999999996</v>
      </c>
      <c r="K97" s="60">
        <v>347.79</v>
      </c>
      <c r="L97" s="60">
        <v>41.76</v>
      </c>
      <c r="M97" s="60">
        <v>99.15</v>
      </c>
      <c r="N97" s="60">
        <v>15.5</v>
      </c>
      <c r="O97" s="60">
        <v>0</v>
      </c>
      <c r="P97" s="60">
        <v>3.74</v>
      </c>
      <c r="Q97" s="60">
        <v>10.44</v>
      </c>
      <c r="R97" s="197"/>
      <c r="S97" s="197"/>
      <c r="T97" s="197"/>
      <c r="U97" s="197"/>
    </row>
    <row r="98" spans="1:33" s="12" customFormat="1" x14ac:dyDescent="0.25">
      <c r="A98" s="200" t="s">
        <v>913</v>
      </c>
      <c r="B98" s="60">
        <v>11.27</v>
      </c>
      <c r="C98" s="60">
        <v>11.26</v>
      </c>
      <c r="D98" s="60">
        <v>22.53</v>
      </c>
      <c r="E98" s="60">
        <v>7.04</v>
      </c>
      <c r="F98" s="60">
        <v>0.08</v>
      </c>
      <c r="G98" s="215" t="s">
        <v>36</v>
      </c>
      <c r="H98" s="60">
        <v>11.88</v>
      </c>
      <c r="I98" s="60">
        <v>6.13</v>
      </c>
      <c r="J98" s="60">
        <v>0.74</v>
      </c>
      <c r="K98" s="60">
        <v>325.85000000000002</v>
      </c>
      <c r="L98" s="60">
        <v>40.31</v>
      </c>
      <c r="M98" s="60">
        <v>99.15</v>
      </c>
      <c r="N98" s="60">
        <v>15.1</v>
      </c>
      <c r="O98" s="60">
        <v>0</v>
      </c>
      <c r="P98" s="60">
        <v>3.74</v>
      </c>
      <c r="Q98" s="60">
        <v>10.7</v>
      </c>
      <c r="R98" s="197"/>
      <c r="S98" s="197"/>
      <c r="T98" s="197"/>
      <c r="U98" s="197"/>
    </row>
    <row r="99" spans="1:33" s="12" customFormat="1" x14ac:dyDescent="0.25">
      <c r="A99" s="200" t="s">
        <v>914</v>
      </c>
      <c r="B99" s="60">
        <v>12.19</v>
      </c>
      <c r="C99" s="60">
        <v>10.74</v>
      </c>
      <c r="D99" s="60">
        <v>22.93</v>
      </c>
      <c r="E99" s="60">
        <v>7.37</v>
      </c>
      <c r="F99" s="60">
        <v>0.03</v>
      </c>
      <c r="G99" s="215" t="s">
        <v>36</v>
      </c>
      <c r="H99" s="60">
        <v>11.88</v>
      </c>
      <c r="I99" s="60">
        <v>6.11</v>
      </c>
      <c r="J99" s="60">
        <v>0.91</v>
      </c>
      <c r="K99" s="60">
        <v>333.69</v>
      </c>
      <c r="L99" s="60">
        <v>40.39</v>
      </c>
      <c r="M99" s="60">
        <v>99.15</v>
      </c>
      <c r="N99" s="60">
        <v>15.2</v>
      </c>
      <c r="O99" s="60">
        <v>0</v>
      </c>
      <c r="P99" s="60">
        <v>3.75</v>
      </c>
      <c r="Q99" s="60">
        <v>11.02</v>
      </c>
      <c r="R99" s="197"/>
      <c r="S99" s="197"/>
      <c r="T99" s="197"/>
      <c r="U99" s="197"/>
    </row>
    <row r="100" spans="1:33" s="12" customFormat="1" x14ac:dyDescent="0.25">
      <c r="A100" s="200" t="s">
        <v>915</v>
      </c>
      <c r="B100" s="60">
        <v>13.37</v>
      </c>
      <c r="C100" s="60">
        <v>10.81</v>
      </c>
      <c r="D100" s="60">
        <v>24.18</v>
      </c>
      <c r="E100" s="60">
        <v>7.58</v>
      </c>
      <c r="F100" s="60">
        <v>0.37</v>
      </c>
      <c r="G100" s="215" t="s">
        <v>36</v>
      </c>
      <c r="H100" s="60">
        <v>11.88</v>
      </c>
      <c r="I100" s="60">
        <v>6.04</v>
      </c>
      <c r="J100" s="60">
        <v>0.38</v>
      </c>
      <c r="K100" s="60">
        <v>349.4</v>
      </c>
      <c r="L100" s="60">
        <v>41.16</v>
      </c>
      <c r="M100" s="60">
        <v>99.15</v>
      </c>
      <c r="N100" s="60">
        <v>15.3</v>
      </c>
      <c r="O100" s="60">
        <v>0</v>
      </c>
      <c r="P100" s="60">
        <v>3.78</v>
      </c>
      <c r="Q100" s="60">
        <v>11.73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916</v>
      </c>
      <c r="B101" s="60">
        <v>14.8</v>
      </c>
      <c r="C101" s="60">
        <v>11.11</v>
      </c>
      <c r="D101" s="60">
        <v>25.91</v>
      </c>
      <c r="E101" s="60">
        <v>6.78</v>
      </c>
      <c r="F101" s="60">
        <v>0.68</v>
      </c>
      <c r="G101" s="215" t="s">
        <v>36</v>
      </c>
      <c r="H101" s="60">
        <v>13.84</v>
      </c>
      <c r="I101" s="60">
        <v>6.46</v>
      </c>
      <c r="J101" s="60">
        <v>0.78</v>
      </c>
      <c r="K101" s="60">
        <v>354.47</v>
      </c>
      <c r="L101" s="60">
        <v>42.87</v>
      </c>
      <c r="M101" s="60">
        <v>99.15</v>
      </c>
      <c r="N101" s="60">
        <v>15.8</v>
      </c>
      <c r="O101" s="60">
        <v>0</v>
      </c>
      <c r="P101" s="60">
        <v>3.82</v>
      </c>
      <c r="Q101" s="60">
        <v>12.48</v>
      </c>
      <c r="R101" s="197"/>
      <c r="S101" s="197"/>
      <c r="T101" s="197"/>
      <c r="U101" s="197"/>
    </row>
    <row r="102" spans="1:33" s="12" customFormat="1" x14ac:dyDescent="0.25">
      <c r="A102" s="200" t="s">
        <v>917</v>
      </c>
      <c r="B102" s="60">
        <v>15.91</v>
      </c>
      <c r="C102" s="60">
        <v>11.77</v>
      </c>
      <c r="D102" s="60">
        <v>27.68</v>
      </c>
      <c r="E102" s="60">
        <v>7.49</v>
      </c>
      <c r="F102" s="60">
        <v>0.21</v>
      </c>
      <c r="G102" s="215" t="s">
        <v>36</v>
      </c>
      <c r="H102" s="60">
        <v>18.670000000000002</v>
      </c>
      <c r="I102" s="60">
        <v>6.75</v>
      </c>
      <c r="J102" s="60">
        <v>0.52</v>
      </c>
      <c r="K102" s="60">
        <v>358.04</v>
      </c>
      <c r="L102" s="60">
        <v>44.48</v>
      </c>
      <c r="M102" s="60">
        <v>99.15</v>
      </c>
      <c r="N102" s="60">
        <v>15.8</v>
      </c>
      <c r="O102" s="60">
        <v>0</v>
      </c>
      <c r="P102" s="60">
        <v>3.84</v>
      </c>
      <c r="Q102" s="60">
        <v>12.35</v>
      </c>
      <c r="R102" s="197"/>
      <c r="S102" s="197"/>
      <c r="T102" s="197"/>
      <c r="U102" s="197"/>
    </row>
    <row r="103" spans="1:33" s="12" customFormat="1" x14ac:dyDescent="0.25">
      <c r="A103" s="200" t="s">
        <v>918</v>
      </c>
      <c r="B103" s="60">
        <v>17</v>
      </c>
      <c r="C103" s="60">
        <v>12.16</v>
      </c>
      <c r="D103" s="60">
        <v>29.16</v>
      </c>
      <c r="E103" s="60">
        <v>7.5</v>
      </c>
      <c r="F103" s="60">
        <v>0.11</v>
      </c>
      <c r="G103" s="215" t="s">
        <v>36</v>
      </c>
      <c r="H103" s="60">
        <v>18.670000000000002</v>
      </c>
      <c r="I103" s="60">
        <v>6.86</v>
      </c>
      <c r="J103" s="60">
        <v>0.42</v>
      </c>
      <c r="K103" s="60">
        <v>25.04</v>
      </c>
      <c r="L103" s="60">
        <v>43.99</v>
      </c>
      <c r="M103" s="60">
        <v>99.15</v>
      </c>
      <c r="N103" s="60">
        <v>15.6</v>
      </c>
      <c r="O103" s="60">
        <v>0</v>
      </c>
      <c r="P103" s="60">
        <v>3.84</v>
      </c>
      <c r="Q103" s="60">
        <v>12.62</v>
      </c>
      <c r="R103" s="197"/>
      <c r="S103" s="197"/>
      <c r="T103" s="197"/>
      <c r="U103" s="197"/>
    </row>
    <row r="104" spans="1:33" s="12" customFormat="1" x14ac:dyDescent="0.25">
      <c r="A104" s="200" t="s">
        <v>919</v>
      </c>
      <c r="B104" s="60">
        <v>17.829999999999998</v>
      </c>
      <c r="C104" s="60">
        <v>12.22</v>
      </c>
      <c r="D104" s="60">
        <v>30.05</v>
      </c>
      <c r="E104" s="60">
        <v>2.96</v>
      </c>
      <c r="F104" s="60">
        <v>0.23</v>
      </c>
      <c r="G104" s="215" t="s">
        <v>36</v>
      </c>
      <c r="H104" s="60">
        <v>18.670000000000002</v>
      </c>
      <c r="I104" s="60">
        <v>6.89</v>
      </c>
      <c r="J104" s="60">
        <v>0.59</v>
      </c>
      <c r="K104" s="60">
        <v>4.6100000000000003</v>
      </c>
      <c r="L104" s="60">
        <v>44.01</v>
      </c>
      <c r="M104" s="60">
        <v>99.15</v>
      </c>
      <c r="N104" s="60">
        <v>15.4</v>
      </c>
      <c r="O104" s="60">
        <v>0</v>
      </c>
      <c r="P104" s="60">
        <v>3.84</v>
      </c>
      <c r="Q104" s="60">
        <v>12.78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5" t="s">
        <v>59</v>
      </c>
      <c r="B106" s="67">
        <f>MIN(B9:B104)</f>
        <v>2.75</v>
      </c>
      <c r="C106" s="67">
        <f>MIN(C9:C104)</f>
        <v>9.34</v>
      </c>
      <c r="D106" s="67">
        <f t="shared" ref="D106:Q106" si="0">MIN(D9:D104)</f>
        <v>12.62</v>
      </c>
      <c r="E106" s="67">
        <f t="shared" si="0"/>
        <v>2.73</v>
      </c>
      <c r="F106" s="67">
        <f t="shared" si="0"/>
        <v>0.02</v>
      </c>
      <c r="G106" s="67">
        <f t="shared" si="0"/>
        <v>0</v>
      </c>
      <c r="H106" s="67">
        <f t="shared" si="0"/>
        <v>4.8</v>
      </c>
      <c r="I106" s="67">
        <f t="shared" si="0"/>
        <v>4.79</v>
      </c>
      <c r="J106" s="67">
        <f t="shared" si="0"/>
        <v>0.08</v>
      </c>
      <c r="K106" s="67">
        <f t="shared" si="0"/>
        <v>0.01</v>
      </c>
      <c r="L106" s="67">
        <f t="shared" si="0"/>
        <v>34.880000000000003</v>
      </c>
      <c r="M106" s="67">
        <f t="shared" si="0"/>
        <v>60.13</v>
      </c>
      <c r="N106" s="67">
        <f t="shared" si="0"/>
        <v>14.9</v>
      </c>
      <c r="O106" s="67">
        <f t="shared" si="0"/>
        <v>0</v>
      </c>
      <c r="P106" s="67">
        <f t="shared" si="0"/>
        <v>3.4</v>
      </c>
      <c r="Q106" s="67">
        <f t="shared" si="0"/>
        <v>6.12</v>
      </c>
      <c r="R106" s="198"/>
      <c r="S106" s="198"/>
      <c r="T106" s="198"/>
      <c r="U106" s="198"/>
    </row>
    <row r="107" spans="1:33" x14ac:dyDescent="0.25">
      <c r="A107" s="65" t="s">
        <v>60</v>
      </c>
      <c r="B107" s="66">
        <f>MAX(B9:B104)</f>
        <v>18.8</v>
      </c>
      <c r="C107" s="66">
        <f t="shared" ref="C107:Q107" si="1">MAX(C9:C104)</f>
        <v>21.55</v>
      </c>
      <c r="D107" s="66">
        <f t="shared" si="1"/>
        <v>36.5</v>
      </c>
      <c r="E107" s="66">
        <f t="shared" si="1"/>
        <v>8.31</v>
      </c>
      <c r="F107" s="66">
        <f t="shared" si="1"/>
        <v>1.2</v>
      </c>
      <c r="G107" s="66">
        <f t="shared" si="1"/>
        <v>0</v>
      </c>
      <c r="H107" s="66">
        <f t="shared" si="1"/>
        <v>36.75</v>
      </c>
      <c r="I107" s="66">
        <f t="shared" si="1"/>
        <v>7.62</v>
      </c>
      <c r="J107" s="66">
        <f t="shared" si="1"/>
        <v>2.04</v>
      </c>
      <c r="K107" s="66">
        <f t="shared" si="1"/>
        <v>359.87</v>
      </c>
      <c r="L107" s="66">
        <f t="shared" si="1"/>
        <v>50.36</v>
      </c>
      <c r="M107" s="66">
        <f t="shared" si="1"/>
        <v>99.15</v>
      </c>
      <c r="N107" s="66">
        <f t="shared" si="1"/>
        <v>1001.5</v>
      </c>
      <c r="O107" s="66">
        <f t="shared" si="1"/>
        <v>12.2</v>
      </c>
      <c r="P107" s="66">
        <f t="shared" si="1"/>
        <v>3.92</v>
      </c>
      <c r="Q107" s="66">
        <f t="shared" si="1"/>
        <v>15.5</v>
      </c>
      <c r="R107" s="199"/>
      <c r="S107" s="199"/>
      <c r="T107" s="199"/>
      <c r="U107" s="199"/>
    </row>
    <row r="108" spans="1:33" x14ac:dyDescent="0.25">
      <c r="A108" s="65" t="s">
        <v>61</v>
      </c>
      <c r="B108" s="67">
        <f>AVERAGE(B9:B104)</f>
        <v>8.9979166666666668</v>
      </c>
      <c r="C108" s="67">
        <f t="shared" ref="C108:Q108" si="2">AVERAGE(C9:C104)</f>
        <v>14.561145833333335</v>
      </c>
      <c r="D108" s="67">
        <f t="shared" si="2"/>
        <v>23.55854166666666</v>
      </c>
      <c r="E108" s="67">
        <f t="shared" si="2"/>
        <v>6.6090624999999994</v>
      </c>
      <c r="F108" s="67">
        <f t="shared" si="2"/>
        <v>0.46916666666666657</v>
      </c>
      <c r="G108" s="67" t="e">
        <f t="shared" si="2"/>
        <v>#DIV/0!</v>
      </c>
      <c r="H108" s="67">
        <f t="shared" si="2"/>
        <v>21.449895833333333</v>
      </c>
      <c r="I108" s="67">
        <f t="shared" si="2"/>
        <v>6.4019791666666679</v>
      </c>
      <c r="J108" s="67">
        <f t="shared" si="2"/>
        <v>0.88947916666666671</v>
      </c>
      <c r="K108" s="67">
        <f t="shared" si="2"/>
        <v>251.54604166666664</v>
      </c>
      <c r="L108" s="67">
        <f t="shared" si="2"/>
        <v>41.332395833333337</v>
      </c>
      <c r="M108" s="67">
        <f t="shared" si="2"/>
        <v>85.375833333333233</v>
      </c>
      <c r="N108" s="67">
        <f t="shared" si="2"/>
        <v>188.55208333333329</v>
      </c>
      <c r="O108" s="67">
        <f t="shared" si="2"/>
        <v>0.40624999999999994</v>
      </c>
      <c r="P108" s="67">
        <f t="shared" si="2"/>
        <v>3.702604166666664</v>
      </c>
      <c r="Q108" s="67">
        <f t="shared" si="2"/>
        <v>10.689583333333339</v>
      </c>
      <c r="R108" s="198"/>
      <c r="S108" s="198"/>
      <c r="T108" s="198"/>
      <c r="U108" s="198"/>
    </row>
    <row r="109" spans="1:33" x14ac:dyDescent="0.25">
      <c r="A109" s="65" t="s">
        <v>77</v>
      </c>
      <c r="B109" s="67">
        <f>STDEV(B9:B104)</f>
        <v>4.8355468676016296</v>
      </c>
      <c r="C109" s="67">
        <f t="shared" ref="C109:Q109" si="3">STDEV(C9:C104)</f>
        <v>3.8119537385472686</v>
      </c>
      <c r="D109" s="67">
        <f t="shared" si="3"/>
        <v>7.1612859737791466</v>
      </c>
      <c r="E109" s="67">
        <f t="shared" si="3"/>
        <v>1.2217124117832585</v>
      </c>
      <c r="F109" s="67">
        <f t="shared" si="3"/>
        <v>0.27294366747377596</v>
      </c>
      <c r="G109" s="67" t="e">
        <f t="shared" si="3"/>
        <v>#DIV/0!</v>
      </c>
      <c r="H109" s="67">
        <f t="shared" si="3"/>
        <v>10.925050740076477</v>
      </c>
      <c r="I109" s="67">
        <f t="shared" si="3"/>
        <v>0.57061853751072378</v>
      </c>
      <c r="J109" s="67">
        <f t="shared" si="3"/>
        <v>0.42781296895198123</v>
      </c>
      <c r="K109" s="67">
        <f t="shared" si="3"/>
        <v>130.43000904683004</v>
      </c>
      <c r="L109" s="67">
        <f t="shared" si="3"/>
        <v>4.5994907600942643</v>
      </c>
      <c r="M109" s="67">
        <f t="shared" si="3"/>
        <v>15.330663848480603</v>
      </c>
      <c r="N109" s="67">
        <f t="shared" si="3"/>
        <v>246.69114974809094</v>
      </c>
      <c r="O109" s="67">
        <f t="shared" si="3"/>
        <v>1.9376498244278462</v>
      </c>
      <c r="P109" s="67">
        <f t="shared" si="3"/>
        <v>0.18289050386367456</v>
      </c>
      <c r="Q109" s="67">
        <f t="shared" si="3"/>
        <v>2.6781238195763684</v>
      </c>
      <c r="R109" s="198"/>
      <c r="S109" s="198"/>
      <c r="T109" s="198"/>
      <c r="U109" s="198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COUNT(G9:G104)+96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9"/>
      <c r="S110" s="199"/>
      <c r="T110" s="199"/>
      <c r="U110" s="199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218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08-08-2022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234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920</v>
      </c>
      <c r="B9" s="60">
        <v>18.39</v>
      </c>
      <c r="C9" s="60">
        <v>12.41</v>
      </c>
      <c r="D9" s="60">
        <v>30.8</v>
      </c>
      <c r="E9" s="60">
        <v>5.08</v>
      </c>
      <c r="F9" s="60">
        <v>0.23</v>
      </c>
      <c r="G9" s="215" t="s">
        <v>36</v>
      </c>
      <c r="H9" s="60">
        <v>17.190000000000001</v>
      </c>
      <c r="I9" s="60">
        <v>6.93</v>
      </c>
      <c r="J9" s="60">
        <v>0.84</v>
      </c>
      <c r="K9" s="60">
        <v>356.99</v>
      </c>
      <c r="L9" s="60">
        <v>45.63</v>
      </c>
      <c r="M9" s="60">
        <v>99.15</v>
      </c>
      <c r="N9" s="60">
        <v>15.3</v>
      </c>
      <c r="O9" s="60">
        <v>0</v>
      </c>
      <c r="P9" s="60">
        <v>3.83</v>
      </c>
      <c r="Q9" s="60">
        <v>12.95</v>
      </c>
      <c r="R9" s="197"/>
      <c r="S9" s="197"/>
      <c r="T9" s="197"/>
      <c r="U9" s="197"/>
    </row>
    <row r="10" spans="1:21" s="12" customFormat="1" x14ac:dyDescent="0.25">
      <c r="A10" s="200" t="s">
        <v>921</v>
      </c>
      <c r="B10" s="60">
        <v>18.66</v>
      </c>
      <c r="C10" s="60">
        <v>12.53</v>
      </c>
      <c r="D10" s="60">
        <v>31.19</v>
      </c>
      <c r="E10" s="60">
        <v>6.61</v>
      </c>
      <c r="F10" s="60">
        <v>0.31</v>
      </c>
      <c r="G10" s="215" t="s">
        <v>36</v>
      </c>
      <c r="H10" s="60">
        <v>13.57</v>
      </c>
      <c r="I10" s="60">
        <v>6.91</v>
      </c>
      <c r="J10" s="60">
        <v>0.83</v>
      </c>
      <c r="K10" s="60">
        <v>359.02</v>
      </c>
      <c r="L10" s="60">
        <v>43.12</v>
      </c>
      <c r="M10" s="60">
        <v>99.15</v>
      </c>
      <c r="N10" s="60">
        <v>15.4</v>
      </c>
      <c r="O10" s="60">
        <v>0</v>
      </c>
      <c r="P10" s="60">
        <v>3.83</v>
      </c>
      <c r="Q10" s="60">
        <v>13.02</v>
      </c>
      <c r="R10" s="197"/>
      <c r="S10" s="197"/>
      <c r="T10" s="197"/>
      <c r="U10" s="197"/>
    </row>
    <row r="11" spans="1:21" s="12" customFormat="1" x14ac:dyDescent="0.25">
      <c r="A11" s="200" t="s">
        <v>922</v>
      </c>
      <c r="B11" s="60">
        <v>18.48</v>
      </c>
      <c r="C11" s="60">
        <v>12.36</v>
      </c>
      <c r="D11" s="60">
        <v>30.84</v>
      </c>
      <c r="E11" s="60">
        <v>6.8</v>
      </c>
      <c r="F11" s="60">
        <v>0.2</v>
      </c>
      <c r="G11" s="215" t="s">
        <v>36</v>
      </c>
      <c r="H11" s="60">
        <v>13.57</v>
      </c>
      <c r="I11" s="60">
        <v>6.87</v>
      </c>
      <c r="J11" s="60">
        <v>1.1499999999999999</v>
      </c>
      <c r="K11" s="60">
        <v>355.55</v>
      </c>
      <c r="L11" s="60">
        <v>41.67</v>
      </c>
      <c r="M11" s="60">
        <v>99.15</v>
      </c>
      <c r="N11" s="60">
        <v>15.3</v>
      </c>
      <c r="O11" s="60">
        <v>0</v>
      </c>
      <c r="P11" s="60">
        <v>3.83</v>
      </c>
      <c r="Q11" s="60">
        <v>12.86</v>
      </c>
      <c r="R11" s="197"/>
      <c r="S11" s="197"/>
      <c r="T11" s="197"/>
      <c r="U11" s="197"/>
    </row>
    <row r="12" spans="1:21" s="12" customFormat="1" x14ac:dyDescent="0.25">
      <c r="A12" s="200" t="s">
        <v>923</v>
      </c>
      <c r="B12" s="60">
        <v>18.39</v>
      </c>
      <c r="C12" s="60">
        <v>12.64</v>
      </c>
      <c r="D12" s="60">
        <v>31.03</v>
      </c>
      <c r="E12" s="60">
        <v>6.91</v>
      </c>
      <c r="F12" s="60">
        <v>0.22</v>
      </c>
      <c r="G12" s="215" t="s">
        <v>36</v>
      </c>
      <c r="H12" s="60">
        <v>13.57</v>
      </c>
      <c r="I12" s="60">
        <v>6.81</v>
      </c>
      <c r="J12" s="60">
        <v>1.1000000000000001</v>
      </c>
      <c r="K12" s="60">
        <v>356.62</v>
      </c>
      <c r="L12" s="60">
        <v>43.38</v>
      </c>
      <c r="M12" s="60">
        <v>99.15</v>
      </c>
      <c r="N12" s="60">
        <v>15.5</v>
      </c>
      <c r="O12" s="60">
        <v>0</v>
      </c>
      <c r="P12" s="60">
        <v>3.86</v>
      </c>
      <c r="Q12" s="60">
        <v>13.11</v>
      </c>
      <c r="R12" s="197"/>
      <c r="S12" s="197"/>
      <c r="T12" s="197"/>
      <c r="U12" s="197"/>
    </row>
    <row r="13" spans="1:21" s="12" customFormat="1" x14ac:dyDescent="0.25">
      <c r="A13" s="200" t="s">
        <v>924</v>
      </c>
      <c r="B13" s="60">
        <v>18.21</v>
      </c>
      <c r="C13" s="60">
        <v>12.63</v>
      </c>
      <c r="D13" s="60">
        <v>30.85</v>
      </c>
      <c r="E13" s="60">
        <v>7.03</v>
      </c>
      <c r="F13" s="60">
        <v>0.09</v>
      </c>
      <c r="G13" s="215" t="s">
        <v>36</v>
      </c>
      <c r="H13" s="60">
        <v>14.15</v>
      </c>
      <c r="I13" s="60">
        <v>6.49</v>
      </c>
      <c r="J13" s="60">
        <v>1.03</v>
      </c>
      <c r="K13" s="60">
        <v>355.57</v>
      </c>
      <c r="L13" s="60">
        <v>45.28</v>
      </c>
      <c r="M13" s="60">
        <v>99.15</v>
      </c>
      <c r="N13" s="60">
        <v>15.8</v>
      </c>
      <c r="O13" s="60">
        <v>0</v>
      </c>
      <c r="P13" s="60">
        <v>3.88</v>
      </c>
      <c r="Q13" s="60">
        <v>13.38</v>
      </c>
      <c r="R13" s="197"/>
      <c r="S13" s="197"/>
      <c r="T13" s="197"/>
      <c r="U13" s="197"/>
    </row>
    <row r="14" spans="1:21" s="12" customFormat="1" x14ac:dyDescent="0.25">
      <c r="A14" s="200" t="s">
        <v>925</v>
      </c>
      <c r="B14" s="60">
        <v>17.91</v>
      </c>
      <c r="C14" s="60">
        <v>12.42</v>
      </c>
      <c r="D14" s="60">
        <v>30.33</v>
      </c>
      <c r="E14" s="60">
        <v>7.12</v>
      </c>
      <c r="F14" s="60">
        <v>0.16</v>
      </c>
      <c r="G14" s="215" t="s">
        <v>36</v>
      </c>
      <c r="H14" s="60">
        <v>15.57</v>
      </c>
      <c r="I14" s="60">
        <v>6.52</v>
      </c>
      <c r="J14" s="60">
        <v>0.94</v>
      </c>
      <c r="K14" s="60">
        <v>358.49</v>
      </c>
      <c r="L14" s="60">
        <v>45.45</v>
      </c>
      <c r="M14" s="60">
        <v>99.15</v>
      </c>
      <c r="N14" s="60">
        <v>15.8</v>
      </c>
      <c r="O14" s="60">
        <v>0</v>
      </c>
      <c r="P14" s="60">
        <v>3.9</v>
      </c>
      <c r="Q14" s="60">
        <v>13.39</v>
      </c>
      <c r="R14" s="197"/>
      <c r="S14" s="197"/>
      <c r="T14" s="197"/>
      <c r="U14" s="197"/>
    </row>
    <row r="15" spans="1:21" s="12" customFormat="1" x14ac:dyDescent="0.25">
      <c r="A15" s="200" t="s">
        <v>926</v>
      </c>
      <c r="B15" s="60">
        <v>17.5</v>
      </c>
      <c r="C15" s="60">
        <v>12.19</v>
      </c>
      <c r="D15" s="60">
        <v>29.68</v>
      </c>
      <c r="E15" s="60">
        <v>7.17</v>
      </c>
      <c r="F15" s="60">
        <v>0.2</v>
      </c>
      <c r="G15" s="215" t="s">
        <v>36</v>
      </c>
      <c r="H15" s="60">
        <v>15.57</v>
      </c>
      <c r="I15" s="60">
        <v>6.23</v>
      </c>
      <c r="J15" s="60">
        <v>0.99</v>
      </c>
      <c r="K15" s="60">
        <v>357.53</v>
      </c>
      <c r="L15" s="60">
        <v>43.88</v>
      </c>
      <c r="M15" s="60">
        <v>99.15</v>
      </c>
      <c r="N15" s="60">
        <v>15.8</v>
      </c>
      <c r="O15" s="60">
        <v>0</v>
      </c>
      <c r="P15" s="60">
        <v>3.89</v>
      </c>
      <c r="Q15" s="60">
        <v>13.51</v>
      </c>
      <c r="R15" s="197"/>
      <c r="S15" s="197"/>
      <c r="T15" s="197"/>
      <c r="U15" s="197"/>
    </row>
    <row r="16" spans="1:21" s="12" customFormat="1" x14ac:dyDescent="0.25">
      <c r="A16" s="200" t="s">
        <v>927</v>
      </c>
      <c r="B16" s="60">
        <v>17.05</v>
      </c>
      <c r="C16" s="60">
        <v>12.24</v>
      </c>
      <c r="D16" s="60">
        <v>29.29</v>
      </c>
      <c r="E16" s="60">
        <v>7.04</v>
      </c>
      <c r="F16" s="60">
        <v>0.14000000000000001</v>
      </c>
      <c r="G16" s="215" t="s">
        <v>36</v>
      </c>
      <c r="H16" s="60">
        <v>15.57</v>
      </c>
      <c r="I16" s="60">
        <v>6.22</v>
      </c>
      <c r="J16" s="60">
        <v>1</v>
      </c>
      <c r="K16" s="60">
        <v>359.53</v>
      </c>
      <c r="L16" s="60">
        <v>41.53</v>
      </c>
      <c r="M16" s="60">
        <v>99.15</v>
      </c>
      <c r="N16" s="60">
        <v>15.4</v>
      </c>
      <c r="O16" s="60">
        <v>0</v>
      </c>
      <c r="P16" s="60">
        <v>3.87</v>
      </c>
      <c r="Q16" s="60">
        <v>13.59</v>
      </c>
      <c r="R16" s="197"/>
      <c r="S16" s="197"/>
      <c r="T16" s="197"/>
      <c r="U16" s="197"/>
    </row>
    <row r="17" spans="1:21" s="12" customFormat="1" x14ac:dyDescent="0.25">
      <c r="A17" s="200" t="s">
        <v>928</v>
      </c>
      <c r="B17" s="60">
        <v>16.82</v>
      </c>
      <c r="C17" s="60">
        <v>12.03</v>
      </c>
      <c r="D17" s="60">
        <v>28.85</v>
      </c>
      <c r="E17" s="60">
        <v>7.34</v>
      </c>
      <c r="F17" s="60">
        <v>0.3</v>
      </c>
      <c r="G17" s="215" t="s">
        <v>36</v>
      </c>
      <c r="H17" s="60">
        <v>15.27</v>
      </c>
      <c r="I17" s="60">
        <v>6.13</v>
      </c>
      <c r="J17" s="60">
        <v>0.41</v>
      </c>
      <c r="K17" s="60">
        <v>24.36</v>
      </c>
      <c r="L17" s="60">
        <v>44.33</v>
      </c>
      <c r="M17" s="60">
        <v>99.15</v>
      </c>
      <c r="N17" s="60">
        <v>15.3</v>
      </c>
      <c r="O17" s="60">
        <v>0</v>
      </c>
      <c r="P17" s="60">
        <v>3.85</v>
      </c>
      <c r="Q17" s="60">
        <v>13.59</v>
      </c>
      <c r="R17" s="197"/>
      <c r="S17" s="197"/>
      <c r="T17" s="197"/>
      <c r="U17" s="197"/>
    </row>
    <row r="18" spans="1:21" s="12" customFormat="1" x14ac:dyDescent="0.25">
      <c r="A18" s="200" t="s">
        <v>929</v>
      </c>
      <c r="B18" s="60">
        <v>16.78</v>
      </c>
      <c r="C18" s="60">
        <v>11.44</v>
      </c>
      <c r="D18" s="60">
        <v>28.22</v>
      </c>
      <c r="E18" s="60">
        <v>7.23</v>
      </c>
      <c r="F18" s="60">
        <v>0.04</v>
      </c>
      <c r="G18" s="215" t="s">
        <v>36</v>
      </c>
      <c r="H18" s="60">
        <v>14.54</v>
      </c>
      <c r="I18" s="60">
        <v>6.14</v>
      </c>
      <c r="J18" s="60">
        <v>0.43</v>
      </c>
      <c r="K18" s="60">
        <v>28.49</v>
      </c>
      <c r="L18" s="60">
        <v>43.21</v>
      </c>
      <c r="M18" s="60">
        <v>99.15</v>
      </c>
      <c r="N18" s="60">
        <v>15.3</v>
      </c>
      <c r="O18" s="60">
        <v>0</v>
      </c>
      <c r="P18" s="60">
        <v>3.84</v>
      </c>
      <c r="Q18" s="60">
        <v>13.62</v>
      </c>
      <c r="R18" s="197"/>
      <c r="S18" s="197"/>
      <c r="T18" s="197"/>
      <c r="U18" s="197"/>
    </row>
    <row r="19" spans="1:21" s="12" customFormat="1" x14ac:dyDescent="0.25">
      <c r="A19" s="200" t="s">
        <v>930</v>
      </c>
      <c r="B19" s="60">
        <v>16.63</v>
      </c>
      <c r="C19" s="60">
        <v>10.64</v>
      </c>
      <c r="D19" s="60">
        <v>27.28</v>
      </c>
      <c r="E19" s="60">
        <v>7.77</v>
      </c>
      <c r="F19" s="60">
        <v>0.19</v>
      </c>
      <c r="G19" s="215" t="s">
        <v>36</v>
      </c>
      <c r="H19" s="60">
        <v>14.54</v>
      </c>
      <c r="I19" s="60">
        <v>5.8</v>
      </c>
      <c r="J19" s="60">
        <v>0.52</v>
      </c>
      <c r="K19" s="60">
        <v>5.8</v>
      </c>
      <c r="L19" s="60">
        <v>43.6</v>
      </c>
      <c r="M19" s="60">
        <v>99.15</v>
      </c>
      <c r="N19" s="60">
        <v>15.7</v>
      </c>
      <c r="O19" s="60">
        <v>0</v>
      </c>
      <c r="P19" s="60">
        <v>3.81</v>
      </c>
      <c r="Q19" s="60">
        <v>13.6</v>
      </c>
      <c r="R19" s="197"/>
      <c r="S19" s="197"/>
      <c r="T19" s="197"/>
      <c r="U19" s="197"/>
    </row>
    <row r="20" spans="1:21" s="12" customFormat="1" x14ac:dyDescent="0.25">
      <c r="A20" s="200" t="s">
        <v>931</v>
      </c>
      <c r="B20" s="60">
        <v>16.22</v>
      </c>
      <c r="C20" s="60">
        <v>10.65</v>
      </c>
      <c r="D20" s="60">
        <v>26.86</v>
      </c>
      <c r="E20" s="60">
        <v>7.48</v>
      </c>
      <c r="F20" s="60">
        <v>0.09</v>
      </c>
      <c r="G20" s="215" t="s">
        <v>36</v>
      </c>
      <c r="H20" s="60">
        <v>14.54</v>
      </c>
      <c r="I20" s="60">
        <v>6.19</v>
      </c>
      <c r="J20" s="60">
        <v>0.49</v>
      </c>
      <c r="K20" s="60">
        <v>12.08</v>
      </c>
      <c r="L20" s="60">
        <v>43.74</v>
      </c>
      <c r="M20" s="60">
        <v>99.15</v>
      </c>
      <c r="N20" s="60">
        <v>15.5</v>
      </c>
      <c r="O20" s="60">
        <v>0</v>
      </c>
      <c r="P20" s="60">
        <v>3.79</v>
      </c>
      <c r="Q20" s="60">
        <v>12.75</v>
      </c>
      <c r="R20" s="197"/>
      <c r="S20" s="197"/>
      <c r="T20" s="197"/>
      <c r="U20" s="197"/>
    </row>
    <row r="21" spans="1:21" s="12" customFormat="1" x14ac:dyDescent="0.25">
      <c r="A21" s="200" t="s">
        <v>932</v>
      </c>
      <c r="B21" s="60">
        <v>15.79</v>
      </c>
      <c r="C21" s="60">
        <v>10.5</v>
      </c>
      <c r="D21" s="60">
        <v>26.29</v>
      </c>
      <c r="E21" s="60">
        <v>7.1</v>
      </c>
      <c r="F21" s="60">
        <v>7.0000000000000007E-2</v>
      </c>
      <c r="G21" s="215" t="s">
        <v>36</v>
      </c>
      <c r="H21" s="60">
        <v>13.8</v>
      </c>
      <c r="I21" s="60">
        <v>6.36</v>
      </c>
      <c r="J21" s="60">
        <v>0.35</v>
      </c>
      <c r="K21" s="60">
        <v>11.68</v>
      </c>
      <c r="L21" s="60">
        <v>40.85</v>
      </c>
      <c r="M21" s="60">
        <v>99.15</v>
      </c>
      <c r="N21" s="60">
        <v>15.4</v>
      </c>
      <c r="O21" s="60">
        <v>0</v>
      </c>
      <c r="P21" s="60">
        <v>3.76</v>
      </c>
      <c r="Q21" s="60">
        <v>11.99</v>
      </c>
      <c r="R21" s="197"/>
      <c r="S21" s="197"/>
      <c r="T21" s="197"/>
      <c r="U21" s="197"/>
    </row>
    <row r="22" spans="1:21" s="12" customFormat="1" x14ac:dyDescent="0.25">
      <c r="A22" s="200" t="s">
        <v>933</v>
      </c>
      <c r="B22" s="60">
        <v>15.38</v>
      </c>
      <c r="C22" s="60">
        <v>10.31</v>
      </c>
      <c r="D22" s="60">
        <v>25.69</v>
      </c>
      <c r="E22" s="60">
        <v>6.87</v>
      </c>
      <c r="F22" s="60">
        <v>0.32</v>
      </c>
      <c r="G22" s="215" t="s">
        <v>36</v>
      </c>
      <c r="H22" s="60">
        <v>11.99</v>
      </c>
      <c r="I22" s="60">
        <v>6.36</v>
      </c>
      <c r="J22" s="60">
        <v>0.35</v>
      </c>
      <c r="K22" s="60">
        <v>40.31</v>
      </c>
      <c r="L22" s="60">
        <v>40.119999999999997</v>
      </c>
      <c r="M22" s="60">
        <v>99.15</v>
      </c>
      <c r="N22" s="60">
        <v>15.3</v>
      </c>
      <c r="O22" s="60">
        <v>0</v>
      </c>
      <c r="P22" s="60">
        <v>3.74</v>
      </c>
      <c r="Q22" s="60">
        <v>11.33</v>
      </c>
      <c r="R22" s="197"/>
      <c r="S22" s="197"/>
      <c r="T22" s="197"/>
      <c r="U22" s="197"/>
    </row>
    <row r="23" spans="1:21" s="12" customFormat="1" x14ac:dyDescent="0.25">
      <c r="A23" s="200" t="s">
        <v>934</v>
      </c>
      <c r="B23" s="60">
        <v>14.8</v>
      </c>
      <c r="C23" s="60">
        <v>10.050000000000001</v>
      </c>
      <c r="D23" s="60">
        <v>24.85</v>
      </c>
      <c r="E23" s="60">
        <v>6.84</v>
      </c>
      <c r="F23" s="60">
        <v>0.5</v>
      </c>
      <c r="G23" s="215" t="s">
        <v>36</v>
      </c>
      <c r="H23" s="60">
        <v>11.99</v>
      </c>
      <c r="I23" s="60">
        <v>6.29</v>
      </c>
      <c r="J23" s="60">
        <v>0.35</v>
      </c>
      <c r="K23" s="60">
        <v>51.64</v>
      </c>
      <c r="L23" s="60">
        <v>40.369999999999997</v>
      </c>
      <c r="M23" s="60">
        <v>99.15</v>
      </c>
      <c r="N23" s="60">
        <v>15.2</v>
      </c>
      <c r="O23" s="60">
        <v>0</v>
      </c>
      <c r="P23" s="60">
        <v>3.7</v>
      </c>
      <c r="Q23" s="60">
        <v>10.84</v>
      </c>
      <c r="R23" s="197"/>
      <c r="S23" s="197"/>
      <c r="T23" s="197"/>
      <c r="U23" s="197"/>
    </row>
    <row r="24" spans="1:21" s="12" customFormat="1" x14ac:dyDescent="0.25">
      <c r="A24" s="200" t="s">
        <v>935</v>
      </c>
      <c r="B24" s="60">
        <v>14.34</v>
      </c>
      <c r="C24" s="60">
        <v>9.8699999999999992</v>
      </c>
      <c r="D24" s="60">
        <v>24.21</v>
      </c>
      <c r="E24" s="60">
        <v>3.35</v>
      </c>
      <c r="F24" s="60">
        <v>0.82</v>
      </c>
      <c r="G24" s="215" t="s">
        <v>36</v>
      </c>
      <c r="H24" s="60">
        <v>11.99</v>
      </c>
      <c r="I24" s="60">
        <v>6.23</v>
      </c>
      <c r="J24" s="60">
        <v>0.31</v>
      </c>
      <c r="K24" s="60">
        <v>26.54</v>
      </c>
      <c r="L24" s="60">
        <v>42.15</v>
      </c>
      <c r="M24" s="60">
        <v>99.15</v>
      </c>
      <c r="N24" s="60">
        <v>15.4</v>
      </c>
      <c r="O24" s="60">
        <v>0</v>
      </c>
      <c r="P24" s="60">
        <v>3.69</v>
      </c>
      <c r="Q24" s="60">
        <v>10.5</v>
      </c>
      <c r="R24" s="197"/>
      <c r="S24" s="197"/>
      <c r="T24" s="197"/>
      <c r="U24" s="197"/>
    </row>
    <row r="25" spans="1:21" s="12" customFormat="1" x14ac:dyDescent="0.25">
      <c r="A25" s="200" t="s">
        <v>936</v>
      </c>
      <c r="B25" s="60">
        <v>14.14</v>
      </c>
      <c r="C25" s="60">
        <v>9.8699999999999992</v>
      </c>
      <c r="D25" s="60">
        <v>24.01</v>
      </c>
      <c r="E25" s="60">
        <v>5.41</v>
      </c>
      <c r="F25" s="60">
        <v>0.17</v>
      </c>
      <c r="G25" s="215" t="s">
        <v>36</v>
      </c>
      <c r="H25" s="60">
        <v>11.15</v>
      </c>
      <c r="I25" s="60">
        <v>6.19</v>
      </c>
      <c r="J25" s="60">
        <v>0.23</v>
      </c>
      <c r="K25" s="60">
        <v>55.4</v>
      </c>
      <c r="L25" s="60">
        <v>41.81</v>
      </c>
      <c r="M25" s="60">
        <v>99.15</v>
      </c>
      <c r="N25" s="60">
        <v>15.4</v>
      </c>
      <c r="O25" s="60">
        <v>0</v>
      </c>
      <c r="P25" s="60">
        <v>3.66</v>
      </c>
      <c r="Q25" s="60">
        <v>10.34</v>
      </c>
      <c r="R25" s="197"/>
      <c r="S25" s="197"/>
      <c r="T25" s="197"/>
      <c r="U25" s="197"/>
    </row>
    <row r="26" spans="1:21" s="12" customFormat="1" x14ac:dyDescent="0.25">
      <c r="A26" s="200" t="s">
        <v>937</v>
      </c>
      <c r="B26" s="60">
        <v>14.43</v>
      </c>
      <c r="C26" s="60">
        <v>9.83</v>
      </c>
      <c r="D26" s="60">
        <v>24.26</v>
      </c>
      <c r="E26" s="60">
        <v>6.72</v>
      </c>
      <c r="F26" s="60">
        <v>7.0000000000000007E-2</v>
      </c>
      <c r="G26" s="215" t="s">
        <v>36</v>
      </c>
      <c r="H26" s="60">
        <v>9.1</v>
      </c>
      <c r="I26" s="60">
        <v>6.08</v>
      </c>
      <c r="J26" s="60">
        <v>0.34</v>
      </c>
      <c r="K26" s="60">
        <v>70.58</v>
      </c>
      <c r="L26" s="60">
        <v>41.37</v>
      </c>
      <c r="M26" s="60">
        <v>99.15</v>
      </c>
      <c r="N26" s="60">
        <v>15.4</v>
      </c>
      <c r="O26" s="60">
        <v>0</v>
      </c>
      <c r="P26" s="60">
        <v>3.64</v>
      </c>
      <c r="Q26" s="60">
        <v>10.4</v>
      </c>
      <c r="R26" s="197"/>
      <c r="S26" s="197"/>
      <c r="T26" s="197"/>
      <c r="U26" s="197"/>
    </row>
    <row r="27" spans="1:21" s="12" customFormat="1" x14ac:dyDescent="0.25">
      <c r="A27" s="200" t="s">
        <v>938</v>
      </c>
      <c r="B27" s="60">
        <v>14.65</v>
      </c>
      <c r="C27" s="60">
        <v>9.56</v>
      </c>
      <c r="D27" s="60">
        <v>24.21</v>
      </c>
      <c r="E27" s="60">
        <v>7.61</v>
      </c>
      <c r="F27" s="60">
        <v>0.15</v>
      </c>
      <c r="G27" s="215" t="s">
        <v>36</v>
      </c>
      <c r="H27" s="60">
        <v>9.1</v>
      </c>
      <c r="I27" s="60">
        <v>5.24</v>
      </c>
      <c r="J27" s="60">
        <v>0.27</v>
      </c>
      <c r="K27" s="60">
        <v>35.01</v>
      </c>
      <c r="L27" s="60">
        <v>42.18</v>
      </c>
      <c r="M27" s="60">
        <v>99.15</v>
      </c>
      <c r="N27" s="60">
        <v>15.3</v>
      </c>
      <c r="O27" s="60">
        <v>0</v>
      </c>
      <c r="P27" s="60">
        <v>3.64</v>
      </c>
      <c r="Q27" s="60">
        <v>10.79</v>
      </c>
      <c r="R27" s="197"/>
      <c r="S27" s="197"/>
      <c r="T27" s="197"/>
      <c r="U27" s="197"/>
    </row>
    <row r="28" spans="1:21" s="12" customFormat="1" x14ac:dyDescent="0.25">
      <c r="A28" s="200" t="s">
        <v>939</v>
      </c>
      <c r="B28" s="60">
        <v>15.44</v>
      </c>
      <c r="C28" s="60">
        <v>9.34</v>
      </c>
      <c r="D28" s="60">
        <v>24.77</v>
      </c>
      <c r="E28" s="60">
        <v>7.86</v>
      </c>
      <c r="F28" s="60">
        <v>0.22</v>
      </c>
      <c r="G28" s="215" t="s">
        <v>36</v>
      </c>
      <c r="H28" s="60">
        <v>9.1</v>
      </c>
      <c r="I28" s="60">
        <v>4.5</v>
      </c>
      <c r="J28" s="60">
        <v>0.53</v>
      </c>
      <c r="K28" s="60">
        <v>353.53</v>
      </c>
      <c r="L28" s="60">
        <v>43.53</v>
      </c>
      <c r="M28" s="60">
        <v>99.15</v>
      </c>
      <c r="N28" s="60">
        <v>15.4</v>
      </c>
      <c r="O28" s="60">
        <v>0</v>
      </c>
      <c r="P28" s="60">
        <v>3.63</v>
      </c>
      <c r="Q28" s="60">
        <v>11.65</v>
      </c>
      <c r="R28" s="197"/>
      <c r="S28" s="197"/>
      <c r="T28" s="197"/>
      <c r="U28" s="197"/>
    </row>
    <row r="29" spans="1:21" s="12" customFormat="1" x14ac:dyDescent="0.25">
      <c r="A29" s="200" t="s">
        <v>940</v>
      </c>
      <c r="B29" s="60">
        <v>15.93</v>
      </c>
      <c r="C29" s="60">
        <v>9.26</v>
      </c>
      <c r="D29" s="60">
        <v>25.19</v>
      </c>
      <c r="E29" s="60">
        <v>8.06</v>
      </c>
      <c r="F29" s="60">
        <v>0.2</v>
      </c>
      <c r="G29" s="215" t="s">
        <v>36</v>
      </c>
      <c r="H29" s="60">
        <v>9.89</v>
      </c>
      <c r="I29" s="60">
        <v>4.9400000000000004</v>
      </c>
      <c r="J29" s="60">
        <v>0.77</v>
      </c>
      <c r="K29" s="60">
        <v>355.48</v>
      </c>
      <c r="L29" s="60">
        <v>46.8</v>
      </c>
      <c r="M29" s="60">
        <v>99.15</v>
      </c>
      <c r="N29" s="60">
        <v>15.4</v>
      </c>
      <c r="O29" s="60">
        <v>0</v>
      </c>
      <c r="P29" s="60">
        <v>3.64</v>
      </c>
      <c r="Q29" s="60">
        <v>12.14</v>
      </c>
      <c r="R29" s="197"/>
      <c r="S29" s="197"/>
      <c r="T29" s="197"/>
      <c r="U29" s="197"/>
    </row>
    <row r="30" spans="1:21" s="12" customFormat="1" x14ac:dyDescent="0.25">
      <c r="A30" s="200" t="s">
        <v>941</v>
      </c>
      <c r="B30" s="60">
        <v>16.64</v>
      </c>
      <c r="C30" s="60">
        <v>9.6199999999999992</v>
      </c>
      <c r="D30" s="60">
        <v>26.26</v>
      </c>
      <c r="E30" s="60">
        <v>7.99</v>
      </c>
      <c r="F30" s="60">
        <v>0.38</v>
      </c>
      <c r="G30" s="215" t="s">
        <v>36</v>
      </c>
      <c r="H30" s="60">
        <v>11.84</v>
      </c>
      <c r="I30" s="60">
        <v>5.09</v>
      </c>
      <c r="J30" s="60">
        <v>0.48</v>
      </c>
      <c r="K30" s="60">
        <v>284.57</v>
      </c>
      <c r="L30" s="60">
        <v>46.28</v>
      </c>
      <c r="M30" s="60">
        <v>99.15</v>
      </c>
      <c r="N30" s="60">
        <v>15.8</v>
      </c>
      <c r="O30" s="60">
        <v>0</v>
      </c>
      <c r="P30" s="60">
        <v>3.63</v>
      </c>
      <c r="Q30" s="60">
        <v>12.61</v>
      </c>
      <c r="R30" s="197"/>
      <c r="S30" s="197"/>
      <c r="T30" s="197"/>
      <c r="U30" s="197"/>
    </row>
    <row r="31" spans="1:21" s="12" customFormat="1" x14ac:dyDescent="0.25">
      <c r="A31" s="200" t="s">
        <v>942</v>
      </c>
      <c r="B31" s="60">
        <v>17.12</v>
      </c>
      <c r="C31" s="60">
        <v>9.74</v>
      </c>
      <c r="D31" s="60">
        <v>26.86</v>
      </c>
      <c r="E31" s="60">
        <v>7.97</v>
      </c>
      <c r="F31" s="60">
        <v>0.23</v>
      </c>
      <c r="G31" s="215" t="s">
        <v>36</v>
      </c>
      <c r="H31" s="60">
        <v>11.84</v>
      </c>
      <c r="I31" s="60">
        <v>5.72</v>
      </c>
      <c r="J31" s="60">
        <v>0.56999999999999995</v>
      </c>
      <c r="K31" s="60">
        <v>275.86</v>
      </c>
      <c r="L31" s="60">
        <v>45.67</v>
      </c>
      <c r="M31" s="60">
        <v>99.15</v>
      </c>
      <c r="N31" s="60">
        <v>17.3</v>
      </c>
      <c r="O31" s="60">
        <v>0</v>
      </c>
      <c r="P31" s="60">
        <v>3.62</v>
      </c>
      <c r="Q31" s="60">
        <v>13.12</v>
      </c>
      <c r="R31" s="197"/>
      <c r="S31" s="197"/>
      <c r="T31" s="197"/>
      <c r="U31" s="197"/>
    </row>
    <row r="32" spans="1:21" s="12" customFormat="1" x14ac:dyDescent="0.25">
      <c r="A32" s="200" t="s">
        <v>943</v>
      </c>
      <c r="B32" s="60">
        <v>17.71</v>
      </c>
      <c r="C32" s="60">
        <v>10.11</v>
      </c>
      <c r="D32" s="60">
        <v>27.82</v>
      </c>
      <c r="E32" s="60">
        <v>8.15</v>
      </c>
      <c r="F32" s="60">
        <v>0.13</v>
      </c>
      <c r="G32" s="215" t="s">
        <v>36</v>
      </c>
      <c r="H32" s="60">
        <v>11.84</v>
      </c>
      <c r="I32" s="60">
        <v>5.88</v>
      </c>
      <c r="J32" s="60">
        <v>0.34</v>
      </c>
      <c r="K32" s="60">
        <v>305.64</v>
      </c>
      <c r="L32" s="60">
        <v>45.78</v>
      </c>
      <c r="M32" s="60">
        <v>99.13</v>
      </c>
      <c r="N32" s="60">
        <v>28.5</v>
      </c>
      <c r="O32" s="60">
        <v>0</v>
      </c>
      <c r="P32" s="60">
        <v>3.62</v>
      </c>
      <c r="Q32" s="60">
        <v>13.58</v>
      </c>
      <c r="R32" s="197"/>
      <c r="S32" s="197"/>
      <c r="T32" s="197"/>
      <c r="U32" s="197"/>
    </row>
    <row r="33" spans="1:21" s="12" customFormat="1" x14ac:dyDescent="0.25">
      <c r="A33" s="200" t="s">
        <v>944</v>
      </c>
      <c r="B33" s="60">
        <v>18.690000000000001</v>
      </c>
      <c r="C33" s="60">
        <v>10.36</v>
      </c>
      <c r="D33" s="60">
        <v>29.04</v>
      </c>
      <c r="E33" s="60">
        <v>7.7</v>
      </c>
      <c r="F33" s="60">
        <v>0.45</v>
      </c>
      <c r="G33" s="215" t="s">
        <v>36</v>
      </c>
      <c r="H33" s="60">
        <v>11.15</v>
      </c>
      <c r="I33" s="60">
        <v>5.81</v>
      </c>
      <c r="J33" s="60">
        <v>0.51</v>
      </c>
      <c r="K33" s="60">
        <v>2.99</v>
      </c>
      <c r="L33" s="60">
        <v>45.81</v>
      </c>
      <c r="M33" s="60">
        <v>99.11</v>
      </c>
      <c r="N33" s="60">
        <v>41.1</v>
      </c>
      <c r="O33" s="60">
        <v>0</v>
      </c>
      <c r="P33" s="60">
        <v>3.62</v>
      </c>
      <c r="Q33" s="60">
        <v>14.26</v>
      </c>
      <c r="R33" s="197"/>
      <c r="S33" s="197"/>
      <c r="T33" s="197"/>
      <c r="U33" s="197"/>
    </row>
    <row r="34" spans="1:21" s="12" customFormat="1" x14ac:dyDescent="0.25">
      <c r="A34" s="200" t="s">
        <v>945</v>
      </c>
      <c r="B34" s="60">
        <v>19.66</v>
      </c>
      <c r="C34" s="60">
        <v>10.18</v>
      </c>
      <c r="D34" s="60">
        <v>29.83</v>
      </c>
      <c r="E34" s="60">
        <v>7.99</v>
      </c>
      <c r="F34" s="60">
        <v>0.28999999999999998</v>
      </c>
      <c r="G34" s="215" t="s">
        <v>36</v>
      </c>
      <c r="H34" s="60">
        <v>9.44</v>
      </c>
      <c r="I34" s="60">
        <v>5.93</v>
      </c>
      <c r="J34" s="60">
        <v>0.35</v>
      </c>
      <c r="K34" s="60">
        <v>280.49</v>
      </c>
      <c r="L34" s="60">
        <v>46.88</v>
      </c>
      <c r="M34" s="60">
        <v>98.37</v>
      </c>
      <c r="N34" s="60">
        <v>71.599999999999994</v>
      </c>
      <c r="O34" s="60">
        <v>0</v>
      </c>
      <c r="P34" s="60">
        <v>3.63</v>
      </c>
      <c r="Q34" s="60">
        <v>14.26</v>
      </c>
      <c r="R34" s="197"/>
      <c r="S34" s="197"/>
      <c r="T34" s="197"/>
      <c r="U34" s="197"/>
    </row>
    <row r="35" spans="1:21" s="12" customFormat="1" x14ac:dyDescent="0.25">
      <c r="A35" s="200" t="s">
        <v>946</v>
      </c>
      <c r="B35" s="60">
        <v>20.76</v>
      </c>
      <c r="C35" s="60">
        <v>10.35</v>
      </c>
      <c r="D35" s="60">
        <v>31.1</v>
      </c>
      <c r="E35" s="60">
        <v>8.42</v>
      </c>
      <c r="F35" s="60">
        <v>0.11</v>
      </c>
      <c r="G35" s="215" t="s">
        <v>36</v>
      </c>
      <c r="H35" s="60">
        <v>9.44</v>
      </c>
      <c r="I35" s="60">
        <v>6.16</v>
      </c>
      <c r="J35" s="60">
        <v>0.17</v>
      </c>
      <c r="K35" s="60">
        <v>219.94</v>
      </c>
      <c r="L35" s="60">
        <v>45.12</v>
      </c>
      <c r="M35" s="60">
        <v>97.74</v>
      </c>
      <c r="N35" s="60">
        <v>93.3</v>
      </c>
      <c r="O35" s="60">
        <v>0</v>
      </c>
      <c r="P35" s="60">
        <v>3.64</v>
      </c>
      <c r="Q35" s="60">
        <v>14.07</v>
      </c>
      <c r="R35" s="197"/>
      <c r="S35" s="197"/>
      <c r="T35" s="197"/>
      <c r="U35" s="197"/>
    </row>
    <row r="36" spans="1:21" s="12" customFormat="1" x14ac:dyDescent="0.25">
      <c r="A36" s="200" t="s">
        <v>947</v>
      </c>
      <c r="B36" s="60">
        <v>21.59</v>
      </c>
      <c r="C36" s="60">
        <v>10.15</v>
      </c>
      <c r="D36" s="60">
        <v>31.74</v>
      </c>
      <c r="E36" s="60">
        <v>7.82</v>
      </c>
      <c r="F36" s="60">
        <v>0.32</v>
      </c>
      <c r="G36" s="215" t="s">
        <v>36</v>
      </c>
      <c r="H36" s="60">
        <v>9.44</v>
      </c>
      <c r="I36" s="60">
        <v>6.23</v>
      </c>
      <c r="J36" s="60">
        <v>0.67</v>
      </c>
      <c r="K36" s="60">
        <v>22.7</v>
      </c>
      <c r="L36" s="60">
        <v>43.48</v>
      </c>
      <c r="M36" s="60">
        <v>96.47</v>
      </c>
      <c r="N36" s="60">
        <v>87.1</v>
      </c>
      <c r="O36" s="60">
        <v>0</v>
      </c>
      <c r="P36" s="60">
        <v>3.64</v>
      </c>
      <c r="Q36" s="60">
        <v>14.12</v>
      </c>
      <c r="R36" s="197"/>
      <c r="S36" s="197"/>
      <c r="T36" s="197"/>
      <c r="U36" s="197"/>
    </row>
    <row r="37" spans="1:21" s="12" customFormat="1" x14ac:dyDescent="0.25">
      <c r="A37" s="200" t="s">
        <v>948</v>
      </c>
      <c r="B37" s="60">
        <v>21.83</v>
      </c>
      <c r="C37" s="60">
        <v>10.11</v>
      </c>
      <c r="D37" s="60">
        <v>31.94</v>
      </c>
      <c r="E37" s="60">
        <v>8.1199999999999992</v>
      </c>
      <c r="F37" s="60">
        <v>0.23</v>
      </c>
      <c r="G37" s="215" t="s">
        <v>36</v>
      </c>
      <c r="H37" s="60">
        <v>9.08</v>
      </c>
      <c r="I37" s="60">
        <v>6.31</v>
      </c>
      <c r="J37" s="60">
        <v>0.92</v>
      </c>
      <c r="K37" s="60">
        <v>2.2799999999999998</v>
      </c>
      <c r="L37" s="60">
        <v>38.19</v>
      </c>
      <c r="M37" s="60">
        <v>95.74</v>
      </c>
      <c r="N37" s="60">
        <v>95.7</v>
      </c>
      <c r="O37" s="60">
        <v>0</v>
      </c>
      <c r="P37" s="60">
        <v>3.65</v>
      </c>
      <c r="Q37" s="60">
        <v>13.88</v>
      </c>
      <c r="R37" s="197"/>
      <c r="S37" s="197"/>
      <c r="T37" s="197"/>
      <c r="U37" s="197"/>
    </row>
    <row r="38" spans="1:21" s="12" customFormat="1" x14ac:dyDescent="0.25">
      <c r="A38" s="200" t="s">
        <v>949</v>
      </c>
      <c r="B38" s="60">
        <v>22.48</v>
      </c>
      <c r="C38" s="60">
        <v>10.220000000000001</v>
      </c>
      <c r="D38" s="60">
        <v>32.71</v>
      </c>
      <c r="E38" s="60">
        <v>7.86</v>
      </c>
      <c r="F38" s="60">
        <v>0.05</v>
      </c>
      <c r="G38" s="215" t="s">
        <v>36</v>
      </c>
      <c r="H38" s="60">
        <v>8.14</v>
      </c>
      <c r="I38" s="60">
        <v>6.33</v>
      </c>
      <c r="J38" s="60">
        <v>0.87</v>
      </c>
      <c r="K38" s="60">
        <v>3.63</v>
      </c>
      <c r="L38" s="60">
        <v>36.950000000000003</v>
      </c>
      <c r="M38" s="60">
        <v>93.49</v>
      </c>
      <c r="N38" s="60">
        <v>158.80000000000001</v>
      </c>
      <c r="O38" s="60">
        <v>0</v>
      </c>
      <c r="P38" s="60">
        <v>3.67</v>
      </c>
      <c r="Q38" s="60">
        <v>13.81</v>
      </c>
      <c r="R38" s="197"/>
      <c r="S38" s="197"/>
      <c r="T38" s="197"/>
      <c r="U38" s="197"/>
    </row>
    <row r="39" spans="1:21" s="12" customFormat="1" x14ac:dyDescent="0.25">
      <c r="A39" s="200" t="s">
        <v>950</v>
      </c>
      <c r="B39" s="60">
        <v>23.09</v>
      </c>
      <c r="C39" s="60">
        <v>10.23</v>
      </c>
      <c r="D39" s="60">
        <v>33.33</v>
      </c>
      <c r="E39" s="60">
        <v>8.0399999999999991</v>
      </c>
      <c r="F39" s="60">
        <v>0.1</v>
      </c>
      <c r="G39" s="215" t="s">
        <v>36</v>
      </c>
      <c r="H39" s="60">
        <v>8.14</v>
      </c>
      <c r="I39" s="60">
        <v>6.4</v>
      </c>
      <c r="J39" s="60">
        <v>0.42</v>
      </c>
      <c r="K39" s="60">
        <v>43.78</v>
      </c>
      <c r="L39" s="60">
        <v>37.700000000000003</v>
      </c>
      <c r="M39" s="60">
        <v>90.07</v>
      </c>
      <c r="N39" s="60">
        <v>231.9</v>
      </c>
      <c r="O39" s="60">
        <v>0</v>
      </c>
      <c r="P39" s="60">
        <v>3.67</v>
      </c>
      <c r="Q39" s="60">
        <v>14</v>
      </c>
      <c r="R39" s="197"/>
      <c r="S39" s="197"/>
      <c r="T39" s="197"/>
      <c r="U39" s="197"/>
    </row>
    <row r="40" spans="1:21" s="12" customFormat="1" x14ac:dyDescent="0.25">
      <c r="A40" s="200" t="s">
        <v>951</v>
      </c>
      <c r="B40" s="60">
        <v>23.07</v>
      </c>
      <c r="C40" s="60">
        <v>10.29</v>
      </c>
      <c r="D40" s="60">
        <v>33.35</v>
      </c>
      <c r="E40" s="60">
        <v>2.3199999999999998</v>
      </c>
      <c r="F40" s="60">
        <v>0.13</v>
      </c>
      <c r="G40" s="215" t="s">
        <v>36</v>
      </c>
      <c r="H40" s="60">
        <v>8.14</v>
      </c>
      <c r="I40" s="60">
        <v>6.44</v>
      </c>
      <c r="J40" s="60">
        <v>1.22</v>
      </c>
      <c r="K40" s="60">
        <v>109.02</v>
      </c>
      <c r="L40" s="60">
        <v>38.51</v>
      </c>
      <c r="M40" s="60">
        <v>88.45</v>
      </c>
      <c r="N40" s="60">
        <v>276.8</v>
      </c>
      <c r="O40" s="60">
        <v>0</v>
      </c>
      <c r="P40" s="60">
        <v>3.66</v>
      </c>
      <c r="Q40" s="60">
        <v>13.98</v>
      </c>
      <c r="R40" s="197"/>
      <c r="S40" s="197"/>
      <c r="T40" s="197"/>
      <c r="U40" s="197"/>
    </row>
    <row r="41" spans="1:21" s="12" customFormat="1" x14ac:dyDescent="0.25">
      <c r="A41" s="200" t="s">
        <v>952</v>
      </c>
      <c r="B41" s="60">
        <v>23.7</v>
      </c>
      <c r="C41" s="60">
        <v>10.46</v>
      </c>
      <c r="D41" s="60">
        <v>34.15</v>
      </c>
      <c r="E41" s="60">
        <v>4.72</v>
      </c>
      <c r="F41" s="60">
        <v>0.39</v>
      </c>
      <c r="G41" s="215" t="s">
        <v>36</v>
      </c>
      <c r="H41" s="60">
        <v>9.4</v>
      </c>
      <c r="I41" s="60">
        <v>6.45</v>
      </c>
      <c r="J41" s="60">
        <v>0.78</v>
      </c>
      <c r="K41" s="60">
        <v>93.74</v>
      </c>
      <c r="L41" s="60">
        <v>39.85</v>
      </c>
      <c r="M41" s="60">
        <v>85.5</v>
      </c>
      <c r="N41" s="60">
        <v>440.2</v>
      </c>
      <c r="O41" s="60">
        <v>0</v>
      </c>
      <c r="P41" s="60">
        <v>3.65</v>
      </c>
      <c r="Q41" s="60">
        <v>14.59</v>
      </c>
      <c r="R41" s="197"/>
      <c r="S41" s="197"/>
      <c r="T41" s="197"/>
      <c r="U41" s="197"/>
    </row>
    <row r="42" spans="1:21" s="12" customFormat="1" x14ac:dyDescent="0.25">
      <c r="A42" s="200" t="s">
        <v>953</v>
      </c>
      <c r="B42" s="60">
        <v>24.67</v>
      </c>
      <c r="C42" s="60">
        <v>10.75</v>
      </c>
      <c r="D42" s="60">
        <v>35.409999999999997</v>
      </c>
      <c r="E42" s="60">
        <v>5.95</v>
      </c>
      <c r="F42" s="60">
        <v>0.88</v>
      </c>
      <c r="G42" s="215" t="s">
        <v>36</v>
      </c>
      <c r="H42" s="60">
        <v>12.49</v>
      </c>
      <c r="I42" s="60">
        <v>6.46</v>
      </c>
      <c r="J42" s="60">
        <v>0.85</v>
      </c>
      <c r="K42" s="60">
        <v>101.77</v>
      </c>
      <c r="L42" s="60">
        <v>41.17</v>
      </c>
      <c r="M42" s="60">
        <v>82.22</v>
      </c>
      <c r="N42" s="60">
        <v>488</v>
      </c>
      <c r="O42" s="60">
        <v>0</v>
      </c>
      <c r="P42" s="60">
        <v>3.65</v>
      </c>
      <c r="Q42" s="60">
        <v>15.49</v>
      </c>
      <c r="R42" s="197"/>
      <c r="S42" s="197"/>
      <c r="T42" s="197"/>
      <c r="U42" s="197"/>
    </row>
    <row r="43" spans="1:21" s="12" customFormat="1" x14ac:dyDescent="0.25">
      <c r="A43" s="200" t="s">
        <v>954</v>
      </c>
      <c r="B43" s="60">
        <v>24.57</v>
      </c>
      <c r="C43" s="60">
        <v>10.72</v>
      </c>
      <c r="D43" s="60">
        <v>35.29</v>
      </c>
      <c r="E43" s="60">
        <v>6.2</v>
      </c>
      <c r="F43" s="60">
        <v>0.77</v>
      </c>
      <c r="G43" s="215" t="s">
        <v>36</v>
      </c>
      <c r="H43" s="60">
        <v>12.49</v>
      </c>
      <c r="I43" s="60">
        <v>6.23</v>
      </c>
      <c r="J43" s="60">
        <v>2.0499999999999998</v>
      </c>
      <c r="K43" s="60">
        <v>107.94</v>
      </c>
      <c r="L43" s="60">
        <v>42.83</v>
      </c>
      <c r="M43" s="60">
        <v>81.77</v>
      </c>
      <c r="N43" s="60">
        <v>495.3</v>
      </c>
      <c r="O43" s="60">
        <v>0</v>
      </c>
      <c r="P43" s="60">
        <v>3.64</v>
      </c>
      <c r="Q43" s="60">
        <v>15.92</v>
      </c>
      <c r="R43" s="197"/>
      <c r="S43" s="197"/>
      <c r="T43" s="197"/>
      <c r="U43" s="197"/>
    </row>
    <row r="44" spans="1:21" s="12" customFormat="1" x14ac:dyDescent="0.25">
      <c r="A44" s="200" t="s">
        <v>955</v>
      </c>
      <c r="B44" s="60">
        <v>23.94</v>
      </c>
      <c r="C44" s="60">
        <v>10.55</v>
      </c>
      <c r="D44" s="60">
        <v>34.49</v>
      </c>
      <c r="E44" s="60">
        <v>7.09</v>
      </c>
      <c r="F44" s="60">
        <v>0.38</v>
      </c>
      <c r="G44" s="215" t="s">
        <v>36</v>
      </c>
      <c r="H44" s="60">
        <v>12.49</v>
      </c>
      <c r="I44" s="60">
        <v>6.07</v>
      </c>
      <c r="J44" s="60">
        <v>1.23</v>
      </c>
      <c r="K44" s="60">
        <v>91.73</v>
      </c>
      <c r="L44" s="60">
        <v>43.18</v>
      </c>
      <c r="M44" s="60">
        <v>82.13</v>
      </c>
      <c r="N44" s="60">
        <v>302.60000000000002</v>
      </c>
      <c r="O44" s="60">
        <v>0</v>
      </c>
      <c r="P44" s="60">
        <v>3.63</v>
      </c>
      <c r="Q44" s="60">
        <v>16</v>
      </c>
      <c r="R44" s="197"/>
      <c r="S44" s="197"/>
      <c r="T44" s="197"/>
      <c r="U44" s="197"/>
    </row>
    <row r="45" spans="1:21" s="12" customFormat="1" x14ac:dyDescent="0.25">
      <c r="A45" s="200" t="s">
        <v>956</v>
      </c>
      <c r="B45" s="60">
        <v>23.34</v>
      </c>
      <c r="C45" s="60">
        <v>10.57</v>
      </c>
      <c r="D45" s="60">
        <v>33.9</v>
      </c>
      <c r="E45" s="60">
        <v>6.92</v>
      </c>
      <c r="F45" s="60">
        <v>0.28000000000000003</v>
      </c>
      <c r="G45" s="215" t="s">
        <v>36</v>
      </c>
      <c r="H45" s="60">
        <v>12.28</v>
      </c>
      <c r="I45" s="60">
        <v>6.32</v>
      </c>
      <c r="J45" s="60">
        <v>1.08</v>
      </c>
      <c r="K45" s="60">
        <v>92.15</v>
      </c>
      <c r="L45" s="60">
        <v>41.26</v>
      </c>
      <c r="M45" s="60">
        <v>80.92</v>
      </c>
      <c r="N45" s="60">
        <v>364.7</v>
      </c>
      <c r="O45" s="60">
        <v>0</v>
      </c>
      <c r="P45" s="60">
        <v>3.62</v>
      </c>
      <c r="Q45" s="60">
        <v>16</v>
      </c>
      <c r="R45" s="197"/>
      <c r="S45" s="197"/>
      <c r="T45" s="197"/>
      <c r="U45" s="197"/>
    </row>
    <row r="46" spans="1:21" s="12" customFormat="1" x14ac:dyDescent="0.25">
      <c r="A46" s="200" t="s">
        <v>957</v>
      </c>
      <c r="B46" s="60">
        <v>23</v>
      </c>
      <c r="C46" s="60">
        <v>10.57</v>
      </c>
      <c r="D46" s="60">
        <v>33.56</v>
      </c>
      <c r="E46" s="60">
        <v>6.78</v>
      </c>
      <c r="F46" s="60">
        <v>0.35</v>
      </c>
      <c r="G46" s="215" t="s">
        <v>36</v>
      </c>
      <c r="H46" s="60">
        <v>11.77</v>
      </c>
      <c r="I46" s="60">
        <v>6.19</v>
      </c>
      <c r="J46" s="60">
        <v>1.51</v>
      </c>
      <c r="K46" s="60">
        <v>90.28</v>
      </c>
      <c r="L46" s="60">
        <v>42.4</v>
      </c>
      <c r="M46" s="60">
        <v>80.97</v>
      </c>
      <c r="N46" s="60">
        <v>309.2</v>
      </c>
      <c r="O46" s="60">
        <v>0</v>
      </c>
      <c r="P46" s="60">
        <v>3.61</v>
      </c>
      <c r="Q46" s="60">
        <v>15.93</v>
      </c>
      <c r="R46" s="197"/>
      <c r="S46" s="197"/>
      <c r="T46" s="197"/>
      <c r="U46" s="197"/>
    </row>
    <row r="47" spans="1:21" s="12" customFormat="1" x14ac:dyDescent="0.25">
      <c r="A47" s="200" t="s">
        <v>958</v>
      </c>
      <c r="B47" s="60">
        <v>22.44</v>
      </c>
      <c r="C47" s="60">
        <v>10.65</v>
      </c>
      <c r="D47" s="60">
        <v>33.090000000000003</v>
      </c>
      <c r="E47" s="60">
        <v>7.39</v>
      </c>
      <c r="F47" s="60">
        <v>0.5</v>
      </c>
      <c r="G47" s="215" t="s">
        <v>36</v>
      </c>
      <c r="H47" s="60">
        <v>11.77</v>
      </c>
      <c r="I47" s="60">
        <v>6.15</v>
      </c>
      <c r="J47" s="60">
        <v>1.24</v>
      </c>
      <c r="K47" s="60">
        <v>75.930000000000007</v>
      </c>
      <c r="L47" s="60">
        <v>42.84</v>
      </c>
      <c r="M47" s="60">
        <v>81.19</v>
      </c>
      <c r="N47" s="60">
        <v>396.9</v>
      </c>
      <c r="O47" s="60">
        <v>0</v>
      </c>
      <c r="P47" s="60">
        <v>3.6</v>
      </c>
      <c r="Q47" s="60">
        <v>15.83</v>
      </c>
      <c r="R47" s="197"/>
      <c r="S47" s="197"/>
      <c r="T47" s="197"/>
      <c r="U47" s="197"/>
    </row>
    <row r="48" spans="1:21" s="12" customFormat="1" x14ac:dyDescent="0.25">
      <c r="A48" s="200" t="s">
        <v>959</v>
      </c>
      <c r="B48" s="60">
        <v>21.66</v>
      </c>
      <c r="C48" s="60">
        <v>10.130000000000001</v>
      </c>
      <c r="D48" s="60">
        <v>31.79</v>
      </c>
      <c r="E48" s="60">
        <v>6.94</v>
      </c>
      <c r="F48" s="60">
        <v>0.82</v>
      </c>
      <c r="G48" s="215" t="s">
        <v>36</v>
      </c>
      <c r="H48" s="60">
        <v>11.77</v>
      </c>
      <c r="I48" s="60">
        <v>6.14</v>
      </c>
      <c r="J48" s="60">
        <v>1.7</v>
      </c>
      <c r="K48" s="60">
        <v>83.54</v>
      </c>
      <c r="L48" s="60">
        <v>43.47</v>
      </c>
      <c r="M48" s="60">
        <v>79.69</v>
      </c>
      <c r="N48" s="60">
        <v>562.79999999999995</v>
      </c>
      <c r="O48" s="60">
        <v>0</v>
      </c>
      <c r="P48" s="60">
        <v>3.61</v>
      </c>
      <c r="Q48" s="60">
        <v>15.65</v>
      </c>
      <c r="R48" s="197"/>
      <c r="S48" s="197"/>
      <c r="T48" s="197"/>
      <c r="U48" s="197"/>
    </row>
    <row r="49" spans="1:21" s="12" customFormat="1" x14ac:dyDescent="0.25">
      <c r="A49" s="200" t="s">
        <v>960</v>
      </c>
      <c r="B49" s="60">
        <v>20.420000000000002</v>
      </c>
      <c r="C49" s="60">
        <v>10.43</v>
      </c>
      <c r="D49" s="60">
        <v>30.85</v>
      </c>
      <c r="E49" s="60">
        <v>6.58</v>
      </c>
      <c r="F49" s="60">
        <v>0.46</v>
      </c>
      <c r="G49" s="215" t="s">
        <v>36</v>
      </c>
      <c r="H49" s="60">
        <v>10.99</v>
      </c>
      <c r="I49" s="60">
        <v>5.97</v>
      </c>
      <c r="J49" s="60">
        <v>1.02</v>
      </c>
      <c r="K49" s="60">
        <v>65.87</v>
      </c>
      <c r="L49" s="60">
        <v>43.32</v>
      </c>
      <c r="M49" s="60">
        <v>78.06</v>
      </c>
      <c r="N49" s="60">
        <v>542.4</v>
      </c>
      <c r="O49" s="60">
        <v>0</v>
      </c>
      <c r="P49" s="60">
        <v>3.6</v>
      </c>
      <c r="Q49" s="60">
        <v>14.5</v>
      </c>
      <c r="R49" s="197"/>
      <c r="S49" s="197"/>
      <c r="T49" s="197"/>
      <c r="U49" s="197"/>
    </row>
    <row r="50" spans="1:21" s="12" customFormat="1" x14ac:dyDescent="0.25">
      <c r="A50" s="200" t="s">
        <v>961</v>
      </c>
      <c r="B50" s="60">
        <v>19.59</v>
      </c>
      <c r="C50" s="60">
        <v>10.76</v>
      </c>
      <c r="D50" s="60">
        <v>30.34</v>
      </c>
      <c r="E50" s="60">
        <v>6.07</v>
      </c>
      <c r="F50" s="60">
        <v>1.1399999999999999</v>
      </c>
      <c r="G50" s="215" t="s">
        <v>36</v>
      </c>
      <c r="H50" s="60">
        <v>9.06</v>
      </c>
      <c r="I50" s="60">
        <v>6.23</v>
      </c>
      <c r="J50" s="60">
        <v>1.5</v>
      </c>
      <c r="K50" s="60">
        <v>90.89</v>
      </c>
      <c r="L50" s="60">
        <v>41.53</v>
      </c>
      <c r="M50" s="60">
        <v>77.23</v>
      </c>
      <c r="N50" s="60">
        <v>414.3</v>
      </c>
      <c r="O50" s="60">
        <v>0</v>
      </c>
      <c r="P50" s="60">
        <v>3.6</v>
      </c>
      <c r="Q50" s="60">
        <v>13.48</v>
      </c>
      <c r="R50" s="197"/>
      <c r="S50" s="197"/>
      <c r="T50" s="197"/>
      <c r="U50" s="197"/>
    </row>
    <row r="51" spans="1:21" s="12" customFormat="1" x14ac:dyDescent="0.25">
      <c r="A51" s="200" t="s">
        <v>962</v>
      </c>
      <c r="B51" s="60">
        <v>18.29</v>
      </c>
      <c r="C51" s="60">
        <v>10.99</v>
      </c>
      <c r="D51" s="60">
        <v>29.28</v>
      </c>
      <c r="E51" s="60">
        <v>6.2</v>
      </c>
      <c r="F51" s="60">
        <v>0.62</v>
      </c>
      <c r="G51" s="215" t="s">
        <v>36</v>
      </c>
      <c r="H51" s="60">
        <v>9.06</v>
      </c>
      <c r="I51" s="60">
        <v>6.18</v>
      </c>
      <c r="J51" s="60">
        <v>1.39</v>
      </c>
      <c r="K51" s="60">
        <v>89.39</v>
      </c>
      <c r="L51" s="60">
        <v>40.25</v>
      </c>
      <c r="M51" s="60">
        <v>77.94</v>
      </c>
      <c r="N51" s="60">
        <v>332</v>
      </c>
      <c r="O51" s="60">
        <v>0</v>
      </c>
      <c r="P51" s="60">
        <v>3.6</v>
      </c>
      <c r="Q51" s="60">
        <v>12.68</v>
      </c>
      <c r="R51" s="197"/>
      <c r="S51" s="197"/>
      <c r="T51" s="197"/>
      <c r="U51" s="197"/>
    </row>
    <row r="52" spans="1:21" s="12" customFormat="1" x14ac:dyDescent="0.25">
      <c r="A52" s="200" t="s">
        <v>963</v>
      </c>
      <c r="B52" s="60">
        <v>16.64</v>
      </c>
      <c r="C52" s="60">
        <v>11.34</v>
      </c>
      <c r="D52" s="60">
        <v>27.98</v>
      </c>
      <c r="E52" s="60">
        <v>6.42</v>
      </c>
      <c r="F52" s="60">
        <v>0.49</v>
      </c>
      <c r="G52" s="215" t="s">
        <v>36</v>
      </c>
      <c r="H52" s="60">
        <v>9.06</v>
      </c>
      <c r="I52" s="60">
        <v>6.19</v>
      </c>
      <c r="J52" s="60">
        <v>0.86</v>
      </c>
      <c r="K52" s="60">
        <v>51.62</v>
      </c>
      <c r="L52" s="60">
        <v>40.06</v>
      </c>
      <c r="M52" s="60">
        <v>76.819999999999993</v>
      </c>
      <c r="N52" s="60">
        <v>337.9</v>
      </c>
      <c r="O52" s="60">
        <v>0</v>
      </c>
      <c r="P52" s="60">
        <v>3.61</v>
      </c>
      <c r="Q52" s="60">
        <v>11.82</v>
      </c>
      <c r="R52" s="197"/>
      <c r="S52" s="197"/>
      <c r="T52" s="197"/>
      <c r="U52" s="197"/>
    </row>
    <row r="53" spans="1:21" s="12" customFormat="1" x14ac:dyDescent="0.25">
      <c r="A53" s="200" t="s">
        <v>964</v>
      </c>
      <c r="B53" s="60">
        <v>15.71</v>
      </c>
      <c r="C53" s="60">
        <v>11.77</v>
      </c>
      <c r="D53" s="60">
        <v>27.48</v>
      </c>
      <c r="E53" s="60">
        <v>6.61</v>
      </c>
      <c r="F53" s="60">
        <v>0.32</v>
      </c>
      <c r="G53" s="215" t="s">
        <v>36</v>
      </c>
      <c r="H53" s="60">
        <v>8.32</v>
      </c>
      <c r="I53" s="60">
        <v>6.14</v>
      </c>
      <c r="J53" s="60">
        <v>0.79</v>
      </c>
      <c r="K53" s="60">
        <v>74.73</v>
      </c>
      <c r="L53" s="60">
        <v>40.270000000000003</v>
      </c>
      <c r="M53" s="60">
        <v>76.569999999999993</v>
      </c>
      <c r="N53" s="60">
        <v>407.2</v>
      </c>
      <c r="O53" s="60">
        <v>0</v>
      </c>
      <c r="P53" s="60">
        <v>3.61</v>
      </c>
      <c r="Q53" s="60">
        <v>11.4</v>
      </c>
      <c r="R53" s="197"/>
      <c r="S53" s="197"/>
      <c r="T53" s="197"/>
      <c r="U53" s="197"/>
    </row>
    <row r="54" spans="1:21" s="12" customFormat="1" x14ac:dyDescent="0.25">
      <c r="A54" s="200" t="s">
        <v>965</v>
      </c>
      <c r="B54" s="60">
        <v>15.03</v>
      </c>
      <c r="C54" s="60">
        <v>12.23</v>
      </c>
      <c r="D54" s="60">
        <v>27.26</v>
      </c>
      <c r="E54" s="60">
        <v>6.11</v>
      </c>
      <c r="F54" s="60">
        <v>0.21</v>
      </c>
      <c r="G54" s="215" t="s">
        <v>36</v>
      </c>
      <c r="H54" s="60">
        <v>6.5</v>
      </c>
      <c r="I54" s="60">
        <v>6.14</v>
      </c>
      <c r="J54" s="60">
        <v>1.1599999999999999</v>
      </c>
      <c r="K54" s="60">
        <v>65.59</v>
      </c>
      <c r="L54" s="60">
        <v>42.63</v>
      </c>
      <c r="M54" s="60">
        <v>76.94</v>
      </c>
      <c r="N54" s="60">
        <v>401</v>
      </c>
      <c r="O54" s="60">
        <v>0</v>
      </c>
      <c r="P54" s="60">
        <v>3.61</v>
      </c>
      <c r="Q54" s="60">
        <v>10.96</v>
      </c>
      <c r="R54" s="197"/>
      <c r="S54" s="197"/>
      <c r="T54" s="197"/>
      <c r="U54" s="197"/>
    </row>
    <row r="55" spans="1:21" s="12" customFormat="1" x14ac:dyDescent="0.25">
      <c r="A55" s="200" t="s">
        <v>966</v>
      </c>
      <c r="B55" s="60">
        <v>14.36</v>
      </c>
      <c r="C55" s="60">
        <v>12.39</v>
      </c>
      <c r="D55" s="60">
        <v>26.75</v>
      </c>
      <c r="E55" s="60">
        <v>5.92</v>
      </c>
      <c r="F55" s="60">
        <v>0.38</v>
      </c>
      <c r="G55" s="215" t="s">
        <v>36</v>
      </c>
      <c r="H55" s="60">
        <v>6.5</v>
      </c>
      <c r="I55" s="60">
        <v>6.12</v>
      </c>
      <c r="J55" s="60">
        <v>1.01</v>
      </c>
      <c r="K55" s="60">
        <v>63.77</v>
      </c>
      <c r="L55" s="60">
        <v>42.87</v>
      </c>
      <c r="M55" s="60">
        <v>77.23</v>
      </c>
      <c r="N55" s="60">
        <v>438.6</v>
      </c>
      <c r="O55" s="60">
        <v>0</v>
      </c>
      <c r="P55" s="60">
        <v>3.61</v>
      </c>
      <c r="Q55" s="60">
        <v>11.03</v>
      </c>
      <c r="R55" s="197"/>
      <c r="S55" s="197"/>
      <c r="T55" s="197"/>
      <c r="U55" s="197"/>
    </row>
    <row r="56" spans="1:21" s="12" customFormat="1" x14ac:dyDescent="0.25">
      <c r="A56" s="200" t="s">
        <v>967</v>
      </c>
      <c r="B56" s="60">
        <v>13.92</v>
      </c>
      <c r="C56" s="60">
        <v>12.34</v>
      </c>
      <c r="D56" s="60">
        <v>26.26</v>
      </c>
      <c r="E56" s="60">
        <v>3.01</v>
      </c>
      <c r="F56" s="60">
        <v>0.24</v>
      </c>
      <c r="G56" s="215" t="s">
        <v>36</v>
      </c>
      <c r="H56" s="60">
        <v>6.5</v>
      </c>
      <c r="I56" s="60">
        <v>6.05</v>
      </c>
      <c r="J56" s="60">
        <v>1.1299999999999999</v>
      </c>
      <c r="K56" s="60">
        <v>68.08</v>
      </c>
      <c r="L56" s="60">
        <v>43.99</v>
      </c>
      <c r="M56" s="60">
        <v>74.05</v>
      </c>
      <c r="N56" s="60">
        <v>598.1</v>
      </c>
      <c r="O56" s="60">
        <v>0</v>
      </c>
      <c r="P56" s="60">
        <v>3.61</v>
      </c>
      <c r="Q56" s="60">
        <v>11.32</v>
      </c>
      <c r="R56" s="197"/>
      <c r="S56" s="197"/>
      <c r="T56" s="197"/>
      <c r="U56" s="197"/>
    </row>
    <row r="57" spans="1:21" s="12" customFormat="1" x14ac:dyDescent="0.25">
      <c r="A57" s="200" t="s">
        <v>968</v>
      </c>
      <c r="B57" s="60">
        <v>13.29</v>
      </c>
      <c r="C57" s="60">
        <v>12.26</v>
      </c>
      <c r="D57" s="60">
        <v>25.54</v>
      </c>
      <c r="E57" s="60">
        <v>5.12</v>
      </c>
      <c r="F57" s="60">
        <v>0.39</v>
      </c>
      <c r="G57" s="215" t="s">
        <v>36</v>
      </c>
      <c r="H57" s="60">
        <v>7.4</v>
      </c>
      <c r="I57" s="60">
        <v>6.03</v>
      </c>
      <c r="J57" s="60">
        <v>1.17</v>
      </c>
      <c r="K57" s="60">
        <v>69.25</v>
      </c>
      <c r="L57" s="60">
        <v>43.28</v>
      </c>
      <c r="M57" s="60">
        <v>74.81</v>
      </c>
      <c r="N57" s="60">
        <v>414.1</v>
      </c>
      <c r="O57" s="60">
        <v>0</v>
      </c>
      <c r="P57" s="60">
        <v>3.62</v>
      </c>
      <c r="Q57" s="60">
        <v>11.44</v>
      </c>
      <c r="R57" s="197"/>
      <c r="S57" s="197"/>
      <c r="T57" s="197"/>
      <c r="U57" s="197"/>
    </row>
    <row r="58" spans="1:21" s="12" customFormat="1" x14ac:dyDescent="0.25">
      <c r="A58" s="200" t="s">
        <v>969</v>
      </c>
      <c r="B58" s="60">
        <v>12.67</v>
      </c>
      <c r="C58" s="60">
        <v>12.21</v>
      </c>
      <c r="D58" s="60">
        <v>24.88</v>
      </c>
      <c r="E58" s="60">
        <v>5.96</v>
      </c>
      <c r="F58" s="60">
        <v>0.55000000000000004</v>
      </c>
      <c r="G58" s="215" t="s">
        <v>36</v>
      </c>
      <c r="H58" s="60">
        <v>9.6</v>
      </c>
      <c r="I58" s="60">
        <v>5.94</v>
      </c>
      <c r="J58" s="60">
        <v>1.07</v>
      </c>
      <c r="K58" s="60">
        <v>47.38</v>
      </c>
      <c r="L58" s="60">
        <v>43.46</v>
      </c>
      <c r="M58" s="60">
        <v>72.58</v>
      </c>
      <c r="N58" s="60">
        <v>772</v>
      </c>
      <c r="O58" s="60">
        <v>0</v>
      </c>
      <c r="P58" s="60">
        <v>3.61</v>
      </c>
      <c r="Q58" s="60">
        <v>11.39</v>
      </c>
      <c r="R58" s="197"/>
      <c r="S58" s="197"/>
      <c r="T58" s="197"/>
      <c r="U58" s="197"/>
    </row>
    <row r="59" spans="1:21" s="12" customFormat="1" x14ac:dyDescent="0.25">
      <c r="A59" s="200" t="s">
        <v>970</v>
      </c>
      <c r="B59" s="60">
        <v>12.07</v>
      </c>
      <c r="C59" s="60">
        <v>12.57</v>
      </c>
      <c r="D59" s="60">
        <v>24.64</v>
      </c>
      <c r="E59" s="60">
        <v>7.43</v>
      </c>
      <c r="F59" s="60">
        <v>0.63</v>
      </c>
      <c r="G59" s="215" t="s">
        <v>36</v>
      </c>
      <c r="H59" s="60">
        <v>9.6</v>
      </c>
      <c r="I59" s="60">
        <v>5.84</v>
      </c>
      <c r="J59" s="60">
        <v>1.58</v>
      </c>
      <c r="K59" s="60">
        <v>80.89</v>
      </c>
      <c r="L59" s="60">
        <v>43.44</v>
      </c>
      <c r="M59" s="60">
        <v>70.58</v>
      </c>
      <c r="N59" s="60">
        <v>930.3</v>
      </c>
      <c r="O59" s="60">
        <v>0</v>
      </c>
      <c r="P59" s="60">
        <v>3.61</v>
      </c>
      <c r="Q59" s="60">
        <v>11.42</v>
      </c>
      <c r="R59" s="197"/>
      <c r="S59" s="197"/>
      <c r="T59" s="197"/>
      <c r="U59" s="197"/>
    </row>
    <row r="60" spans="1:21" s="12" customFormat="1" x14ac:dyDescent="0.25">
      <c r="A60" s="200" t="s">
        <v>971</v>
      </c>
      <c r="B60" s="60">
        <v>11.26</v>
      </c>
      <c r="C60" s="60">
        <v>12.86</v>
      </c>
      <c r="D60" s="60">
        <v>24.12</v>
      </c>
      <c r="E60" s="60">
        <v>6.51</v>
      </c>
      <c r="F60" s="60">
        <v>0.73</v>
      </c>
      <c r="G60" s="215" t="s">
        <v>36</v>
      </c>
      <c r="H60" s="60">
        <v>9.6</v>
      </c>
      <c r="I60" s="60">
        <v>5.87</v>
      </c>
      <c r="J60" s="60">
        <v>1.1599999999999999</v>
      </c>
      <c r="K60" s="60">
        <v>12.69</v>
      </c>
      <c r="L60" s="60">
        <v>45.35</v>
      </c>
      <c r="M60" s="60">
        <v>67.44</v>
      </c>
      <c r="N60" s="60">
        <v>785.9</v>
      </c>
      <c r="O60" s="60">
        <v>0</v>
      </c>
      <c r="P60" s="60">
        <v>3.62</v>
      </c>
      <c r="Q60" s="60">
        <v>11.19</v>
      </c>
      <c r="R60" s="197"/>
      <c r="S60" s="197"/>
      <c r="T60" s="197"/>
      <c r="U60" s="197"/>
    </row>
    <row r="61" spans="1:21" s="12" customFormat="1" x14ac:dyDescent="0.25">
      <c r="A61" s="200" t="s">
        <v>972</v>
      </c>
      <c r="B61" s="60">
        <v>10.55</v>
      </c>
      <c r="C61" s="60">
        <v>13.29</v>
      </c>
      <c r="D61" s="60">
        <v>23.84</v>
      </c>
      <c r="E61" s="60">
        <v>6.46</v>
      </c>
      <c r="F61" s="60">
        <v>0.64</v>
      </c>
      <c r="G61" s="215" t="s">
        <v>36</v>
      </c>
      <c r="H61" s="60">
        <v>8.9499999999999993</v>
      </c>
      <c r="I61" s="60">
        <v>5.9</v>
      </c>
      <c r="J61" s="60">
        <v>1.96</v>
      </c>
      <c r="K61" s="60">
        <v>91.36</v>
      </c>
      <c r="L61" s="60">
        <v>41.2</v>
      </c>
      <c r="M61" s="60">
        <v>67.5</v>
      </c>
      <c r="N61" s="60">
        <v>982</v>
      </c>
      <c r="O61" s="60">
        <v>0</v>
      </c>
      <c r="P61" s="60">
        <v>3.61</v>
      </c>
      <c r="Q61" s="60">
        <v>11.04</v>
      </c>
      <c r="R61" s="197"/>
      <c r="S61" s="197"/>
      <c r="T61" s="197"/>
      <c r="U61" s="197"/>
    </row>
    <row r="62" spans="1:21" s="12" customFormat="1" x14ac:dyDescent="0.25">
      <c r="A62" s="200" t="s">
        <v>973</v>
      </c>
      <c r="B62" s="60">
        <v>9.5299999999999994</v>
      </c>
      <c r="C62" s="60">
        <v>13.33</v>
      </c>
      <c r="D62" s="60">
        <v>22.86</v>
      </c>
      <c r="E62" s="60">
        <v>6.92</v>
      </c>
      <c r="F62" s="60">
        <v>0.47</v>
      </c>
      <c r="G62" s="215" t="s">
        <v>36</v>
      </c>
      <c r="H62" s="60">
        <v>7.34</v>
      </c>
      <c r="I62" s="60">
        <v>5.85</v>
      </c>
      <c r="J62" s="60">
        <v>1.48</v>
      </c>
      <c r="K62" s="60">
        <v>72.08</v>
      </c>
      <c r="L62" s="60">
        <v>41.16</v>
      </c>
      <c r="M62" s="60">
        <v>69.180000000000007</v>
      </c>
      <c r="N62" s="60">
        <v>575.5</v>
      </c>
      <c r="O62" s="60">
        <v>0</v>
      </c>
      <c r="P62" s="60">
        <v>3.6</v>
      </c>
      <c r="Q62" s="60">
        <v>10.32</v>
      </c>
      <c r="R62" s="197"/>
      <c r="S62" s="197"/>
      <c r="T62" s="197"/>
      <c r="U62" s="197"/>
    </row>
    <row r="63" spans="1:21" s="12" customFormat="1" x14ac:dyDescent="0.25">
      <c r="A63" s="200" t="s">
        <v>974</v>
      </c>
      <c r="B63" s="60">
        <v>8.3699999999999992</v>
      </c>
      <c r="C63" s="60">
        <v>12.58</v>
      </c>
      <c r="D63" s="60">
        <v>20.95</v>
      </c>
      <c r="E63" s="60">
        <v>6.86</v>
      </c>
      <c r="F63" s="60">
        <v>0.97</v>
      </c>
      <c r="G63" s="215" t="s">
        <v>36</v>
      </c>
      <c r="H63" s="60">
        <v>7.34</v>
      </c>
      <c r="I63" s="60">
        <v>5.69</v>
      </c>
      <c r="J63" s="60">
        <v>1.47</v>
      </c>
      <c r="K63" s="60">
        <v>93.04</v>
      </c>
      <c r="L63" s="60">
        <v>41.25</v>
      </c>
      <c r="M63" s="60">
        <v>68.959999999999994</v>
      </c>
      <c r="N63" s="60">
        <v>722.7</v>
      </c>
      <c r="O63" s="60">
        <v>0</v>
      </c>
      <c r="P63" s="60">
        <v>3.58</v>
      </c>
      <c r="Q63" s="60">
        <v>10.08</v>
      </c>
      <c r="R63" s="197"/>
      <c r="S63" s="197"/>
      <c r="T63" s="197"/>
      <c r="U63" s="197"/>
    </row>
    <row r="64" spans="1:21" s="12" customFormat="1" x14ac:dyDescent="0.25">
      <c r="A64" s="200" t="s">
        <v>975</v>
      </c>
      <c r="B64" s="60">
        <v>7.22</v>
      </c>
      <c r="C64" s="60">
        <v>12.8</v>
      </c>
      <c r="D64" s="60">
        <v>20.02</v>
      </c>
      <c r="E64" s="60">
        <v>7.01</v>
      </c>
      <c r="F64" s="60">
        <v>0.77</v>
      </c>
      <c r="G64" s="215" t="s">
        <v>36</v>
      </c>
      <c r="H64" s="60">
        <v>7.34</v>
      </c>
      <c r="I64" s="60">
        <v>5.94</v>
      </c>
      <c r="J64" s="60">
        <v>1.1299999999999999</v>
      </c>
      <c r="K64" s="60">
        <v>53.72</v>
      </c>
      <c r="L64" s="60">
        <v>41.54</v>
      </c>
      <c r="M64" s="60">
        <v>68.63</v>
      </c>
      <c r="N64" s="60">
        <v>564.1</v>
      </c>
      <c r="O64" s="60">
        <v>0</v>
      </c>
      <c r="P64" s="60">
        <v>3.57</v>
      </c>
      <c r="Q64" s="60">
        <v>9.24</v>
      </c>
      <c r="R64" s="197"/>
      <c r="S64" s="197"/>
      <c r="T64" s="197"/>
      <c r="U64" s="197"/>
    </row>
    <row r="65" spans="1:21" s="12" customFormat="1" x14ac:dyDescent="0.25">
      <c r="A65" s="200" t="s">
        <v>976</v>
      </c>
      <c r="B65" s="60">
        <v>6.54</v>
      </c>
      <c r="C65" s="60">
        <v>13.29</v>
      </c>
      <c r="D65" s="60">
        <v>19.829999999999998</v>
      </c>
      <c r="E65" s="60">
        <v>6.53</v>
      </c>
      <c r="F65" s="60">
        <v>0.72</v>
      </c>
      <c r="G65" s="215" t="s">
        <v>36</v>
      </c>
      <c r="H65" s="60">
        <v>9.5</v>
      </c>
      <c r="I65" s="60">
        <v>5.82</v>
      </c>
      <c r="J65" s="60">
        <v>0.98</v>
      </c>
      <c r="K65" s="60">
        <v>34.96</v>
      </c>
      <c r="L65" s="60">
        <v>42.42</v>
      </c>
      <c r="M65" s="60">
        <v>66.5</v>
      </c>
      <c r="N65" s="60">
        <v>572.9</v>
      </c>
      <c r="O65" s="60">
        <v>0</v>
      </c>
      <c r="P65" s="60">
        <v>3.58</v>
      </c>
      <c r="Q65" s="60">
        <v>8.42</v>
      </c>
      <c r="R65" s="197"/>
      <c r="S65" s="197"/>
      <c r="T65" s="197"/>
      <c r="U65" s="197"/>
    </row>
    <row r="66" spans="1:21" s="12" customFormat="1" x14ac:dyDescent="0.25">
      <c r="A66" s="200" t="s">
        <v>977</v>
      </c>
      <c r="B66" s="60">
        <v>6.22</v>
      </c>
      <c r="C66" s="60">
        <v>14.08</v>
      </c>
      <c r="D66" s="60">
        <v>20.3</v>
      </c>
      <c r="E66" s="60">
        <v>6.72</v>
      </c>
      <c r="F66" s="60">
        <v>0.77</v>
      </c>
      <c r="G66" s="215" t="s">
        <v>36</v>
      </c>
      <c r="H66" s="60">
        <v>14.8</v>
      </c>
      <c r="I66" s="60">
        <v>5.8</v>
      </c>
      <c r="J66" s="60">
        <v>1.08</v>
      </c>
      <c r="K66" s="60">
        <v>10.51</v>
      </c>
      <c r="L66" s="60">
        <v>43.58</v>
      </c>
      <c r="M66" s="60">
        <v>65.62</v>
      </c>
      <c r="N66" s="60">
        <v>387.2</v>
      </c>
      <c r="O66" s="60">
        <v>0</v>
      </c>
      <c r="P66" s="60">
        <v>3.61</v>
      </c>
      <c r="Q66" s="60">
        <v>8.0500000000000007</v>
      </c>
      <c r="R66" s="197"/>
      <c r="S66" s="197"/>
      <c r="T66" s="197"/>
      <c r="U66" s="197"/>
    </row>
    <row r="67" spans="1:21" s="12" customFormat="1" x14ac:dyDescent="0.25">
      <c r="A67" s="200" t="s">
        <v>978</v>
      </c>
      <c r="B67" s="60">
        <v>5.92</v>
      </c>
      <c r="C67" s="60">
        <v>14.57</v>
      </c>
      <c r="D67" s="60">
        <v>20.48</v>
      </c>
      <c r="E67" s="60">
        <v>6.28</v>
      </c>
      <c r="F67" s="60">
        <v>0.91</v>
      </c>
      <c r="G67" s="215" t="s">
        <v>36</v>
      </c>
      <c r="H67" s="60">
        <v>14.8</v>
      </c>
      <c r="I67" s="60">
        <v>5.85</v>
      </c>
      <c r="J67" s="60">
        <v>1.1499999999999999</v>
      </c>
      <c r="K67" s="60">
        <v>76.819999999999993</v>
      </c>
      <c r="L67" s="60">
        <v>46.47</v>
      </c>
      <c r="M67" s="60">
        <v>68.739999999999995</v>
      </c>
      <c r="N67" s="60">
        <v>577.70000000000005</v>
      </c>
      <c r="O67" s="60">
        <v>0</v>
      </c>
      <c r="P67" s="60">
        <v>3.61</v>
      </c>
      <c r="Q67" s="60">
        <v>7.98</v>
      </c>
      <c r="R67" s="197"/>
      <c r="S67" s="197"/>
      <c r="T67" s="197"/>
      <c r="U67" s="197"/>
    </row>
    <row r="68" spans="1:21" s="12" customFormat="1" x14ac:dyDescent="0.25">
      <c r="A68" s="200" t="s">
        <v>979</v>
      </c>
      <c r="B68" s="60">
        <v>5.48</v>
      </c>
      <c r="C68" s="60">
        <v>14.52</v>
      </c>
      <c r="D68" s="60">
        <v>20.010000000000002</v>
      </c>
      <c r="E68" s="60">
        <v>6.27</v>
      </c>
      <c r="F68" s="60">
        <v>0.71</v>
      </c>
      <c r="G68" s="215" t="s">
        <v>36</v>
      </c>
      <c r="H68" s="60">
        <v>14.8</v>
      </c>
      <c r="I68" s="60">
        <v>5.85</v>
      </c>
      <c r="J68" s="60">
        <v>0.83</v>
      </c>
      <c r="K68" s="60">
        <v>50.04</v>
      </c>
      <c r="L68" s="60">
        <v>46.81</v>
      </c>
      <c r="M68" s="60">
        <v>67.86</v>
      </c>
      <c r="N68" s="60">
        <v>392.2</v>
      </c>
      <c r="O68" s="60">
        <v>0</v>
      </c>
      <c r="P68" s="60">
        <v>3.61</v>
      </c>
      <c r="Q68" s="60">
        <v>7.77</v>
      </c>
      <c r="R68" s="197"/>
      <c r="S68" s="197"/>
      <c r="T68" s="197"/>
      <c r="U68" s="197"/>
    </row>
    <row r="69" spans="1:21" s="12" customFormat="1" x14ac:dyDescent="0.25">
      <c r="A69" s="200" t="s">
        <v>980</v>
      </c>
      <c r="B69" s="60">
        <v>5.14</v>
      </c>
      <c r="C69" s="60">
        <v>14.35</v>
      </c>
      <c r="D69" s="60">
        <v>19.489999999999998</v>
      </c>
      <c r="E69" s="60">
        <v>6.62</v>
      </c>
      <c r="F69" s="60">
        <v>0.53</v>
      </c>
      <c r="G69" s="215" t="s">
        <v>36</v>
      </c>
      <c r="H69" s="60">
        <v>13.61</v>
      </c>
      <c r="I69" s="60">
        <v>5.89</v>
      </c>
      <c r="J69" s="60">
        <v>0.83</v>
      </c>
      <c r="K69" s="60">
        <v>57.6</v>
      </c>
      <c r="L69" s="60">
        <v>45.73</v>
      </c>
      <c r="M69" s="60">
        <v>70.55</v>
      </c>
      <c r="N69" s="60">
        <v>138.30000000000001</v>
      </c>
      <c r="O69" s="60">
        <v>0</v>
      </c>
      <c r="P69" s="60">
        <v>3.62</v>
      </c>
      <c r="Q69" s="60">
        <v>7.71</v>
      </c>
      <c r="R69" s="197"/>
      <c r="S69" s="197"/>
      <c r="T69" s="197"/>
      <c r="U69" s="197"/>
    </row>
    <row r="70" spans="1:21" s="12" customFormat="1" x14ac:dyDescent="0.25">
      <c r="A70" s="200" t="s">
        <v>981</v>
      </c>
      <c r="B70" s="60">
        <v>5.07</v>
      </c>
      <c r="C70" s="60">
        <v>13.88</v>
      </c>
      <c r="D70" s="60">
        <v>18.96</v>
      </c>
      <c r="E70" s="60">
        <v>5.78</v>
      </c>
      <c r="F70" s="60">
        <v>0.5</v>
      </c>
      <c r="G70" s="215" t="s">
        <v>36</v>
      </c>
      <c r="H70" s="60">
        <v>10.68</v>
      </c>
      <c r="I70" s="60">
        <v>5.81</v>
      </c>
      <c r="J70" s="60">
        <v>0.72</v>
      </c>
      <c r="K70" s="60">
        <v>67.25</v>
      </c>
      <c r="L70" s="60">
        <v>46.65</v>
      </c>
      <c r="M70" s="60">
        <v>70.86</v>
      </c>
      <c r="N70" s="60">
        <v>178.9</v>
      </c>
      <c r="O70" s="60">
        <v>0</v>
      </c>
      <c r="P70" s="60">
        <v>3.61</v>
      </c>
      <c r="Q70" s="60">
        <v>7.59</v>
      </c>
      <c r="R70" s="197"/>
      <c r="S70" s="197"/>
      <c r="T70" s="197"/>
      <c r="U70" s="197"/>
    </row>
    <row r="71" spans="1:21" s="12" customFormat="1" x14ac:dyDescent="0.25">
      <c r="A71" s="200" t="s">
        <v>982</v>
      </c>
      <c r="B71" s="60">
        <v>5.17</v>
      </c>
      <c r="C71" s="60">
        <v>13.47</v>
      </c>
      <c r="D71" s="60">
        <v>18.64</v>
      </c>
      <c r="E71" s="60">
        <v>5.74</v>
      </c>
      <c r="F71" s="60">
        <v>0.55000000000000004</v>
      </c>
      <c r="G71" s="215" t="s">
        <v>36</v>
      </c>
      <c r="H71" s="60">
        <v>10.68</v>
      </c>
      <c r="I71" s="60">
        <v>5.54</v>
      </c>
      <c r="J71" s="60">
        <v>0.45</v>
      </c>
      <c r="K71" s="60">
        <v>61.75</v>
      </c>
      <c r="L71" s="60">
        <v>43.52</v>
      </c>
      <c r="M71" s="60">
        <v>71.14</v>
      </c>
      <c r="N71" s="60">
        <v>110.8</v>
      </c>
      <c r="O71" s="60">
        <v>0</v>
      </c>
      <c r="P71" s="60">
        <v>3.64</v>
      </c>
      <c r="Q71" s="60">
        <v>7.76</v>
      </c>
      <c r="R71" s="197"/>
      <c r="S71" s="197"/>
      <c r="T71" s="197"/>
      <c r="U71" s="197"/>
    </row>
    <row r="72" spans="1:21" s="12" customFormat="1" x14ac:dyDescent="0.25">
      <c r="A72" s="200" t="s">
        <v>983</v>
      </c>
      <c r="B72" s="60">
        <v>5.32</v>
      </c>
      <c r="C72" s="60">
        <v>13.16</v>
      </c>
      <c r="D72" s="60">
        <v>18.48</v>
      </c>
      <c r="E72" s="60">
        <v>2.15</v>
      </c>
      <c r="F72" s="60">
        <v>0.56000000000000005</v>
      </c>
      <c r="G72" s="215" t="s">
        <v>36</v>
      </c>
      <c r="H72" s="60">
        <v>10.68</v>
      </c>
      <c r="I72" s="60">
        <v>5.23</v>
      </c>
      <c r="J72" s="60">
        <v>1.18</v>
      </c>
      <c r="K72" s="60">
        <v>86.6</v>
      </c>
      <c r="L72" s="60">
        <v>41.67</v>
      </c>
      <c r="M72" s="60">
        <v>71.930000000000007</v>
      </c>
      <c r="N72" s="60">
        <v>55.5</v>
      </c>
      <c r="O72" s="60">
        <v>0</v>
      </c>
      <c r="P72" s="60">
        <v>3.63</v>
      </c>
      <c r="Q72" s="60">
        <v>8.0500000000000007</v>
      </c>
      <c r="R72" s="197"/>
      <c r="S72" s="197"/>
      <c r="T72" s="197"/>
      <c r="U72" s="197"/>
    </row>
    <row r="73" spans="1:21" s="12" customFormat="1" x14ac:dyDescent="0.25">
      <c r="A73" s="200" t="s">
        <v>984</v>
      </c>
      <c r="B73" s="60">
        <v>5.47</v>
      </c>
      <c r="C73" s="60">
        <v>13.06</v>
      </c>
      <c r="D73" s="60">
        <v>18.53</v>
      </c>
      <c r="E73" s="60">
        <v>4.1500000000000004</v>
      </c>
      <c r="F73" s="60">
        <v>0.47</v>
      </c>
      <c r="G73" s="215" t="s">
        <v>36</v>
      </c>
      <c r="H73" s="60">
        <v>12.45</v>
      </c>
      <c r="I73" s="60">
        <v>5.53</v>
      </c>
      <c r="J73" s="60">
        <v>1.3</v>
      </c>
      <c r="K73" s="60">
        <v>111.3</v>
      </c>
      <c r="L73" s="60">
        <v>41.56</v>
      </c>
      <c r="M73" s="60">
        <v>80.290000000000006</v>
      </c>
      <c r="N73" s="60">
        <v>40.5</v>
      </c>
      <c r="O73" s="60">
        <v>0</v>
      </c>
      <c r="P73" s="60">
        <v>3.62</v>
      </c>
      <c r="Q73" s="60">
        <v>8.34</v>
      </c>
      <c r="R73" s="197"/>
      <c r="S73" s="197"/>
      <c r="T73" s="197"/>
      <c r="U73" s="197"/>
    </row>
    <row r="74" spans="1:21" s="12" customFormat="1" x14ac:dyDescent="0.25">
      <c r="A74" s="200" t="s">
        <v>985</v>
      </c>
      <c r="B74" s="60">
        <v>5.0599999999999996</v>
      </c>
      <c r="C74" s="60">
        <v>13.21</v>
      </c>
      <c r="D74" s="60">
        <v>18.28</v>
      </c>
      <c r="E74" s="60">
        <v>5.6</v>
      </c>
      <c r="F74" s="60">
        <v>0.56999999999999995</v>
      </c>
      <c r="G74" s="215" t="s">
        <v>36</v>
      </c>
      <c r="H74" s="60">
        <v>16.8</v>
      </c>
      <c r="I74" s="60">
        <v>5.65</v>
      </c>
      <c r="J74" s="60">
        <v>1.24</v>
      </c>
      <c r="K74" s="60">
        <v>153.58000000000001</v>
      </c>
      <c r="L74" s="60">
        <v>39.04</v>
      </c>
      <c r="M74" s="60">
        <v>88.14</v>
      </c>
      <c r="N74" s="60">
        <v>26.3</v>
      </c>
      <c r="O74" s="60">
        <v>0.8</v>
      </c>
      <c r="P74" s="60">
        <v>3.6</v>
      </c>
      <c r="Q74" s="60">
        <v>8.1300000000000008</v>
      </c>
      <c r="R74" s="197"/>
      <c r="S74" s="197"/>
      <c r="T74" s="197"/>
      <c r="U74" s="197"/>
    </row>
    <row r="75" spans="1:21" s="12" customFormat="1" x14ac:dyDescent="0.25">
      <c r="A75" s="200" t="s">
        <v>986</v>
      </c>
      <c r="B75" s="60">
        <v>4.62</v>
      </c>
      <c r="C75" s="60">
        <v>13.4</v>
      </c>
      <c r="D75" s="60">
        <v>18.02</v>
      </c>
      <c r="E75" s="60">
        <v>5.88</v>
      </c>
      <c r="F75" s="60">
        <v>0.51</v>
      </c>
      <c r="G75" s="215" t="s">
        <v>36</v>
      </c>
      <c r="H75" s="60">
        <v>16.8</v>
      </c>
      <c r="I75" s="60">
        <v>5.84</v>
      </c>
      <c r="J75" s="60">
        <v>0.84</v>
      </c>
      <c r="K75" s="60">
        <v>61.35</v>
      </c>
      <c r="L75" s="60">
        <v>36.36</v>
      </c>
      <c r="M75" s="60">
        <v>97.96</v>
      </c>
      <c r="N75" s="60">
        <v>19.399999999999999</v>
      </c>
      <c r="O75" s="60">
        <v>1.8</v>
      </c>
      <c r="P75" s="60">
        <v>3.58</v>
      </c>
      <c r="Q75" s="60">
        <v>7.99</v>
      </c>
      <c r="R75" s="197"/>
      <c r="S75" s="197"/>
      <c r="T75" s="197"/>
      <c r="U75" s="197"/>
    </row>
    <row r="76" spans="1:21" s="12" customFormat="1" x14ac:dyDescent="0.25">
      <c r="A76" s="200" t="s">
        <v>987</v>
      </c>
      <c r="B76" s="60">
        <v>4.6500000000000004</v>
      </c>
      <c r="C76" s="60">
        <v>13.06</v>
      </c>
      <c r="D76" s="60">
        <v>17.71</v>
      </c>
      <c r="E76" s="60">
        <v>6.65</v>
      </c>
      <c r="F76" s="60">
        <v>0.39</v>
      </c>
      <c r="G76" s="215" t="s">
        <v>36</v>
      </c>
      <c r="H76" s="60">
        <v>16.8</v>
      </c>
      <c r="I76" s="60">
        <v>5.73</v>
      </c>
      <c r="J76" s="60">
        <v>1.1499999999999999</v>
      </c>
      <c r="K76" s="60">
        <v>93.24</v>
      </c>
      <c r="L76" s="60">
        <v>35.69</v>
      </c>
      <c r="M76" s="60">
        <v>98.28</v>
      </c>
      <c r="N76" s="60">
        <v>21.1</v>
      </c>
      <c r="O76" s="60">
        <v>0.4</v>
      </c>
      <c r="P76" s="60">
        <v>3.57</v>
      </c>
      <c r="Q76" s="60">
        <v>8.01</v>
      </c>
      <c r="R76" s="197"/>
      <c r="S76" s="197"/>
      <c r="T76" s="197"/>
      <c r="U76" s="197"/>
    </row>
    <row r="77" spans="1:21" s="12" customFormat="1" x14ac:dyDescent="0.25">
      <c r="A77" s="200" t="s">
        <v>988</v>
      </c>
      <c r="B77" s="60">
        <v>4.5999999999999996</v>
      </c>
      <c r="C77" s="60">
        <v>12.13</v>
      </c>
      <c r="D77" s="60">
        <v>16.73</v>
      </c>
      <c r="E77" s="60">
        <v>6.23</v>
      </c>
      <c r="F77" s="60">
        <v>0.63</v>
      </c>
      <c r="G77" s="215" t="s">
        <v>36</v>
      </c>
      <c r="H77" s="60">
        <v>16.63</v>
      </c>
      <c r="I77" s="60">
        <v>5.67</v>
      </c>
      <c r="J77" s="60">
        <v>1.29</v>
      </c>
      <c r="K77" s="60">
        <v>88.27</v>
      </c>
      <c r="L77" s="60">
        <v>35.950000000000003</v>
      </c>
      <c r="M77" s="60">
        <v>98.03</v>
      </c>
      <c r="N77" s="60">
        <v>28.6</v>
      </c>
      <c r="O77" s="60">
        <v>0.2</v>
      </c>
      <c r="P77" s="60">
        <v>3.56</v>
      </c>
      <c r="Q77" s="60">
        <v>7.85</v>
      </c>
      <c r="R77" s="197"/>
      <c r="S77" s="197"/>
      <c r="T77" s="197"/>
      <c r="U77" s="197"/>
    </row>
    <row r="78" spans="1:21" s="12" customFormat="1" x14ac:dyDescent="0.25">
      <c r="A78" s="200" t="s">
        <v>989</v>
      </c>
      <c r="B78" s="60">
        <v>4.41</v>
      </c>
      <c r="C78" s="60">
        <v>11.85</v>
      </c>
      <c r="D78" s="60">
        <v>16.260000000000002</v>
      </c>
      <c r="E78" s="60">
        <v>6.13</v>
      </c>
      <c r="F78" s="60">
        <v>0.48</v>
      </c>
      <c r="G78" s="215" t="s">
        <v>36</v>
      </c>
      <c r="H78" s="60">
        <v>16.21</v>
      </c>
      <c r="I78" s="60">
        <v>5.65</v>
      </c>
      <c r="J78" s="60">
        <v>1.45</v>
      </c>
      <c r="K78" s="60">
        <v>104.82</v>
      </c>
      <c r="L78" s="60">
        <v>36.159999999999997</v>
      </c>
      <c r="M78" s="60">
        <v>97.57</v>
      </c>
      <c r="N78" s="60">
        <v>28.3</v>
      </c>
      <c r="O78" s="60">
        <v>0</v>
      </c>
      <c r="P78" s="60">
        <v>3.56</v>
      </c>
      <c r="Q78" s="60">
        <v>7.4</v>
      </c>
      <c r="R78" s="197"/>
      <c r="S78" s="197"/>
      <c r="T78" s="197"/>
      <c r="U78" s="197"/>
    </row>
    <row r="79" spans="1:21" s="12" customFormat="1" x14ac:dyDescent="0.25">
      <c r="A79" s="200" t="s">
        <v>990</v>
      </c>
      <c r="B79" s="60">
        <v>4.33</v>
      </c>
      <c r="C79" s="60">
        <v>11.7</v>
      </c>
      <c r="D79" s="60">
        <v>16.03</v>
      </c>
      <c r="E79" s="60">
        <v>6.73</v>
      </c>
      <c r="F79" s="60">
        <v>0.4</v>
      </c>
      <c r="G79" s="215" t="s">
        <v>36</v>
      </c>
      <c r="H79" s="60">
        <v>16.21</v>
      </c>
      <c r="I79" s="60">
        <v>5.63</v>
      </c>
      <c r="J79" s="60">
        <v>0.68</v>
      </c>
      <c r="K79" s="60">
        <v>82.29</v>
      </c>
      <c r="L79" s="60">
        <v>35.200000000000003</v>
      </c>
      <c r="M79" s="60">
        <v>96.34</v>
      </c>
      <c r="N79" s="60">
        <v>27.6</v>
      </c>
      <c r="O79" s="60">
        <v>0.2</v>
      </c>
      <c r="P79" s="60">
        <v>3.56</v>
      </c>
      <c r="Q79" s="60">
        <v>6.81</v>
      </c>
      <c r="R79" s="197"/>
      <c r="S79" s="197"/>
      <c r="T79" s="197"/>
      <c r="U79" s="197"/>
    </row>
    <row r="80" spans="1:21" s="12" customFormat="1" x14ac:dyDescent="0.25">
      <c r="A80" s="200" t="s">
        <v>991</v>
      </c>
      <c r="B80" s="60">
        <v>4.96</v>
      </c>
      <c r="C80" s="60">
        <v>11.87</v>
      </c>
      <c r="D80" s="60">
        <v>16.829999999999998</v>
      </c>
      <c r="E80" s="60">
        <v>6.39</v>
      </c>
      <c r="F80" s="60">
        <v>0.4</v>
      </c>
      <c r="G80" s="215" t="s">
        <v>36</v>
      </c>
      <c r="H80" s="60">
        <v>16.21</v>
      </c>
      <c r="I80" s="60">
        <v>5.68</v>
      </c>
      <c r="J80" s="60">
        <v>0.16</v>
      </c>
      <c r="K80" s="60">
        <v>80.34</v>
      </c>
      <c r="L80" s="60">
        <v>35.35</v>
      </c>
      <c r="M80" s="60">
        <v>98.4</v>
      </c>
      <c r="N80" s="60">
        <v>23.1</v>
      </c>
      <c r="O80" s="60">
        <v>0</v>
      </c>
      <c r="P80" s="60">
        <v>3.59</v>
      </c>
      <c r="Q80" s="60">
        <v>6.86</v>
      </c>
      <c r="R80" s="197"/>
      <c r="S80" s="197"/>
      <c r="T80" s="197"/>
      <c r="U80" s="197"/>
    </row>
    <row r="81" spans="1:26" s="12" customFormat="1" x14ac:dyDescent="0.25">
      <c r="A81" s="200" t="s">
        <v>992</v>
      </c>
      <c r="B81" s="60">
        <v>6.36</v>
      </c>
      <c r="C81" s="60">
        <v>12.67</v>
      </c>
      <c r="D81" s="60">
        <v>19.03</v>
      </c>
      <c r="E81" s="60">
        <v>6.72</v>
      </c>
      <c r="F81" s="60">
        <v>0.16</v>
      </c>
      <c r="G81" s="215" t="s">
        <v>36</v>
      </c>
      <c r="H81" s="60">
        <v>15.2</v>
      </c>
      <c r="I81" s="60">
        <v>5.68</v>
      </c>
      <c r="J81" s="60">
        <v>0.38</v>
      </c>
      <c r="K81" s="60">
        <v>93.18</v>
      </c>
      <c r="L81" s="60">
        <v>35.97</v>
      </c>
      <c r="M81" s="60">
        <v>97.4</v>
      </c>
      <c r="N81" s="60">
        <v>17.399999999999999</v>
      </c>
      <c r="O81" s="60">
        <v>0</v>
      </c>
      <c r="P81" s="60">
        <v>3.65</v>
      </c>
      <c r="Q81" s="60">
        <v>7.41</v>
      </c>
      <c r="R81" s="197"/>
      <c r="S81" s="197"/>
      <c r="T81" s="197"/>
      <c r="U81" s="197"/>
    </row>
    <row r="82" spans="1:26" s="12" customFormat="1" x14ac:dyDescent="0.25">
      <c r="A82" s="200" t="s">
        <v>993</v>
      </c>
      <c r="B82" s="60">
        <v>7.22</v>
      </c>
      <c r="C82" s="60">
        <v>12.87</v>
      </c>
      <c r="D82" s="60">
        <v>20.09</v>
      </c>
      <c r="E82" s="60">
        <v>6.19</v>
      </c>
      <c r="F82" s="60">
        <v>0.15</v>
      </c>
      <c r="G82" s="215" t="s">
        <v>36</v>
      </c>
      <c r="H82" s="60">
        <v>12.7</v>
      </c>
      <c r="I82" s="60">
        <v>5.82</v>
      </c>
      <c r="J82" s="60">
        <v>1.1599999999999999</v>
      </c>
      <c r="K82" s="60">
        <v>87.99</v>
      </c>
      <c r="L82" s="60">
        <v>37.340000000000003</v>
      </c>
      <c r="M82" s="60">
        <v>95.55</v>
      </c>
      <c r="N82" s="60">
        <v>16.600000000000001</v>
      </c>
      <c r="O82" s="60">
        <v>0</v>
      </c>
      <c r="P82" s="60">
        <v>3.65</v>
      </c>
      <c r="Q82" s="60">
        <v>7.62</v>
      </c>
      <c r="R82" s="197"/>
      <c r="S82" s="197"/>
      <c r="T82" s="197"/>
      <c r="U82" s="197"/>
    </row>
    <row r="83" spans="1:26" s="12" customFormat="1" x14ac:dyDescent="0.25">
      <c r="A83" s="200" t="s">
        <v>994</v>
      </c>
      <c r="B83" s="60">
        <v>7.16</v>
      </c>
      <c r="C83" s="60">
        <v>12.78</v>
      </c>
      <c r="D83" s="60">
        <v>19.93</v>
      </c>
      <c r="E83" s="60">
        <v>6.44</v>
      </c>
      <c r="F83" s="60">
        <v>0.22</v>
      </c>
      <c r="G83" s="215" t="s">
        <v>36</v>
      </c>
      <c r="H83" s="60">
        <v>12.7</v>
      </c>
      <c r="I83" s="60">
        <v>6.05</v>
      </c>
      <c r="J83" s="60">
        <v>0.53</v>
      </c>
      <c r="K83" s="60">
        <v>80.569999999999993</v>
      </c>
      <c r="L83" s="60">
        <v>35.51</v>
      </c>
      <c r="M83" s="60">
        <v>96.77</v>
      </c>
      <c r="N83" s="60">
        <v>15.6</v>
      </c>
      <c r="O83" s="60">
        <v>0</v>
      </c>
      <c r="P83" s="60">
        <v>3.66</v>
      </c>
      <c r="Q83" s="60">
        <v>7.58</v>
      </c>
      <c r="R83" s="197"/>
      <c r="S83" s="197"/>
      <c r="T83" s="197"/>
      <c r="U83" s="197"/>
    </row>
    <row r="84" spans="1:26" s="12" customFormat="1" x14ac:dyDescent="0.25">
      <c r="A84" s="200" t="s">
        <v>995</v>
      </c>
      <c r="B84" s="60">
        <v>7.27</v>
      </c>
      <c r="C84" s="60">
        <v>12.43</v>
      </c>
      <c r="D84" s="60">
        <v>19.7</v>
      </c>
      <c r="E84" s="60">
        <v>6.73</v>
      </c>
      <c r="F84" s="60">
        <v>0.18</v>
      </c>
      <c r="G84" s="215" t="s">
        <v>36</v>
      </c>
      <c r="H84" s="60">
        <v>12.7</v>
      </c>
      <c r="I84" s="60">
        <v>6.07</v>
      </c>
      <c r="J84" s="60">
        <v>0.38</v>
      </c>
      <c r="K84" s="60">
        <v>56.69</v>
      </c>
      <c r="L84" s="60">
        <v>35.14</v>
      </c>
      <c r="M84" s="60">
        <v>98.63</v>
      </c>
      <c r="N84" s="60">
        <v>15</v>
      </c>
      <c r="O84" s="60">
        <v>0</v>
      </c>
      <c r="P84" s="60">
        <v>3.7</v>
      </c>
      <c r="Q84" s="60">
        <v>7.74</v>
      </c>
      <c r="R84" s="197"/>
      <c r="S84" s="197"/>
      <c r="T84" s="197"/>
      <c r="U84" s="197"/>
    </row>
    <row r="85" spans="1:26" s="12" customFormat="1" x14ac:dyDescent="0.25">
      <c r="A85" s="200" t="s">
        <v>996</v>
      </c>
      <c r="B85" s="60">
        <v>8.26</v>
      </c>
      <c r="C85" s="60">
        <v>12.19</v>
      </c>
      <c r="D85" s="60">
        <v>20.45</v>
      </c>
      <c r="E85" s="60">
        <v>6.15</v>
      </c>
      <c r="F85" s="60">
        <v>0.21</v>
      </c>
      <c r="G85" s="215" t="s">
        <v>36</v>
      </c>
      <c r="H85" s="60">
        <v>12.06</v>
      </c>
      <c r="I85" s="60">
        <v>6.15</v>
      </c>
      <c r="J85" s="60">
        <v>0.48</v>
      </c>
      <c r="K85" s="60">
        <v>63.22</v>
      </c>
      <c r="L85" s="60">
        <v>35.22</v>
      </c>
      <c r="M85" s="60">
        <v>98.1</v>
      </c>
      <c r="N85" s="60">
        <v>15.1</v>
      </c>
      <c r="O85" s="60">
        <v>0</v>
      </c>
      <c r="P85" s="60">
        <v>3.76</v>
      </c>
      <c r="Q85" s="60">
        <v>8.2799999999999994</v>
      </c>
      <c r="R85" s="197"/>
      <c r="S85" s="197"/>
      <c r="T85" s="197"/>
      <c r="U85" s="197"/>
    </row>
    <row r="86" spans="1:26" s="12" customFormat="1" x14ac:dyDescent="0.25">
      <c r="A86" s="200" t="s">
        <v>997</v>
      </c>
      <c r="B86" s="60">
        <v>9.49</v>
      </c>
      <c r="C86" s="60">
        <v>11.82</v>
      </c>
      <c r="D86" s="60">
        <v>21.31</v>
      </c>
      <c r="E86" s="60">
        <v>6.35</v>
      </c>
      <c r="F86" s="60">
        <v>0.11</v>
      </c>
      <c r="G86" s="215" t="s">
        <v>36</v>
      </c>
      <c r="H86" s="60">
        <v>10.5</v>
      </c>
      <c r="I86" s="60">
        <v>6.72</v>
      </c>
      <c r="J86" s="60">
        <v>0.55000000000000004</v>
      </c>
      <c r="K86" s="60">
        <v>92.27</v>
      </c>
      <c r="L86" s="60">
        <v>35.340000000000003</v>
      </c>
      <c r="M86" s="60">
        <v>95.82</v>
      </c>
      <c r="N86" s="60">
        <v>15.4</v>
      </c>
      <c r="O86" s="60">
        <v>0</v>
      </c>
      <c r="P86" s="60">
        <v>3.72</v>
      </c>
      <c r="Q86" s="60">
        <v>8.98</v>
      </c>
      <c r="R86" s="197"/>
      <c r="S86" s="197"/>
      <c r="T86" s="197"/>
      <c r="U86" s="197"/>
    </row>
    <row r="87" spans="1:26" s="12" customFormat="1" x14ac:dyDescent="0.25">
      <c r="A87" s="200" t="s">
        <v>998</v>
      </c>
      <c r="B87" s="60">
        <v>10.65</v>
      </c>
      <c r="C87" s="60">
        <v>11.77</v>
      </c>
      <c r="D87" s="60">
        <v>22.42</v>
      </c>
      <c r="E87" s="60">
        <v>6.98</v>
      </c>
      <c r="F87" s="60">
        <v>0.11</v>
      </c>
      <c r="G87" s="215" t="s">
        <v>36</v>
      </c>
      <c r="H87" s="60">
        <v>10.5</v>
      </c>
      <c r="I87" s="60">
        <v>6.96</v>
      </c>
      <c r="J87" s="60">
        <v>0.26</v>
      </c>
      <c r="K87" s="60">
        <v>83.81</v>
      </c>
      <c r="L87" s="60">
        <v>35.33</v>
      </c>
      <c r="M87" s="60">
        <v>96.95</v>
      </c>
      <c r="N87" s="60">
        <v>15.4</v>
      </c>
      <c r="O87" s="60">
        <v>0.2</v>
      </c>
      <c r="P87" s="60">
        <v>3.76</v>
      </c>
      <c r="Q87" s="60">
        <v>9.6300000000000008</v>
      </c>
      <c r="R87" s="197"/>
      <c r="S87" s="197"/>
      <c r="T87" s="197"/>
      <c r="U87" s="197"/>
    </row>
    <row r="88" spans="1:26" s="12" customFormat="1" x14ac:dyDescent="0.25">
      <c r="A88" s="200" t="s">
        <v>999</v>
      </c>
      <c r="B88" s="60">
        <v>12.31</v>
      </c>
      <c r="C88" s="60">
        <v>12.14</v>
      </c>
      <c r="D88" s="60">
        <v>24.45</v>
      </c>
      <c r="E88" s="60">
        <v>3.01</v>
      </c>
      <c r="F88" s="60">
        <v>0.14000000000000001</v>
      </c>
      <c r="G88" s="215" t="s">
        <v>36</v>
      </c>
      <c r="H88" s="60">
        <v>10.5</v>
      </c>
      <c r="I88" s="60">
        <v>6.16</v>
      </c>
      <c r="J88" s="60">
        <v>0.23</v>
      </c>
      <c r="K88" s="60">
        <v>5.18</v>
      </c>
      <c r="L88" s="60">
        <v>35.35</v>
      </c>
      <c r="M88" s="60">
        <v>98.72</v>
      </c>
      <c r="N88" s="60">
        <v>15</v>
      </c>
      <c r="O88" s="60">
        <v>0</v>
      </c>
      <c r="P88" s="60">
        <v>3.8</v>
      </c>
      <c r="Q88" s="60">
        <v>10.67</v>
      </c>
      <c r="R88" s="197"/>
      <c r="S88" s="197"/>
      <c r="T88" s="197"/>
      <c r="U88" s="197"/>
    </row>
    <row r="89" spans="1:26" s="12" customFormat="1" x14ac:dyDescent="0.25">
      <c r="A89" s="200" t="s">
        <v>1000</v>
      </c>
      <c r="B89" s="60">
        <v>14.85</v>
      </c>
      <c r="C89" s="60">
        <v>12.69</v>
      </c>
      <c r="D89" s="60">
        <v>27.54</v>
      </c>
      <c r="E89" s="60">
        <v>5.44</v>
      </c>
      <c r="F89" s="60">
        <v>0.15</v>
      </c>
      <c r="G89" s="215" t="s">
        <v>36</v>
      </c>
      <c r="H89" s="60">
        <v>10.56</v>
      </c>
      <c r="I89" s="60">
        <v>6.31</v>
      </c>
      <c r="J89" s="60">
        <v>0.66</v>
      </c>
      <c r="K89" s="60">
        <v>1.47</v>
      </c>
      <c r="L89" s="60">
        <v>35.43</v>
      </c>
      <c r="M89" s="60">
        <v>98.49</v>
      </c>
      <c r="N89" s="60">
        <v>15.2</v>
      </c>
      <c r="O89" s="60">
        <v>0</v>
      </c>
      <c r="P89" s="60">
        <v>3.89</v>
      </c>
      <c r="Q89" s="60">
        <v>12.1</v>
      </c>
      <c r="R89" s="197"/>
      <c r="S89" s="197"/>
      <c r="T89" s="197"/>
      <c r="U89" s="197"/>
    </row>
    <row r="90" spans="1:26" s="12" customFormat="1" x14ac:dyDescent="0.25">
      <c r="A90" s="200" t="s">
        <v>1001</v>
      </c>
      <c r="B90" s="60">
        <v>17.62</v>
      </c>
      <c r="C90" s="60">
        <v>13.13</v>
      </c>
      <c r="D90" s="60">
        <v>30.76</v>
      </c>
      <c r="E90" s="60">
        <v>6.47</v>
      </c>
      <c r="F90" s="60">
        <v>0.18</v>
      </c>
      <c r="G90" s="215" t="s">
        <v>36</v>
      </c>
      <c r="H90" s="60">
        <v>10.71</v>
      </c>
      <c r="I90" s="60">
        <v>7.23</v>
      </c>
      <c r="J90" s="60">
        <v>0.6</v>
      </c>
      <c r="K90" s="60">
        <v>353.87</v>
      </c>
      <c r="L90" s="60">
        <v>35.61</v>
      </c>
      <c r="M90" s="60">
        <v>98.17</v>
      </c>
      <c r="N90" s="60">
        <v>15.3</v>
      </c>
      <c r="O90" s="60">
        <v>0</v>
      </c>
      <c r="P90" s="60">
        <v>3.93</v>
      </c>
      <c r="Q90" s="60">
        <v>13.49</v>
      </c>
      <c r="R90" s="197"/>
      <c r="S90" s="197"/>
      <c r="T90" s="197"/>
      <c r="U90" s="197"/>
    </row>
    <row r="91" spans="1:26" s="12" customFormat="1" x14ac:dyDescent="0.25">
      <c r="A91" s="200" t="s">
        <v>1002</v>
      </c>
      <c r="B91" s="60">
        <v>20.21</v>
      </c>
      <c r="C91" s="60">
        <v>13.47</v>
      </c>
      <c r="D91" s="60">
        <v>33.68</v>
      </c>
      <c r="E91" s="60">
        <v>6.97</v>
      </c>
      <c r="F91" s="60">
        <v>0.33</v>
      </c>
      <c r="G91" s="215" t="s">
        <v>36</v>
      </c>
      <c r="H91" s="60">
        <v>10.71</v>
      </c>
      <c r="I91" s="60">
        <v>8.19</v>
      </c>
      <c r="J91" s="60">
        <v>0.63</v>
      </c>
      <c r="K91" s="60">
        <v>356</v>
      </c>
      <c r="L91" s="60">
        <v>35.659999999999997</v>
      </c>
      <c r="M91" s="60">
        <v>96.25</v>
      </c>
      <c r="N91" s="60">
        <v>15.7</v>
      </c>
      <c r="O91" s="60">
        <v>0</v>
      </c>
      <c r="P91" s="60">
        <v>3.96</v>
      </c>
      <c r="Q91" s="60">
        <v>14.89</v>
      </c>
      <c r="R91" s="197"/>
      <c r="S91" s="197"/>
      <c r="T91" s="197"/>
      <c r="U91" s="197"/>
    </row>
    <row r="92" spans="1:26" s="12" customFormat="1" x14ac:dyDescent="0.25">
      <c r="A92" s="200" t="s">
        <v>1003</v>
      </c>
      <c r="B92" s="60">
        <v>22.09</v>
      </c>
      <c r="C92" s="60">
        <v>14.05</v>
      </c>
      <c r="D92" s="60">
        <v>36.14</v>
      </c>
      <c r="E92" s="60">
        <v>7.35</v>
      </c>
      <c r="F92" s="60">
        <v>0.28999999999999998</v>
      </c>
      <c r="G92" s="215" t="s">
        <v>36</v>
      </c>
      <c r="H92" s="60">
        <v>10.71</v>
      </c>
      <c r="I92" s="60">
        <v>8.17</v>
      </c>
      <c r="J92" s="60">
        <v>0.32</v>
      </c>
      <c r="K92" s="60">
        <v>6.33</v>
      </c>
      <c r="L92" s="60">
        <v>35.46</v>
      </c>
      <c r="M92" s="60">
        <v>96.67</v>
      </c>
      <c r="N92" s="60">
        <v>15.6</v>
      </c>
      <c r="O92" s="60">
        <v>0</v>
      </c>
      <c r="P92" s="60">
        <v>4.04</v>
      </c>
      <c r="Q92" s="60">
        <v>15.78</v>
      </c>
      <c r="R92" s="197"/>
      <c r="S92" s="197"/>
      <c r="T92" s="197"/>
      <c r="U92" s="197"/>
    </row>
    <row r="93" spans="1:26" s="12" customFormat="1" x14ac:dyDescent="0.25">
      <c r="A93" s="200" t="s">
        <v>1004</v>
      </c>
      <c r="B93" s="60">
        <v>23.65</v>
      </c>
      <c r="C93" s="60">
        <v>14.56</v>
      </c>
      <c r="D93" s="60">
        <v>38.200000000000003</v>
      </c>
      <c r="E93" s="60">
        <v>7.36</v>
      </c>
      <c r="F93" s="60">
        <v>0.12</v>
      </c>
      <c r="G93" s="215" t="s">
        <v>36</v>
      </c>
      <c r="H93" s="60">
        <v>11.17</v>
      </c>
      <c r="I93" s="60">
        <v>7.86</v>
      </c>
      <c r="J93" s="60">
        <v>0.48</v>
      </c>
      <c r="K93" s="60">
        <v>82.32</v>
      </c>
      <c r="L93" s="60">
        <v>35.26</v>
      </c>
      <c r="M93" s="60">
        <v>95.02</v>
      </c>
      <c r="N93" s="60">
        <v>15.7</v>
      </c>
      <c r="O93" s="60">
        <v>0</v>
      </c>
      <c r="P93" s="60">
        <v>4.1100000000000003</v>
      </c>
      <c r="Q93" s="60">
        <v>16.05</v>
      </c>
      <c r="R93" s="197"/>
      <c r="S93" s="197"/>
      <c r="T93" s="197"/>
      <c r="U93" s="197"/>
    </row>
    <row r="94" spans="1:26" s="12" customFormat="1" x14ac:dyDescent="0.25">
      <c r="A94" s="200" t="s">
        <v>1005</v>
      </c>
      <c r="B94" s="60">
        <v>23.52</v>
      </c>
      <c r="C94" s="60">
        <v>14.75</v>
      </c>
      <c r="D94" s="60">
        <v>38.270000000000003</v>
      </c>
      <c r="E94" s="60">
        <v>6.92</v>
      </c>
      <c r="F94" s="60">
        <v>0.33</v>
      </c>
      <c r="G94" s="215" t="s">
        <v>36</v>
      </c>
      <c r="H94" s="60">
        <v>12.33</v>
      </c>
      <c r="I94" s="60">
        <v>7.93</v>
      </c>
      <c r="J94" s="60">
        <v>0.24</v>
      </c>
      <c r="K94" s="60">
        <v>93.26</v>
      </c>
      <c r="L94" s="60">
        <v>35.03</v>
      </c>
      <c r="M94" s="60">
        <v>96.73</v>
      </c>
      <c r="N94" s="60">
        <v>15.3</v>
      </c>
      <c r="O94" s="60">
        <v>0</v>
      </c>
      <c r="P94" s="60">
        <v>4.12</v>
      </c>
      <c r="Q94" s="60">
        <v>15.69</v>
      </c>
      <c r="R94" s="197"/>
      <c r="S94" s="197"/>
      <c r="T94" s="197"/>
      <c r="U94" s="197"/>
    </row>
    <row r="95" spans="1:26" s="12" customFormat="1" x14ac:dyDescent="0.25">
      <c r="A95" s="200" t="s">
        <v>1006</v>
      </c>
      <c r="B95" s="60">
        <v>23.38</v>
      </c>
      <c r="C95" s="60">
        <v>15.03</v>
      </c>
      <c r="D95" s="60">
        <v>38.409999999999997</v>
      </c>
      <c r="E95" s="60">
        <v>7.49</v>
      </c>
      <c r="F95" s="60">
        <v>0.11</v>
      </c>
      <c r="G95" s="215" t="s">
        <v>36</v>
      </c>
      <c r="H95" s="60">
        <v>12.33</v>
      </c>
      <c r="I95" s="60">
        <v>8.18</v>
      </c>
      <c r="J95" s="60">
        <v>0.39</v>
      </c>
      <c r="K95" s="60">
        <v>355.19</v>
      </c>
      <c r="L95" s="60">
        <v>35.090000000000003</v>
      </c>
      <c r="M95" s="60">
        <v>97.86</v>
      </c>
      <c r="N95" s="60">
        <v>15</v>
      </c>
      <c r="O95" s="60">
        <v>0</v>
      </c>
      <c r="P95" s="60">
        <v>4.13</v>
      </c>
      <c r="Q95" s="60">
        <v>15.57</v>
      </c>
      <c r="R95" s="197"/>
      <c r="S95" s="197"/>
      <c r="T95" s="197"/>
      <c r="U95" s="197"/>
    </row>
    <row r="96" spans="1:26" s="12" customFormat="1" x14ac:dyDescent="0.25">
      <c r="A96" s="200" t="s">
        <v>1007</v>
      </c>
      <c r="B96" s="60">
        <v>25.57</v>
      </c>
      <c r="C96" s="60">
        <v>15.45</v>
      </c>
      <c r="D96" s="60">
        <v>41.01</v>
      </c>
      <c r="E96" s="60">
        <v>7.04</v>
      </c>
      <c r="F96" s="60">
        <v>0.21</v>
      </c>
      <c r="G96" s="215" t="s">
        <v>36</v>
      </c>
      <c r="H96" s="60">
        <v>12.33</v>
      </c>
      <c r="I96" s="60">
        <v>8.2200000000000006</v>
      </c>
      <c r="J96" s="60">
        <v>0.38</v>
      </c>
      <c r="K96" s="60">
        <v>345.46</v>
      </c>
      <c r="L96" s="60">
        <v>34.96</v>
      </c>
      <c r="M96" s="60">
        <v>98.94</v>
      </c>
      <c r="N96" s="60">
        <v>14.9</v>
      </c>
      <c r="O96" s="60">
        <v>0</v>
      </c>
      <c r="P96" s="60">
        <v>4.2</v>
      </c>
      <c r="Q96" s="60">
        <v>16.489999999999998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1008</v>
      </c>
      <c r="B97" s="60">
        <v>28.37</v>
      </c>
      <c r="C97" s="60">
        <v>15.3</v>
      </c>
      <c r="D97" s="60">
        <v>43.66</v>
      </c>
      <c r="E97" s="60">
        <v>7.28</v>
      </c>
      <c r="F97" s="60">
        <v>0.3</v>
      </c>
      <c r="G97" s="215" t="s">
        <v>36</v>
      </c>
      <c r="H97" s="60">
        <v>13.74</v>
      </c>
      <c r="I97" s="60">
        <v>8.3000000000000007</v>
      </c>
      <c r="J97" s="60">
        <v>0.77</v>
      </c>
      <c r="K97" s="60">
        <v>323.95999999999998</v>
      </c>
      <c r="L97" s="60">
        <v>35.06</v>
      </c>
      <c r="M97" s="60">
        <v>98.91</v>
      </c>
      <c r="N97" s="60">
        <v>15.1</v>
      </c>
      <c r="O97" s="60">
        <v>0</v>
      </c>
      <c r="P97" s="60">
        <v>4.28</v>
      </c>
      <c r="Q97" s="60">
        <v>17.61</v>
      </c>
      <c r="R97" s="197"/>
      <c r="S97" s="197"/>
      <c r="T97" s="197"/>
      <c r="U97" s="197"/>
    </row>
    <row r="98" spans="1:33" s="12" customFormat="1" x14ac:dyDescent="0.25">
      <c r="A98" s="200" t="s">
        <v>1009</v>
      </c>
      <c r="B98" s="60">
        <v>29.66</v>
      </c>
      <c r="C98" s="60">
        <v>15.02</v>
      </c>
      <c r="D98" s="60">
        <v>44.68</v>
      </c>
      <c r="E98" s="60">
        <v>7.22</v>
      </c>
      <c r="F98" s="60">
        <v>0.01</v>
      </c>
      <c r="G98" s="215" t="s">
        <v>36</v>
      </c>
      <c r="H98" s="60">
        <v>17.2</v>
      </c>
      <c r="I98" s="60">
        <v>8.6</v>
      </c>
      <c r="J98" s="60">
        <v>0.6</v>
      </c>
      <c r="K98" s="60">
        <v>337.22</v>
      </c>
      <c r="L98" s="60">
        <v>35.159999999999997</v>
      </c>
      <c r="M98" s="60">
        <v>98.68</v>
      </c>
      <c r="N98" s="60">
        <v>15.4</v>
      </c>
      <c r="O98" s="60">
        <v>0</v>
      </c>
      <c r="P98" s="60">
        <v>4.32</v>
      </c>
      <c r="Q98" s="60">
        <v>17.7</v>
      </c>
      <c r="R98" s="197"/>
      <c r="S98" s="197"/>
      <c r="T98" s="197"/>
      <c r="U98" s="197"/>
    </row>
    <row r="99" spans="1:33" s="12" customFormat="1" x14ac:dyDescent="0.25">
      <c r="A99" s="200" t="s">
        <v>1010</v>
      </c>
      <c r="B99" s="60">
        <v>30.53</v>
      </c>
      <c r="C99" s="60">
        <v>14.44</v>
      </c>
      <c r="D99" s="60">
        <v>44.97</v>
      </c>
      <c r="E99" s="60">
        <v>7.77</v>
      </c>
      <c r="F99" s="60">
        <v>0.24</v>
      </c>
      <c r="G99" s="215" t="s">
        <v>36</v>
      </c>
      <c r="H99" s="60">
        <v>17.2</v>
      </c>
      <c r="I99" s="60">
        <v>9.0500000000000007</v>
      </c>
      <c r="J99" s="60">
        <v>0.4</v>
      </c>
      <c r="K99" s="60">
        <v>332.68</v>
      </c>
      <c r="L99" s="60">
        <v>35.29</v>
      </c>
      <c r="M99" s="60">
        <v>98.57</v>
      </c>
      <c r="N99" s="60">
        <v>15.5</v>
      </c>
      <c r="O99" s="60">
        <v>0</v>
      </c>
      <c r="P99" s="60">
        <v>4.3600000000000003</v>
      </c>
      <c r="Q99" s="60">
        <v>18.239999999999998</v>
      </c>
      <c r="R99" s="197"/>
      <c r="S99" s="197"/>
      <c r="T99" s="197"/>
      <c r="U99" s="197"/>
    </row>
    <row r="100" spans="1:33" s="12" customFormat="1" x14ac:dyDescent="0.25">
      <c r="A100" s="200" t="s">
        <v>1011</v>
      </c>
      <c r="B100" s="60">
        <v>31.36</v>
      </c>
      <c r="C100" s="60">
        <v>13.91</v>
      </c>
      <c r="D100" s="60">
        <v>45.27</v>
      </c>
      <c r="E100" s="60">
        <v>7.25</v>
      </c>
      <c r="F100" s="60">
        <v>0.27</v>
      </c>
      <c r="G100" s="215" t="s">
        <v>36</v>
      </c>
      <c r="H100" s="60">
        <v>17.2</v>
      </c>
      <c r="I100" s="60">
        <v>9.17</v>
      </c>
      <c r="J100" s="60">
        <v>0.13</v>
      </c>
      <c r="K100" s="60">
        <v>328.6</v>
      </c>
      <c r="L100" s="60">
        <v>35.090000000000003</v>
      </c>
      <c r="M100" s="60">
        <v>99.1</v>
      </c>
      <c r="N100" s="60">
        <v>15.3</v>
      </c>
      <c r="O100" s="60">
        <v>0</v>
      </c>
      <c r="P100" s="60">
        <v>4.3899999999999997</v>
      </c>
      <c r="Q100" s="60">
        <v>19.04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1012</v>
      </c>
      <c r="B101" s="60">
        <v>32.090000000000003</v>
      </c>
      <c r="C101" s="60">
        <v>13.37</v>
      </c>
      <c r="D101" s="60">
        <v>45.46</v>
      </c>
      <c r="E101" s="60">
        <v>7.48</v>
      </c>
      <c r="F101" s="60">
        <v>0.3</v>
      </c>
      <c r="G101" s="215" t="s">
        <v>36</v>
      </c>
      <c r="H101" s="60">
        <v>21.24</v>
      </c>
      <c r="I101" s="60">
        <v>8.94</v>
      </c>
      <c r="J101" s="60">
        <v>0.62</v>
      </c>
      <c r="K101" s="60">
        <v>309.87</v>
      </c>
      <c r="L101" s="60">
        <v>35.130000000000003</v>
      </c>
      <c r="M101" s="60">
        <v>98.71</v>
      </c>
      <c r="N101" s="60">
        <v>15.3</v>
      </c>
      <c r="O101" s="60">
        <v>0</v>
      </c>
      <c r="P101" s="60">
        <v>4.3899999999999997</v>
      </c>
      <c r="Q101" s="60">
        <v>19.71</v>
      </c>
      <c r="R101" s="197"/>
      <c r="S101" s="197"/>
      <c r="T101" s="197"/>
      <c r="U101" s="197"/>
    </row>
    <row r="102" spans="1:33" s="12" customFormat="1" x14ac:dyDescent="0.25">
      <c r="A102" s="200" t="s">
        <v>1013</v>
      </c>
      <c r="B102" s="60">
        <v>32.200000000000003</v>
      </c>
      <c r="C102" s="60">
        <v>13.25</v>
      </c>
      <c r="D102" s="60">
        <v>45.46</v>
      </c>
      <c r="E102" s="60">
        <v>8</v>
      </c>
      <c r="F102" s="60">
        <v>0.26</v>
      </c>
      <c r="G102" s="215" t="s">
        <v>36</v>
      </c>
      <c r="H102" s="60">
        <v>31.19</v>
      </c>
      <c r="I102" s="60">
        <v>9.23</v>
      </c>
      <c r="J102" s="60">
        <v>0.94</v>
      </c>
      <c r="K102" s="60">
        <v>322.89999999999998</v>
      </c>
      <c r="L102" s="60">
        <v>35.29</v>
      </c>
      <c r="M102" s="60">
        <v>98.43</v>
      </c>
      <c r="N102" s="60">
        <v>15.5</v>
      </c>
      <c r="O102" s="60">
        <v>0</v>
      </c>
      <c r="P102" s="60">
        <v>4.38</v>
      </c>
      <c r="Q102" s="60">
        <v>19.88</v>
      </c>
      <c r="R102" s="197"/>
      <c r="S102" s="197"/>
      <c r="T102" s="197"/>
      <c r="U102" s="197"/>
    </row>
    <row r="103" spans="1:33" s="12" customFormat="1" x14ac:dyDescent="0.25">
      <c r="A103" s="200" t="s">
        <v>1014</v>
      </c>
      <c r="B103" s="60">
        <v>31.96</v>
      </c>
      <c r="C103" s="60">
        <v>13.31</v>
      </c>
      <c r="D103" s="60">
        <v>45.27</v>
      </c>
      <c r="E103" s="60">
        <v>8.19</v>
      </c>
      <c r="F103" s="60">
        <v>0.16</v>
      </c>
      <c r="G103" s="215" t="s">
        <v>36</v>
      </c>
      <c r="H103" s="60">
        <v>31.19</v>
      </c>
      <c r="I103" s="60">
        <v>9.65</v>
      </c>
      <c r="J103" s="60">
        <v>0.8</v>
      </c>
      <c r="K103" s="60">
        <v>318.58</v>
      </c>
      <c r="L103" s="60">
        <v>35.229999999999997</v>
      </c>
      <c r="M103" s="60">
        <v>98.21</v>
      </c>
      <c r="N103" s="60">
        <v>15.7</v>
      </c>
      <c r="O103" s="60">
        <v>0</v>
      </c>
      <c r="P103" s="60">
        <v>4.37</v>
      </c>
      <c r="Q103" s="60">
        <v>19.920000000000002</v>
      </c>
      <c r="R103" s="197"/>
      <c r="S103" s="197"/>
      <c r="T103" s="197"/>
      <c r="U103" s="197"/>
    </row>
    <row r="104" spans="1:33" s="12" customFormat="1" x14ac:dyDescent="0.25">
      <c r="A104" s="200" t="s">
        <v>1015</v>
      </c>
      <c r="B104" s="60">
        <v>31.46</v>
      </c>
      <c r="C104" s="60">
        <v>13.2</v>
      </c>
      <c r="D104" s="60">
        <v>44.66</v>
      </c>
      <c r="E104" s="60">
        <v>2.33</v>
      </c>
      <c r="F104" s="60">
        <v>0.17</v>
      </c>
      <c r="G104" s="215" t="s">
        <v>36</v>
      </c>
      <c r="H104" s="60">
        <v>31.19</v>
      </c>
      <c r="I104" s="60">
        <v>9.5299999999999994</v>
      </c>
      <c r="J104" s="60">
        <v>0.38</v>
      </c>
      <c r="K104" s="60">
        <v>314.88</v>
      </c>
      <c r="L104" s="60">
        <v>35.06</v>
      </c>
      <c r="M104" s="60">
        <v>99.02</v>
      </c>
      <c r="N104" s="60">
        <v>15.3</v>
      </c>
      <c r="O104" s="60">
        <v>0.4</v>
      </c>
      <c r="P104" s="60">
        <v>4.3600000000000003</v>
      </c>
      <c r="Q104" s="60">
        <v>19.87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5" t="s">
        <v>59</v>
      </c>
      <c r="B106" s="67">
        <f>MIN(B9:B104)</f>
        <v>4.33</v>
      </c>
      <c r="C106" s="67">
        <f>MIN(C9:C104)</f>
        <v>9.26</v>
      </c>
      <c r="D106" s="67">
        <f t="shared" ref="D106:Q106" si="0">MIN(D9:D104)</f>
        <v>16.03</v>
      </c>
      <c r="E106" s="67">
        <f t="shared" si="0"/>
        <v>2.15</v>
      </c>
      <c r="F106" s="67">
        <f t="shared" si="0"/>
        <v>0.01</v>
      </c>
      <c r="G106" s="67">
        <f t="shared" si="0"/>
        <v>0</v>
      </c>
      <c r="H106" s="67">
        <f t="shared" si="0"/>
        <v>6.5</v>
      </c>
      <c r="I106" s="67">
        <f t="shared" si="0"/>
        <v>4.5</v>
      </c>
      <c r="J106" s="67">
        <f t="shared" si="0"/>
        <v>0.13</v>
      </c>
      <c r="K106" s="67">
        <f t="shared" si="0"/>
        <v>1.47</v>
      </c>
      <c r="L106" s="67">
        <f t="shared" si="0"/>
        <v>34.96</v>
      </c>
      <c r="M106" s="67">
        <f t="shared" si="0"/>
        <v>65.62</v>
      </c>
      <c r="N106" s="67">
        <f t="shared" si="0"/>
        <v>14.9</v>
      </c>
      <c r="O106" s="67">
        <f t="shared" si="0"/>
        <v>0</v>
      </c>
      <c r="P106" s="67">
        <f t="shared" si="0"/>
        <v>3.56</v>
      </c>
      <c r="Q106" s="67">
        <f t="shared" si="0"/>
        <v>6.81</v>
      </c>
      <c r="R106" s="198"/>
      <c r="S106" s="198"/>
      <c r="T106" s="198"/>
      <c r="U106" s="198"/>
    </row>
    <row r="107" spans="1:33" x14ac:dyDescent="0.25">
      <c r="A107" s="65" t="s">
        <v>60</v>
      </c>
      <c r="B107" s="66">
        <f>MAX(B9:B104)</f>
        <v>32.200000000000003</v>
      </c>
      <c r="C107" s="66">
        <f t="shared" ref="C107:Q107" si="1">MAX(C9:C104)</f>
        <v>15.45</v>
      </c>
      <c r="D107" s="66">
        <f t="shared" si="1"/>
        <v>45.46</v>
      </c>
      <c r="E107" s="66">
        <f t="shared" si="1"/>
        <v>8.42</v>
      </c>
      <c r="F107" s="66">
        <f t="shared" si="1"/>
        <v>1.1399999999999999</v>
      </c>
      <c r="G107" s="66">
        <f t="shared" si="1"/>
        <v>0</v>
      </c>
      <c r="H107" s="66">
        <f t="shared" si="1"/>
        <v>31.19</v>
      </c>
      <c r="I107" s="66">
        <f t="shared" si="1"/>
        <v>9.65</v>
      </c>
      <c r="J107" s="66">
        <f t="shared" si="1"/>
        <v>2.0499999999999998</v>
      </c>
      <c r="K107" s="66">
        <f t="shared" si="1"/>
        <v>359.53</v>
      </c>
      <c r="L107" s="66">
        <f t="shared" si="1"/>
        <v>46.88</v>
      </c>
      <c r="M107" s="66">
        <f t="shared" si="1"/>
        <v>99.15</v>
      </c>
      <c r="N107" s="66">
        <f t="shared" si="1"/>
        <v>982</v>
      </c>
      <c r="O107" s="66">
        <f t="shared" si="1"/>
        <v>1.8</v>
      </c>
      <c r="P107" s="66">
        <f t="shared" si="1"/>
        <v>4.3899999999999997</v>
      </c>
      <c r="Q107" s="66">
        <f t="shared" si="1"/>
        <v>19.920000000000002</v>
      </c>
      <c r="R107" s="199"/>
      <c r="S107" s="199"/>
      <c r="T107" s="199"/>
      <c r="U107" s="199"/>
    </row>
    <row r="108" spans="1:33" x14ac:dyDescent="0.25">
      <c r="A108" s="65" t="s">
        <v>61</v>
      </c>
      <c r="B108" s="67">
        <f>AVERAGE(B9:B104)</f>
        <v>16.09395833333333</v>
      </c>
      <c r="C108" s="67">
        <f t="shared" ref="C108:Q108" si="2">AVERAGE(C9:C104)</f>
        <v>12.061250000000001</v>
      </c>
      <c r="D108" s="67">
        <f t="shared" si="2"/>
        <v>28.154270833333324</v>
      </c>
      <c r="E108" s="67">
        <f t="shared" si="2"/>
        <v>6.5618750000000006</v>
      </c>
      <c r="F108" s="67">
        <f t="shared" si="2"/>
        <v>0.35729166666666656</v>
      </c>
      <c r="G108" s="67" t="e">
        <f t="shared" si="2"/>
        <v>#DIV/0!</v>
      </c>
      <c r="H108" s="67">
        <f t="shared" si="2"/>
        <v>12.576979166666669</v>
      </c>
      <c r="I108" s="67">
        <f t="shared" si="2"/>
        <v>6.4287499999999982</v>
      </c>
      <c r="J108" s="67">
        <f t="shared" si="2"/>
        <v>0.80947916666666619</v>
      </c>
      <c r="K108" s="67">
        <f t="shared" si="2"/>
        <v>138.27864583333331</v>
      </c>
      <c r="L108" s="67">
        <f t="shared" si="2"/>
        <v>40.501458333333325</v>
      </c>
      <c r="M108" s="67">
        <f t="shared" si="2"/>
        <v>89.810833333333292</v>
      </c>
      <c r="N108" s="67">
        <f t="shared" si="2"/>
        <v>177.28854166666659</v>
      </c>
      <c r="O108" s="67">
        <f t="shared" si="2"/>
        <v>4.1666666666666678E-2</v>
      </c>
      <c r="P108" s="67">
        <f t="shared" si="2"/>
        <v>3.7551041666666678</v>
      </c>
      <c r="Q108" s="67">
        <f t="shared" si="2"/>
        <v>12.337708333333333</v>
      </c>
      <c r="R108" s="198"/>
      <c r="S108" s="198"/>
      <c r="T108" s="198"/>
      <c r="U108" s="198"/>
    </row>
    <row r="109" spans="1:33" x14ac:dyDescent="0.25">
      <c r="A109" s="65" t="s">
        <v>77</v>
      </c>
      <c r="B109" s="67">
        <f>STDEV(B9:B104)</f>
        <v>7.629621978518192</v>
      </c>
      <c r="C109" s="67">
        <f t="shared" ref="C109:Q109" si="3">STDEV(C9:C104)</f>
        <v>1.5737660161803446</v>
      </c>
      <c r="D109" s="67">
        <f t="shared" si="3"/>
        <v>7.6793195620708428</v>
      </c>
      <c r="E109" s="67">
        <f t="shared" si="3"/>
        <v>1.288196873234257</v>
      </c>
      <c r="F109" s="67">
        <f t="shared" si="3"/>
        <v>0.24008980410481359</v>
      </c>
      <c r="G109" s="67" t="e">
        <f t="shared" si="3"/>
        <v>#DIV/0!</v>
      </c>
      <c r="H109" s="67">
        <f t="shared" si="3"/>
        <v>4.491883468468238</v>
      </c>
      <c r="I109" s="67">
        <f t="shared" si="3"/>
        <v>1.0307669602368044</v>
      </c>
      <c r="J109" s="67">
        <f t="shared" si="3"/>
        <v>0.42605255369352385</v>
      </c>
      <c r="K109" s="67">
        <f t="shared" si="3"/>
        <v>125.70206703169875</v>
      </c>
      <c r="L109" s="67">
        <f t="shared" si="3"/>
        <v>3.9352940047102929</v>
      </c>
      <c r="M109" s="67">
        <f t="shared" si="3"/>
        <v>11.68337727548907</v>
      </c>
      <c r="N109" s="67">
        <f t="shared" si="3"/>
        <v>243.78777045869077</v>
      </c>
      <c r="O109" s="67">
        <f t="shared" si="3"/>
        <v>0.20909160252294695</v>
      </c>
      <c r="P109" s="67">
        <f t="shared" si="3"/>
        <v>0.22839944138408358</v>
      </c>
      <c r="Q109" s="67">
        <f t="shared" si="3"/>
        <v>3.3680409671113409</v>
      </c>
      <c r="R109" s="198"/>
      <c r="S109" s="198"/>
      <c r="T109" s="198"/>
      <c r="U109" s="198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COUNT(G9:G104)+96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9"/>
      <c r="S110" s="199"/>
      <c r="T110" s="199"/>
      <c r="U110" s="199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218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P110" sqref="P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09-08-2022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234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1016</v>
      </c>
      <c r="B9" s="60">
        <v>30.91</v>
      </c>
      <c r="C9" s="60">
        <v>12.79</v>
      </c>
      <c r="D9" s="60">
        <v>43.7</v>
      </c>
      <c r="E9" s="60">
        <v>4.72</v>
      </c>
      <c r="F9" s="60">
        <v>0.18</v>
      </c>
      <c r="G9" s="215" t="s">
        <v>36</v>
      </c>
      <c r="H9" s="60">
        <v>29.53</v>
      </c>
      <c r="I9" s="60">
        <v>9.52</v>
      </c>
      <c r="J9" s="60">
        <v>0.96</v>
      </c>
      <c r="K9" s="60">
        <v>331.39</v>
      </c>
      <c r="L9" s="60">
        <v>34.92</v>
      </c>
      <c r="M9" s="60">
        <v>98.71</v>
      </c>
      <c r="N9" s="60">
        <v>15.5</v>
      </c>
      <c r="O9" s="60">
        <v>0.4</v>
      </c>
      <c r="P9" s="60">
        <v>4.33</v>
      </c>
      <c r="Q9" s="60">
        <v>19.52</v>
      </c>
      <c r="R9" s="197"/>
      <c r="S9" s="197"/>
      <c r="T9" s="197"/>
      <c r="U9" s="197"/>
    </row>
    <row r="10" spans="1:21" s="12" customFormat="1" x14ac:dyDescent="0.25">
      <c r="A10" s="200" t="s">
        <v>1017</v>
      </c>
      <c r="B10" s="60">
        <v>30.01</v>
      </c>
      <c r="C10" s="60">
        <v>11.8</v>
      </c>
      <c r="D10" s="60">
        <v>41.81</v>
      </c>
      <c r="E10" s="60">
        <v>6.17</v>
      </c>
      <c r="F10" s="60">
        <v>0.33</v>
      </c>
      <c r="G10" s="215" t="s">
        <v>36</v>
      </c>
      <c r="H10" s="60">
        <v>25.45</v>
      </c>
      <c r="I10" s="60">
        <v>9.41</v>
      </c>
      <c r="J10" s="60">
        <v>1.1399999999999999</v>
      </c>
      <c r="K10" s="60">
        <v>314.61</v>
      </c>
      <c r="L10" s="60">
        <v>34.89</v>
      </c>
      <c r="M10" s="60">
        <v>98.71</v>
      </c>
      <c r="N10" s="60">
        <v>15.4</v>
      </c>
      <c r="O10" s="60">
        <v>0</v>
      </c>
      <c r="P10" s="60">
        <v>4.3099999999999996</v>
      </c>
      <c r="Q10" s="60">
        <v>18.93</v>
      </c>
      <c r="R10" s="197"/>
      <c r="S10" s="197"/>
      <c r="T10" s="197"/>
      <c r="U10" s="197"/>
    </row>
    <row r="11" spans="1:21" s="12" customFormat="1" x14ac:dyDescent="0.25">
      <c r="A11" s="200" t="s">
        <v>1018</v>
      </c>
      <c r="B11" s="60">
        <v>28.18</v>
      </c>
      <c r="C11" s="60">
        <v>11.75</v>
      </c>
      <c r="D11" s="60">
        <v>39.94</v>
      </c>
      <c r="E11" s="60">
        <v>6.39</v>
      </c>
      <c r="F11" s="60">
        <v>0.09</v>
      </c>
      <c r="G11" s="215" t="s">
        <v>36</v>
      </c>
      <c r="H11" s="60">
        <v>25.45</v>
      </c>
      <c r="I11" s="60">
        <v>9.1999999999999993</v>
      </c>
      <c r="J11" s="60">
        <v>0.87</v>
      </c>
      <c r="K11" s="60">
        <v>313.26</v>
      </c>
      <c r="L11" s="60">
        <v>34.74</v>
      </c>
      <c r="M11" s="60">
        <v>98.79</v>
      </c>
      <c r="N11" s="60">
        <v>15.4</v>
      </c>
      <c r="O11" s="60">
        <v>0</v>
      </c>
      <c r="P11" s="60">
        <v>4.25</v>
      </c>
      <c r="Q11" s="60">
        <v>17.62</v>
      </c>
      <c r="R11" s="197"/>
      <c r="S11" s="197"/>
      <c r="T11" s="197"/>
      <c r="U11" s="197"/>
    </row>
    <row r="12" spans="1:21" s="12" customFormat="1" x14ac:dyDescent="0.25">
      <c r="A12" s="200" t="s">
        <v>1019</v>
      </c>
      <c r="B12" s="60">
        <v>26.53</v>
      </c>
      <c r="C12" s="60">
        <v>11.95</v>
      </c>
      <c r="D12" s="60">
        <v>38.47</v>
      </c>
      <c r="E12" s="60">
        <v>6.37</v>
      </c>
      <c r="F12" s="60">
        <v>0.03</v>
      </c>
      <c r="G12" s="215" t="s">
        <v>36</v>
      </c>
      <c r="H12" s="60">
        <v>25.45</v>
      </c>
      <c r="I12" s="60">
        <v>9.27</v>
      </c>
      <c r="J12" s="60">
        <v>0.82</v>
      </c>
      <c r="K12" s="60">
        <v>311.60000000000002</v>
      </c>
      <c r="L12" s="60">
        <v>34.64</v>
      </c>
      <c r="M12" s="60">
        <v>99.08</v>
      </c>
      <c r="N12" s="60">
        <v>15.4</v>
      </c>
      <c r="O12" s="60">
        <v>0.2</v>
      </c>
      <c r="P12" s="60">
        <v>4.22</v>
      </c>
      <c r="Q12" s="60">
        <v>16.440000000000001</v>
      </c>
      <c r="R12" s="197"/>
      <c r="S12" s="197"/>
      <c r="T12" s="197"/>
      <c r="U12" s="197"/>
    </row>
    <row r="13" spans="1:21" s="12" customFormat="1" x14ac:dyDescent="0.25">
      <c r="A13" s="200" t="s">
        <v>1020</v>
      </c>
      <c r="B13" s="60">
        <v>24.75</v>
      </c>
      <c r="C13" s="60">
        <v>12.1</v>
      </c>
      <c r="D13" s="60">
        <v>36.840000000000003</v>
      </c>
      <c r="E13" s="60">
        <v>6.14</v>
      </c>
      <c r="F13" s="60">
        <v>0.01</v>
      </c>
      <c r="G13" s="215" t="s">
        <v>36</v>
      </c>
      <c r="H13" s="60">
        <v>24.8</v>
      </c>
      <c r="I13" s="60">
        <v>9.09</v>
      </c>
      <c r="J13" s="60">
        <v>1.04</v>
      </c>
      <c r="K13" s="60">
        <v>326.83</v>
      </c>
      <c r="L13" s="60">
        <v>34.61</v>
      </c>
      <c r="M13" s="60">
        <v>98.71</v>
      </c>
      <c r="N13" s="60">
        <v>15</v>
      </c>
      <c r="O13" s="60">
        <v>0</v>
      </c>
      <c r="P13" s="60">
        <v>4.18</v>
      </c>
      <c r="Q13" s="60">
        <v>15.39</v>
      </c>
      <c r="R13" s="197"/>
      <c r="S13" s="197"/>
      <c r="T13" s="197"/>
      <c r="U13" s="197"/>
    </row>
    <row r="14" spans="1:21" s="12" customFormat="1" x14ac:dyDescent="0.25">
      <c r="A14" s="200" t="s">
        <v>1021</v>
      </c>
      <c r="B14" s="60">
        <v>23.2</v>
      </c>
      <c r="C14" s="60">
        <v>11.86</v>
      </c>
      <c r="D14" s="60">
        <v>35.049999999999997</v>
      </c>
      <c r="E14" s="60">
        <v>6.14</v>
      </c>
      <c r="F14" s="60">
        <v>0.08</v>
      </c>
      <c r="G14" s="215" t="s">
        <v>36</v>
      </c>
      <c r="H14" s="60">
        <v>23.19</v>
      </c>
      <c r="I14" s="60">
        <v>8.98</v>
      </c>
      <c r="J14" s="60">
        <v>0.79</v>
      </c>
      <c r="K14" s="60">
        <v>323.16000000000003</v>
      </c>
      <c r="L14" s="60">
        <v>34.75</v>
      </c>
      <c r="M14" s="60">
        <v>98.71</v>
      </c>
      <c r="N14" s="60">
        <v>15.3</v>
      </c>
      <c r="O14" s="60">
        <v>0.8</v>
      </c>
      <c r="P14" s="60">
        <v>4.13</v>
      </c>
      <c r="Q14" s="60">
        <v>14.39</v>
      </c>
      <c r="R14" s="197"/>
      <c r="S14" s="197"/>
      <c r="T14" s="197"/>
      <c r="U14" s="197"/>
    </row>
    <row r="15" spans="1:21" s="12" customFormat="1" x14ac:dyDescent="0.25">
      <c r="A15" s="200" t="s">
        <v>1022</v>
      </c>
      <c r="B15" s="60">
        <v>21.82</v>
      </c>
      <c r="C15" s="60">
        <v>11.5</v>
      </c>
      <c r="D15" s="60">
        <v>33.32</v>
      </c>
      <c r="E15" s="60">
        <v>5.59</v>
      </c>
      <c r="F15" s="60">
        <v>0.15</v>
      </c>
      <c r="G15" s="215" t="s">
        <v>36</v>
      </c>
      <c r="H15" s="60">
        <v>23.19</v>
      </c>
      <c r="I15" s="60">
        <v>8.82</v>
      </c>
      <c r="J15" s="60">
        <v>0.17</v>
      </c>
      <c r="K15" s="60">
        <v>210.53</v>
      </c>
      <c r="L15" s="60">
        <v>34.53</v>
      </c>
      <c r="M15" s="60">
        <v>99.04</v>
      </c>
      <c r="N15" s="60">
        <v>15.3</v>
      </c>
      <c r="O15" s="60">
        <v>0.4</v>
      </c>
      <c r="P15" s="60">
        <v>4.09</v>
      </c>
      <c r="Q15" s="60">
        <v>13.66</v>
      </c>
      <c r="R15" s="197"/>
      <c r="S15" s="197"/>
      <c r="T15" s="197"/>
      <c r="U15" s="197"/>
    </row>
    <row r="16" spans="1:21" s="12" customFormat="1" x14ac:dyDescent="0.25">
      <c r="A16" s="200" t="s">
        <v>1023</v>
      </c>
      <c r="B16" s="60">
        <v>20.64</v>
      </c>
      <c r="C16" s="60">
        <v>11.21</v>
      </c>
      <c r="D16" s="60">
        <v>31.86</v>
      </c>
      <c r="E16" s="60">
        <v>5.85</v>
      </c>
      <c r="F16" s="60">
        <v>0.13</v>
      </c>
      <c r="G16" s="215" t="s">
        <v>36</v>
      </c>
      <c r="H16" s="60">
        <v>23.19</v>
      </c>
      <c r="I16" s="60">
        <v>8.57</v>
      </c>
      <c r="J16" s="60">
        <v>0.12</v>
      </c>
      <c r="K16" s="60">
        <v>332.84</v>
      </c>
      <c r="L16" s="60">
        <v>34.53</v>
      </c>
      <c r="M16" s="60">
        <v>98.82</v>
      </c>
      <c r="N16" s="60">
        <v>15.4</v>
      </c>
      <c r="O16" s="60">
        <v>0.2</v>
      </c>
      <c r="P16" s="60">
        <v>4.04</v>
      </c>
      <c r="Q16" s="60">
        <v>12.97</v>
      </c>
      <c r="R16" s="197"/>
      <c r="S16" s="197"/>
      <c r="T16" s="197"/>
      <c r="U16" s="197"/>
    </row>
    <row r="17" spans="1:21" s="12" customFormat="1" x14ac:dyDescent="0.25">
      <c r="A17" s="200" t="s">
        <v>1024</v>
      </c>
      <c r="B17" s="60">
        <v>19.84</v>
      </c>
      <c r="C17" s="60">
        <v>10.96</v>
      </c>
      <c r="D17" s="60">
        <v>30.81</v>
      </c>
      <c r="E17" s="60">
        <v>6.07</v>
      </c>
      <c r="F17" s="60">
        <v>0.19</v>
      </c>
      <c r="G17" s="215" t="s">
        <v>36</v>
      </c>
      <c r="H17" s="60">
        <v>24.3</v>
      </c>
      <c r="I17" s="60">
        <v>8.33</v>
      </c>
      <c r="J17" s="60">
        <v>0.51</v>
      </c>
      <c r="K17" s="60">
        <v>312.58</v>
      </c>
      <c r="L17" s="60">
        <v>34.630000000000003</v>
      </c>
      <c r="M17" s="60">
        <v>99.06</v>
      </c>
      <c r="N17" s="60">
        <v>15.4</v>
      </c>
      <c r="O17" s="60">
        <v>1.4</v>
      </c>
      <c r="P17" s="60">
        <v>4.0199999999999996</v>
      </c>
      <c r="Q17" s="60">
        <v>12.59</v>
      </c>
      <c r="R17" s="197"/>
      <c r="S17" s="197"/>
      <c r="T17" s="197"/>
      <c r="U17" s="197"/>
    </row>
    <row r="18" spans="1:21" s="12" customFormat="1" x14ac:dyDescent="0.25">
      <c r="A18" s="200" t="s">
        <v>1025</v>
      </c>
      <c r="B18" s="60">
        <v>19.34</v>
      </c>
      <c r="C18" s="60">
        <v>10.59</v>
      </c>
      <c r="D18" s="60">
        <v>29.93</v>
      </c>
      <c r="E18" s="60">
        <v>6.14</v>
      </c>
      <c r="F18" s="60">
        <v>0.09</v>
      </c>
      <c r="G18" s="215" t="s">
        <v>36</v>
      </c>
      <c r="H18" s="60">
        <v>27.01</v>
      </c>
      <c r="I18" s="60">
        <v>7.95</v>
      </c>
      <c r="J18" s="60">
        <v>0.56999999999999995</v>
      </c>
      <c r="K18" s="60">
        <v>309.14999999999998</v>
      </c>
      <c r="L18" s="60">
        <v>34.549999999999997</v>
      </c>
      <c r="M18" s="60">
        <v>99.15</v>
      </c>
      <c r="N18" s="60">
        <v>15.4</v>
      </c>
      <c r="O18" s="60">
        <v>0.8</v>
      </c>
      <c r="P18" s="60">
        <v>4.01</v>
      </c>
      <c r="Q18" s="60">
        <v>12.46</v>
      </c>
      <c r="R18" s="197"/>
      <c r="S18" s="197"/>
      <c r="T18" s="197"/>
      <c r="U18" s="197"/>
    </row>
    <row r="19" spans="1:21" s="12" customFormat="1" x14ac:dyDescent="0.25">
      <c r="A19" s="200" t="s">
        <v>1026</v>
      </c>
      <c r="B19" s="60">
        <v>18.78</v>
      </c>
      <c r="C19" s="60">
        <v>10.09</v>
      </c>
      <c r="D19" s="60">
        <v>28.87</v>
      </c>
      <c r="E19" s="60">
        <v>5.77</v>
      </c>
      <c r="F19" s="60">
        <v>0.14000000000000001</v>
      </c>
      <c r="G19" s="215" t="s">
        <v>36</v>
      </c>
      <c r="H19" s="60">
        <v>27.01</v>
      </c>
      <c r="I19" s="60">
        <v>7.11</v>
      </c>
      <c r="J19" s="60">
        <v>0.61</v>
      </c>
      <c r="K19" s="60">
        <v>308.44</v>
      </c>
      <c r="L19" s="60">
        <v>34.6</v>
      </c>
      <c r="M19" s="60">
        <v>99.15</v>
      </c>
      <c r="N19" s="60">
        <v>15.4</v>
      </c>
      <c r="O19" s="60">
        <v>0.6</v>
      </c>
      <c r="P19" s="60">
        <v>3.98</v>
      </c>
      <c r="Q19" s="60">
        <v>12.41</v>
      </c>
      <c r="R19" s="197"/>
      <c r="S19" s="197"/>
      <c r="T19" s="197"/>
      <c r="U19" s="197"/>
    </row>
    <row r="20" spans="1:21" s="12" customFormat="1" x14ac:dyDescent="0.25">
      <c r="A20" s="200" t="s">
        <v>1027</v>
      </c>
      <c r="B20" s="60">
        <v>18.04</v>
      </c>
      <c r="C20" s="60">
        <v>9.7799999999999994</v>
      </c>
      <c r="D20" s="60">
        <v>27.82</v>
      </c>
      <c r="E20" s="60">
        <v>6.57</v>
      </c>
      <c r="F20" s="60">
        <v>0.12</v>
      </c>
      <c r="G20" s="215" t="s">
        <v>36</v>
      </c>
      <c r="H20" s="60">
        <v>27.01</v>
      </c>
      <c r="I20" s="60">
        <v>8.07</v>
      </c>
      <c r="J20" s="60">
        <v>0.93</v>
      </c>
      <c r="K20" s="60">
        <v>314.83999999999997</v>
      </c>
      <c r="L20" s="60">
        <v>34.67</v>
      </c>
      <c r="M20" s="60">
        <v>99.15</v>
      </c>
      <c r="N20" s="60">
        <v>15.3</v>
      </c>
      <c r="O20" s="60">
        <v>0.4</v>
      </c>
      <c r="P20" s="60">
        <v>3.96</v>
      </c>
      <c r="Q20" s="60">
        <v>12.25</v>
      </c>
      <c r="R20" s="197"/>
      <c r="S20" s="197"/>
      <c r="T20" s="197"/>
      <c r="U20" s="197"/>
    </row>
    <row r="21" spans="1:21" s="12" customFormat="1" x14ac:dyDescent="0.25">
      <c r="A21" s="200" t="s">
        <v>1028</v>
      </c>
      <c r="B21" s="60">
        <v>17.27</v>
      </c>
      <c r="C21" s="60">
        <v>9.64</v>
      </c>
      <c r="D21" s="60">
        <v>26.91</v>
      </c>
      <c r="E21" s="60">
        <v>6.09</v>
      </c>
      <c r="F21" s="60">
        <v>0.1</v>
      </c>
      <c r="G21" s="215" t="s">
        <v>36</v>
      </c>
      <c r="H21" s="60">
        <v>24.8</v>
      </c>
      <c r="I21" s="60">
        <v>7.98</v>
      </c>
      <c r="J21" s="60">
        <v>1.17</v>
      </c>
      <c r="K21" s="60">
        <v>329.76</v>
      </c>
      <c r="L21" s="60">
        <v>34.75</v>
      </c>
      <c r="M21" s="60">
        <v>99.15</v>
      </c>
      <c r="N21" s="60">
        <v>15.5</v>
      </c>
      <c r="O21" s="60">
        <v>3</v>
      </c>
      <c r="P21" s="60">
        <v>3.94</v>
      </c>
      <c r="Q21" s="60">
        <v>12.02</v>
      </c>
      <c r="R21" s="197"/>
      <c r="S21" s="197"/>
      <c r="T21" s="197"/>
      <c r="U21" s="197"/>
    </row>
    <row r="22" spans="1:21" s="12" customFormat="1" x14ac:dyDescent="0.25">
      <c r="A22" s="200" t="s">
        <v>1029</v>
      </c>
      <c r="B22" s="60">
        <v>16.59</v>
      </c>
      <c r="C22" s="60">
        <v>9.6300000000000008</v>
      </c>
      <c r="D22" s="60">
        <v>26.22</v>
      </c>
      <c r="E22" s="60">
        <v>6.39</v>
      </c>
      <c r="F22" s="60">
        <v>7.0000000000000007E-2</v>
      </c>
      <c r="G22" s="215" t="s">
        <v>36</v>
      </c>
      <c r="H22" s="60">
        <v>19.34</v>
      </c>
      <c r="I22" s="60">
        <v>7.93</v>
      </c>
      <c r="J22" s="60">
        <v>1.31</v>
      </c>
      <c r="K22" s="60">
        <v>322.17</v>
      </c>
      <c r="L22" s="60">
        <v>34.630000000000003</v>
      </c>
      <c r="M22" s="60">
        <v>99.15</v>
      </c>
      <c r="N22" s="60">
        <v>15.8</v>
      </c>
      <c r="O22" s="60">
        <v>4.2</v>
      </c>
      <c r="P22" s="60">
        <v>3.91</v>
      </c>
      <c r="Q22" s="60">
        <v>11.83</v>
      </c>
      <c r="R22" s="197"/>
      <c r="S22" s="197"/>
      <c r="T22" s="197"/>
      <c r="U22" s="197"/>
    </row>
    <row r="23" spans="1:21" s="12" customFormat="1" x14ac:dyDescent="0.25">
      <c r="A23" s="200" t="s">
        <v>1030</v>
      </c>
      <c r="B23" s="60">
        <v>15.84</v>
      </c>
      <c r="C23" s="60">
        <v>9.81</v>
      </c>
      <c r="D23" s="60">
        <v>25.66</v>
      </c>
      <c r="E23" s="60">
        <v>6.01</v>
      </c>
      <c r="F23" s="60">
        <v>0.19</v>
      </c>
      <c r="G23" s="215" t="s">
        <v>36</v>
      </c>
      <c r="H23" s="60">
        <v>19.34</v>
      </c>
      <c r="I23" s="60">
        <v>7.83</v>
      </c>
      <c r="J23" s="60">
        <v>1.24</v>
      </c>
      <c r="K23" s="60">
        <v>340.21</v>
      </c>
      <c r="L23" s="60">
        <v>34.450000000000003</v>
      </c>
      <c r="M23" s="60">
        <v>99.15</v>
      </c>
      <c r="N23" s="60">
        <v>16.100000000000001</v>
      </c>
      <c r="O23" s="60">
        <v>9.8000000000000007</v>
      </c>
      <c r="P23" s="60">
        <v>3.88</v>
      </c>
      <c r="Q23" s="60">
        <v>11.64</v>
      </c>
      <c r="R23" s="197"/>
      <c r="S23" s="197"/>
      <c r="T23" s="197"/>
      <c r="U23" s="197"/>
    </row>
    <row r="24" spans="1:21" s="12" customFormat="1" x14ac:dyDescent="0.25">
      <c r="A24" s="200" t="s">
        <v>1031</v>
      </c>
      <c r="B24" s="60">
        <v>15.31</v>
      </c>
      <c r="C24" s="60">
        <v>9.7100000000000009</v>
      </c>
      <c r="D24" s="60">
        <v>25.02</v>
      </c>
      <c r="E24" s="60">
        <v>2.7</v>
      </c>
      <c r="F24" s="60">
        <v>0.23</v>
      </c>
      <c r="G24" s="215" t="s">
        <v>36</v>
      </c>
      <c r="H24" s="60">
        <v>19.34</v>
      </c>
      <c r="I24" s="60">
        <v>7.73</v>
      </c>
      <c r="J24" s="60">
        <v>1.07</v>
      </c>
      <c r="K24" s="60">
        <v>94.85</v>
      </c>
      <c r="L24" s="60">
        <v>33.86</v>
      </c>
      <c r="M24" s="60">
        <v>99.15</v>
      </c>
      <c r="N24" s="60">
        <v>17.2</v>
      </c>
      <c r="O24" s="60">
        <v>11</v>
      </c>
      <c r="P24" s="60">
        <v>3.87</v>
      </c>
      <c r="Q24" s="60">
        <v>11.42</v>
      </c>
      <c r="R24" s="197"/>
      <c r="S24" s="197"/>
      <c r="T24" s="197"/>
      <c r="U24" s="197"/>
    </row>
    <row r="25" spans="1:21" s="12" customFormat="1" x14ac:dyDescent="0.25">
      <c r="A25" s="200" t="s">
        <v>1032</v>
      </c>
      <c r="B25" s="60">
        <v>14.88</v>
      </c>
      <c r="C25" s="60">
        <v>9.2100000000000009</v>
      </c>
      <c r="D25" s="60">
        <v>24.09</v>
      </c>
      <c r="E25" s="60">
        <v>5.37</v>
      </c>
      <c r="F25" s="60">
        <v>0.2</v>
      </c>
      <c r="G25" s="215" t="s">
        <v>36</v>
      </c>
      <c r="H25" s="60">
        <v>18.7</v>
      </c>
      <c r="I25" s="60">
        <v>7.54</v>
      </c>
      <c r="J25" s="60">
        <v>0.57999999999999996</v>
      </c>
      <c r="K25" s="60">
        <v>36.299999999999997</v>
      </c>
      <c r="L25" s="60">
        <v>33.44</v>
      </c>
      <c r="M25" s="60">
        <v>99.15</v>
      </c>
      <c r="N25" s="60">
        <v>15.7</v>
      </c>
      <c r="O25" s="60">
        <v>0.2</v>
      </c>
      <c r="P25" s="60">
        <v>3.84</v>
      </c>
      <c r="Q25" s="60">
        <v>10.98</v>
      </c>
      <c r="R25" s="197"/>
      <c r="S25" s="197"/>
      <c r="T25" s="197"/>
      <c r="U25" s="197"/>
    </row>
    <row r="26" spans="1:21" s="12" customFormat="1" x14ac:dyDescent="0.25">
      <c r="A26" s="200" t="s">
        <v>1033</v>
      </c>
      <c r="B26" s="60">
        <v>14.44</v>
      </c>
      <c r="C26" s="60">
        <v>9.25</v>
      </c>
      <c r="D26" s="60">
        <v>23.69</v>
      </c>
      <c r="E26" s="60">
        <v>7.04</v>
      </c>
      <c r="F26" s="60">
        <v>0.11</v>
      </c>
      <c r="G26" s="215" t="s">
        <v>36</v>
      </c>
      <c r="H26" s="60">
        <v>17.12</v>
      </c>
      <c r="I26" s="60">
        <v>7.5</v>
      </c>
      <c r="J26" s="60">
        <v>0.93</v>
      </c>
      <c r="K26" s="60">
        <v>99.6</v>
      </c>
      <c r="L26" s="60">
        <v>33.39</v>
      </c>
      <c r="M26" s="60">
        <v>99.15</v>
      </c>
      <c r="N26" s="60">
        <v>15.8</v>
      </c>
      <c r="O26" s="60">
        <v>1.2</v>
      </c>
      <c r="P26" s="60">
        <v>3.81</v>
      </c>
      <c r="Q26" s="60">
        <v>10.210000000000001</v>
      </c>
      <c r="R26" s="197"/>
      <c r="S26" s="197"/>
      <c r="T26" s="197"/>
      <c r="U26" s="197"/>
    </row>
    <row r="27" spans="1:21" s="12" customFormat="1" x14ac:dyDescent="0.25">
      <c r="A27" s="200" t="s">
        <v>1034</v>
      </c>
      <c r="B27" s="60">
        <v>13.82</v>
      </c>
      <c r="C27" s="60">
        <v>9.18</v>
      </c>
      <c r="D27" s="60">
        <v>23</v>
      </c>
      <c r="E27" s="60">
        <v>7.51</v>
      </c>
      <c r="F27" s="60">
        <v>0.31</v>
      </c>
      <c r="G27" s="215" t="s">
        <v>36</v>
      </c>
      <c r="H27" s="60">
        <v>17.12</v>
      </c>
      <c r="I27" s="60">
        <v>7.37</v>
      </c>
      <c r="J27" s="60">
        <v>0.56000000000000005</v>
      </c>
      <c r="K27" s="60">
        <v>76.05</v>
      </c>
      <c r="L27" s="60">
        <v>33.46</v>
      </c>
      <c r="M27" s="60">
        <v>99.15</v>
      </c>
      <c r="N27" s="60">
        <v>15.4</v>
      </c>
      <c r="O27" s="60">
        <v>0</v>
      </c>
      <c r="P27" s="60">
        <v>3.79</v>
      </c>
      <c r="Q27" s="60">
        <v>9.67</v>
      </c>
      <c r="R27" s="197"/>
      <c r="S27" s="197"/>
      <c r="T27" s="197"/>
      <c r="U27" s="197"/>
    </row>
    <row r="28" spans="1:21" s="12" customFormat="1" x14ac:dyDescent="0.25">
      <c r="A28" s="200" t="s">
        <v>1035</v>
      </c>
      <c r="B28" s="60">
        <v>13.39</v>
      </c>
      <c r="C28" s="60">
        <v>9.32</v>
      </c>
      <c r="D28" s="60">
        <v>22.7</v>
      </c>
      <c r="E28" s="60">
        <v>7.69</v>
      </c>
      <c r="F28" s="60">
        <v>0.23</v>
      </c>
      <c r="G28" s="215" t="s">
        <v>36</v>
      </c>
      <c r="H28" s="60">
        <v>17.12</v>
      </c>
      <c r="I28" s="60">
        <v>7.31</v>
      </c>
      <c r="J28" s="60">
        <v>0.51</v>
      </c>
      <c r="K28" s="60">
        <v>355.65</v>
      </c>
      <c r="L28" s="60">
        <v>33.64</v>
      </c>
      <c r="M28" s="60">
        <v>99.15</v>
      </c>
      <c r="N28" s="60">
        <v>15.4</v>
      </c>
      <c r="O28" s="60">
        <v>0</v>
      </c>
      <c r="P28" s="60">
        <v>3.77</v>
      </c>
      <c r="Q28" s="60">
        <v>9.3699999999999992</v>
      </c>
      <c r="R28" s="197"/>
      <c r="S28" s="197"/>
      <c r="T28" s="197"/>
      <c r="U28" s="197"/>
    </row>
    <row r="29" spans="1:21" s="12" customFormat="1" x14ac:dyDescent="0.25">
      <c r="A29" s="200" t="s">
        <v>1036</v>
      </c>
      <c r="B29" s="60">
        <v>13.23</v>
      </c>
      <c r="C29" s="60">
        <v>9.35</v>
      </c>
      <c r="D29" s="60">
        <v>22.58</v>
      </c>
      <c r="E29" s="60">
        <v>7.43</v>
      </c>
      <c r="F29" s="60">
        <v>0.33</v>
      </c>
      <c r="G29" s="215" t="s">
        <v>36</v>
      </c>
      <c r="H29" s="60">
        <v>16.2</v>
      </c>
      <c r="I29" s="60">
        <v>7.23</v>
      </c>
      <c r="J29" s="60">
        <v>0.49</v>
      </c>
      <c r="K29" s="60">
        <v>353.87</v>
      </c>
      <c r="L29" s="60">
        <v>33.78</v>
      </c>
      <c r="M29" s="60">
        <v>99.15</v>
      </c>
      <c r="N29" s="60">
        <v>15.5</v>
      </c>
      <c r="O29" s="60">
        <v>0</v>
      </c>
      <c r="P29" s="60">
        <v>3.75</v>
      </c>
      <c r="Q29" s="60">
        <v>9.24</v>
      </c>
      <c r="R29" s="197"/>
      <c r="S29" s="197"/>
      <c r="T29" s="197"/>
      <c r="U29" s="197"/>
    </row>
    <row r="30" spans="1:21" s="12" customFormat="1" x14ac:dyDescent="0.25">
      <c r="A30" s="200" t="s">
        <v>1037</v>
      </c>
      <c r="B30" s="60">
        <v>13.22</v>
      </c>
      <c r="C30" s="60">
        <v>9.4700000000000006</v>
      </c>
      <c r="D30" s="60">
        <v>22.68</v>
      </c>
      <c r="E30" s="60">
        <v>7.77</v>
      </c>
      <c r="F30" s="60">
        <v>0.13</v>
      </c>
      <c r="G30" s="215" t="s">
        <v>36</v>
      </c>
      <c r="H30" s="60">
        <v>13.94</v>
      </c>
      <c r="I30" s="60">
        <v>7.11</v>
      </c>
      <c r="J30" s="60">
        <v>0.59</v>
      </c>
      <c r="K30" s="60">
        <v>347.67</v>
      </c>
      <c r="L30" s="60">
        <v>33.93</v>
      </c>
      <c r="M30" s="60">
        <v>99.15</v>
      </c>
      <c r="N30" s="60">
        <v>15.7</v>
      </c>
      <c r="O30" s="60">
        <v>0</v>
      </c>
      <c r="P30" s="60">
        <v>3.73</v>
      </c>
      <c r="Q30" s="60">
        <v>9.2100000000000009</v>
      </c>
      <c r="R30" s="197"/>
      <c r="S30" s="197"/>
      <c r="T30" s="197"/>
      <c r="U30" s="197"/>
    </row>
    <row r="31" spans="1:21" s="12" customFormat="1" x14ac:dyDescent="0.25">
      <c r="A31" s="200" t="s">
        <v>1038</v>
      </c>
      <c r="B31" s="60">
        <v>13.25</v>
      </c>
      <c r="C31" s="60">
        <v>9.58</v>
      </c>
      <c r="D31" s="60">
        <v>22.84</v>
      </c>
      <c r="E31" s="60">
        <v>7.67</v>
      </c>
      <c r="F31" s="60">
        <v>0.76</v>
      </c>
      <c r="G31" s="215" t="s">
        <v>36</v>
      </c>
      <c r="H31" s="60">
        <v>13.94</v>
      </c>
      <c r="I31" s="60">
        <v>7.06</v>
      </c>
      <c r="J31" s="60">
        <v>0.82</v>
      </c>
      <c r="K31" s="60">
        <v>345.88</v>
      </c>
      <c r="L31" s="60">
        <v>34</v>
      </c>
      <c r="M31" s="60">
        <v>99.15</v>
      </c>
      <c r="N31" s="60">
        <v>17.5</v>
      </c>
      <c r="O31" s="60">
        <v>0</v>
      </c>
      <c r="P31" s="60">
        <v>3.73</v>
      </c>
      <c r="Q31" s="60">
        <v>9.15</v>
      </c>
      <c r="R31" s="197"/>
      <c r="S31" s="197"/>
      <c r="T31" s="197"/>
      <c r="U31" s="197"/>
    </row>
    <row r="32" spans="1:21" s="12" customFormat="1" x14ac:dyDescent="0.25">
      <c r="A32" s="200" t="s">
        <v>1039</v>
      </c>
      <c r="B32" s="60">
        <v>13.68</v>
      </c>
      <c r="C32" s="60">
        <v>9.56</v>
      </c>
      <c r="D32" s="60">
        <v>23.24</v>
      </c>
      <c r="E32" s="60">
        <v>7.2</v>
      </c>
      <c r="F32" s="60">
        <v>0.59</v>
      </c>
      <c r="G32" s="215" t="s">
        <v>36</v>
      </c>
      <c r="H32" s="60">
        <v>13.94</v>
      </c>
      <c r="I32" s="60">
        <v>6.95</v>
      </c>
      <c r="J32" s="60">
        <v>0.57999999999999996</v>
      </c>
      <c r="K32" s="60">
        <v>355.22</v>
      </c>
      <c r="L32" s="60">
        <v>34.090000000000003</v>
      </c>
      <c r="M32" s="60">
        <v>99.15</v>
      </c>
      <c r="N32" s="60">
        <v>22</v>
      </c>
      <c r="O32" s="60">
        <v>0</v>
      </c>
      <c r="P32" s="60">
        <v>3.71</v>
      </c>
      <c r="Q32" s="60">
        <v>9.6</v>
      </c>
      <c r="R32" s="197"/>
      <c r="S32" s="197"/>
      <c r="T32" s="197"/>
      <c r="U32" s="197"/>
    </row>
    <row r="33" spans="1:21" s="12" customFormat="1" x14ac:dyDescent="0.25">
      <c r="A33" s="200" t="s">
        <v>1040</v>
      </c>
      <c r="B33" s="60">
        <v>14.15</v>
      </c>
      <c r="C33" s="60">
        <v>9.44</v>
      </c>
      <c r="D33" s="60">
        <v>23.58</v>
      </c>
      <c r="E33" s="60">
        <v>7.29</v>
      </c>
      <c r="F33" s="60">
        <v>0.21</v>
      </c>
      <c r="G33" s="215" t="s">
        <v>36</v>
      </c>
      <c r="H33" s="60">
        <v>13.1</v>
      </c>
      <c r="I33" s="60">
        <v>6.79</v>
      </c>
      <c r="J33" s="60">
        <v>0.55000000000000004</v>
      </c>
      <c r="K33" s="60">
        <v>354.08</v>
      </c>
      <c r="L33" s="60">
        <v>34.270000000000003</v>
      </c>
      <c r="M33" s="60">
        <v>99.15</v>
      </c>
      <c r="N33" s="60">
        <v>38.5</v>
      </c>
      <c r="O33" s="60">
        <v>0</v>
      </c>
      <c r="P33" s="60">
        <v>3.71</v>
      </c>
      <c r="Q33" s="60">
        <v>10.210000000000001</v>
      </c>
      <c r="R33" s="197"/>
      <c r="S33" s="197"/>
      <c r="T33" s="197"/>
      <c r="U33" s="197"/>
    </row>
    <row r="34" spans="1:21" s="12" customFormat="1" x14ac:dyDescent="0.25">
      <c r="A34" s="200" t="s">
        <v>1041</v>
      </c>
      <c r="B34" s="60">
        <v>14.86</v>
      </c>
      <c r="C34" s="60">
        <v>9.5500000000000007</v>
      </c>
      <c r="D34" s="60">
        <v>24.41</v>
      </c>
      <c r="E34" s="60">
        <v>8</v>
      </c>
      <c r="F34" s="60">
        <v>0.21</v>
      </c>
      <c r="G34" s="215" t="s">
        <v>36</v>
      </c>
      <c r="H34" s="60">
        <v>11.02</v>
      </c>
      <c r="I34" s="60">
        <v>6.71</v>
      </c>
      <c r="J34" s="60">
        <v>0.86</v>
      </c>
      <c r="K34" s="60">
        <v>354.28</v>
      </c>
      <c r="L34" s="60">
        <v>34.46</v>
      </c>
      <c r="M34" s="60">
        <v>99.15</v>
      </c>
      <c r="N34" s="60">
        <v>56.7</v>
      </c>
      <c r="O34" s="60">
        <v>0</v>
      </c>
      <c r="P34" s="60">
        <v>3.72</v>
      </c>
      <c r="Q34" s="60">
        <v>10.85</v>
      </c>
      <c r="R34" s="197"/>
      <c r="S34" s="197"/>
      <c r="T34" s="197"/>
      <c r="U34" s="197"/>
    </row>
    <row r="35" spans="1:21" s="12" customFormat="1" x14ac:dyDescent="0.25">
      <c r="A35" s="200" t="s">
        <v>1042</v>
      </c>
      <c r="B35" s="60">
        <v>15.85</v>
      </c>
      <c r="C35" s="60">
        <v>9.69</v>
      </c>
      <c r="D35" s="60">
        <v>25.55</v>
      </c>
      <c r="E35" s="60">
        <v>8.32</v>
      </c>
      <c r="F35" s="60">
        <v>0.21</v>
      </c>
      <c r="G35" s="215" t="s">
        <v>36</v>
      </c>
      <c r="H35" s="60">
        <v>11.02</v>
      </c>
      <c r="I35" s="60">
        <v>6.25</v>
      </c>
      <c r="J35" s="60">
        <v>0.36</v>
      </c>
      <c r="K35" s="60">
        <v>343.18</v>
      </c>
      <c r="L35" s="60">
        <v>34.83</v>
      </c>
      <c r="M35" s="60">
        <v>99.15</v>
      </c>
      <c r="N35" s="60">
        <v>98.1</v>
      </c>
      <c r="O35" s="60">
        <v>0</v>
      </c>
      <c r="P35" s="60">
        <v>3.73</v>
      </c>
      <c r="Q35" s="60">
        <v>11.66</v>
      </c>
      <c r="R35" s="197"/>
      <c r="S35" s="197"/>
      <c r="T35" s="197"/>
      <c r="U35" s="197"/>
    </row>
    <row r="36" spans="1:21" s="12" customFormat="1" x14ac:dyDescent="0.25">
      <c r="A36" s="200" t="s">
        <v>1043</v>
      </c>
      <c r="B36" s="60">
        <v>16.829999999999998</v>
      </c>
      <c r="C36" s="60">
        <v>9.7200000000000006</v>
      </c>
      <c r="D36" s="60">
        <v>26.55</v>
      </c>
      <c r="E36" s="60">
        <v>8.25</v>
      </c>
      <c r="F36" s="60">
        <v>0.31</v>
      </c>
      <c r="G36" s="215" t="s">
        <v>36</v>
      </c>
      <c r="H36" s="60">
        <v>11.02</v>
      </c>
      <c r="I36" s="60">
        <v>6.51</v>
      </c>
      <c r="J36" s="60">
        <v>0.6</v>
      </c>
      <c r="K36" s="60">
        <v>312.12</v>
      </c>
      <c r="L36" s="60">
        <v>35.44</v>
      </c>
      <c r="M36" s="60">
        <v>99.15</v>
      </c>
      <c r="N36" s="60">
        <v>137.69999999999999</v>
      </c>
      <c r="O36" s="60">
        <v>0</v>
      </c>
      <c r="P36" s="60">
        <v>3.75</v>
      </c>
      <c r="Q36" s="60">
        <v>12.38</v>
      </c>
      <c r="R36" s="197"/>
      <c r="S36" s="197"/>
      <c r="T36" s="197"/>
      <c r="U36" s="197"/>
    </row>
    <row r="37" spans="1:21" s="12" customFormat="1" x14ac:dyDescent="0.25">
      <c r="A37" s="200" t="s">
        <v>1044</v>
      </c>
      <c r="B37" s="60">
        <v>17.98</v>
      </c>
      <c r="C37" s="60">
        <v>10.06</v>
      </c>
      <c r="D37" s="60">
        <v>28.04</v>
      </c>
      <c r="E37" s="60">
        <v>7.94</v>
      </c>
      <c r="F37" s="60">
        <v>0.22</v>
      </c>
      <c r="G37" s="215" t="s">
        <v>36</v>
      </c>
      <c r="H37" s="60">
        <v>11.76</v>
      </c>
      <c r="I37" s="60">
        <v>6.79</v>
      </c>
      <c r="J37" s="60">
        <v>0.71</v>
      </c>
      <c r="K37" s="60">
        <v>299.58999999999997</v>
      </c>
      <c r="L37" s="60">
        <v>36.26</v>
      </c>
      <c r="M37" s="60">
        <v>99.15</v>
      </c>
      <c r="N37" s="60">
        <v>258.7</v>
      </c>
      <c r="O37" s="60">
        <v>0</v>
      </c>
      <c r="P37" s="60">
        <v>3.76</v>
      </c>
      <c r="Q37" s="60">
        <v>12.91</v>
      </c>
      <c r="R37" s="197"/>
      <c r="S37" s="197"/>
      <c r="T37" s="197"/>
      <c r="U37" s="197"/>
    </row>
    <row r="38" spans="1:21" s="12" customFormat="1" x14ac:dyDescent="0.25">
      <c r="A38" s="200" t="s">
        <v>1045</v>
      </c>
      <c r="B38" s="60">
        <v>19.41</v>
      </c>
      <c r="C38" s="60">
        <v>10.37</v>
      </c>
      <c r="D38" s="60">
        <v>29.78</v>
      </c>
      <c r="E38" s="60">
        <v>8.6300000000000008</v>
      </c>
      <c r="F38" s="60">
        <v>0.26</v>
      </c>
      <c r="G38" s="215" t="s">
        <v>36</v>
      </c>
      <c r="H38" s="60">
        <v>13.58</v>
      </c>
      <c r="I38" s="60">
        <v>7.11</v>
      </c>
      <c r="J38" s="60">
        <v>0.95</v>
      </c>
      <c r="K38" s="60">
        <v>322.06</v>
      </c>
      <c r="L38" s="60">
        <v>37.99</v>
      </c>
      <c r="M38" s="60">
        <v>99.15</v>
      </c>
      <c r="N38" s="60">
        <v>358</v>
      </c>
      <c r="O38" s="60">
        <v>0</v>
      </c>
      <c r="P38" s="60">
        <v>3.78</v>
      </c>
      <c r="Q38" s="60">
        <v>13.64</v>
      </c>
      <c r="R38" s="197"/>
      <c r="S38" s="197"/>
      <c r="T38" s="197"/>
      <c r="U38" s="197"/>
    </row>
    <row r="39" spans="1:21" s="12" customFormat="1" x14ac:dyDescent="0.25">
      <c r="A39" s="200" t="s">
        <v>1046</v>
      </c>
      <c r="B39" s="60">
        <v>20.87</v>
      </c>
      <c r="C39" s="60">
        <v>10.26</v>
      </c>
      <c r="D39" s="60">
        <v>31.13</v>
      </c>
      <c r="E39" s="60">
        <v>8.33</v>
      </c>
      <c r="F39" s="60">
        <v>0.45</v>
      </c>
      <c r="G39" s="215" t="s">
        <v>36</v>
      </c>
      <c r="H39" s="60">
        <v>13.58</v>
      </c>
      <c r="I39" s="60">
        <v>7.36</v>
      </c>
      <c r="J39" s="60">
        <v>0.82</v>
      </c>
      <c r="K39" s="60">
        <v>334.94</v>
      </c>
      <c r="L39" s="60">
        <v>38.94</v>
      </c>
      <c r="M39" s="60">
        <v>99.12</v>
      </c>
      <c r="N39" s="60">
        <v>218.4</v>
      </c>
      <c r="O39" s="60">
        <v>0</v>
      </c>
      <c r="P39" s="60">
        <v>3.81</v>
      </c>
      <c r="Q39" s="60">
        <v>14.38</v>
      </c>
      <c r="R39" s="197"/>
      <c r="S39" s="197"/>
      <c r="T39" s="197"/>
      <c r="U39" s="197"/>
    </row>
    <row r="40" spans="1:21" s="12" customFormat="1" x14ac:dyDescent="0.25">
      <c r="A40" s="200" t="s">
        <v>1047</v>
      </c>
      <c r="B40" s="60">
        <v>22.37</v>
      </c>
      <c r="C40" s="60">
        <v>10.74</v>
      </c>
      <c r="D40" s="60">
        <v>33.119999999999997</v>
      </c>
      <c r="E40" s="60">
        <v>2.97</v>
      </c>
      <c r="F40" s="60">
        <v>0.33</v>
      </c>
      <c r="G40" s="215" t="s">
        <v>36</v>
      </c>
      <c r="H40" s="60">
        <v>13.58</v>
      </c>
      <c r="I40" s="60">
        <v>7.52</v>
      </c>
      <c r="J40" s="60">
        <v>0.61</v>
      </c>
      <c r="K40" s="60">
        <v>344.75</v>
      </c>
      <c r="L40" s="60">
        <v>40.58</v>
      </c>
      <c r="M40" s="60">
        <v>96.95</v>
      </c>
      <c r="N40" s="60">
        <v>462.7</v>
      </c>
      <c r="O40" s="60">
        <v>0</v>
      </c>
      <c r="P40" s="60">
        <v>3.86</v>
      </c>
      <c r="Q40" s="60">
        <v>14.86</v>
      </c>
      <c r="R40" s="197"/>
      <c r="S40" s="197"/>
      <c r="T40" s="197"/>
      <c r="U40" s="197"/>
    </row>
    <row r="41" spans="1:21" s="12" customFormat="1" x14ac:dyDescent="0.25">
      <c r="A41" s="200" t="s">
        <v>1048</v>
      </c>
      <c r="B41" s="60">
        <v>23.63</v>
      </c>
      <c r="C41" s="60">
        <v>11.37</v>
      </c>
      <c r="D41" s="60">
        <v>35.01</v>
      </c>
      <c r="E41" s="60">
        <v>5.72</v>
      </c>
      <c r="F41" s="60">
        <v>0.22</v>
      </c>
      <c r="G41" s="215" t="s">
        <v>36</v>
      </c>
      <c r="H41" s="60">
        <v>17.239999999999998</v>
      </c>
      <c r="I41" s="60">
        <v>7.61</v>
      </c>
      <c r="J41" s="60">
        <v>0.66</v>
      </c>
      <c r="K41" s="60">
        <v>353.1</v>
      </c>
      <c r="L41" s="60">
        <v>41.28</v>
      </c>
      <c r="M41" s="60">
        <v>90.35</v>
      </c>
      <c r="N41" s="60">
        <v>319.5</v>
      </c>
      <c r="O41" s="60">
        <v>0</v>
      </c>
      <c r="P41" s="60">
        <v>3.88</v>
      </c>
      <c r="Q41" s="60">
        <v>15.12</v>
      </c>
      <c r="R41" s="197"/>
      <c r="S41" s="197"/>
      <c r="T41" s="197"/>
      <c r="U41" s="197"/>
    </row>
    <row r="42" spans="1:21" s="12" customFormat="1" x14ac:dyDescent="0.25">
      <c r="A42" s="200" t="s">
        <v>1049</v>
      </c>
      <c r="B42" s="60">
        <v>24.63</v>
      </c>
      <c r="C42" s="60">
        <v>12.04</v>
      </c>
      <c r="D42" s="60">
        <v>36.659999999999997</v>
      </c>
      <c r="E42" s="60">
        <v>6.81</v>
      </c>
      <c r="F42" s="60">
        <v>0.15</v>
      </c>
      <c r="G42" s="215" t="s">
        <v>36</v>
      </c>
      <c r="H42" s="60">
        <v>26.27</v>
      </c>
      <c r="I42" s="60">
        <v>7.6</v>
      </c>
      <c r="J42" s="60">
        <v>0.69</v>
      </c>
      <c r="K42" s="60">
        <v>349.17</v>
      </c>
      <c r="L42" s="60">
        <v>41.13</v>
      </c>
      <c r="M42" s="60">
        <v>86.23</v>
      </c>
      <c r="N42" s="60">
        <v>194.5</v>
      </c>
      <c r="O42" s="60">
        <v>0</v>
      </c>
      <c r="P42" s="60">
        <v>3.91</v>
      </c>
      <c r="Q42" s="60">
        <v>15.25</v>
      </c>
      <c r="R42" s="197"/>
      <c r="S42" s="197"/>
      <c r="T42" s="197"/>
      <c r="U42" s="197"/>
    </row>
    <row r="43" spans="1:21" s="12" customFormat="1" x14ac:dyDescent="0.25">
      <c r="A43" s="200" t="s">
        <v>1050</v>
      </c>
      <c r="B43" s="60">
        <v>25.39</v>
      </c>
      <c r="C43" s="60">
        <v>12.4</v>
      </c>
      <c r="D43" s="60">
        <v>37.799999999999997</v>
      </c>
      <c r="E43" s="60">
        <v>7.05</v>
      </c>
      <c r="F43" s="60">
        <v>0.96</v>
      </c>
      <c r="G43" s="215" t="s">
        <v>36</v>
      </c>
      <c r="H43" s="60">
        <v>26.27</v>
      </c>
      <c r="I43" s="60">
        <v>7.78</v>
      </c>
      <c r="J43" s="60">
        <v>0.56000000000000005</v>
      </c>
      <c r="K43" s="60">
        <v>20.58</v>
      </c>
      <c r="L43" s="60">
        <v>40.06</v>
      </c>
      <c r="M43" s="60">
        <v>84.91</v>
      </c>
      <c r="N43" s="60">
        <v>218.1</v>
      </c>
      <c r="O43" s="60">
        <v>0</v>
      </c>
      <c r="P43" s="60">
        <v>3.92</v>
      </c>
      <c r="Q43" s="60">
        <v>15.56</v>
      </c>
      <c r="R43" s="197"/>
      <c r="S43" s="197"/>
      <c r="T43" s="197"/>
      <c r="U43" s="197"/>
    </row>
    <row r="44" spans="1:21" s="12" customFormat="1" x14ac:dyDescent="0.25">
      <c r="A44" s="200" t="s">
        <v>1051</v>
      </c>
      <c r="B44" s="60">
        <v>26.62</v>
      </c>
      <c r="C44" s="60">
        <v>12.51</v>
      </c>
      <c r="D44" s="60">
        <v>39.119999999999997</v>
      </c>
      <c r="E44" s="60">
        <v>7.32</v>
      </c>
      <c r="F44" s="60">
        <v>0.6</v>
      </c>
      <c r="G44" s="215" t="s">
        <v>36</v>
      </c>
      <c r="H44" s="60">
        <v>26.27</v>
      </c>
      <c r="I44" s="60">
        <v>7.97</v>
      </c>
      <c r="J44" s="60">
        <v>0.74</v>
      </c>
      <c r="K44" s="60">
        <v>355.19</v>
      </c>
      <c r="L44" s="60">
        <v>40.44</v>
      </c>
      <c r="M44" s="60">
        <v>82.62</v>
      </c>
      <c r="N44" s="60">
        <v>224.1</v>
      </c>
      <c r="O44" s="60">
        <v>0</v>
      </c>
      <c r="P44" s="60">
        <v>3.94</v>
      </c>
      <c r="Q44" s="60">
        <v>16.14</v>
      </c>
      <c r="R44" s="197"/>
      <c r="S44" s="197"/>
      <c r="T44" s="197"/>
      <c r="U44" s="197"/>
    </row>
    <row r="45" spans="1:21" s="12" customFormat="1" x14ac:dyDescent="0.25">
      <c r="A45" s="200" t="s">
        <v>1052</v>
      </c>
      <c r="B45" s="60">
        <v>28.16</v>
      </c>
      <c r="C45" s="60">
        <v>12.93</v>
      </c>
      <c r="D45" s="60">
        <v>41.09</v>
      </c>
      <c r="E45" s="60">
        <v>7.48</v>
      </c>
      <c r="F45" s="60">
        <v>0.49</v>
      </c>
      <c r="G45" s="215" t="s">
        <v>36</v>
      </c>
      <c r="H45" s="60">
        <v>25.34</v>
      </c>
      <c r="I45" s="60">
        <v>8.0399999999999991</v>
      </c>
      <c r="J45" s="60">
        <v>0.71</v>
      </c>
      <c r="K45" s="60">
        <v>340.66</v>
      </c>
      <c r="L45" s="60">
        <v>40.909999999999997</v>
      </c>
      <c r="M45" s="60">
        <v>79.63</v>
      </c>
      <c r="N45" s="60">
        <v>401.4</v>
      </c>
      <c r="O45" s="60">
        <v>0</v>
      </c>
      <c r="P45" s="60">
        <v>3.97</v>
      </c>
      <c r="Q45" s="60">
        <v>16.829999999999998</v>
      </c>
      <c r="R45" s="197"/>
      <c r="S45" s="197"/>
      <c r="T45" s="197"/>
      <c r="U45" s="197"/>
    </row>
    <row r="46" spans="1:21" s="12" customFormat="1" x14ac:dyDescent="0.25">
      <c r="A46" s="200" t="s">
        <v>1053</v>
      </c>
      <c r="B46" s="60">
        <v>29.06</v>
      </c>
      <c r="C46" s="60">
        <v>13.02</v>
      </c>
      <c r="D46" s="60">
        <v>42.09</v>
      </c>
      <c r="E46" s="60">
        <v>7.49</v>
      </c>
      <c r="F46" s="60">
        <v>0.01</v>
      </c>
      <c r="G46" s="215" t="s">
        <v>36</v>
      </c>
      <c r="H46" s="60">
        <v>23.04</v>
      </c>
      <c r="I46" s="60">
        <v>8.06</v>
      </c>
      <c r="J46" s="60">
        <v>1.0900000000000001</v>
      </c>
      <c r="K46" s="60">
        <v>343.68</v>
      </c>
      <c r="L46" s="60">
        <v>42.59</v>
      </c>
      <c r="M46" s="60">
        <v>74.83</v>
      </c>
      <c r="N46" s="60">
        <v>344</v>
      </c>
      <c r="O46" s="60">
        <v>0</v>
      </c>
      <c r="P46" s="60">
        <v>3.97</v>
      </c>
      <c r="Q46" s="60">
        <v>17.14</v>
      </c>
      <c r="R46" s="197"/>
      <c r="S46" s="197"/>
      <c r="T46" s="197"/>
      <c r="U46" s="197"/>
    </row>
    <row r="47" spans="1:21" s="12" customFormat="1" x14ac:dyDescent="0.25">
      <c r="A47" s="200" t="s">
        <v>1054</v>
      </c>
      <c r="B47" s="60">
        <v>29.05</v>
      </c>
      <c r="C47" s="60">
        <v>12.84</v>
      </c>
      <c r="D47" s="60">
        <v>41.89</v>
      </c>
      <c r="E47" s="60">
        <v>6.5</v>
      </c>
      <c r="F47" s="60">
        <v>0.18</v>
      </c>
      <c r="G47" s="215" t="s">
        <v>36</v>
      </c>
      <c r="H47" s="60">
        <v>23.04</v>
      </c>
      <c r="I47" s="60">
        <v>7.93</v>
      </c>
      <c r="J47" s="60">
        <v>1.24</v>
      </c>
      <c r="K47" s="60">
        <v>49.81</v>
      </c>
      <c r="L47" s="60">
        <v>39.200000000000003</v>
      </c>
      <c r="M47" s="60">
        <v>86.44</v>
      </c>
      <c r="N47" s="60">
        <v>89</v>
      </c>
      <c r="O47" s="60">
        <v>6.6</v>
      </c>
      <c r="P47" s="60">
        <v>3.98</v>
      </c>
      <c r="Q47" s="60">
        <v>17.29</v>
      </c>
      <c r="R47" s="197"/>
      <c r="S47" s="197"/>
      <c r="T47" s="197"/>
      <c r="U47" s="197"/>
    </row>
    <row r="48" spans="1:21" s="12" customFormat="1" x14ac:dyDescent="0.25">
      <c r="A48" s="200" t="s">
        <v>1055</v>
      </c>
      <c r="B48" s="60">
        <v>28.63</v>
      </c>
      <c r="C48" s="60">
        <v>12.22</v>
      </c>
      <c r="D48" s="60">
        <v>40.86</v>
      </c>
      <c r="E48" s="60">
        <v>7.18</v>
      </c>
      <c r="F48" s="60">
        <v>0.09</v>
      </c>
      <c r="G48" s="215" t="s">
        <v>36</v>
      </c>
      <c r="H48" s="60">
        <v>23.04</v>
      </c>
      <c r="I48" s="60">
        <v>7.54</v>
      </c>
      <c r="J48" s="60">
        <v>0.84</v>
      </c>
      <c r="K48" s="60">
        <v>130.27000000000001</v>
      </c>
      <c r="L48" s="60">
        <v>35.33</v>
      </c>
      <c r="M48" s="60">
        <v>99.15</v>
      </c>
      <c r="N48" s="60">
        <v>153.5</v>
      </c>
      <c r="O48" s="60">
        <v>1.4</v>
      </c>
      <c r="P48" s="60">
        <v>3.95</v>
      </c>
      <c r="Q48" s="60">
        <v>17.21</v>
      </c>
      <c r="R48" s="197"/>
      <c r="S48" s="197"/>
      <c r="T48" s="197"/>
      <c r="U48" s="197"/>
    </row>
    <row r="49" spans="1:21" s="12" customFormat="1" x14ac:dyDescent="0.25">
      <c r="A49" s="200" t="s">
        <v>1056</v>
      </c>
      <c r="B49" s="60">
        <v>28.26</v>
      </c>
      <c r="C49" s="60">
        <v>11.27</v>
      </c>
      <c r="D49" s="60">
        <v>39.53</v>
      </c>
      <c r="E49" s="60">
        <v>7.21</v>
      </c>
      <c r="F49" s="60">
        <v>7.0000000000000007E-2</v>
      </c>
      <c r="G49" s="215" t="s">
        <v>36</v>
      </c>
      <c r="H49" s="60">
        <v>22.3</v>
      </c>
      <c r="I49" s="60">
        <v>7.94</v>
      </c>
      <c r="J49" s="60">
        <v>0.27</v>
      </c>
      <c r="K49" s="60">
        <v>341.28</v>
      </c>
      <c r="L49" s="60">
        <v>36.840000000000003</v>
      </c>
      <c r="M49" s="60">
        <v>99.15</v>
      </c>
      <c r="N49" s="60">
        <v>527.5</v>
      </c>
      <c r="O49" s="60">
        <v>0</v>
      </c>
      <c r="P49" s="60">
        <v>3.95</v>
      </c>
      <c r="Q49" s="60">
        <v>16.95</v>
      </c>
      <c r="R49" s="197"/>
      <c r="S49" s="197"/>
      <c r="T49" s="197"/>
      <c r="U49" s="197"/>
    </row>
    <row r="50" spans="1:21" s="12" customFormat="1" x14ac:dyDescent="0.25">
      <c r="A50" s="200" t="s">
        <v>1057</v>
      </c>
      <c r="B50" s="60">
        <v>28.37</v>
      </c>
      <c r="C50" s="60">
        <v>10.84</v>
      </c>
      <c r="D50" s="60">
        <v>39.21</v>
      </c>
      <c r="E50" s="60">
        <v>7.17</v>
      </c>
      <c r="F50" s="60">
        <v>0.7</v>
      </c>
      <c r="G50" s="215" t="s">
        <v>36</v>
      </c>
      <c r="H50" s="60">
        <v>20.48</v>
      </c>
      <c r="I50" s="60">
        <v>7.84</v>
      </c>
      <c r="J50" s="60">
        <v>0.5</v>
      </c>
      <c r="K50" s="60">
        <v>302.77</v>
      </c>
      <c r="L50" s="60">
        <v>38.479999999999997</v>
      </c>
      <c r="M50" s="60">
        <v>99.08</v>
      </c>
      <c r="N50" s="60">
        <v>544.5</v>
      </c>
      <c r="O50" s="60">
        <v>0</v>
      </c>
      <c r="P50" s="60">
        <v>3.96</v>
      </c>
      <c r="Q50" s="60">
        <v>17.07</v>
      </c>
      <c r="R50" s="197"/>
      <c r="S50" s="197"/>
      <c r="T50" s="197"/>
      <c r="U50" s="197"/>
    </row>
    <row r="51" spans="1:21" s="12" customFormat="1" x14ac:dyDescent="0.25">
      <c r="A51" s="200" t="s">
        <v>1058</v>
      </c>
      <c r="B51" s="60">
        <v>28.31</v>
      </c>
      <c r="C51" s="60">
        <v>11.01</v>
      </c>
      <c r="D51" s="60">
        <v>39.32</v>
      </c>
      <c r="E51" s="60">
        <v>7.64</v>
      </c>
      <c r="F51" s="60">
        <v>0.17</v>
      </c>
      <c r="G51" s="215" t="s">
        <v>36</v>
      </c>
      <c r="H51" s="60">
        <v>20.48</v>
      </c>
      <c r="I51" s="60">
        <v>7.44</v>
      </c>
      <c r="J51" s="60">
        <v>1.33</v>
      </c>
      <c r="K51" s="60">
        <v>327.07</v>
      </c>
      <c r="L51" s="60">
        <v>39.450000000000003</v>
      </c>
      <c r="M51" s="60">
        <v>97.77</v>
      </c>
      <c r="N51" s="60">
        <v>472.3</v>
      </c>
      <c r="O51" s="60">
        <v>0</v>
      </c>
      <c r="P51" s="60">
        <v>3.98</v>
      </c>
      <c r="Q51" s="60">
        <v>17.27</v>
      </c>
      <c r="R51" s="197"/>
      <c r="S51" s="197"/>
      <c r="T51" s="197"/>
      <c r="U51" s="197"/>
    </row>
    <row r="52" spans="1:21" s="12" customFormat="1" x14ac:dyDescent="0.25">
      <c r="A52" s="200" t="s">
        <v>1059</v>
      </c>
      <c r="B52" s="60">
        <v>27.95</v>
      </c>
      <c r="C52" s="60">
        <v>11.66</v>
      </c>
      <c r="D52" s="60">
        <v>39.61</v>
      </c>
      <c r="E52" s="60">
        <v>7.7</v>
      </c>
      <c r="F52" s="60">
        <v>0.41</v>
      </c>
      <c r="G52" s="215" t="s">
        <v>36</v>
      </c>
      <c r="H52" s="60">
        <v>20.48</v>
      </c>
      <c r="I52" s="60">
        <v>7.44</v>
      </c>
      <c r="J52" s="60">
        <v>1.5</v>
      </c>
      <c r="K52" s="60">
        <v>332.55</v>
      </c>
      <c r="L52" s="60">
        <v>39.979999999999997</v>
      </c>
      <c r="M52" s="60">
        <v>93.6</v>
      </c>
      <c r="N52" s="60">
        <v>384.3</v>
      </c>
      <c r="O52" s="60">
        <v>0</v>
      </c>
      <c r="P52" s="60">
        <v>3.99</v>
      </c>
      <c r="Q52" s="60">
        <v>17.52</v>
      </c>
      <c r="R52" s="197"/>
      <c r="S52" s="197"/>
      <c r="T52" s="197"/>
      <c r="U52" s="197"/>
    </row>
    <row r="53" spans="1:21" s="12" customFormat="1" x14ac:dyDescent="0.25">
      <c r="A53" s="200" t="s">
        <v>1060</v>
      </c>
      <c r="B53" s="60">
        <v>28.16</v>
      </c>
      <c r="C53" s="60">
        <v>12.54</v>
      </c>
      <c r="D53" s="60">
        <v>40.69</v>
      </c>
      <c r="E53" s="60">
        <v>7.78</v>
      </c>
      <c r="F53" s="60">
        <v>0.48</v>
      </c>
      <c r="G53" s="215" t="s">
        <v>36</v>
      </c>
      <c r="H53" s="60">
        <v>18.97</v>
      </c>
      <c r="I53" s="60">
        <v>7.97</v>
      </c>
      <c r="J53" s="60">
        <v>0.92</v>
      </c>
      <c r="K53" s="60">
        <v>343.69</v>
      </c>
      <c r="L53" s="60">
        <v>40.69</v>
      </c>
      <c r="M53" s="60">
        <v>89.37</v>
      </c>
      <c r="N53" s="60">
        <v>400.6</v>
      </c>
      <c r="O53" s="60">
        <v>0</v>
      </c>
      <c r="P53" s="60">
        <v>4.01</v>
      </c>
      <c r="Q53" s="60">
        <v>18</v>
      </c>
      <c r="R53" s="197"/>
      <c r="S53" s="197"/>
      <c r="T53" s="197"/>
      <c r="U53" s="197"/>
    </row>
    <row r="54" spans="1:21" s="12" customFormat="1" x14ac:dyDescent="0.25">
      <c r="A54" s="200" t="s">
        <v>1061</v>
      </c>
      <c r="B54" s="60">
        <v>29.09</v>
      </c>
      <c r="C54" s="60">
        <v>13.25</v>
      </c>
      <c r="D54" s="60">
        <v>42.34</v>
      </c>
      <c r="E54" s="60">
        <v>7.23</v>
      </c>
      <c r="F54" s="60">
        <v>0.63</v>
      </c>
      <c r="G54" s="215" t="s">
        <v>36</v>
      </c>
      <c r="H54" s="60">
        <v>15.26</v>
      </c>
      <c r="I54" s="60">
        <v>7.93</v>
      </c>
      <c r="J54" s="60">
        <v>0.39</v>
      </c>
      <c r="K54" s="60">
        <v>343.84</v>
      </c>
      <c r="L54" s="60">
        <v>41.09</v>
      </c>
      <c r="M54" s="60">
        <v>86.47</v>
      </c>
      <c r="N54" s="60">
        <v>290</v>
      </c>
      <c r="O54" s="60">
        <v>0</v>
      </c>
      <c r="P54" s="60">
        <v>4.05</v>
      </c>
      <c r="Q54" s="60">
        <v>18.7</v>
      </c>
      <c r="R54" s="197"/>
      <c r="S54" s="197"/>
      <c r="T54" s="197"/>
      <c r="U54" s="197"/>
    </row>
    <row r="55" spans="1:21" s="12" customFormat="1" x14ac:dyDescent="0.25">
      <c r="A55" s="200" t="s">
        <v>1062</v>
      </c>
      <c r="B55" s="60">
        <v>29.33</v>
      </c>
      <c r="C55" s="60">
        <v>14.79</v>
      </c>
      <c r="D55" s="60">
        <v>44.12</v>
      </c>
      <c r="E55" s="60">
        <v>7.51</v>
      </c>
      <c r="F55" s="60">
        <v>0.3</v>
      </c>
      <c r="G55" s="215" t="s">
        <v>36</v>
      </c>
      <c r="H55" s="60">
        <v>15.26</v>
      </c>
      <c r="I55" s="60">
        <v>7.95</v>
      </c>
      <c r="J55" s="60">
        <v>0.77</v>
      </c>
      <c r="K55" s="60">
        <v>335.21</v>
      </c>
      <c r="L55" s="60">
        <v>40.729999999999997</v>
      </c>
      <c r="M55" s="60">
        <v>86.11</v>
      </c>
      <c r="N55" s="60">
        <v>157.69999999999999</v>
      </c>
      <c r="O55" s="60">
        <v>0</v>
      </c>
      <c r="P55" s="60">
        <v>4.09</v>
      </c>
      <c r="Q55" s="60">
        <v>18.63</v>
      </c>
      <c r="R55" s="197"/>
      <c r="S55" s="197"/>
      <c r="T55" s="197"/>
      <c r="U55" s="197"/>
    </row>
    <row r="56" spans="1:21" s="12" customFormat="1" x14ac:dyDescent="0.25">
      <c r="A56" s="200" t="s">
        <v>1063</v>
      </c>
      <c r="B56" s="60">
        <v>29.77</v>
      </c>
      <c r="C56" s="60">
        <v>15.88</v>
      </c>
      <c r="D56" s="60">
        <v>45.65</v>
      </c>
      <c r="E56" s="60">
        <v>3.98</v>
      </c>
      <c r="F56" s="60">
        <v>0.35</v>
      </c>
      <c r="G56" s="215" t="s">
        <v>36</v>
      </c>
      <c r="H56" s="60">
        <v>15.26</v>
      </c>
      <c r="I56" s="60">
        <v>7.9</v>
      </c>
      <c r="J56" s="60">
        <v>0.92</v>
      </c>
      <c r="K56" s="60">
        <v>355.78</v>
      </c>
      <c r="L56" s="60">
        <v>39.57</v>
      </c>
      <c r="M56" s="60">
        <v>85.91</v>
      </c>
      <c r="N56" s="60">
        <v>92.2</v>
      </c>
      <c r="O56" s="60">
        <v>0.2</v>
      </c>
      <c r="P56" s="60">
        <v>4.12</v>
      </c>
      <c r="Q56" s="60">
        <v>18.760000000000002</v>
      </c>
      <c r="R56" s="197"/>
      <c r="S56" s="197"/>
      <c r="T56" s="197"/>
      <c r="U56" s="197"/>
    </row>
    <row r="57" spans="1:21" s="12" customFormat="1" x14ac:dyDescent="0.25">
      <c r="A57" s="200" t="s">
        <v>1064</v>
      </c>
      <c r="B57" s="60">
        <v>29.61</v>
      </c>
      <c r="C57" s="60">
        <v>15.98</v>
      </c>
      <c r="D57" s="60">
        <v>45.58</v>
      </c>
      <c r="E57" s="60">
        <v>6.14</v>
      </c>
      <c r="F57" s="60">
        <v>0.4</v>
      </c>
      <c r="G57" s="215" t="s">
        <v>36</v>
      </c>
      <c r="H57" s="60">
        <v>16.73</v>
      </c>
      <c r="I57" s="60">
        <v>8.1999999999999993</v>
      </c>
      <c r="J57" s="60">
        <v>0.93</v>
      </c>
      <c r="K57" s="60">
        <v>60.97</v>
      </c>
      <c r="L57" s="60">
        <v>37.799999999999997</v>
      </c>
      <c r="M57" s="60">
        <v>91.17</v>
      </c>
      <c r="N57" s="60">
        <v>67.099999999999994</v>
      </c>
      <c r="O57" s="60">
        <v>0.4</v>
      </c>
      <c r="P57" s="60">
        <v>4.1100000000000003</v>
      </c>
      <c r="Q57" s="60">
        <v>18.38</v>
      </c>
      <c r="R57" s="197"/>
      <c r="S57" s="197"/>
      <c r="T57" s="197"/>
      <c r="U57" s="197"/>
    </row>
    <row r="58" spans="1:21" s="12" customFormat="1" x14ac:dyDescent="0.25">
      <c r="A58" s="200" t="s">
        <v>1065</v>
      </c>
      <c r="B58" s="60">
        <v>29.03</v>
      </c>
      <c r="C58" s="60">
        <v>15.22</v>
      </c>
      <c r="D58" s="60">
        <v>44.25</v>
      </c>
      <c r="E58" s="60">
        <v>7.62</v>
      </c>
      <c r="F58" s="60">
        <v>0.36</v>
      </c>
      <c r="G58" s="215" t="s">
        <v>36</v>
      </c>
      <c r="H58" s="60">
        <v>20.350000000000001</v>
      </c>
      <c r="I58" s="60">
        <v>8.25</v>
      </c>
      <c r="J58" s="60">
        <v>0.89</v>
      </c>
      <c r="K58" s="60">
        <v>68.459999999999994</v>
      </c>
      <c r="L58" s="60">
        <v>36.619999999999997</v>
      </c>
      <c r="M58" s="60">
        <v>98.44</v>
      </c>
      <c r="N58" s="60">
        <v>149.30000000000001</v>
      </c>
      <c r="O58" s="60">
        <v>1.2</v>
      </c>
      <c r="P58" s="60">
        <v>4.09</v>
      </c>
      <c r="Q58" s="60">
        <v>17.75</v>
      </c>
      <c r="R58" s="197"/>
      <c r="S58" s="197"/>
      <c r="T58" s="197"/>
      <c r="U58" s="197"/>
    </row>
    <row r="59" spans="1:21" s="12" customFormat="1" x14ac:dyDescent="0.25">
      <c r="A59" s="200" t="s">
        <v>1066</v>
      </c>
      <c r="B59" s="60">
        <v>28.32</v>
      </c>
      <c r="C59" s="60">
        <v>14.51</v>
      </c>
      <c r="D59" s="60">
        <v>42.83</v>
      </c>
      <c r="E59" s="60">
        <v>8.23</v>
      </c>
      <c r="F59" s="60">
        <v>0.34</v>
      </c>
      <c r="G59" s="215" t="s">
        <v>36</v>
      </c>
      <c r="H59" s="60">
        <v>20.350000000000001</v>
      </c>
      <c r="I59" s="60">
        <v>8.1999999999999993</v>
      </c>
      <c r="J59" s="60">
        <v>0.77</v>
      </c>
      <c r="K59" s="60">
        <v>70.739999999999995</v>
      </c>
      <c r="L59" s="60">
        <v>36.75</v>
      </c>
      <c r="M59" s="60">
        <v>99.14</v>
      </c>
      <c r="N59" s="60">
        <v>121.6</v>
      </c>
      <c r="O59" s="60">
        <v>0.6</v>
      </c>
      <c r="P59" s="60">
        <v>4.07</v>
      </c>
      <c r="Q59" s="60">
        <v>17.23</v>
      </c>
      <c r="R59" s="197"/>
      <c r="S59" s="197"/>
      <c r="T59" s="197"/>
      <c r="U59" s="197"/>
    </row>
    <row r="60" spans="1:21" s="12" customFormat="1" x14ac:dyDescent="0.25">
      <c r="A60" s="200" t="s">
        <v>1067</v>
      </c>
      <c r="B60" s="60">
        <v>27.74</v>
      </c>
      <c r="C60" s="60">
        <v>13.72</v>
      </c>
      <c r="D60" s="60">
        <v>41.47</v>
      </c>
      <c r="E60" s="60">
        <v>8.2200000000000006</v>
      </c>
      <c r="F60" s="60">
        <v>0.13</v>
      </c>
      <c r="G60" s="215" t="s">
        <v>36</v>
      </c>
      <c r="H60" s="60">
        <v>20.350000000000001</v>
      </c>
      <c r="I60" s="60">
        <v>8.16</v>
      </c>
      <c r="J60" s="60">
        <v>0.45</v>
      </c>
      <c r="K60" s="60">
        <v>48.73</v>
      </c>
      <c r="L60" s="60">
        <v>36.83</v>
      </c>
      <c r="M60" s="60">
        <v>99.14</v>
      </c>
      <c r="N60" s="60">
        <v>62.3</v>
      </c>
      <c r="O60" s="60">
        <v>0.2</v>
      </c>
      <c r="P60" s="60">
        <v>4.04</v>
      </c>
      <c r="Q60" s="60">
        <v>16.579999999999998</v>
      </c>
      <c r="R60" s="197"/>
      <c r="S60" s="197"/>
      <c r="T60" s="197"/>
      <c r="U60" s="197"/>
    </row>
    <row r="61" spans="1:21" s="12" customFormat="1" x14ac:dyDescent="0.25">
      <c r="A61" s="200" t="s">
        <v>1068</v>
      </c>
      <c r="B61" s="60">
        <v>27.99</v>
      </c>
      <c r="C61" s="60">
        <v>13.02</v>
      </c>
      <c r="D61" s="60">
        <v>41.01</v>
      </c>
      <c r="E61" s="60">
        <v>8.18</v>
      </c>
      <c r="F61" s="60">
        <v>0.13</v>
      </c>
      <c r="G61" s="215" t="s">
        <v>36</v>
      </c>
      <c r="H61" s="60">
        <v>19.89</v>
      </c>
      <c r="I61" s="60">
        <v>8.0399999999999991</v>
      </c>
      <c r="J61" s="60">
        <v>0.54</v>
      </c>
      <c r="K61" s="60">
        <v>72.23</v>
      </c>
      <c r="L61" s="60">
        <v>36.79</v>
      </c>
      <c r="M61" s="60">
        <v>99.11</v>
      </c>
      <c r="N61" s="60">
        <v>101.9</v>
      </c>
      <c r="O61" s="60">
        <v>0.8</v>
      </c>
      <c r="P61" s="60">
        <v>4.04</v>
      </c>
      <c r="Q61" s="60">
        <v>16.62</v>
      </c>
      <c r="R61" s="197"/>
      <c r="S61" s="197"/>
      <c r="T61" s="197"/>
      <c r="U61" s="197"/>
    </row>
    <row r="62" spans="1:21" s="12" customFormat="1" x14ac:dyDescent="0.25">
      <c r="A62" s="200" t="s">
        <v>1069</v>
      </c>
      <c r="B62" s="60">
        <v>28.35</v>
      </c>
      <c r="C62" s="60">
        <v>12.62</v>
      </c>
      <c r="D62" s="60">
        <v>40.97</v>
      </c>
      <c r="E62" s="60">
        <v>8.06</v>
      </c>
      <c r="F62" s="60">
        <v>0.26</v>
      </c>
      <c r="G62" s="215" t="s">
        <v>36</v>
      </c>
      <c r="H62" s="60">
        <v>18.760000000000002</v>
      </c>
      <c r="I62" s="60">
        <v>7.86</v>
      </c>
      <c r="J62" s="60">
        <v>0.27</v>
      </c>
      <c r="K62" s="60">
        <v>329.18</v>
      </c>
      <c r="L62" s="60">
        <v>37.049999999999997</v>
      </c>
      <c r="M62" s="60">
        <v>99.15</v>
      </c>
      <c r="N62" s="60">
        <v>87.7</v>
      </c>
      <c r="O62" s="60">
        <v>1.6</v>
      </c>
      <c r="P62" s="60">
        <v>4.04</v>
      </c>
      <c r="Q62" s="60">
        <v>17.05</v>
      </c>
      <c r="R62" s="197"/>
      <c r="S62" s="197"/>
      <c r="T62" s="197"/>
      <c r="U62" s="197"/>
    </row>
    <row r="63" spans="1:21" s="12" customFormat="1" x14ac:dyDescent="0.25">
      <c r="A63" s="200" t="s">
        <v>1070</v>
      </c>
      <c r="B63" s="60">
        <v>28.52</v>
      </c>
      <c r="C63" s="60">
        <v>12.19</v>
      </c>
      <c r="D63" s="60">
        <v>40.700000000000003</v>
      </c>
      <c r="E63" s="60">
        <v>8.82</v>
      </c>
      <c r="F63" s="60">
        <v>0.4</v>
      </c>
      <c r="G63" s="215" t="s">
        <v>36</v>
      </c>
      <c r="H63" s="60">
        <v>18.760000000000002</v>
      </c>
      <c r="I63" s="60">
        <v>7.54</v>
      </c>
      <c r="J63" s="60">
        <v>0.1</v>
      </c>
      <c r="K63" s="60">
        <v>72.72</v>
      </c>
      <c r="L63" s="60">
        <v>36.950000000000003</v>
      </c>
      <c r="M63" s="60">
        <v>99.11</v>
      </c>
      <c r="N63" s="60">
        <v>87.9</v>
      </c>
      <c r="O63" s="60">
        <v>0.6</v>
      </c>
      <c r="P63" s="60">
        <v>4.04</v>
      </c>
      <c r="Q63" s="60">
        <v>17.399999999999999</v>
      </c>
      <c r="R63" s="197"/>
      <c r="S63" s="197"/>
      <c r="T63" s="197"/>
      <c r="U63" s="197"/>
    </row>
    <row r="64" spans="1:21" s="12" customFormat="1" x14ac:dyDescent="0.25">
      <c r="A64" s="200" t="s">
        <v>1071</v>
      </c>
      <c r="B64" s="60">
        <v>28.13</v>
      </c>
      <c r="C64" s="60">
        <v>12.4</v>
      </c>
      <c r="D64" s="60">
        <v>40.520000000000003</v>
      </c>
      <c r="E64" s="60">
        <v>8.44</v>
      </c>
      <c r="F64" s="60">
        <v>0.31</v>
      </c>
      <c r="G64" s="215" t="s">
        <v>36</v>
      </c>
      <c r="H64" s="60">
        <v>18.760000000000002</v>
      </c>
      <c r="I64" s="60">
        <v>7.51</v>
      </c>
      <c r="J64" s="60">
        <v>0.2</v>
      </c>
      <c r="K64" s="60">
        <v>195.55</v>
      </c>
      <c r="L64" s="60">
        <v>37</v>
      </c>
      <c r="M64" s="60">
        <v>99.15</v>
      </c>
      <c r="N64" s="60">
        <v>88.7</v>
      </c>
      <c r="O64" s="60">
        <v>0.4</v>
      </c>
      <c r="P64" s="60">
        <v>4.03</v>
      </c>
      <c r="Q64" s="60">
        <v>17.53</v>
      </c>
      <c r="R64" s="197"/>
      <c r="S64" s="197"/>
      <c r="T64" s="197"/>
      <c r="U64" s="197"/>
    </row>
    <row r="65" spans="1:21" s="12" customFormat="1" x14ac:dyDescent="0.25">
      <c r="A65" s="200" t="s">
        <v>1072</v>
      </c>
      <c r="B65" s="60">
        <v>27.26</v>
      </c>
      <c r="C65" s="60">
        <v>12.84</v>
      </c>
      <c r="D65" s="60">
        <v>40.1</v>
      </c>
      <c r="E65" s="60">
        <v>8.91</v>
      </c>
      <c r="F65" s="60">
        <v>0.2</v>
      </c>
      <c r="G65" s="215" t="s">
        <v>36</v>
      </c>
      <c r="H65" s="60">
        <v>17.18</v>
      </c>
      <c r="I65" s="60">
        <v>7.41</v>
      </c>
      <c r="J65" s="60">
        <v>0.04</v>
      </c>
      <c r="K65" s="60">
        <v>99.17</v>
      </c>
      <c r="L65" s="60">
        <v>37.01</v>
      </c>
      <c r="M65" s="60">
        <v>99.15</v>
      </c>
      <c r="N65" s="60">
        <v>143.69999999999999</v>
      </c>
      <c r="O65" s="60">
        <v>1</v>
      </c>
      <c r="P65" s="60">
        <v>4</v>
      </c>
      <c r="Q65" s="60">
        <v>17.34</v>
      </c>
      <c r="R65" s="197"/>
      <c r="S65" s="197"/>
      <c r="T65" s="197"/>
      <c r="U65" s="197"/>
    </row>
    <row r="66" spans="1:21" s="12" customFormat="1" x14ac:dyDescent="0.25">
      <c r="A66" s="200" t="s">
        <v>1073</v>
      </c>
      <c r="B66" s="60">
        <v>26.31</v>
      </c>
      <c r="C66" s="60">
        <v>13.46</v>
      </c>
      <c r="D66" s="60">
        <v>39.770000000000003</v>
      </c>
      <c r="E66" s="60">
        <v>8.31</v>
      </c>
      <c r="F66" s="60">
        <v>0.24</v>
      </c>
      <c r="G66" s="215" t="s">
        <v>36</v>
      </c>
      <c r="H66" s="60">
        <v>13.27</v>
      </c>
      <c r="I66" s="60">
        <v>7.8</v>
      </c>
      <c r="J66" s="60">
        <v>0.1</v>
      </c>
      <c r="K66" s="60">
        <v>233.84</v>
      </c>
      <c r="L66" s="60">
        <v>37.01</v>
      </c>
      <c r="M66" s="60">
        <v>99.15</v>
      </c>
      <c r="N66" s="60">
        <v>108.4</v>
      </c>
      <c r="O66" s="60">
        <v>0.4</v>
      </c>
      <c r="P66" s="60">
        <v>3.97</v>
      </c>
      <c r="Q66" s="60">
        <v>17.149999999999999</v>
      </c>
      <c r="R66" s="197"/>
      <c r="S66" s="197"/>
      <c r="T66" s="197"/>
      <c r="U66" s="197"/>
    </row>
    <row r="67" spans="1:21" s="12" customFormat="1" x14ac:dyDescent="0.25">
      <c r="A67" s="200" t="s">
        <v>1074</v>
      </c>
      <c r="B67" s="60">
        <v>25.21</v>
      </c>
      <c r="C67" s="60">
        <v>13.71</v>
      </c>
      <c r="D67" s="60">
        <v>38.93</v>
      </c>
      <c r="E67" s="60">
        <v>8.2100000000000009</v>
      </c>
      <c r="F67" s="60">
        <v>0.27</v>
      </c>
      <c r="G67" s="215" t="s">
        <v>36</v>
      </c>
      <c r="H67" s="60">
        <v>13.27</v>
      </c>
      <c r="I67" s="60">
        <v>7.71</v>
      </c>
      <c r="J67" s="60">
        <v>7.0000000000000007E-2</v>
      </c>
      <c r="K67" s="60">
        <v>39.01</v>
      </c>
      <c r="L67" s="60">
        <v>37.049999999999997</v>
      </c>
      <c r="M67" s="60">
        <v>99.15</v>
      </c>
      <c r="N67" s="60">
        <v>104.1</v>
      </c>
      <c r="O67" s="60">
        <v>0.4</v>
      </c>
      <c r="P67" s="60">
        <v>3.96</v>
      </c>
      <c r="Q67" s="60">
        <v>16.87</v>
      </c>
      <c r="R67" s="197"/>
      <c r="S67" s="197"/>
      <c r="T67" s="197"/>
      <c r="U67" s="197"/>
    </row>
    <row r="68" spans="1:21" s="12" customFormat="1" x14ac:dyDescent="0.25">
      <c r="A68" s="200" t="s">
        <v>1075</v>
      </c>
      <c r="B68" s="60">
        <v>24.21</v>
      </c>
      <c r="C68" s="60">
        <v>13.92</v>
      </c>
      <c r="D68" s="60">
        <v>38.130000000000003</v>
      </c>
      <c r="E68" s="60">
        <v>8.39</v>
      </c>
      <c r="F68" s="60">
        <v>0.45</v>
      </c>
      <c r="G68" s="215" t="s">
        <v>36</v>
      </c>
      <c r="H68" s="60">
        <v>13.27</v>
      </c>
      <c r="I68" s="60">
        <v>7.62</v>
      </c>
      <c r="J68" s="60">
        <v>0.14000000000000001</v>
      </c>
      <c r="K68" s="60">
        <v>56.61</v>
      </c>
      <c r="L68" s="60">
        <v>37.1</v>
      </c>
      <c r="M68" s="60">
        <v>99.14</v>
      </c>
      <c r="N68" s="60">
        <v>101.1</v>
      </c>
      <c r="O68" s="60">
        <v>0.6</v>
      </c>
      <c r="P68" s="60">
        <v>3.93</v>
      </c>
      <c r="Q68" s="60">
        <v>16.68</v>
      </c>
      <c r="R68" s="197"/>
      <c r="S68" s="197"/>
      <c r="T68" s="197"/>
      <c r="U68" s="197"/>
    </row>
    <row r="69" spans="1:21" s="12" customFormat="1" x14ac:dyDescent="0.25">
      <c r="A69" s="200" t="s">
        <v>1076</v>
      </c>
      <c r="B69" s="60">
        <v>23.08</v>
      </c>
      <c r="C69" s="60">
        <v>14.23</v>
      </c>
      <c r="D69" s="60">
        <v>37.31</v>
      </c>
      <c r="E69" s="60">
        <v>8.1300000000000008</v>
      </c>
      <c r="F69" s="60">
        <v>0.14000000000000001</v>
      </c>
      <c r="G69" s="215" t="s">
        <v>36</v>
      </c>
      <c r="H69" s="60">
        <v>12.86</v>
      </c>
      <c r="I69" s="60">
        <v>7.42</v>
      </c>
      <c r="J69" s="60">
        <v>0.13</v>
      </c>
      <c r="K69" s="60">
        <v>59.75</v>
      </c>
      <c r="L69" s="60">
        <v>37.130000000000003</v>
      </c>
      <c r="M69" s="60">
        <v>99.15</v>
      </c>
      <c r="N69" s="60">
        <v>77.2</v>
      </c>
      <c r="O69" s="60">
        <v>0.2</v>
      </c>
      <c r="P69" s="60">
        <v>3.91</v>
      </c>
      <c r="Q69" s="60">
        <v>15.87</v>
      </c>
      <c r="R69" s="197"/>
      <c r="S69" s="197"/>
      <c r="T69" s="197"/>
      <c r="U69" s="197"/>
    </row>
    <row r="70" spans="1:21" s="12" customFormat="1" x14ac:dyDescent="0.25">
      <c r="A70" s="200" t="s">
        <v>1077</v>
      </c>
      <c r="B70" s="60">
        <v>21.94</v>
      </c>
      <c r="C70" s="60">
        <v>14.22</v>
      </c>
      <c r="D70" s="60">
        <v>36.15</v>
      </c>
      <c r="E70" s="60">
        <v>7.81</v>
      </c>
      <c r="F70" s="60">
        <v>0.21</v>
      </c>
      <c r="G70" s="215" t="s">
        <v>36</v>
      </c>
      <c r="H70" s="60">
        <v>11.86</v>
      </c>
      <c r="I70" s="60">
        <v>7.41</v>
      </c>
      <c r="J70" s="60">
        <v>0.11</v>
      </c>
      <c r="K70" s="60">
        <v>203.85</v>
      </c>
      <c r="L70" s="60">
        <v>36.840000000000003</v>
      </c>
      <c r="M70" s="60">
        <v>99.15</v>
      </c>
      <c r="N70" s="60">
        <v>63.9</v>
      </c>
      <c r="O70" s="60">
        <v>0.4</v>
      </c>
      <c r="P70" s="60">
        <v>3.89</v>
      </c>
      <c r="Q70" s="60">
        <v>14.78</v>
      </c>
      <c r="R70" s="197"/>
      <c r="S70" s="197"/>
      <c r="T70" s="197"/>
      <c r="U70" s="197"/>
    </row>
    <row r="71" spans="1:21" s="12" customFormat="1" x14ac:dyDescent="0.25">
      <c r="A71" s="200" t="s">
        <v>1078</v>
      </c>
      <c r="B71" s="60">
        <v>20.329999999999998</v>
      </c>
      <c r="C71" s="60">
        <v>14.13</v>
      </c>
      <c r="D71" s="60">
        <v>34.46</v>
      </c>
      <c r="E71" s="60">
        <v>7.62</v>
      </c>
      <c r="F71" s="60">
        <v>0.12</v>
      </c>
      <c r="G71" s="215" t="s">
        <v>36</v>
      </c>
      <c r="H71" s="60">
        <v>11.86</v>
      </c>
      <c r="I71" s="60">
        <v>7.27</v>
      </c>
      <c r="J71" s="60">
        <v>0.06</v>
      </c>
      <c r="K71" s="60">
        <v>176.31</v>
      </c>
      <c r="L71" s="60">
        <v>36.770000000000003</v>
      </c>
      <c r="M71" s="60">
        <v>99.15</v>
      </c>
      <c r="N71" s="60">
        <v>33.200000000000003</v>
      </c>
      <c r="O71" s="60">
        <v>0.2</v>
      </c>
      <c r="P71" s="60">
        <v>3.86</v>
      </c>
      <c r="Q71" s="60">
        <v>13.6</v>
      </c>
      <c r="R71" s="197"/>
      <c r="S71" s="197"/>
      <c r="T71" s="197"/>
      <c r="U71" s="197"/>
    </row>
    <row r="72" spans="1:21" s="12" customFormat="1" x14ac:dyDescent="0.25">
      <c r="A72" s="200" t="s">
        <v>1079</v>
      </c>
      <c r="B72" s="60">
        <v>18.98</v>
      </c>
      <c r="C72" s="60">
        <v>13.97</v>
      </c>
      <c r="D72" s="60">
        <v>32.950000000000003</v>
      </c>
      <c r="E72" s="60">
        <v>2.71</v>
      </c>
      <c r="F72" s="60">
        <v>0.15</v>
      </c>
      <c r="G72" s="215" t="s">
        <v>36</v>
      </c>
      <c r="H72" s="60">
        <v>11.86</v>
      </c>
      <c r="I72" s="60">
        <v>7.19</v>
      </c>
      <c r="J72" s="60">
        <v>0.13</v>
      </c>
      <c r="K72" s="60">
        <v>3.24</v>
      </c>
      <c r="L72" s="60">
        <v>36.979999999999997</v>
      </c>
      <c r="M72" s="60">
        <v>99.15</v>
      </c>
      <c r="N72" s="60">
        <v>22.2</v>
      </c>
      <c r="O72" s="60">
        <v>1.8</v>
      </c>
      <c r="P72" s="60">
        <v>3.84</v>
      </c>
      <c r="Q72" s="60">
        <v>12.83</v>
      </c>
      <c r="R72" s="197"/>
      <c r="S72" s="197"/>
      <c r="T72" s="197"/>
      <c r="U72" s="197"/>
    </row>
    <row r="73" spans="1:21" s="12" customFormat="1" x14ac:dyDescent="0.25">
      <c r="A73" s="200" t="s">
        <v>1080</v>
      </c>
      <c r="B73" s="60">
        <v>17.75</v>
      </c>
      <c r="C73" s="60">
        <v>13.79</v>
      </c>
      <c r="D73" s="60">
        <v>31.54</v>
      </c>
      <c r="E73" s="60">
        <v>4.46</v>
      </c>
      <c r="F73" s="60">
        <v>0.22</v>
      </c>
      <c r="G73" s="215" t="s">
        <v>36</v>
      </c>
      <c r="H73" s="60">
        <v>11.65</v>
      </c>
      <c r="I73" s="60">
        <v>7.07</v>
      </c>
      <c r="J73" s="60">
        <v>0.22</v>
      </c>
      <c r="K73" s="60">
        <v>337.85</v>
      </c>
      <c r="L73" s="60">
        <v>35.01</v>
      </c>
      <c r="M73" s="60">
        <v>99.15</v>
      </c>
      <c r="N73" s="60">
        <v>19.100000000000001</v>
      </c>
      <c r="O73" s="60">
        <v>3.6</v>
      </c>
      <c r="P73" s="60">
        <v>3.8</v>
      </c>
      <c r="Q73" s="60">
        <v>12.2</v>
      </c>
      <c r="R73" s="197"/>
      <c r="S73" s="197"/>
      <c r="T73" s="197"/>
      <c r="U73" s="197"/>
    </row>
    <row r="74" spans="1:21" s="12" customFormat="1" x14ac:dyDescent="0.25">
      <c r="A74" s="200" t="s">
        <v>1081</v>
      </c>
      <c r="B74" s="60">
        <v>16.989999999999998</v>
      </c>
      <c r="C74" s="60">
        <v>13.49</v>
      </c>
      <c r="D74" s="60">
        <v>30.48</v>
      </c>
      <c r="E74" s="60">
        <v>5.52</v>
      </c>
      <c r="F74" s="60">
        <v>0.08</v>
      </c>
      <c r="G74" s="215" t="s">
        <v>36</v>
      </c>
      <c r="H74" s="60">
        <v>11.14</v>
      </c>
      <c r="I74" s="60">
        <v>6.94</v>
      </c>
      <c r="J74" s="60">
        <v>0.15</v>
      </c>
      <c r="K74" s="60">
        <v>334.6</v>
      </c>
      <c r="L74" s="60">
        <v>33.76</v>
      </c>
      <c r="M74" s="60">
        <v>99.15</v>
      </c>
      <c r="N74" s="60">
        <v>19.2</v>
      </c>
      <c r="O74" s="60">
        <v>4.2</v>
      </c>
      <c r="P74" s="60">
        <v>3.79</v>
      </c>
      <c r="Q74" s="60">
        <v>11.57</v>
      </c>
      <c r="R74" s="197"/>
      <c r="S74" s="197"/>
      <c r="T74" s="197"/>
      <c r="U74" s="197"/>
    </row>
    <row r="75" spans="1:21" s="12" customFormat="1" x14ac:dyDescent="0.25">
      <c r="A75" s="200" t="s">
        <v>1082</v>
      </c>
      <c r="B75" s="60">
        <v>16.54</v>
      </c>
      <c r="C75" s="60">
        <v>13.23</v>
      </c>
      <c r="D75" s="60">
        <v>29.77</v>
      </c>
      <c r="E75" s="60">
        <v>6.29</v>
      </c>
      <c r="F75" s="60">
        <v>0.03</v>
      </c>
      <c r="G75" s="215" t="s">
        <v>36</v>
      </c>
      <c r="H75" s="60">
        <v>11.14</v>
      </c>
      <c r="I75" s="60">
        <v>6.82</v>
      </c>
      <c r="J75" s="60">
        <v>0.2</v>
      </c>
      <c r="K75" s="60">
        <v>347.94</v>
      </c>
      <c r="L75" s="60">
        <v>33.17</v>
      </c>
      <c r="M75" s="60">
        <v>99.15</v>
      </c>
      <c r="N75" s="60">
        <v>18.600000000000001</v>
      </c>
      <c r="O75" s="60">
        <v>5</v>
      </c>
      <c r="P75" s="60">
        <v>3.78</v>
      </c>
      <c r="Q75" s="60">
        <v>11.08</v>
      </c>
      <c r="R75" s="197"/>
      <c r="S75" s="197"/>
      <c r="T75" s="197"/>
      <c r="U75" s="197"/>
    </row>
    <row r="76" spans="1:21" s="12" customFormat="1" x14ac:dyDescent="0.25">
      <c r="A76" s="200" t="s">
        <v>1083</v>
      </c>
      <c r="B76" s="60">
        <v>16.329999999999998</v>
      </c>
      <c r="C76" s="60">
        <v>12.61</v>
      </c>
      <c r="D76" s="60">
        <v>28.95</v>
      </c>
      <c r="E76" s="60">
        <v>6.47</v>
      </c>
      <c r="F76" s="60">
        <v>0.62</v>
      </c>
      <c r="G76" s="215" t="s">
        <v>36</v>
      </c>
      <c r="H76" s="60">
        <v>11.14</v>
      </c>
      <c r="I76" s="60">
        <v>6.68</v>
      </c>
      <c r="J76" s="60">
        <v>0.06</v>
      </c>
      <c r="K76" s="60">
        <v>37.200000000000003</v>
      </c>
      <c r="L76" s="60">
        <v>32.869999999999997</v>
      </c>
      <c r="M76" s="60">
        <v>99.15</v>
      </c>
      <c r="N76" s="60">
        <v>18.7</v>
      </c>
      <c r="O76" s="60">
        <v>8</v>
      </c>
      <c r="P76" s="60">
        <v>3.77</v>
      </c>
      <c r="Q76" s="60">
        <v>11.06</v>
      </c>
      <c r="R76" s="197"/>
      <c r="S76" s="197"/>
      <c r="T76" s="197"/>
      <c r="U76" s="197"/>
    </row>
    <row r="77" spans="1:21" s="12" customFormat="1" x14ac:dyDescent="0.25">
      <c r="A77" s="200" t="s">
        <v>1084</v>
      </c>
      <c r="B77" s="60">
        <v>15.29</v>
      </c>
      <c r="C77" s="60">
        <v>12.76</v>
      </c>
      <c r="D77" s="60">
        <v>28.05</v>
      </c>
      <c r="E77" s="60">
        <v>6.55</v>
      </c>
      <c r="F77" s="60">
        <v>0.11</v>
      </c>
      <c r="G77" s="215" t="s">
        <v>36</v>
      </c>
      <c r="H77" s="60">
        <v>10.29</v>
      </c>
      <c r="I77" s="60">
        <v>6.64</v>
      </c>
      <c r="J77" s="60">
        <v>0.16</v>
      </c>
      <c r="K77" s="60">
        <v>14.5</v>
      </c>
      <c r="L77" s="60">
        <v>32.51</v>
      </c>
      <c r="M77" s="60">
        <v>99.15</v>
      </c>
      <c r="N77" s="60">
        <v>19.2</v>
      </c>
      <c r="O77" s="60">
        <v>7.8</v>
      </c>
      <c r="P77" s="60">
        <v>3.73</v>
      </c>
      <c r="Q77" s="60">
        <v>10.91</v>
      </c>
      <c r="R77" s="197"/>
      <c r="S77" s="197"/>
      <c r="T77" s="197"/>
      <c r="U77" s="197"/>
    </row>
    <row r="78" spans="1:21" s="12" customFormat="1" x14ac:dyDescent="0.25">
      <c r="A78" s="200" t="s">
        <v>1085</v>
      </c>
      <c r="B78" s="60">
        <v>13.56</v>
      </c>
      <c r="C78" s="60">
        <v>13.48</v>
      </c>
      <c r="D78" s="60">
        <v>27.04</v>
      </c>
      <c r="E78" s="60">
        <v>6.06</v>
      </c>
      <c r="F78" s="60">
        <v>0.95</v>
      </c>
      <c r="G78" s="215" t="s">
        <v>36</v>
      </c>
      <c r="H78" s="60">
        <v>8.2100000000000009</v>
      </c>
      <c r="I78" s="60">
        <v>6.48</v>
      </c>
      <c r="J78" s="60">
        <v>0.66</v>
      </c>
      <c r="K78" s="60">
        <v>200.37</v>
      </c>
      <c r="L78" s="60">
        <v>32.299999999999997</v>
      </c>
      <c r="M78" s="60">
        <v>99.15</v>
      </c>
      <c r="N78" s="60">
        <v>18.2</v>
      </c>
      <c r="O78" s="60">
        <v>1.8</v>
      </c>
      <c r="P78" s="60">
        <v>3.7</v>
      </c>
      <c r="Q78" s="60">
        <v>10.46</v>
      </c>
      <c r="R78" s="197"/>
      <c r="S78" s="197"/>
      <c r="T78" s="197"/>
      <c r="U78" s="197"/>
    </row>
    <row r="79" spans="1:21" s="12" customFormat="1" x14ac:dyDescent="0.25">
      <c r="A79" s="200" t="s">
        <v>1086</v>
      </c>
      <c r="B79" s="60">
        <v>12.37</v>
      </c>
      <c r="C79" s="60">
        <v>13.92</v>
      </c>
      <c r="D79" s="60">
        <v>26.3</v>
      </c>
      <c r="E79" s="60">
        <v>5.69</v>
      </c>
      <c r="F79" s="60">
        <v>1.05</v>
      </c>
      <c r="G79" s="215" t="s">
        <v>36</v>
      </c>
      <c r="H79" s="60">
        <v>8.2100000000000009</v>
      </c>
      <c r="I79" s="60">
        <v>6.29</v>
      </c>
      <c r="J79" s="60">
        <v>0.48</v>
      </c>
      <c r="K79" s="60">
        <v>203.29</v>
      </c>
      <c r="L79" s="60">
        <v>32.29</v>
      </c>
      <c r="M79" s="60">
        <v>99.15</v>
      </c>
      <c r="N79" s="60">
        <v>18.3</v>
      </c>
      <c r="O79" s="60">
        <v>6</v>
      </c>
      <c r="P79" s="60">
        <v>3.68</v>
      </c>
      <c r="Q79" s="60">
        <v>10.119999999999999</v>
      </c>
      <c r="R79" s="197"/>
      <c r="S79" s="197"/>
      <c r="T79" s="197"/>
      <c r="U79" s="197"/>
    </row>
    <row r="80" spans="1:21" s="12" customFormat="1" x14ac:dyDescent="0.25">
      <c r="A80" s="200" t="s">
        <v>1087</v>
      </c>
      <c r="B80" s="60">
        <v>11.56</v>
      </c>
      <c r="C80" s="60">
        <v>14.34</v>
      </c>
      <c r="D80" s="60">
        <v>25.9</v>
      </c>
      <c r="E80" s="60">
        <v>5.65</v>
      </c>
      <c r="F80" s="60">
        <v>1.08</v>
      </c>
      <c r="G80" s="215" t="s">
        <v>36</v>
      </c>
      <c r="H80" s="60">
        <v>8.2100000000000009</v>
      </c>
      <c r="I80" s="60">
        <v>6</v>
      </c>
      <c r="J80" s="60">
        <v>0.1</v>
      </c>
      <c r="K80" s="60">
        <v>209</v>
      </c>
      <c r="L80" s="60">
        <v>32.340000000000003</v>
      </c>
      <c r="M80" s="60">
        <v>99.15</v>
      </c>
      <c r="N80" s="60">
        <v>17.100000000000001</v>
      </c>
      <c r="O80" s="60">
        <v>1.4</v>
      </c>
      <c r="P80" s="60">
        <v>3.66</v>
      </c>
      <c r="Q80" s="60">
        <v>9.8800000000000008</v>
      </c>
      <c r="R80" s="197"/>
      <c r="S80" s="197"/>
      <c r="T80" s="197"/>
      <c r="U80" s="197"/>
    </row>
    <row r="81" spans="1:26" s="12" customFormat="1" x14ac:dyDescent="0.25">
      <c r="A81" s="200" t="s">
        <v>1088</v>
      </c>
      <c r="B81" s="60">
        <v>11.36</v>
      </c>
      <c r="C81" s="60">
        <v>14.57</v>
      </c>
      <c r="D81" s="60">
        <v>25.93</v>
      </c>
      <c r="E81" s="60">
        <v>5.54</v>
      </c>
      <c r="F81" s="60">
        <v>0.02</v>
      </c>
      <c r="G81" s="215" t="s">
        <v>36</v>
      </c>
      <c r="H81" s="60">
        <v>7.73</v>
      </c>
      <c r="I81" s="60">
        <v>5.85</v>
      </c>
      <c r="J81" s="60">
        <v>0.13</v>
      </c>
      <c r="K81" s="60">
        <v>63.67</v>
      </c>
      <c r="L81" s="60">
        <v>32.53</v>
      </c>
      <c r="M81" s="60">
        <v>99.15</v>
      </c>
      <c r="N81" s="60">
        <v>16.7</v>
      </c>
      <c r="O81" s="60">
        <v>1</v>
      </c>
      <c r="P81" s="60">
        <v>3.66</v>
      </c>
      <c r="Q81" s="60">
        <v>9.99</v>
      </c>
      <c r="R81" s="197"/>
      <c r="S81" s="197"/>
      <c r="T81" s="197"/>
      <c r="U81" s="197"/>
    </row>
    <row r="82" spans="1:26" s="12" customFormat="1" x14ac:dyDescent="0.25">
      <c r="A82" s="200" t="s">
        <v>1089</v>
      </c>
      <c r="B82" s="60">
        <v>11.32</v>
      </c>
      <c r="C82" s="60">
        <v>15.52</v>
      </c>
      <c r="D82" s="60">
        <v>26.84</v>
      </c>
      <c r="E82" s="60">
        <v>5.24</v>
      </c>
      <c r="F82" s="60">
        <v>0.01</v>
      </c>
      <c r="G82" s="215" t="s">
        <v>36</v>
      </c>
      <c r="H82" s="60">
        <v>6.55</v>
      </c>
      <c r="I82" s="60">
        <v>5.7</v>
      </c>
      <c r="J82" s="60">
        <v>0.19</v>
      </c>
      <c r="K82" s="60">
        <v>127.11</v>
      </c>
      <c r="L82" s="60">
        <v>32.6</v>
      </c>
      <c r="M82" s="60">
        <v>99.15</v>
      </c>
      <c r="N82" s="60">
        <v>16.100000000000001</v>
      </c>
      <c r="O82" s="60">
        <v>0.2</v>
      </c>
      <c r="P82" s="60">
        <v>3.71</v>
      </c>
      <c r="Q82" s="60">
        <v>10.130000000000001</v>
      </c>
      <c r="R82" s="197"/>
      <c r="S82" s="197"/>
      <c r="T82" s="197"/>
      <c r="U82" s="197"/>
    </row>
    <row r="83" spans="1:26" s="12" customFormat="1" x14ac:dyDescent="0.25">
      <c r="A83" s="200" t="s">
        <v>1090</v>
      </c>
      <c r="B83" s="60">
        <v>11.18</v>
      </c>
      <c r="C83" s="60">
        <v>15.74</v>
      </c>
      <c r="D83" s="60">
        <v>26.92</v>
      </c>
      <c r="E83" s="60">
        <v>5.19</v>
      </c>
      <c r="F83" s="60">
        <v>0.94</v>
      </c>
      <c r="G83" s="215" t="s">
        <v>36</v>
      </c>
      <c r="H83" s="60">
        <v>6.55</v>
      </c>
      <c r="I83" s="60">
        <v>5.83</v>
      </c>
      <c r="J83" s="60">
        <v>0.13</v>
      </c>
      <c r="K83" s="60">
        <v>170.2</v>
      </c>
      <c r="L83" s="60">
        <v>32.64</v>
      </c>
      <c r="M83" s="60">
        <v>99.15</v>
      </c>
      <c r="N83" s="60">
        <v>15.8</v>
      </c>
      <c r="O83" s="60">
        <v>0.8</v>
      </c>
      <c r="P83" s="60">
        <v>3.7</v>
      </c>
      <c r="Q83" s="60">
        <v>10.3</v>
      </c>
      <c r="R83" s="197"/>
      <c r="S83" s="197"/>
      <c r="T83" s="197"/>
      <c r="U83" s="197"/>
    </row>
    <row r="84" spans="1:26" s="12" customFormat="1" x14ac:dyDescent="0.25">
      <c r="A84" s="200" t="s">
        <v>1091</v>
      </c>
      <c r="B84" s="60">
        <v>11.16</v>
      </c>
      <c r="C84" s="60">
        <v>15.58</v>
      </c>
      <c r="D84" s="60">
        <v>26.74</v>
      </c>
      <c r="E84" s="60">
        <v>4.8</v>
      </c>
      <c r="F84" s="60">
        <v>0.32</v>
      </c>
      <c r="G84" s="215" t="s">
        <v>36</v>
      </c>
      <c r="H84" s="60">
        <v>6.55</v>
      </c>
      <c r="I84" s="60">
        <v>5.98</v>
      </c>
      <c r="J84" s="60">
        <v>0.04</v>
      </c>
      <c r="K84" s="60">
        <v>36.520000000000003</v>
      </c>
      <c r="L84" s="60">
        <v>32.700000000000003</v>
      </c>
      <c r="M84" s="60">
        <v>99.15</v>
      </c>
      <c r="N84" s="60">
        <v>15.7</v>
      </c>
      <c r="O84" s="60">
        <v>1.4</v>
      </c>
      <c r="P84" s="60">
        <v>3.71</v>
      </c>
      <c r="Q84" s="60">
        <v>9.8699999999999992</v>
      </c>
      <c r="R84" s="197"/>
      <c r="S84" s="197"/>
      <c r="T84" s="197"/>
      <c r="U84" s="197"/>
    </row>
    <row r="85" spans="1:26" s="12" customFormat="1" x14ac:dyDescent="0.25">
      <c r="A85" s="200" t="s">
        <v>1092</v>
      </c>
      <c r="B85" s="60">
        <v>10.56</v>
      </c>
      <c r="C85" s="60">
        <v>15.12</v>
      </c>
      <c r="D85" s="60">
        <v>25.68</v>
      </c>
      <c r="E85" s="60">
        <v>5.3</v>
      </c>
      <c r="F85" s="60">
        <v>0.67</v>
      </c>
      <c r="G85" s="215" t="s">
        <v>36</v>
      </c>
      <c r="H85" s="60">
        <v>6.01</v>
      </c>
      <c r="I85" s="60">
        <v>5.95</v>
      </c>
      <c r="J85" s="60">
        <v>0.2</v>
      </c>
      <c r="K85" s="60">
        <v>19.38</v>
      </c>
      <c r="L85" s="60">
        <v>32.68</v>
      </c>
      <c r="M85" s="60">
        <v>99.15</v>
      </c>
      <c r="N85" s="60">
        <v>15.8</v>
      </c>
      <c r="O85" s="60">
        <v>2.2000000000000002</v>
      </c>
      <c r="P85" s="60">
        <v>3.72</v>
      </c>
      <c r="Q85" s="60">
        <v>9.19</v>
      </c>
      <c r="R85" s="197"/>
      <c r="S85" s="197"/>
      <c r="T85" s="197"/>
      <c r="U85" s="197"/>
    </row>
    <row r="86" spans="1:26" s="12" customFormat="1" x14ac:dyDescent="0.25">
      <c r="A86" s="200" t="s">
        <v>1093</v>
      </c>
      <c r="B86" s="60">
        <v>9.6199999999999992</v>
      </c>
      <c r="C86" s="60">
        <v>15.23</v>
      </c>
      <c r="D86" s="60">
        <v>24.85</v>
      </c>
      <c r="E86" s="60">
        <v>5.28</v>
      </c>
      <c r="F86" s="60">
        <v>0.34</v>
      </c>
      <c r="G86" s="215" t="s">
        <v>36</v>
      </c>
      <c r="H86" s="60">
        <v>4.67</v>
      </c>
      <c r="I86" s="60">
        <v>5.98</v>
      </c>
      <c r="J86" s="60">
        <v>0.21</v>
      </c>
      <c r="K86" s="60">
        <v>65.209999999999994</v>
      </c>
      <c r="L86" s="60">
        <v>32.67</v>
      </c>
      <c r="M86" s="60">
        <v>99.15</v>
      </c>
      <c r="N86" s="60">
        <v>15.7</v>
      </c>
      <c r="O86" s="60">
        <v>2.2000000000000002</v>
      </c>
      <c r="P86" s="60">
        <v>3.74</v>
      </c>
      <c r="Q86" s="60">
        <v>8.59</v>
      </c>
      <c r="R86" s="197"/>
      <c r="S86" s="197"/>
      <c r="T86" s="197"/>
      <c r="U86" s="197"/>
    </row>
    <row r="87" spans="1:26" s="12" customFormat="1" x14ac:dyDescent="0.25">
      <c r="A87" s="200" t="s">
        <v>1094</v>
      </c>
      <c r="B87" s="60">
        <v>9.4499999999999993</v>
      </c>
      <c r="C87" s="60">
        <v>15.49</v>
      </c>
      <c r="D87" s="60">
        <v>24.94</v>
      </c>
      <c r="E87" s="60">
        <v>4.9000000000000004</v>
      </c>
      <c r="F87" s="60">
        <v>1.35</v>
      </c>
      <c r="G87" s="215" t="s">
        <v>36</v>
      </c>
      <c r="H87" s="60">
        <v>4.67</v>
      </c>
      <c r="I87" s="60">
        <v>6.03</v>
      </c>
      <c r="J87" s="60">
        <v>0.26</v>
      </c>
      <c r="K87" s="60">
        <v>58.18</v>
      </c>
      <c r="L87" s="60">
        <v>32.619999999999997</v>
      </c>
      <c r="M87" s="60">
        <v>99.15</v>
      </c>
      <c r="N87" s="60">
        <v>15.8</v>
      </c>
      <c r="O87" s="60">
        <v>0.8</v>
      </c>
      <c r="P87" s="60">
        <v>3.83</v>
      </c>
      <c r="Q87" s="60">
        <v>8.51</v>
      </c>
      <c r="R87" s="197"/>
      <c r="S87" s="197"/>
      <c r="T87" s="197"/>
      <c r="U87" s="197"/>
    </row>
    <row r="88" spans="1:26" s="12" customFormat="1" x14ac:dyDescent="0.25">
      <c r="A88" s="200" t="s">
        <v>1095</v>
      </c>
      <c r="B88" s="60">
        <v>9.3699999999999992</v>
      </c>
      <c r="C88" s="60">
        <v>15.35</v>
      </c>
      <c r="D88" s="60">
        <v>24.71</v>
      </c>
      <c r="E88" s="60">
        <v>2.0099999999999998</v>
      </c>
      <c r="F88" s="60">
        <v>0.65</v>
      </c>
      <c r="G88" s="215" t="s">
        <v>36</v>
      </c>
      <c r="H88" s="60">
        <v>4.67</v>
      </c>
      <c r="I88" s="60">
        <v>6.21</v>
      </c>
      <c r="J88" s="60">
        <v>0.28999999999999998</v>
      </c>
      <c r="K88" s="60">
        <v>339.86</v>
      </c>
      <c r="L88" s="60">
        <v>32.549999999999997</v>
      </c>
      <c r="M88" s="60">
        <v>99.15</v>
      </c>
      <c r="N88" s="60">
        <v>15.8</v>
      </c>
      <c r="O88" s="60">
        <v>0.8</v>
      </c>
      <c r="P88" s="60">
        <v>3.9</v>
      </c>
      <c r="Q88" s="60">
        <v>8.4499999999999993</v>
      </c>
      <c r="R88" s="197"/>
      <c r="S88" s="197"/>
      <c r="T88" s="197"/>
      <c r="U88" s="197"/>
    </row>
    <row r="89" spans="1:26" s="12" customFormat="1" x14ac:dyDescent="0.25">
      <c r="A89" s="200" t="s">
        <v>1096</v>
      </c>
      <c r="B89" s="60">
        <v>8.74</v>
      </c>
      <c r="C89" s="60">
        <v>14.96</v>
      </c>
      <c r="D89" s="60">
        <v>23.7</v>
      </c>
      <c r="E89" s="60">
        <v>3.61</v>
      </c>
      <c r="F89" s="60">
        <v>0.23</v>
      </c>
      <c r="G89" s="215" t="s">
        <v>36</v>
      </c>
      <c r="H89" s="60">
        <v>5.76</v>
      </c>
      <c r="I89" s="60">
        <v>7.26</v>
      </c>
      <c r="J89" s="60">
        <v>0.22</v>
      </c>
      <c r="K89" s="60">
        <v>28.93</v>
      </c>
      <c r="L89" s="60">
        <v>32.619999999999997</v>
      </c>
      <c r="M89" s="60">
        <v>99.15</v>
      </c>
      <c r="N89" s="60">
        <v>15.7</v>
      </c>
      <c r="O89" s="60">
        <v>2.2000000000000002</v>
      </c>
      <c r="P89" s="60">
        <v>3.9</v>
      </c>
      <c r="Q89" s="60">
        <v>8</v>
      </c>
      <c r="R89" s="197"/>
      <c r="S89" s="197"/>
      <c r="T89" s="197"/>
      <c r="U89" s="197"/>
    </row>
    <row r="90" spans="1:26" s="12" customFormat="1" x14ac:dyDescent="0.25">
      <c r="A90" s="200" t="s">
        <v>1097</v>
      </c>
      <c r="B90" s="60">
        <v>8</v>
      </c>
      <c r="C90" s="60">
        <v>14.43</v>
      </c>
      <c r="D90" s="60">
        <v>22.43</v>
      </c>
      <c r="E90" s="60">
        <v>4.75</v>
      </c>
      <c r="F90" s="60">
        <v>0.63</v>
      </c>
      <c r="G90" s="215" t="s">
        <v>36</v>
      </c>
      <c r="H90" s="60">
        <v>8.4499999999999993</v>
      </c>
      <c r="I90" s="60">
        <v>8.5399999999999991</v>
      </c>
      <c r="J90" s="60">
        <v>0.21</v>
      </c>
      <c r="K90" s="60">
        <v>24.82</v>
      </c>
      <c r="L90" s="60">
        <v>32.58</v>
      </c>
      <c r="M90" s="60">
        <v>99.15</v>
      </c>
      <c r="N90" s="60">
        <v>15.7</v>
      </c>
      <c r="O90" s="60">
        <v>1.6</v>
      </c>
      <c r="P90" s="60">
        <v>3.87</v>
      </c>
      <c r="Q90" s="60">
        <v>7.54</v>
      </c>
      <c r="R90" s="197"/>
      <c r="S90" s="197"/>
      <c r="T90" s="197"/>
      <c r="U90" s="197"/>
    </row>
    <row r="91" spans="1:26" s="12" customFormat="1" x14ac:dyDescent="0.25">
      <c r="A91" s="200" t="s">
        <v>1098</v>
      </c>
      <c r="B91" s="60">
        <v>7.7</v>
      </c>
      <c r="C91" s="60">
        <v>14.56</v>
      </c>
      <c r="D91" s="60">
        <v>22.26</v>
      </c>
      <c r="E91" s="60">
        <v>4.95</v>
      </c>
      <c r="F91" s="60">
        <v>0.24</v>
      </c>
      <c r="G91" s="215" t="s">
        <v>36</v>
      </c>
      <c r="H91" s="60">
        <v>8.4499999999999993</v>
      </c>
      <c r="I91" s="60">
        <v>8.4600000000000009</v>
      </c>
      <c r="J91" s="60">
        <v>0.19</v>
      </c>
      <c r="K91" s="60">
        <v>59.59</v>
      </c>
      <c r="L91" s="60">
        <v>32.6</v>
      </c>
      <c r="M91" s="60">
        <v>99.15</v>
      </c>
      <c r="N91" s="60">
        <v>15.7</v>
      </c>
      <c r="O91" s="60">
        <v>0.8</v>
      </c>
      <c r="P91" s="60">
        <v>3.89</v>
      </c>
      <c r="Q91" s="60">
        <v>7.65</v>
      </c>
      <c r="R91" s="197"/>
      <c r="S91" s="197"/>
      <c r="T91" s="197"/>
      <c r="U91" s="197"/>
    </row>
    <row r="92" spans="1:26" s="12" customFormat="1" x14ac:dyDescent="0.25">
      <c r="A92" s="200" t="s">
        <v>1099</v>
      </c>
      <c r="B92" s="60">
        <v>8.34</v>
      </c>
      <c r="C92" s="60">
        <v>15.6</v>
      </c>
      <c r="D92" s="60">
        <v>23.94</v>
      </c>
      <c r="E92" s="60">
        <v>4.97</v>
      </c>
      <c r="F92" s="60">
        <v>0.12</v>
      </c>
      <c r="G92" s="215" t="s">
        <v>36</v>
      </c>
      <c r="H92" s="60">
        <v>8.4499999999999993</v>
      </c>
      <c r="I92" s="60">
        <v>8.1999999999999993</v>
      </c>
      <c r="J92" s="60">
        <v>0.21</v>
      </c>
      <c r="K92" s="60">
        <v>349.8</v>
      </c>
      <c r="L92" s="60">
        <v>32.69</v>
      </c>
      <c r="M92" s="60">
        <v>99.15</v>
      </c>
      <c r="N92" s="60">
        <v>15.6</v>
      </c>
      <c r="O92" s="60">
        <v>0.2</v>
      </c>
      <c r="P92" s="60">
        <v>3.93</v>
      </c>
      <c r="Q92" s="60">
        <v>8.39</v>
      </c>
      <c r="R92" s="197"/>
      <c r="S92" s="197"/>
      <c r="T92" s="197"/>
      <c r="U92" s="197"/>
    </row>
    <row r="93" spans="1:26" s="12" customFormat="1" x14ac:dyDescent="0.25">
      <c r="A93" s="200" t="s">
        <v>1100</v>
      </c>
      <c r="B93" s="60">
        <v>9.0399999999999991</v>
      </c>
      <c r="C93" s="60">
        <v>15.86</v>
      </c>
      <c r="D93" s="60">
        <v>24.9</v>
      </c>
      <c r="E93" s="60">
        <v>4.79</v>
      </c>
      <c r="F93" s="60">
        <v>0.14000000000000001</v>
      </c>
      <c r="G93" s="215" t="s">
        <v>36</v>
      </c>
      <c r="H93" s="60">
        <v>7.82</v>
      </c>
      <c r="I93" s="60">
        <v>8.36</v>
      </c>
      <c r="J93" s="60">
        <v>0.15</v>
      </c>
      <c r="K93" s="60">
        <v>13.44</v>
      </c>
      <c r="L93" s="60">
        <v>32.79</v>
      </c>
      <c r="M93" s="60">
        <v>99.15</v>
      </c>
      <c r="N93" s="60">
        <v>15.7</v>
      </c>
      <c r="O93" s="60">
        <v>0.2</v>
      </c>
      <c r="P93" s="60">
        <v>3.97</v>
      </c>
      <c r="Q93" s="60">
        <v>9.07</v>
      </c>
      <c r="R93" s="197"/>
      <c r="S93" s="197"/>
      <c r="T93" s="197"/>
      <c r="U93" s="197"/>
    </row>
    <row r="94" spans="1:26" s="12" customFormat="1" x14ac:dyDescent="0.25">
      <c r="A94" s="200" t="s">
        <v>1101</v>
      </c>
      <c r="B94" s="60">
        <v>9.4700000000000006</v>
      </c>
      <c r="C94" s="60">
        <v>15.48</v>
      </c>
      <c r="D94" s="60">
        <v>24.94</v>
      </c>
      <c r="E94" s="60">
        <v>4.8499999999999996</v>
      </c>
      <c r="F94" s="60">
        <v>0.15</v>
      </c>
      <c r="G94" s="215" t="s">
        <v>36</v>
      </c>
      <c r="H94" s="60">
        <v>6.27</v>
      </c>
      <c r="I94" s="60">
        <v>9.48</v>
      </c>
      <c r="J94" s="60">
        <v>0.16</v>
      </c>
      <c r="K94" s="60">
        <v>339.11</v>
      </c>
      <c r="L94" s="60">
        <v>32.880000000000003</v>
      </c>
      <c r="M94" s="60">
        <v>99.15</v>
      </c>
      <c r="N94" s="60">
        <v>15.7</v>
      </c>
      <c r="O94" s="60">
        <v>0.8</v>
      </c>
      <c r="P94" s="60">
        <v>4.0199999999999996</v>
      </c>
      <c r="Q94" s="60">
        <v>9.23</v>
      </c>
      <c r="R94" s="197"/>
      <c r="S94" s="197"/>
      <c r="T94" s="197"/>
      <c r="U94" s="197"/>
    </row>
    <row r="95" spans="1:26" s="12" customFormat="1" x14ac:dyDescent="0.25">
      <c r="A95" s="200" t="s">
        <v>1102</v>
      </c>
      <c r="B95" s="60">
        <v>9.8800000000000008</v>
      </c>
      <c r="C95" s="60">
        <v>15.12</v>
      </c>
      <c r="D95" s="60">
        <v>24.99</v>
      </c>
      <c r="E95" s="60">
        <v>5.16</v>
      </c>
      <c r="F95" s="60">
        <v>0.28000000000000003</v>
      </c>
      <c r="G95" s="215" t="s">
        <v>36</v>
      </c>
      <c r="H95" s="60">
        <v>6.27</v>
      </c>
      <c r="I95" s="60">
        <v>10.39</v>
      </c>
      <c r="J95" s="60">
        <v>0.15</v>
      </c>
      <c r="K95" s="60">
        <v>66.02</v>
      </c>
      <c r="L95" s="60">
        <v>32.9</v>
      </c>
      <c r="M95" s="60">
        <v>99.15</v>
      </c>
      <c r="N95" s="60">
        <v>15.7</v>
      </c>
      <c r="O95" s="60">
        <v>1.4</v>
      </c>
      <c r="P95" s="60">
        <v>4.07</v>
      </c>
      <c r="Q95" s="60">
        <v>9.4</v>
      </c>
      <c r="R95" s="197"/>
      <c r="S95" s="197"/>
      <c r="T95" s="197"/>
      <c r="U95" s="197"/>
    </row>
    <row r="96" spans="1:26" s="12" customFormat="1" x14ac:dyDescent="0.25">
      <c r="A96" s="200" t="s">
        <v>1103</v>
      </c>
      <c r="B96" s="60">
        <v>10.48</v>
      </c>
      <c r="C96" s="60">
        <v>15.41</v>
      </c>
      <c r="D96" s="60">
        <v>25.89</v>
      </c>
      <c r="E96" s="60">
        <v>5.43</v>
      </c>
      <c r="F96" s="60">
        <v>0.24</v>
      </c>
      <c r="G96" s="215" t="s">
        <v>36</v>
      </c>
      <c r="H96" s="60">
        <v>6.27</v>
      </c>
      <c r="I96" s="60">
        <v>10.84</v>
      </c>
      <c r="J96" s="60">
        <v>0.11</v>
      </c>
      <c r="K96" s="60">
        <v>41.2</v>
      </c>
      <c r="L96" s="60">
        <v>32.979999999999997</v>
      </c>
      <c r="M96" s="60">
        <v>99.15</v>
      </c>
      <c r="N96" s="60">
        <v>15.7</v>
      </c>
      <c r="O96" s="60">
        <v>0.8</v>
      </c>
      <c r="P96" s="60">
        <v>4.1500000000000004</v>
      </c>
      <c r="Q96" s="60">
        <v>9.83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1104</v>
      </c>
      <c r="B97" s="60">
        <v>11.69</v>
      </c>
      <c r="C97" s="60">
        <v>15.52</v>
      </c>
      <c r="D97" s="60">
        <v>27.21</v>
      </c>
      <c r="E97" s="60">
        <v>5.38</v>
      </c>
      <c r="F97" s="60">
        <v>0.31</v>
      </c>
      <c r="G97" s="215" t="s">
        <v>36</v>
      </c>
      <c r="H97" s="60">
        <v>6.85</v>
      </c>
      <c r="I97" s="60">
        <v>11.13</v>
      </c>
      <c r="J97" s="60">
        <v>0.13</v>
      </c>
      <c r="K97" s="60">
        <v>14.36</v>
      </c>
      <c r="L97" s="60">
        <v>33.090000000000003</v>
      </c>
      <c r="M97" s="60">
        <v>99.15</v>
      </c>
      <c r="N97" s="60">
        <v>15.7</v>
      </c>
      <c r="O97" s="60">
        <v>0.4</v>
      </c>
      <c r="P97" s="60">
        <v>4.24</v>
      </c>
      <c r="Q97" s="60">
        <v>10.49</v>
      </c>
      <c r="R97" s="197"/>
      <c r="S97" s="197"/>
      <c r="T97" s="197"/>
      <c r="U97" s="197"/>
    </row>
    <row r="98" spans="1:33" s="12" customFormat="1" x14ac:dyDescent="0.25">
      <c r="A98" s="200" t="s">
        <v>1105</v>
      </c>
      <c r="B98" s="60">
        <v>12.24</v>
      </c>
      <c r="C98" s="60">
        <v>14.88</v>
      </c>
      <c r="D98" s="60">
        <v>27.11</v>
      </c>
      <c r="E98" s="60">
        <v>5.41</v>
      </c>
      <c r="F98" s="60">
        <v>0.32</v>
      </c>
      <c r="G98" s="215" t="s">
        <v>36</v>
      </c>
      <c r="H98" s="60">
        <v>8.2899999999999991</v>
      </c>
      <c r="I98" s="60">
        <v>11.45</v>
      </c>
      <c r="J98" s="60">
        <v>0.04</v>
      </c>
      <c r="K98" s="60">
        <v>65.069999999999993</v>
      </c>
      <c r="L98" s="60">
        <v>33.26</v>
      </c>
      <c r="M98" s="60">
        <v>99.15</v>
      </c>
      <c r="N98" s="60">
        <v>15.9</v>
      </c>
      <c r="O98" s="60">
        <v>0.2</v>
      </c>
      <c r="P98" s="60">
        <v>4.3099999999999996</v>
      </c>
      <c r="Q98" s="60">
        <v>10.25</v>
      </c>
      <c r="R98" s="197"/>
      <c r="S98" s="197"/>
      <c r="T98" s="197"/>
      <c r="U98" s="197"/>
    </row>
    <row r="99" spans="1:33" s="12" customFormat="1" x14ac:dyDescent="0.25">
      <c r="A99" s="200" t="s">
        <v>1106</v>
      </c>
      <c r="B99" s="60">
        <v>12.06</v>
      </c>
      <c r="C99" s="60">
        <v>14.13</v>
      </c>
      <c r="D99" s="60">
        <v>26.18</v>
      </c>
      <c r="E99" s="60">
        <v>5.73</v>
      </c>
      <c r="F99" s="60">
        <v>0.08</v>
      </c>
      <c r="G99" s="215" t="s">
        <v>36</v>
      </c>
      <c r="H99" s="60">
        <v>8.2899999999999991</v>
      </c>
      <c r="I99" s="60">
        <v>12.45</v>
      </c>
      <c r="J99" s="60">
        <v>0.04</v>
      </c>
      <c r="K99" s="60">
        <v>167.99</v>
      </c>
      <c r="L99" s="60">
        <v>36.97</v>
      </c>
      <c r="M99" s="60">
        <v>99.15</v>
      </c>
      <c r="N99" s="60">
        <v>16</v>
      </c>
      <c r="O99" s="60">
        <v>0</v>
      </c>
      <c r="P99" s="60">
        <v>4.3099999999999996</v>
      </c>
      <c r="Q99" s="60">
        <v>9.68</v>
      </c>
      <c r="R99" s="197"/>
      <c r="S99" s="197"/>
      <c r="T99" s="197"/>
      <c r="U99" s="197"/>
    </row>
    <row r="100" spans="1:33" s="12" customFormat="1" x14ac:dyDescent="0.25">
      <c r="A100" s="200" t="s">
        <v>1107</v>
      </c>
      <c r="B100" s="60">
        <v>11.28</v>
      </c>
      <c r="C100" s="60">
        <v>13.45</v>
      </c>
      <c r="D100" s="60">
        <v>24.73</v>
      </c>
      <c r="E100" s="60">
        <v>5.55</v>
      </c>
      <c r="F100" s="60">
        <v>0.76</v>
      </c>
      <c r="G100" s="215" t="s">
        <v>36</v>
      </c>
      <c r="H100" s="60">
        <v>8.2899999999999991</v>
      </c>
      <c r="I100" s="60">
        <v>13.52</v>
      </c>
      <c r="J100" s="60">
        <v>0.02</v>
      </c>
      <c r="K100" s="60">
        <v>76.739999999999995</v>
      </c>
      <c r="L100" s="60">
        <v>39.54</v>
      </c>
      <c r="M100" s="60">
        <v>99.15</v>
      </c>
      <c r="N100" s="60">
        <v>15.7</v>
      </c>
      <c r="O100" s="60">
        <v>0.4</v>
      </c>
      <c r="P100" s="60">
        <v>4.26</v>
      </c>
      <c r="Q100" s="60">
        <v>8.8800000000000008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1108</v>
      </c>
      <c r="B101" s="60">
        <v>10.61</v>
      </c>
      <c r="C101" s="60">
        <v>12.79</v>
      </c>
      <c r="D101" s="60">
        <v>23.39</v>
      </c>
      <c r="E101" s="60">
        <v>5.6</v>
      </c>
      <c r="F101" s="60">
        <v>0.72</v>
      </c>
      <c r="G101" s="215" t="s">
        <v>36</v>
      </c>
      <c r="H101" s="60">
        <v>7.97</v>
      </c>
      <c r="I101" s="60">
        <v>13.5</v>
      </c>
      <c r="J101" s="60">
        <v>0.28999999999999998</v>
      </c>
      <c r="K101" s="60">
        <v>322.75</v>
      </c>
      <c r="L101" s="60">
        <v>37.31</v>
      </c>
      <c r="M101" s="60">
        <v>99.15</v>
      </c>
      <c r="N101" s="60">
        <v>15.9</v>
      </c>
      <c r="O101" s="60">
        <v>0.4</v>
      </c>
      <c r="P101" s="60">
        <v>4.21</v>
      </c>
      <c r="Q101" s="60">
        <v>8.31</v>
      </c>
      <c r="R101" s="197"/>
      <c r="S101" s="197"/>
      <c r="T101" s="197"/>
      <c r="U101" s="197"/>
    </row>
    <row r="102" spans="1:33" s="12" customFormat="1" x14ac:dyDescent="0.25">
      <c r="A102" s="200" t="s">
        <v>1109</v>
      </c>
      <c r="B102" s="60">
        <v>10.06</v>
      </c>
      <c r="C102" s="60">
        <v>12.45</v>
      </c>
      <c r="D102" s="60">
        <v>22.5</v>
      </c>
      <c r="E102" s="60">
        <v>5.44</v>
      </c>
      <c r="F102" s="60">
        <v>0.35</v>
      </c>
      <c r="G102" s="215" t="s">
        <v>36</v>
      </c>
      <c r="H102" s="60">
        <v>7.18</v>
      </c>
      <c r="I102" s="60">
        <v>12.97</v>
      </c>
      <c r="J102" s="60">
        <v>0.19</v>
      </c>
      <c r="K102" s="60">
        <v>36.79</v>
      </c>
      <c r="L102" s="60">
        <v>35.79</v>
      </c>
      <c r="M102" s="60">
        <v>99.15</v>
      </c>
      <c r="N102" s="60">
        <v>16.2</v>
      </c>
      <c r="O102" s="60">
        <v>0.6</v>
      </c>
      <c r="P102" s="60">
        <v>4.1900000000000004</v>
      </c>
      <c r="Q102" s="60">
        <v>7.89</v>
      </c>
      <c r="R102" s="197"/>
      <c r="S102" s="197"/>
      <c r="T102" s="197"/>
      <c r="U102" s="197"/>
    </row>
    <row r="103" spans="1:33" s="12" customFormat="1" x14ac:dyDescent="0.25">
      <c r="A103" s="200" t="s">
        <v>1110</v>
      </c>
      <c r="B103" s="60">
        <v>9.86</v>
      </c>
      <c r="C103" s="60">
        <v>12.54</v>
      </c>
      <c r="D103" s="60">
        <v>22.4</v>
      </c>
      <c r="E103" s="60">
        <v>5.72</v>
      </c>
      <c r="F103" s="60">
        <v>0.17</v>
      </c>
      <c r="G103" s="215" t="s">
        <v>36</v>
      </c>
      <c r="H103" s="60">
        <v>7.18</v>
      </c>
      <c r="I103" s="60">
        <v>12.43</v>
      </c>
      <c r="J103" s="60">
        <v>0.2</v>
      </c>
      <c r="K103" s="60">
        <v>25.89</v>
      </c>
      <c r="L103" s="60">
        <v>38.369999999999997</v>
      </c>
      <c r="M103" s="60">
        <v>99.15</v>
      </c>
      <c r="N103" s="60">
        <v>15.9</v>
      </c>
      <c r="O103" s="60">
        <v>0.8</v>
      </c>
      <c r="P103" s="60">
        <v>4.16</v>
      </c>
      <c r="Q103" s="60">
        <v>7.83</v>
      </c>
      <c r="R103" s="197"/>
      <c r="S103" s="197"/>
      <c r="T103" s="197"/>
      <c r="U103" s="197"/>
    </row>
    <row r="104" spans="1:33" s="12" customFormat="1" x14ac:dyDescent="0.25">
      <c r="A104" s="200" t="s">
        <v>1111</v>
      </c>
      <c r="B104" s="60">
        <v>9.4499999999999993</v>
      </c>
      <c r="C104" s="60">
        <v>13.08</v>
      </c>
      <c r="D104" s="60">
        <v>22.53</v>
      </c>
      <c r="E104" s="60">
        <v>1.29</v>
      </c>
      <c r="F104" s="60">
        <v>0.14000000000000001</v>
      </c>
      <c r="G104" s="215" t="s">
        <v>36</v>
      </c>
      <c r="H104" s="60">
        <v>7.18</v>
      </c>
      <c r="I104" s="60">
        <v>12.13</v>
      </c>
      <c r="J104" s="60">
        <v>0.28999999999999998</v>
      </c>
      <c r="K104" s="60">
        <v>48.55</v>
      </c>
      <c r="L104" s="60">
        <v>36.57</v>
      </c>
      <c r="M104" s="60">
        <v>99.15</v>
      </c>
      <c r="N104" s="60">
        <v>15.8</v>
      </c>
      <c r="O104" s="60">
        <v>0.6</v>
      </c>
      <c r="P104" s="60">
        <v>4.13</v>
      </c>
      <c r="Q104" s="60">
        <v>7.82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5" t="s">
        <v>59</v>
      </c>
      <c r="B106" s="67">
        <f>MIN(B9:B104)</f>
        <v>7.7</v>
      </c>
      <c r="C106" s="67">
        <f>MIN(C9:C104)</f>
        <v>9.18</v>
      </c>
      <c r="D106" s="67">
        <f t="shared" ref="D106:Q106" si="0">MIN(D9:D104)</f>
        <v>22.26</v>
      </c>
      <c r="E106" s="67">
        <f t="shared" si="0"/>
        <v>1.29</v>
      </c>
      <c r="F106" s="67">
        <f t="shared" si="0"/>
        <v>0.01</v>
      </c>
      <c r="G106" s="67">
        <f t="shared" si="0"/>
        <v>0</v>
      </c>
      <c r="H106" s="67">
        <f t="shared" si="0"/>
        <v>4.67</v>
      </c>
      <c r="I106" s="67">
        <f t="shared" si="0"/>
        <v>5.7</v>
      </c>
      <c r="J106" s="67">
        <f t="shared" si="0"/>
        <v>0.02</v>
      </c>
      <c r="K106" s="67">
        <f t="shared" si="0"/>
        <v>3.24</v>
      </c>
      <c r="L106" s="67">
        <f t="shared" si="0"/>
        <v>32.29</v>
      </c>
      <c r="M106" s="67">
        <f t="shared" si="0"/>
        <v>74.83</v>
      </c>
      <c r="N106" s="67">
        <f t="shared" si="0"/>
        <v>15</v>
      </c>
      <c r="O106" s="67">
        <f t="shared" si="0"/>
        <v>0</v>
      </c>
      <c r="P106" s="67">
        <f t="shared" si="0"/>
        <v>3.66</v>
      </c>
      <c r="Q106" s="67">
        <f t="shared" si="0"/>
        <v>7.54</v>
      </c>
      <c r="R106" s="198"/>
      <c r="S106" s="198"/>
      <c r="T106" s="198"/>
      <c r="U106" s="198"/>
    </row>
    <row r="107" spans="1:33" x14ac:dyDescent="0.25">
      <c r="A107" s="65" t="s">
        <v>60</v>
      </c>
      <c r="B107" s="66">
        <f>MAX(B9:B104)</f>
        <v>30.91</v>
      </c>
      <c r="C107" s="66">
        <f t="shared" ref="C107:Q107" si="1">MAX(C9:C104)</f>
        <v>15.98</v>
      </c>
      <c r="D107" s="66">
        <f t="shared" si="1"/>
        <v>45.65</v>
      </c>
      <c r="E107" s="66">
        <f t="shared" si="1"/>
        <v>8.91</v>
      </c>
      <c r="F107" s="66">
        <f t="shared" si="1"/>
        <v>1.35</v>
      </c>
      <c r="G107" s="66">
        <f t="shared" si="1"/>
        <v>0</v>
      </c>
      <c r="H107" s="66">
        <f t="shared" si="1"/>
        <v>29.53</v>
      </c>
      <c r="I107" s="66">
        <f t="shared" si="1"/>
        <v>13.52</v>
      </c>
      <c r="J107" s="66">
        <f t="shared" si="1"/>
        <v>1.5</v>
      </c>
      <c r="K107" s="66">
        <f t="shared" si="1"/>
        <v>355.78</v>
      </c>
      <c r="L107" s="66">
        <f t="shared" si="1"/>
        <v>42.59</v>
      </c>
      <c r="M107" s="66">
        <f t="shared" si="1"/>
        <v>99.15</v>
      </c>
      <c r="N107" s="66">
        <f t="shared" si="1"/>
        <v>544.5</v>
      </c>
      <c r="O107" s="66">
        <f t="shared" si="1"/>
        <v>11</v>
      </c>
      <c r="P107" s="66">
        <f t="shared" si="1"/>
        <v>4.33</v>
      </c>
      <c r="Q107" s="66">
        <f t="shared" si="1"/>
        <v>19.52</v>
      </c>
      <c r="R107" s="199"/>
      <c r="S107" s="199"/>
      <c r="T107" s="199"/>
      <c r="U107" s="199"/>
    </row>
    <row r="108" spans="1:33" x14ac:dyDescent="0.25">
      <c r="A108" s="65" t="s">
        <v>61</v>
      </c>
      <c r="B108" s="67">
        <f>AVERAGE(B9:B104)</f>
        <v>18.97927083333332</v>
      </c>
      <c r="C108" s="67">
        <f t="shared" ref="C108:Q108" si="2">AVERAGE(C9:C104)</f>
        <v>12.61572916666667</v>
      </c>
      <c r="D108" s="67">
        <f t="shared" si="2"/>
        <v>31.594479166666659</v>
      </c>
      <c r="E108" s="67">
        <f t="shared" si="2"/>
        <v>6.3507291666666648</v>
      </c>
      <c r="F108" s="67">
        <f t="shared" si="2"/>
        <v>0.31489583333333343</v>
      </c>
      <c r="G108" s="67" t="e">
        <f t="shared" si="2"/>
        <v>#DIV/0!</v>
      </c>
      <c r="H108" s="67">
        <f t="shared" si="2"/>
        <v>15.207083333333335</v>
      </c>
      <c r="I108" s="67">
        <f t="shared" si="2"/>
        <v>8.0103125000000031</v>
      </c>
      <c r="J108" s="67">
        <f t="shared" si="2"/>
        <v>0.49979166666666686</v>
      </c>
      <c r="K108" s="67">
        <f t="shared" si="2"/>
        <v>209.29583333333335</v>
      </c>
      <c r="L108" s="67">
        <f t="shared" si="2"/>
        <v>35.66541666666668</v>
      </c>
      <c r="M108" s="67">
        <f t="shared" si="2"/>
        <v>97.290312499999857</v>
      </c>
      <c r="N108" s="67">
        <f t="shared" si="2"/>
        <v>91.380208333333442</v>
      </c>
      <c r="O108" s="67">
        <f t="shared" si="2"/>
        <v>1.1687500000000004</v>
      </c>
      <c r="P108" s="67">
        <f t="shared" si="2"/>
        <v>3.9411458333333322</v>
      </c>
      <c r="Q108" s="67">
        <f t="shared" si="2"/>
        <v>12.953437500000005</v>
      </c>
      <c r="R108" s="198"/>
      <c r="S108" s="198"/>
      <c r="T108" s="198"/>
      <c r="U108" s="198"/>
    </row>
    <row r="109" spans="1:33" x14ac:dyDescent="0.25">
      <c r="A109" s="65" t="s">
        <v>77</v>
      </c>
      <c r="B109" s="67">
        <f>STDEV(B9:B104)</f>
        <v>7.3252608712004648</v>
      </c>
      <c r="C109" s="67">
        <f t="shared" ref="C109:Q109" si="3">STDEV(C9:C104)</f>
        <v>2.0640291434048428</v>
      </c>
      <c r="D109" s="67">
        <f t="shared" si="3"/>
        <v>7.3608295970941091</v>
      </c>
      <c r="E109" s="67">
        <f t="shared" si="3"/>
        <v>1.5590173995799443</v>
      </c>
      <c r="F109" s="67">
        <f t="shared" si="3"/>
        <v>0.26675435098968819</v>
      </c>
      <c r="G109" s="67" t="e">
        <f t="shared" si="3"/>
        <v>#DIV/0!</v>
      </c>
      <c r="H109" s="67">
        <f t="shared" si="3"/>
        <v>6.8561838267848909</v>
      </c>
      <c r="I109" s="67">
        <f t="shared" si="3"/>
        <v>1.6637772201102616</v>
      </c>
      <c r="J109" s="67">
        <f t="shared" si="3"/>
        <v>0.37623894749751075</v>
      </c>
      <c r="K109" s="67">
        <f t="shared" si="3"/>
        <v>133.99683087899515</v>
      </c>
      <c r="L109" s="67">
        <f t="shared" si="3"/>
        <v>2.7071406226639194</v>
      </c>
      <c r="M109" s="67">
        <f t="shared" si="3"/>
        <v>4.8416618402156173</v>
      </c>
      <c r="N109" s="67">
        <f t="shared" si="3"/>
        <v>130.57484130993251</v>
      </c>
      <c r="O109" s="67">
        <f t="shared" si="3"/>
        <v>2.1128834127299765</v>
      </c>
      <c r="P109" s="67">
        <f t="shared" si="3"/>
        <v>0.17193554356313545</v>
      </c>
      <c r="Q109" s="67">
        <f t="shared" si="3"/>
        <v>3.5575091309939149</v>
      </c>
      <c r="R109" s="198"/>
      <c r="S109" s="198"/>
      <c r="T109" s="198"/>
      <c r="U109" s="198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>COUNT(E9:E104)</f>
        <v>96</v>
      </c>
      <c r="F110" s="66">
        <f>COUNT(F9:F104)</f>
        <v>96</v>
      </c>
      <c r="G110" s="66">
        <f>COUNT(G9:G104)+96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9"/>
      <c r="S110" s="199"/>
      <c r="T110" s="199"/>
      <c r="U110" s="199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218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33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P110" sqref="P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10-08-2022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234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1112</v>
      </c>
      <c r="B9" s="60">
        <v>8.7100000000000009</v>
      </c>
      <c r="C9" s="60">
        <v>15.32</v>
      </c>
      <c r="D9" s="60">
        <v>24.04</v>
      </c>
      <c r="E9" s="60">
        <v>2.98</v>
      </c>
      <c r="F9" s="60">
        <v>0.19</v>
      </c>
      <c r="G9" s="215" t="s">
        <v>36</v>
      </c>
      <c r="H9" s="60">
        <v>7.52</v>
      </c>
      <c r="I9" s="60">
        <v>11.71</v>
      </c>
      <c r="J9" s="60">
        <v>0.16</v>
      </c>
      <c r="K9" s="60">
        <v>55.76</v>
      </c>
      <c r="L9" s="60">
        <v>35.22</v>
      </c>
      <c r="M9" s="60">
        <v>99.15</v>
      </c>
      <c r="N9" s="60">
        <v>15.7</v>
      </c>
      <c r="O9" s="60">
        <v>0.6</v>
      </c>
      <c r="P9" s="60">
        <v>4.0999999999999996</v>
      </c>
      <c r="Q9" s="60">
        <v>8.1199999999999992</v>
      </c>
      <c r="R9" s="197"/>
      <c r="S9" s="197"/>
      <c r="T9" s="197"/>
      <c r="U9" s="197"/>
    </row>
    <row r="10" spans="1:21" s="12" customFormat="1" x14ac:dyDescent="0.25">
      <c r="A10" s="200" t="s">
        <v>1113</v>
      </c>
      <c r="B10" s="60">
        <v>7.87</v>
      </c>
      <c r="C10" s="60">
        <v>15.49</v>
      </c>
      <c r="D10" s="60">
        <v>23.36</v>
      </c>
      <c r="E10" s="60">
        <v>3.22</v>
      </c>
      <c r="F10" s="60">
        <v>0.31</v>
      </c>
      <c r="G10" s="215" t="s">
        <v>36</v>
      </c>
      <c r="H10" s="60">
        <v>8.3699999999999992</v>
      </c>
      <c r="I10" s="60">
        <v>11.25</v>
      </c>
      <c r="J10" s="60">
        <v>0.06</v>
      </c>
      <c r="K10" s="60">
        <v>109.45</v>
      </c>
      <c r="L10" s="60">
        <v>35.409999999999997</v>
      </c>
      <c r="M10" s="60">
        <v>99.15</v>
      </c>
      <c r="N10" s="60">
        <v>15.3</v>
      </c>
      <c r="O10" s="60">
        <v>0.2</v>
      </c>
      <c r="P10" s="60">
        <v>4.04</v>
      </c>
      <c r="Q10" s="60">
        <v>7.97</v>
      </c>
      <c r="R10" s="197"/>
      <c r="S10" s="197"/>
      <c r="T10" s="197"/>
      <c r="U10" s="197"/>
    </row>
    <row r="11" spans="1:21" s="12" customFormat="1" x14ac:dyDescent="0.25">
      <c r="A11" s="200" t="s">
        <v>1114</v>
      </c>
      <c r="B11" s="60">
        <v>6.85</v>
      </c>
      <c r="C11" s="60">
        <v>14.58</v>
      </c>
      <c r="D11" s="60">
        <v>21.43</v>
      </c>
      <c r="E11" s="60">
        <v>3.6</v>
      </c>
      <c r="F11" s="60">
        <v>0.31</v>
      </c>
      <c r="G11" s="215" t="s">
        <v>36</v>
      </c>
      <c r="H11" s="60">
        <v>8.3699999999999992</v>
      </c>
      <c r="I11" s="60">
        <v>11.06</v>
      </c>
      <c r="J11" s="60">
        <v>0.08</v>
      </c>
      <c r="K11" s="60">
        <v>21.27</v>
      </c>
      <c r="L11" s="60">
        <v>33.78</v>
      </c>
      <c r="M11" s="60">
        <v>99.15</v>
      </c>
      <c r="N11" s="60">
        <v>15.6</v>
      </c>
      <c r="O11" s="60">
        <v>0.4</v>
      </c>
      <c r="P11" s="60">
        <v>3.96</v>
      </c>
      <c r="Q11" s="60">
        <v>7.53</v>
      </c>
      <c r="R11" s="197"/>
      <c r="S11" s="197"/>
      <c r="T11" s="197"/>
      <c r="U11" s="197"/>
    </row>
    <row r="12" spans="1:21" s="12" customFormat="1" x14ac:dyDescent="0.25">
      <c r="A12" s="200" t="s">
        <v>1115</v>
      </c>
      <c r="B12" s="60">
        <v>5.77</v>
      </c>
      <c r="C12" s="60">
        <v>13.69</v>
      </c>
      <c r="D12" s="60">
        <v>19.46</v>
      </c>
      <c r="E12" s="60">
        <v>3.36</v>
      </c>
      <c r="F12" s="60">
        <v>0.51</v>
      </c>
      <c r="G12" s="215" t="s">
        <v>36</v>
      </c>
      <c r="H12" s="60">
        <v>8.3699999999999992</v>
      </c>
      <c r="I12" s="60">
        <v>10.54</v>
      </c>
      <c r="J12" s="60">
        <v>0.13</v>
      </c>
      <c r="K12" s="60">
        <v>47.25</v>
      </c>
      <c r="L12" s="60">
        <v>34.020000000000003</v>
      </c>
      <c r="M12" s="60">
        <v>99.15</v>
      </c>
      <c r="N12" s="60">
        <v>15.7</v>
      </c>
      <c r="O12" s="60">
        <v>1</v>
      </c>
      <c r="P12" s="60">
        <v>3.91</v>
      </c>
      <c r="Q12" s="60">
        <v>7.03</v>
      </c>
      <c r="R12" s="197"/>
      <c r="S12" s="197"/>
      <c r="T12" s="197"/>
      <c r="U12" s="197"/>
    </row>
    <row r="13" spans="1:21" s="12" customFormat="1" x14ac:dyDescent="0.25">
      <c r="A13" s="200" t="s">
        <v>1116</v>
      </c>
      <c r="B13" s="60">
        <v>4.71</v>
      </c>
      <c r="C13" s="60">
        <v>13.15</v>
      </c>
      <c r="D13" s="60">
        <v>17.850000000000001</v>
      </c>
      <c r="E13" s="60">
        <v>3.91</v>
      </c>
      <c r="F13" s="60">
        <v>0.48</v>
      </c>
      <c r="G13" s="215" t="s">
        <v>36</v>
      </c>
      <c r="H13" s="60">
        <v>8.08</v>
      </c>
      <c r="I13" s="60">
        <v>9.93</v>
      </c>
      <c r="J13" s="60">
        <v>0.21</v>
      </c>
      <c r="K13" s="60">
        <v>52.63</v>
      </c>
      <c r="L13" s="60">
        <v>40.659999999999997</v>
      </c>
      <c r="M13" s="60">
        <v>99.15</v>
      </c>
      <c r="N13" s="60">
        <v>15.8</v>
      </c>
      <c r="O13" s="60">
        <v>0.6</v>
      </c>
      <c r="P13" s="60">
        <v>3.83</v>
      </c>
      <c r="Q13" s="60">
        <v>6.42</v>
      </c>
      <c r="R13" s="197"/>
      <c r="S13" s="197"/>
      <c r="T13" s="197"/>
      <c r="U13" s="197"/>
    </row>
    <row r="14" spans="1:21" s="12" customFormat="1" x14ac:dyDescent="0.25">
      <c r="A14" s="200" t="s">
        <v>1117</v>
      </c>
      <c r="B14" s="60">
        <v>3.58</v>
      </c>
      <c r="C14" s="60">
        <v>12.73</v>
      </c>
      <c r="D14" s="60">
        <v>16.309999999999999</v>
      </c>
      <c r="E14" s="60">
        <v>3.4</v>
      </c>
      <c r="F14" s="60">
        <v>0.61</v>
      </c>
      <c r="G14" s="215" t="s">
        <v>36</v>
      </c>
      <c r="H14" s="60">
        <v>7.36</v>
      </c>
      <c r="I14" s="60">
        <v>9.2799999999999994</v>
      </c>
      <c r="J14" s="60">
        <v>0.23</v>
      </c>
      <c r="K14" s="60">
        <v>62.09</v>
      </c>
      <c r="L14" s="60">
        <v>37.31</v>
      </c>
      <c r="M14" s="60">
        <v>99.15</v>
      </c>
      <c r="N14" s="60">
        <v>15.8</v>
      </c>
      <c r="O14" s="60">
        <v>0</v>
      </c>
      <c r="P14" s="60">
        <v>3.77</v>
      </c>
      <c r="Q14" s="60">
        <v>5.82</v>
      </c>
      <c r="R14" s="197"/>
      <c r="S14" s="197"/>
      <c r="T14" s="197"/>
      <c r="U14" s="197"/>
    </row>
    <row r="15" spans="1:21" s="12" customFormat="1" x14ac:dyDescent="0.25">
      <c r="A15" s="200" t="s">
        <v>1118</v>
      </c>
      <c r="B15" s="60">
        <v>2.94</v>
      </c>
      <c r="C15" s="60">
        <v>12.75</v>
      </c>
      <c r="D15" s="60">
        <v>15.69</v>
      </c>
      <c r="E15" s="60">
        <v>3.08</v>
      </c>
      <c r="F15" s="60">
        <v>0.33</v>
      </c>
      <c r="G15" s="215" t="s">
        <v>36</v>
      </c>
      <c r="H15" s="60">
        <v>7.36</v>
      </c>
      <c r="I15" s="60">
        <v>8.68</v>
      </c>
      <c r="J15" s="60">
        <v>0.23</v>
      </c>
      <c r="K15" s="60">
        <v>48.36</v>
      </c>
      <c r="L15" s="60">
        <v>37.25</v>
      </c>
      <c r="M15" s="60">
        <v>99.15</v>
      </c>
      <c r="N15" s="60">
        <v>16.100000000000001</v>
      </c>
      <c r="O15" s="60">
        <v>0</v>
      </c>
      <c r="P15" s="60">
        <v>3.75</v>
      </c>
      <c r="Q15" s="60">
        <v>5.5</v>
      </c>
      <c r="R15" s="197"/>
      <c r="S15" s="197"/>
      <c r="T15" s="197"/>
      <c r="U15" s="197"/>
    </row>
    <row r="16" spans="1:21" s="12" customFormat="1" x14ac:dyDescent="0.25">
      <c r="A16" s="200" t="s">
        <v>1119</v>
      </c>
      <c r="B16" s="60">
        <v>2.66</v>
      </c>
      <c r="C16" s="60">
        <v>11.9</v>
      </c>
      <c r="D16" s="60">
        <v>14.56</v>
      </c>
      <c r="E16" s="60">
        <v>3.08</v>
      </c>
      <c r="F16" s="60">
        <v>0.63</v>
      </c>
      <c r="G16" s="215" t="s">
        <v>36</v>
      </c>
      <c r="H16" s="60">
        <v>7.36</v>
      </c>
      <c r="I16" s="60">
        <v>8.1300000000000008</v>
      </c>
      <c r="J16" s="60">
        <v>0.28999999999999998</v>
      </c>
      <c r="K16" s="60">
        <v>49.58</v>
      </c>
      <c r="L16" s="60">
        <v>37.590000000000003</v>
      </c>
      <c r="M16" s="60">
        <v>99.15</v>
      </c>
      <c r="N16" s="60">
        <v>16</v>
      </c>
      <c r="O16" s="60">
        <v>0.2</v>
      </c>
      <c r="P16" s="60">
        <v>3.72</v>
      </c>
      <c r="Q16" s="60">
        <v>5.29</v>
      </c>
      <c r="R16" s="197"/>
      <c r="S16" s="197"/>
      <c r="T16" s="197"/>
      <c r="U16" s="197"/>
    </row>
    <row r="17" spans="1:21" s="12" customFormat="1" x14ac:dyDescent="0.25">
      <c r="A17" s="200" t="s">
        <v>1120</v>
      </c>
      <c r="B17" s="60">
        <v>2.5499999999999998</v>
      </c>
      <c r="C17" s="60">
        <v>11.66</v>
      </c>
      <c r="D17" s="60">
        <v>14.22</v>
      </c>
      <c r="E17" s="60">
        <v>2.59</v>
      </c>
      <c r="F17" s="60">
        <v>0.24</v>
      </c>
      <c r="G17" s="215" t="s">
        <v>36</v>
      </c>
      <c r="H17" s="60">
        <v>6.88</v>
      </c>
      <c r="I17" s="60">
        <v>8.18</v>
      </c>
      <c r="J17" s="60">
        <v>0.01</v>
      </c>
      <c r="K17" s="60">
        <v>95.76</v>
      </c>
      <c r="L17" s="60">
        <v>41.57</v>
      </c>
      <c r="M17" s="60">
        <v>99.15</v>
      </c>
      <c r="N17" s="60">
        <v>15.5</v>
      </c>
      <c r="O17" s="60">
        <v>1</v>
      </c>
      <c r="P17" s="60">
        <v>3.7</v>
      </c>
      <c r="Q17" s="60">
        <v>4.87</v>
      </c>
      <c r="R17" s="197"/>
      <c r="S17" s="197"/>
      <c r="T17" s="197"/>
      <c r="U17" s="197"/>
    </row>
    <row r="18" spans="1:21" s="12" customFormat="1" x14ac:dyDescent="0.25">
      <c r="A18" s="200" t="s">
        <v>1121</v>
      </c>
      <c r="B18" s="60">
        <v>2.63</v>
      </c>
      <c r="C18" s="60">
        <v>11.56</v>
      </c>
      <c r="D18" s="60">
        <v>14.19</v>
      </c>
      <c r="E18" s="60">
        <v>3.5</v>
      </c>
      <c r="F18" s="60">
        <v>0.25</v>
      </c>
      <c r="G18" s="215" t="s">
        <v>36</v>
      </c>
      <c r="H18" s="60">
        <v>5.71</v>
      </c>
      <c r="I18" s="60">
        <v>8.09</v>
      </c>
      <c r="J18" s="60">
        <v>0.17</v>
      </c>
      <c r="K18" s="60">
        <v>77.61</v>
      </c>
      <c r="L18" s="60">
        <v>39.07</v>
      </c>
      <c r="M18" s="60">
        <v>99.15</v>
      </c>
      <c r="N18" s="60">
        <v>15.5</v>
      </c>
      <c r="O18" s="60">
        <v>0.8</v>
      </c>
      <c r="P18" s="60">
        <v>3.72</v>
      </c>
      <c r="Q18" s="60">
        <v>4.59</v>
      </c>
      <c r="R18" s="197"/>
      <c r="S18" s="197"/>
      <c r="T18" s="197"/>
      <c r="U18" s="197"/>
    </row>
    <row r="19" spans="1:21" s="12" customFormat="1" x14ac:dyDescent="0.25">
      <c r="A19" s="200" t="s">
        <v>1122</v>
      </c>
      <c r="B19" s="60">
        <v>2.58</v>
      </c>
      <c r="C19" s="60">
        <v>10.79</v>
      </c>
      <c r="D19" s="60">
        <v>13.37</v>
      </c>
      <c r="E19" s="60">
        <v>3.4</v>
      </c>
      <c r="F19" s="60">
        <v>0.36</v>
      </c>
      <c r="G19" s="215" t="s">
        <v>36</v>
      </c>
      <c r="H19" s="60">
        <v>5.71</v>
      </c>
      <c r="I19" s="60">
        <v>8.4</v>
      </c>
      <c r="J19" s="60">
        <v>0.01</v>
      </c>
      <c r="K19" s="60">
        <v>11.95</v>
      </c>
      <c r="L19" s="60">
        <v>33.58</v>
      </c>
      <c r="M19" s="60">
        <v>99.15</v>
      </c>
      <c r="N19" s="60">
        <v>15.7</v>
      </c>
      <c r="O19" s="60">
        <v>1.4</v>
      </c>
      <c r="P19" s="60">
        <v>3.7</v>
      </c>
      <c r="Q19" s="60">
        <v>4.28</v>
      </c>
      <c r="R19" s="197"/>
      <c r="S19" s="197"/>
      <c r="T19" s="197"/>
      <c r="U19" s="197"/>
    </row>
    <row r="20" spans="1:21" s="12" customFormat="1" x14ac:dyDescent="0.25">
      <c r="A20" s="200" t="s">
        <v>1123</v>
      </c>
      <c r="B20" s="60">
        <v>2.41</v>
      </c>
      <c r="C20" s="60">
        <v>9.8000000000000007</v>
      </c>
      <c r="D20" s="60">
        <v>12.21</v>
      </c>
      <c r="E20" s="60">
        <v>3.02</v>
      </c>
      <c r="F20" s="60">
        <v>0.46</v>
      </c>
      <c r="G20" s="215" t="s">
        <v>36</v>
      </c>
      <c r="H20" s="60">
        <v>5.71</v>
      </c>
      <c r="I20" s="60">
        <v>9.39</v>
      </c>
      <c r="J20" s="60">
        <v>0.32</v>
      </c>
      <c r="K20" s="60">
        <v>131.30000000000001</v>
      </c>
      <c r="L20" s="60">
        <v>33.380000000000003</v>
      </c>
      <c r="M20" s="60">
        <v>99.15</v>
      </c>
      <c r="N20" s="60">
        <v>15.9</v>
      </c>
      <c r="O20" s="60">
        <v>1</v>
      </c>
      <c r="P20" s="60">
        <v>3.67</v>
      </c>
      <c r="Q20" s="60">
        <v>3.9</v>
      </c>
      <c r="R20" s="197"/>
      <c r="S20" s="197"/>
      <c r="T20" s="197"/>
      <c r="U20" s="197"/>
    </row>
    <row r="21" spans="1:21" s="12" customFormat="1" x14ac:dyDescent="0.25">
      <c r="A21" s="200" t="s">
        <v>1124</v>
      </c>
      <c r="B21" s="60">
        <v>2.02</v>
      </c>
      <c r="C21" s="60">
        <v>9.08</v>
      </c>
      <c r="D21" s="60">
        <v>11.1</v>
      </c>
      <c r="E21" s="60">
        <v>3.35</v>
      </c>
      <c r="F21" s="60">
        <v>0.76</v>
      </c>
      <c r="G21" s="215" t="s">
        <v>36</v>
      </c>
      <c r="H21" s="60">
        <v>5.31</v>
      </c>
      <c r="I21" s="60">
        <v>9.44</v>
      </c>
      <c r="J21" s="60">
        <v>0.42</v>
      </c>
      <c r="K21" s="60">
        <v>106.67</v>
      </c>
      <c r="L21" s="60">
        <v>33.21</v>
      </c>
      <c r="M21" s="60">
        <v>99.15</v>
      </c>
      <c r="N21" s="60">
        <v>16</v>
      </c>
      <c r="O21" s="60">
        <v>0.2</v>
      </c>
      <c r="P21" s="60">
        <v>3.6</v>
      </c>
      <c r="Q21" s="60">
        <v>3.37</v>
      </c>
      <c r="R21" s="197"/>
      <c r="S21" s="197"/>
      <c r="T21" s="197"/>
      <c r="U21" s="197"/>
    </row>
    <row r="22" spans="1:21" s="12" customFormat="1" x14ac:dyDescent="0.25">
      <c r="A22" s="200" t="s">
        <v>1125</v>
      </c>
      <c r="B22" s="60">
        <v>1.45</v>
      </c>
      <c r="C22" s="60">
        <v>8.7899999999999991</v>
      </c>
      <c r="D22" s="60">
        <v>10.24</v>
      </c>
      <c r="E22" s="60">
        <v>2.86</v>
      </c>
      <c r="F22" s="60">
        <v>0.96</v>
      </c>
      <c r="G22" s="215" t="s">
        <v>36</v>
      </c>
      <c r="H22" s="60">
        <v>4.3499999999999996</v>
      </c>
      <c r="I22" s="60">
        <v>8.92</v>
      </c>
      <c r="J22" s="60">
        <v>0.44</v>
      </c>
      <c r="K22" s="60">
        <v>91.69</v>
      </c>
      <c r="L22" s="60">
        <v>33.21</v>
      </c>
      <c r="M22" s="60">
        <v>99.15</v>
      </c>
      <c r="N22" s="60">
        <v>15.8</v>
      </c>
      <c r="O22" s="60">
        <v>0.2</v>
      </c>
      <c r="P22" s="60">
        <v>3.55</v>
      </c>
      <c r="Q22" s="60">
        <v>2.76</v>
      </c>
      <c r="R22" s="197"/>
      <c r="S22" s="197"/>
      <c r="T22" s="197"/>
      <c r="U22" s="197"/>
    </row>
    <row r="23" spans="1:21" s="12" customFormat="1" x14ac:dyDescent="0.25">
      <c r="A23" s="200" t="s">
        <v>1126</v>
      </c>
      <c r="B23" s="60">
        <v>0.88</v>
      </c>
      <c r="C23" s="60">
        <v>8.4600000000000009</v>
      </c>
      <c r="D23" s="60">
        <v>9.34</v>
      </c>
      <c r="E23" s="60">
        <v>3.21</v>
      </c>
      <c r="F23" s="60">
        <v>0.68</v>
      </c>
      <c r="G23" s="215" t="s">
        <v>36</v>
      </c>
      <c r="H23" s="60">
        <v>4.3499999999999996</v>
      </c>
      <c r="I23" s="60">
        <v>8.14</v>
      </c>
      <c r="J23" s="60">
        <v>0.49</v>
      </c>
      <c r="K23" s="60">
        <v>93.75</v>
      </c>
      <c r="L23" s="60">
        <v>33.299999999999997</v>
      </c>
      <c r="M23" s="60">
        <v>99.15</v>
      </c>
      <c r="N23" s="60">
        <v>15.8</v>
      </c>
      <c r="O23" s="60">
        <v>0</v>
      </c>
      <c r="P23" s="60">
        <v>3.5</v>
      </c>
      <c r="Q23" s="60">
        <v>2.2799999999999998</v>
      </c>
      <c r="R23" s="197"/>
      <c r="S23" s="197"/>
      <c r="T23" s="197"/>
      <c r="U23" s="197"/>
    </row>
    <row r="24" spans="1:21" s="12" customFormat="1" x14ac:dyDescent="0.25">
      <c r="A24" s="200" t="s">
        <v>1127</v>
      </c>
      <c r="B24" s="60">
        <v>0.49</v>
      </c>
      <c r="C24" s="60">
        <v>8.33</v>
      </c>
      <c r="D24" s="60">
        <v>8.82</v>
      </c>
      <c r="E24" s="60">
        <v>1.38</v>
      </c>
      <c r="F24" s="60">
        <v>0.9</v>
      </c>
      <c r="G24" s="215" t="s">
        <v>36</v>
      </c>
      <c r="H24" s="60">
        <v>4.3499999999999996</v>
      </c>
      <c r="I24" s="60">
        <v>7.4</v>
      </c>
      <c r="J24" s="60">
        <v>0.44</v>
      </c>
      <c r="K24" s="60">
        <v>99.87</v>
      </c>
      <c r="L24" s="60">
        <v>33.29</v>
      </c>
      <c r="M24" s="60">
        <v>99.12</v>
      </c>
      <c r="N24" s="60">
        <v>16.100000000000001</v>
      </c>
      <c r="O24" s="60">
        <v>0</v>
      </c>
      <c r="P24" s="60">
        <v>3.46</v>
      </c>
      <c r="Q24" s="60">
        <v>2</v>
      </c>
      <c r="R24" s="197"/>
      <c r="S24" s="197"/>
      <c r="T24" s="197"/>
      <c r="U24" s="197"/>
    </row>
    <row r="25" spans="1:21" s="12" customFormat="1" x14ac:dyDescent="0.25">
      <c r="A25" s="200" t="s">
        <v>1128</v>
      </c>
      <c r="B25" s="60">
        <v>0.28999999999999998</v>
      </c>
      <c r="C25" s="60">
        <v>8.06</v>
      </c>
      <c r="D25" s="60">
        <v>8.35</v>
      </c>
      <c r="E25" s="60">
        <v>2.57</v>
      </c>
      <c r="F25" s="60">
        <v>1.1399999999999999</v>
      </c>
      <c r="G25" s="215" t="s">
        <v>36</v>
      </c>
      <c r="H25" s="60">
        <v>4.18</v>
      </c>
      <c r="I25" s="60">
        <v>6.68</v>
      </c>
      <c r="J25" s="60">
        <v>0.18</v>
      </c>
      <c r="K25" s="60">
        <v>120.87</v>
      </c>
      <c r="L25" s="60">
        <v>33.33</v>
      </c>
      <c r="M25" s="60">
        <v>99.12</v>
      </c>
      <c r="N25" s="60">
        <v>16</v>
      </c>
      <c r="O25" s="60">
        <v>0</v>
      </c>
      <c r="P25" s="60">
        <v>3.42</v>
      </c>
      <c r="Q25" s="60">
        <v>1.95</v>
      </c>
      <c r="R25" s="197"/>
      <c r="S25" s="197"/>
      <c r="T25" s="197"/>
      <c r="U25" s="197"/>
    </row>
    <row r="26" spans="1:21" s="12" customFormat="1" x14ac:dyDescent="0.25">
      <c r="A26" s="200" t="s">
        <v>1129</v>
      </c>
      <c r="B26" s="60">
        <v>0.27</v>
      </c>
      <c r="C26" s="60">
        <v>8.07</v>
      </c>
      <c r="D26" s="60">
        <v>8.34</v>
      </c>
      <c r="E26" s="60">
        <v>3.21</v>
      </c>
      <c r="F26" s="60">
        <v>1.36</v>
      </c>
      <c r="G26" s="215" t="s">
        <v>36</v>
      </c>
      <c r="H26" s="60">
        <v>3.76</v>
      </c>
      <c r="I26" s="60">
        <v>6.04</v>
      </c>
      <c r="J26" s="60">
        <v>0.19</v>
      </c>
      <c r="K26" s="60">
        <v>164.48</v>
      </c>
      <c r="L26" s="60">
        <v>33.61</v>
      </c>
      <c r="M26" s="60">
        <v>99.04</v>
      </c>
      <c r="N26" s="60">
        <v>16.2</v>
      </c>
      <c r="O26" s="60">
        <v>0</v>
      </c>
      <c r="P26" s="60">
        <v>3.38</v>
      </c>
      <c r="Q26" s="60">
        <v>1.81</v>
      </c>
      <c r="R26" s="197"/>
      <c r="S26" s="197"/>
      <c r="T26" s="197"/>
      <c r="U26" s="197"/>
    </row>
    <row r="27" spans="1:21" s="12" customFormat="1" x14ac:dyDescent="0.25">
      <c r="A27" s="200" t="s">
        <v>1130</v>
      </c>
      <c r="B27" s="60">
        <v>0.23</v>
      </c>
      <c r="C27" s="60">
        <v>8.0399999999999991</v>
      </c>
      <c r="D27" s="60">
        <v>8.27</v>
      </c>
      <c r="E27" s="60">
        <v>3.11</v>
      </c>
      <c r="F27" s="60">
        <v>1.44</v>
      </c>
      <c r="G27" s="215" t="s">
        <v>36</v>
      </c>
      <c r="H27" s="60">
        <v>3.76</v>
      </c>
      <c r="I27" s="60">
        <v>5.42</v>
      </c>
      <c r="J27" s="60">
        <v>0.17</v>
      </c>
      <c r="K27" s="60">
        <v>138.16999999999999</v>
      </c>
      <c r="L27" s="60">
        <v>33.840000000000003</v>
      </c>
      <c r="M27" s="60">
        <v>99.14</v>
      </c>
      <c r="N27" s="60">
        <v>15.9</v>
      </c>
      <c r="O27" s="60">
        <v>0.6</v>
      </c>
      <c r="P27" s="60">
        <v>3.36</v>
      </c>
      <c r="Q27" s="60">
        <v>1.75</v>
      </c>
      <c r="R27" s="197"/>
      <c r="S27" s="197"/>
      <c r="T27" s="197"/>
      <c r="U27" s="197"/>
    </row>
    <row r="28" spans="1:21" s="12" customFormat="1" x14ac:dyDescent="0.25">
      <c r="A28" s="200" t="s">
        <v>1131</v>
      </c>
      <c r="B28" s="60">
        <v>0.27</v>
      </c>
      <c r="C28" s="60">
        <v>8.0299999999999994</v>
      </c>
      <c r="D28" s="60">
        <v>8.3000000000000007</v>
      </c>
      <c r="E28" s="60">
        <v>2.95</v>
      </c>
      <c r="F28" s="60">
        <v>1.31</v>
      </c>
      <c r="G28" s="215" t="s">
        <v>36</v>
      </c>
      <c r="H28" s="60">
        <v>3.76</v>
      </c>
      <c r="I28" s="60">
        <v>4.8899999999999997</v>
      </c>
      <c r="J28" s="60">
        <v>0.22</v>
      </c>
      <c r="K28" s="60">
        <v>174.51</v>
      </c>
      <c r="L28" s="60">
        <v>37.86</v>
      </c>
      <c r="M28" s="60">
        <v>99.15</v>
      </c>
      <c r="N28" s="60">
        <v>15.9</v>
      </c>
      <c r="O28" s="60">
        <v>0.4</v>
      </c>
      <c r="P28" s="60">
        <v>3.33</v>
      </c>
      <c r="Q28" s="60">
        <v>1.78</v>
      </c>
      <c r="R28" s="197"/>
      <c r="S28" s="197"/>
      <c r="T28" s="197"/>
      <c r="U28" s="197"/>
    </row>
    <row r="29" spans="1:21" s="12" customFormat="1" x14ac:dyDescent="0.25">
      <c r="A29" s="200" t="s">
        <v>1132</v>
      </c>
      <c r="B29" s="60">
        <v>0.35</v>
      </c>
      <c r="C29" s="60">
        <v>8.23</v>
      </c>
      <c r="D29" s="60">
        <v>8.57</v>
      </c>
      <c r="E29" s="60">
        <v>2.67</v>
      </c>
      <c r="F29" s="60">
        <v>1.36</v>
      </c>
      <c r="G29" s="215" t="s">
        <v>36</v>
      </c>
      <c r="H29" s="60">
        <v>3.54</v>
      </c>
      <c r="I29" s="60">
        <v>4.41</v>
      </c>
      <c r="J29" s="60">
        <v>0.41</v>
      </c>
      <c r="K29" s="60">
        <v>193.91</v>
      </c>
      <c r="L29" s="60">
        <v>36.049999999999997</v>
      </c>
      <c r="M29" s="60">
        <v>99.15</v>
      </c>
      <c r="N29" s="60">
        <v>16.100000000000001</v>
      </c>
      <c r="O29" s="60">
        <v>0.4</v>
      </c>
      <c r="P29" s="60">
        <v>3.31</v>
      </c>
      <c r="Q29" s="60">
        <v>1.94</v>
      </c>
      <c r="R29" s="197"/>
      <c r="S29" s="197"/>
      <c r="T29" s="197"/>
      <c r="U29" s="197"/>
    </row>
    <row r="30" spans="1:21" s="12" customFormat="1" x14ac:dyDescent="0.25">
      <c r="A30" s="200" t="s">
        <v>1133</v>
      </c>
      <c r="B30" s="60">
        <v>0.45</v>
      </c>
      <c r="C30" s="60">
        <v>8.6199999999999992</v>
      </c>
      <c r="D30" s="60">
        <v>9.07</v>
      </c>
      <c r="E30" s="60">
        <v>2.91</v>
      </c>
      <c r="F30" s="60">
        <v>1.5</v>
      </c>
      <c r="G30" s="215" t="s">
        <v>36</v>
      </c>
      <c r="H30" s="60">
        <v>3</v>
      </c>
      <c r="I30" s="60">
        <v>4.0999999999999996</v>
      </c>
      <c r="J30" s="60">
        <v>0.5</v>
      </c>
      <c r="K30" s="60">
        <v>200.01</v>
      </c>
      <c r="L30" s="60">
        <v>39.770000000000003</v>
      </c>
      <c r="M30" s="60">
        <v>99.15</v>
      </c>
      <c r="N30" s="60">
        <v>16</v>
      </c>
      <c r="O30" s="60">
        <v>0.2</v>
      </c>
      <c r="P30" s="60">
        <v>3.29</v>
      </c>
      <c r="Q30" s="60">
        <v>2.06</v>
      </c>
      <c r="R30" s="197"/>
      <c r="S30" s="197"/>
      <c r="T30" s="197"/>
      <c r="U30" s="197"/>
    </row>
    <row r="31" spans="1:21" s="12" customFormat="1" x14ac:dyDescent="0.25">
      <c r="A31" s="200" t="s">
        <v>1134</v>
      </c>
      <c r="B31" s="60">
        <v>0.57999999999999996</v>
      </c>
      <c r="C31" s="60">
        <v>8.23</v>
      </c>
      <c r="D31" s="60">
        <v>8.81</v>
      </c>
      <c r="E31" s="60">
        <v>3.03</v>
      </c>
      <c r="F31" s="60">
        <v>1.17</v>
      </c>
      <c r="G31" s="215" t="s">
        <v>36</v>
      </c>
      <c r="H31" s="60">
        <v>3</v>
      </c>
      <c r="I31" s="60">
        <v>3.81</v>
      </c>
      <c r="J31" s="60">
        <v>0.47</v>
      </c>
      <c r="K31" s="60">
        <v>197.92</v>
      </c>
      <c r="L31" s="60">
        <v>38.68</v>
      </c>
      <c r="M31" s="60">
        <v>99.15</v>
      </c>
      <c r="N31" s="60">
        <v>16.100000000000001</v>
      </c>
      <c r="O31" s="60">
        <v>0.2</v>
      </c>
      <c r="P31" s="60">
        <v>3.29</v>
      </c>
      <c r="Q31" s="60">
        <v>2.0099999999999998</v>
      </c>
      <c r="R31" s="197"/>
      <c r="S31" s="197"/>
      <c r="T31" s="197"/>
      <c r="U31" s="197"/>
    </row>
    <row r="32" spans="1:21" s="12" customFormat="1" x14ac:dyDescent="0.25">
      <c r="A32" s="200" t="s">
        <v>1135</v>
      </c>
      <c r="B32" s="60">
        <v>0.73</v>
      </c>
      <c r="C32" s="60">
        <v>8.24</v>
      </c>
      <c r="D32" s="60">
        <v>8.9700000000000006</v>
      </c>
      <c r="E32" s="60">
        <v>2.88</v>
      </c>
      <c r="F32" s="60">
        <v>0.85</v>
      </c>
      <c r="G32" s="215" t="s">
        <v>36</v>
      </c>
      <c r="H32" s="60">
        <v>3</v>
      </c>
      <c r="I32" s="60">
        <v>3.61</v>
      </c>
      <c r="J32" s="60">
        <v>0.27</v>
      </c>
      <c r="K32" s="60">
        <v>196.15</v>
      </c>
      <c r="L32" s="60">
        <v>38.61</v>
      </c>
      <c r="M32" s="60">
        <v>99.15</v>
      </c>
      <c r="N32" s="60">
        <v>17.600000000000001</v>
      </c>
      <c r="O32" s="60">
        <v>0.4</v>
      </c>
      <c r="P32" s="60">
        <v>3.29</v>
      </c>
      <c r="Q32" s="60">
        <v>1.84</v>
      </c>
      <c r="R32" s="197"/>
      <c r="S32" s="197"/>
      <c r="T32" s="197"/>
      <c r="U32" s="197"/>
    </row>
    <row r="33" spans="1:21" s="12" customFormat="1" x14ac:dyDescent="0.25">
      <c r="A33" s="200" t="s">
        <v>1136</v>
      </c>
      <c r="B33" s="60">
        <v>0.99</v>
      </c>
      <c r="C33" s="60">
        <v>8.31</v>
      </c>
      <c r="D33" s="60">
        <v>9.2899999999999991</v>
      </c>
      <c r="E33" s="60">
        <v>2.84</v>
      </c>
      <c r="F33" s="60">
        <v>0.65</v>
      </c>
      <c r="G33" s="215" t="s">
        <v>36</v>
      </c>
      <c r="H33" s="60">
        <v>2.9</v>
      </c>
      <c r="I33" s="60">
        <v>3.53</v>
      </c>
      <c r="J33" s="60">
        <v>0.17</v>
      </c>
      <c r="K33" s="60">
        <v>160.33000000000001</v>
      </c>
      <c r="L33" s="60">
        <v>35.409999999999997</v>
      </c>
      <c r="M33" s="60">
        <v>99.15</v>
      </c>
      <c r="N33" s="60">
        <v>20.3</v>
      </c>
      <c r="O33" s="60">
        <v>0.2</v>
      </c>
      <c r="P33" s="60">
        <v>3.28</v>
      </c>
      <c r="Q33" s="60">
        <v>1.82</v>
      </c>
      <c r="R33" s="197"/>
      <c r="S33" s="197"/>
      <c r="T33" s="197"/>
      <c r="U33" s="197"/>
    </row>
    <row r="34" spans="1:21" s="12" customFormat="1" x14ac:dyDescent="0.25">
      <c r="A34" s="200" t="s">
        <v>1137</v>
      </c>
      <c r="B34" s="60">
        <v>1.22</v>
      </c>
      <c r="C34" s="60">
        <v>8.48</v>
      </c>
      <c r="D34" s="60">
        <v>9.6999999999999993</v>
      </c>
      <c r="E34" s="60">
        <v>2.93</v>
      </c>
      <c r="F34" s="60">
        <v>0.59</v>
      </c>
      <c r="G34" s="215" t="s">
        <v>36</v>
      </c>
      <c r="H34" s="60">
        <v>2.65</v>
      </c>
      <c r="I34" s="60">
        <v>3.52</v>
      </c>
      <c r="J34" s="60">
        <v>0.32</v>
      </c>
      <c r="K34" s="60">
        <v>180.78</v>
      </c>
      <c r="L34" s="60">
        <v>35.21</v>
      </c>
      <c r="M34" s="60">
        <v>99.15</v>
      </c>
      <c r="N34" s="60">
        <v>21.4</v>
      </c>
      <c r="O34" s="60">
        <v>1.2</v>
      </c>
      <c r="P34" s="60">
        <v>3.29</v>
      </c>
      <c r="Q34" s="60">
        <v>1.97</v>
      </c>
      <c r="R34" s="197"/>
      <c r="S34" s="197"/>
      <c r="T34" s="197"/>
      <c r="U34" s="197"/>
    </row>
    <row r="35" spans="1:21" s="12" customFormat="1" x14ac:dyDescent="0.25">
      <c r="A35" s="200" t="s">
        <v>1138</v>
      </c>
      <c r="B35" s="60">
        <v>1.36</v>
      </c>
      <c r="C35" s="60">
        <v>8.5</v>
      </c>
      <c r="D35" s="60">
        <v>9.86</v>
      </c>
      <c r="E35" s="60">
        <v>3.97</v>
      </c>
      <c r="F35" s="60">
        <v>0.49</v>
      </c>
      <c r="G35" s="215" t="s">
        <v>36</v>
      </c>
      <c r="H35" s="60">
        <v>2.65</v>
      </c>
      <c r="I35" s="60">
        <v>3.53</v>
      </c>
      <c r="J35" s="60">
        <v>0.28999999999999998</v>
      </c>
      <c r="K35" s="60">
        <v>198.56</v>
      </c>
      <c r="L35" s="60">
        <v>35.26</v>
      </c>
      <c r="M35" s="60">
        <v>99.15</v>
      </c>
      <c r="N35" s="60">
        <v>25.3</v>
      </c>
      <c r="O35" s="60">
        <v>1</v>
      </c>
      <c r="P35" s="60">
        <v>3.29</v>
      </c>
      <c r="Q35" s="60">
        <v>2.0299999999999998</v>
      </c>
      <c r="R35" s="197"/>
      <c r="S35" s="197"/>
      <c r="T35" s="197"/>
      <c r="U35" s="197"/>
    </row>
    <row r="36" spans="1:21" s="12" customFormat="1" x14ac:dyDescent="0.25">
      <c r="A36" s="200" t="s">
        <v>1139</v>
      </c>
      <c r="B36" s="60">
        <v>1.51</v>
      </c>
      <c r="C36" s="60">
        <v>8.4700000000000006</v>
      </c>
      <c r="D36" s="60">
        <v>9.98</v>
      </c>
      <c r="E36" s="60">
        <v>3.72</v>
      </c>
      <c r="F36" s="60">
        <v>0.49</v>
      </c>
      <c r="G36" s="215" t="s">
        <v>36</v>
      </c>
      <c r="H36" s="60">
        <v>2.65</v>
      </c>
      <c r="I36" s="60">
        <v>3.57</v>
      </c>
      <c r="J36" s="60">
        <v>0.41</v>
      </c>
      <c r="K36" s="60">
        <v>174.06</v>
      </c>
      <c r="L36" s="60">
        <v>34.770000000000003</v>
      </c>
      <c r="M36" s="60">
        <v>99.15</v>
      </c>
      <c r="N36" s="60">
        <v>30.8</v>
      </c>
      <c r="O36" s="60">
        <v>0.4</v>
      </c>
      <c r="P36" s="60">
        <v>3.29</v>
      </c>
      <c r="Q36" s="60">
        <v>2.2000000000000002</v>
      </c>
      <c r="R36" s="197"/>
      <c r="S36" s="197"/>
      <c r="T36" s="197"/>
      <c r="U36" s="197"/>
    </row>
    <row r="37" spans="1:21" s="12" customFormat="1" x14ac:dyDescent="0.25">
      <c r="A37" s="200" t="s">
        <v>1140</v>
      </c>
      <c r="B37" s="60">
        <v>1.6</v>
      </c>
      <c r="C37" s="60">
        <v>8.67</v>
      </c>
      <c r="D37" s="60">
        <v>10.27</v>
      </c>
      <c r="E37" s="60">
        <v>3.72</v>
      </c>
      <c r="F37" s="60">
        <v>0.36</v>
      </c>
      <c r="G37" s="215" t="s">
        <v>36</v>
      </c>
      <c r="H37" s="60">
        <v>2.58</v>
      </c>
      <c r="I37" s="60">
        <v>3.63</v>
      </c>
      <c r="J37" s="60">
        <v>0.32</v>
      </c>
      <c r="K37" s="60">
        <v>198.45</v>
      </c>
      <c r="L37" s="60">
        <v>35.11</v>
      </c>
      <c r="M37" s="60">
        <v>99.15</v>
      </c>
      <c r="N37" s="60">
        <v>35.4</v>
      </c>
      <c r="O37" s="60">
        <v>0.2</v>
      </c>
      <c r="P37" s="60">
        <v>3.3</v>
      </c>
      <c r="Q37" s="60">
        <v>2.38</v>
      </c>
      <c r="R37" s="197"/>
      <c r="S37" s="197"/>
      <c r="T37" s="197"/>
      <c r="U37" s="197"/>
    </row>
    <row r="38" spans="1:21" s="12" customFormat="1" x14ac:dyDescent="0.25">
      <c r="A38" s="200" t="s">
        <v>1141</v>
      </c>
      <c r="B38" s="60">
        <v>1.61</v>
      </c>
      <c r="C38" s="60">
        <v>9</v>
      </c>
      <c r="D38" s="60">
        <v>10.61</v>
      </c>
      <c r="E38" s="60">
        <v>4.0599999999999996</v>
      </c>
      <c r="F38" s="60">
        <v>0.35</v>
      </c>
      <c r="G38" s="215" t="s">
        <v>36</v>
      </c>
      <c r="H38" s="60">
        <v>2.38</v>
      </c>
      <c r="I38" s="60">
        <v>3.69</v>
      </c>
      <c r="J38" s="60">
        <v>0.25</v>
      </c>
      <c r="K38" s="60">
        <v>173.48</v>
      </c>
      <c r="L38" s="60">
        <v>35.380000000000003</v>
      </c>
      <c r="M38" s="60">
        <v>99.14</v>
      </c>
      <c r="N38" s="60">
        <v>43.1</v>
      </c>
      <c r="O38" s="60">
        <v>0.2</v>
      </c>
      <c r="P38" s="60">
        <v>3.29</v>
      </c>
      <c r="Q38" s="60">
        <v>2.64</v>
      </c>
      <c r="R38" s="197"/>
      <c r="S38" s="197"/>
      <c r="T38" s="197"/>
      <c r="U38" s="197"/>
    </row>
    <row r="39" spans="1:21" s="12" customFormat="1" x14ac:dyDescent="0.25">
      <c r="A39" s="200" t="s">
        <v>1142</v>
      </c>
      <c r="B39" s="60">
        <v>1.72</v>
      </c>
      <c r="C39" s="60">
        <v>9.5299999999999994</v>
      </c>
      <c r="D39" s="60">
        <v>11.25</v>
      </c>
      <c r="E39" s="60">
        <v>3.92</v>
      </c>
      <c r="F39" s="60">
        <v>0.54</v>
      </c>
      <c r="G39" s="215" t="s">
        <v>36</v>
      </c>
      <c r="H39" s="60">
        <v>2.38</v>
      </c>
      <c r="I39" s="60">
        <v>3.67</v>
      </c>
      <c r="J39" s="60">
        <v>0.42</v>
      </c>
      <c r="K39" s="60">
        <v>201.12</v>
      </c>
      <c r="L39" s="60">
        <v>35.25</v>
      </c>
      <c r="M39" s="60">
        <v>99.14</v>
      </c>
      <c r="N39" s="60">
        <v>51.1</v>
      </c>
      <c r="O39" s="60">
        <v>0.2</v>
      </c>
      <c r="P39" s="60">
        <v>3.3</v>
      </c>
      <c r="Q39" s="60">
        <v>3.02</v>
      </c>
      <c r="R39" s="197"/>
      <c r="S39" s="197"/>
      <c r="T39" s="197"/>
      <c r="U39" s="197"/>
    </row>
    <row r="40" spans="1:21" s="12" customFormat="1" x14ac:dyDescent="0.25">
      <c r="A40" s="200" t="s">
        <v>1143</v>
      </c>
      <c r="B40" s="60">
        <v>2.0499999999999998</v>
      </c>
      <c r="C40" s="60">
        <v>9.98</v>
      </c>
      <c r="D40" s="60">
        <v>12.03</v>
      </c>
      <c r="E40" s="60">
        <v>1.54</v>
      </c>
      <c r="F40" s="60">
        <v>0.59</v>
      </c>
      <c r="G40" s="215" t="s">
        <v>36</v>
      </c>
      <c r="H40" s="60">
        <v>2.38</v>
      </c>
      <c r="I40" s="60">
        <v>3.61</v>
      </c>
      <c r="J40" s="60">
        <v>0.63</v>
      </c>
      <c r="K40" s="60">
        <v>201.59</v>
      </c>
      <c r="L40" s="60">
        <v>35.29</v>
      </c>
      <c r="M40" s="60">
        <v>99.1</v>
      </c>
      <c r="N40" s="60">
        <v>66.599999999999994</v>
      </c>
      <c r="O40" s="60">
        <v>0.2</v>
      </c>
      <c r="P40" s="60">
        <v>3.31</v>
      </c>
      <c r="Q40" s="60">
        <v>3.55</v>
      </c>
      <c r="R40" s="197"/>
      <c r="S40" s="197"/>
      <c r="T40" s="197"/>
      <c r="U40" s="197"/>
    </row>
    <row r="41" spans="1:21" s="12" customFormat="1" x14ac:dyDescent="0.25">
      <c r="A41" s="200" t="s">
        <v>1144</v>
      </c>
      <c r="B41" s="60">
        <v>2.41</v>
      </c>
      <c r="C41" s="60">
        <v>10.25</v>
      </c>
      <c r="D41" s="60">
        <v>12.66</v>
      </c>
      <c r="E41" s="60">
        <v>2.9</v>
      </c>
      <c r="F41" s="60">
        <v>0.55000000000000004</v>
      </c>
      <c r="G41" s="215" t="s">
        <v>36</v>
      </c>
      <c r="H41" s="60">
        <v>2.33</v>
      </c>
      <c r="I41" s="60">
        <v>3.56</v>
      </c>
      <c r="J41" s="60">
        <v>0.57999999999999996</v>
      </c>
      <c r="K41" s="60">
        <v>199.15</v>
      </c>
      <c r="L41" s="60">
        <v>35.369999999999997</v>
      </c>
      <c r="M41" s="60">
        <v>99.07</v>
      </c>
      <c r="N41" s="60">
        <v>81</v>
      </c>
      <c r="O41" s="60">
        <v>0.2</v>
      </c>
      <c r="P41" s="60">
        <v>3.32</v>
      </c>
      <c r="Q41" s="60">
        <v>3.92</v>
      </c>
      <c r="R41" s="197"/>
      <c r="S41" s="197"/>
      <c r="T41" s="197"/>
      <c r="U41" s="197"/>
    </row>
    <row r="42" spans="1:21" s="12" customFormat="1" x14ac:dyDescent="0.25">
      <c r="A42" s="200" t="s">
        <v>1145</v>
      </c>
      <c r="B42" s="60">
        <v>2.9</v>
      </c>
      <c r="C42" s="60">
        <v>10.67</v>
      </c>
      <c r="D42" s="60">
        <v>13.57</v>
      </c>
      <c r="E42" s="60">
        <v>3.43</v>
      </c>
      <c r="F42" s="60">
        <v>0.37</v>
      </c>
      <c r="G42" s="215" t="s">
        <v>36</v>
      </c>
      <c r="H42" s="60">
        <v>2.19</v>
      </c>
      <c r="I42" s="60">
        <v>3.58</v>
      </c>
      <c r="J42" s="60">
        <v>0.28999999999999998</v>
      </c>
      <c r="K42" s="60">
        <v>203.12</v>
      </c>
      <c r="L42" s="60">
        <v>34.96</v>
      </c>
      <c r="M42" s="60">
        <v>99.11</v>
      </c>
      <c r="N42" s="60">
        <v>86.1</v>
      </c>
      <c r="O42" s="60">
        <v>0.4</v>
      </c>
      <c r="P42" s="60">
        <v>3.33</v>
      </c>
      <c r="Q42" s="60">
        <v>4.22</v>
      </c>
      <c r="R42" s="197"/>
      <c r="S42" s="197"/>
      <c r="T42" s="197"/>
      <c r="U42" s="197"/>
    </row>
    <row r="43" spans="1:21" s="12" customFormat="1" x14ac:dyDescent="0.25">
      <c r="A43" s="200" t="s">
        <v>1146</v>
      </c>
      <c r="B43" s="60">
        <v>3.16</v>
      </c>
      <c r="C43" s="60">
        <v>10.71</v>
      </c>
      <c r="D43" s="60">
        <v>13.87</v>
      </c>
      <c r="E43" s="60">
        <v>4.1900000000000004</v>
      </c>
      <c r="F43" s="60">
        <v>0.13</v>
      </c>
      <c r="G43" s="215" t="s">
        <v>36</v>
      </c>
      <c r="H43" s="60">
        <v>2.19</v>
      </c>
      <c r="I43" s="60">
        <v>3.59</v>
      </c>
      <c r="J43" s="60">
        <v>0.31</v>
      </c>
      <c r="K43" s="60">
        <v>215.09</v>
      </c>
      <c r="L43" s="60">
        <v>34.82</v>
      </c>
      <c r="M43" s="60">
        <v>98.85</v>
      </c>
      <c r="N43" s="60">
        <v>90.5</v>
      </c>
      <c r="O43" s="60">
        <v>0</v>
      </c>
      <c r="P43" s="60">
        <v>3.34</v>
      </c>
      <c r="Q43" s="60">
        <v>4.3499999999999996</v>
      </c>
      <c r="R43" s="197"/>
      <c r="S43" s="197"/>
      <c r="T43" s="197"/>
      <c r="U43" s="197"/>
    </row>
    <row r="44" spans="1:21" s="12" customFormat="1" x14ac:dyDescent="0.25">
      <c r="A44" s="200" t="s">
        <v>1147</v>
      </c>
      <c r="B44" s="60">
        <v>3.22</v>
      </c>
      <c r="C44" s="60">
        <v>10.46</v>
      </c>
      <c r="D44" s="60">
        <v>13.67</v>
      </c>
      <c r="E44" s="60">
        <v>3.95</v>
      </c>
      <c r="F44" s="60">
        <v>0.2</v>
      </c>
      <c r="G44" s="215" t="s">
        <v>36</v>
      </c>
      <c r="H44" s="60">
        <v>2.19</v>
      </c>
      <c r="I44" s="60">
        <v>3.62</v>
      </c>
      <c r="J44" s="60">
        <v>0.28000000000000003</v>
      </c>
      <c r="K44" s="60">
        <v>199.38</v>
      </c>
      <c r="L44" s="60">
        <v>34.85</v>
      </c>
      <c r="M44" s="60">
        <v>98.6</v>
      </c>
      <c r="N44" s="60">
        <v>99</v>
      </c>
      <c r="O44" s="60">
        <v>0.2</v>
      </c>
      <c r="P44" s="60">
        <v>3.34</v>
      </c>
      <c r="Q44" s="60">
        <v>4.38</v>
      </c>
      <c r="R44" s="197"/>
      <c r="S44" s="197"/>
      <c r="T44" s="197"/>
      <c r="U44" s="197"/>
    </row>
    <row r="45" spans="1:21" s="12" customFormat="1" x14ac:dyDescent="0.25">
      <c r="A45" s="200" t="s">
        <v>1148</v>
      </c>
      <c r="B45" s="60">
        <v>3.42</v>
      </c>
      <c r="C45" s="60">
        <v>9.76</v>
      </c>
      <c r="D45" s="60">
        <v>13.18</v>
      </c>
      <c r="E45" s="60">
        <v>4.13</v>
      </c>
      <c r="F45" s="60">
        <v>0.51</v>
      </c>
      <c r="G45" s="215" t="s">
        <v>36</v>
      </c>
      <c r="H45" s="60">
        <v>2.21</v>
      </c>
      <c r="I45" s="60">
        <v>3.62</v>
      </c>
      <c r="J45" s="60">
        <v>0.54</v>
      </c>
      <c r="K45" s="60">
        <v>200.72</v>
      </c>
      <c r="L45" s="60">
        <v>34.979999999999997</v>
      </c>
      <c r="M45" s="60">
        <v>96.71</v>
      </c>
      <c r="N45" s="60">
        <v>97.1</v>
      </c>
      <c r="O45" s="60">
        <v>0</v>
      </c>
      <c r="P45" s="60">
        <v>3.33</v>
      </c>
      <c r="Q45" s="60">
        <v>4.3899999999999997</v>
      </c>
      <c r="R45" s="197"/>
      <c r="S45" s="197"/>
      <c r="T45" s="197"/>
      <c r="U45" s="197"/>
    </row>
    <row r="46" spans="1:21" s="12" customFormat="1" x14ac:dyDescent="0.25">
      <c r="A46" s="200" t="s">
        <v>1149</v>
      </c>
      <c r="B46" s="60">
        <v>3.38</v>
      </c>
      <c r="C46" s="60">
        <v>9.36</v>
      </c>
      <c r="D46" s="60">
        <v>12.74</v>
      </c>
      <c r="E46" s="60">
        <v>4.3099999999999996</v>
      </c>
      <c r="F46" s="60">
        <v>0.21</v>
      </c>
      <c r="G46" s="215" t="s">
        <v>36</v>
      </c>
      <c r="H46" s="60">
        <v>2.2599999999999998</v>
      </c>
      <c r="I46" s="60">
        <v>3.63</v>
      </c>
      <c r="J46" s="60">
        <v>0.41</v>
      </c>
      <c r="K46" s="60">
        <v>213.42</v>
      </c>
      <c r="L46" s="60">
        <v>35.18</v>
      </c>
      <c r="M46" s="60">
        <v>94.74</v>
      </c>
      <c r="N46" s="60">
        <v>141.6</v>
      </c>
      <c r="O46" s="60">
        <v>0</v>
      </c>
      <c r="P46" s="60">
        <v>3.34</v>
      </c>
      <c r="Q46" s="60">
        <v>4.01</v>
      </c>
      <c r="R46" s="197"/>
      <c r="S46" s="197"/>
      <c r="T46" s="197"/>
      <c r="U46" s="197"/>
    </row>
    <row r="47" spans="1:21" s="12" customFormat="1" x14ac:dyDescent="0.25">
      <c r="A47" s="200" t="s">
        <v>1150</v>
      </c>
      <c r="B47" s="60">
        <v>3.36</v>
      </c>
      <c r="C47" s="60">
        <v>9.0500000000000007</v>
      </c>
      <c r="D47" s="60">
        <v>12.4</v>
      </c>
      <c r="E47" s="60">
        <v>4.3899999999999997</v>
      </c>
      <c r="F47" s="60">
        <v>0.22</v>
      </c>
      <c r="G47" s="215" t="s">
        <v>36</v>
      </c>
      <c r="H47" s="60">
        <v>2.2599999999999998</v>
      </c>
      <c r="I47" s="60">
        <v>3.68</v>
      </c>
      <c r="J47" s="60">
        <v>0.37</v>
      </c>
      <c r="K47" s="60">
        <v>212.9</v>
      </c>
      <c r="L47" s="60">
        <v>35.409999999999997</v>
      </c>
      <c r="M47" s="60">
        <v>93.26</v>
      </c>
      <c r="N47" s="60">
        <v>136.5</v>
      </c>
      <c r="O47" s="60">
        <v>0</v>
      </c>
      <c r="P47" s="60">
        <v>3.34</v>
      </c>
      <c r="Q47" s="60">
        <v>3.78</v>
      </c>
      <c r="R47" s="197"/>
      <c r="S47" s="197"/>
      <c r="T47" s="197"/>
      <c r="U47" s="197"/>
    </row>
    <row r="48" spans="1:21" s="12" customFormat="1" x14ac:dyDescent="0.25">
      <c r="A48" s="200" t="s">
        <v>1151</v>
      </c>
      <c r="B48" s="60">
        <v>3.3</v>
      </c>
      <c r="C48" s="60">
        <v>8.89</v>
      </c>
      <c r="D48" s="60">
        <v>12.18</v>
      </c>
      <c r="E48" s="60">
        <v>4.47</v>
      </c>
      <c r="F48" s="60">
        <v>0.42</v>
      </c>
      <c r="G48" s="215" t="s">
        <v>36</v>
      </c>
      <c r="H48" s="60">
        <v>2.2599999999999998</v>
      </c>
      <c r="I48" s="60">
        <v>3.72</v>
      </c>
      <c r="J48" s="60">
        <v>0.82</v>
      </c>
      <c r="K48" s="60">
        <v>198.83</v>
      </c>
      <c r="L48" s="60">
        <v>35.43</v>
      </c>
      <c r="M48" s="60">
        <v>92.72</v>
      </c>
      <c r="N48" s="60">
        <v>121.4</v>
      </c>
      <c r="O48" s="60">
        <v>0</v>
      </c>
      <c r="P48" s="60">
        <v>3.34</v>
      </c>
      <c r="Q48" s="60">
        <v>3.57</v>
      </c>
      <c r="R48" s="197"/>
      <c r="S48" s="197"/>
      <c r="T48" s="197"/>
      <c r="U48" s="197"/>
    </row>
    <row r="49" spans="1:21" s="12" customFormat="1" x14ac:dyDescent="0.25">
      <c r="A49" s="200" t="s">
        <v>1152</v>
      </c>
      <c r="B49" s="60">
        <v>3.18</v>
      </c>
      <c r="C49" s="60">
        <v>8.66</v>
      </c>
      <c r="D49" s="60">
        <v>11.84</v>
      </c>
      <c r="E49" s="60">
        <v>4.58</v>
      </c>
      <c r="F49" s="60">
        <v>0.39</v>
      </c>
      <c r="G49" s="215" t="s">
        <v>36</v>
      </c>
      <c r="H49" s="60">
        <v>2.4500000000000002</v>
      </c>
      <c r="I49" s="60">
        <v>3.73</v>
      </c>
      <c r="J49" s="60">
        <v>1.38</v>
      </c>
      <c r="K49" s="60">
        <v>210.51</v>
      </c>
      <c r="L49" s="60">
        <v>35.549999999999997</v>
      </c>
      <c r="M49" s="60">
        <v>92.27</v>
      </c>
      <c r="N49" s="60">
        <v>99.3</v>
      </c>
      <c r="O49" s="60">
        <v>0</v>
      </c>
      <c r="P49" s="60">
        <v>3.35</v>
      </c>
      <c r="Q49" s="60">
        <v>3.46</v>
      </c>
      <c r="R49" s="197"/>
      <c r="S49" s="197"/>
      <c r="T49" s="197"/>
      <c r="U49" s="197"/>
    </row>
    <row r="50" spans="1:21" s="12" customFormat="1" x14ac:dyDescent="0.25">
      <c r="A50" s="200" t="s">
        <v>1153</v>
      </c>
      <c r="B50" s="60">
        <v>3.2</v>
      </c>
      <c r="C50" s="60">
        <v>8.66</v>
      </c>
      <c r="D50" s="60">
        <v>11.86</v>
      </c>
      <c r="E50" s="60">
        <v>4.25</v>
      </c>
      <c r="F50" s="60">
        <v>0.33</v>
      </c>
      <c r="G50" s="215" t="s">
        <v>36</v>
      </c>
      <c r="H50" s="60">
        <v>2.91</v>
      </c>
      <c r="I50" s="60">
        <v>3.74</v>
      </c>
      <c r="J50" s="60">
        <v>1.51</v>
      </c>
      <c r="K50" s="60">
        <v>208.38</v>
      </c>
      <c r="L50" s="60">
        <v>35.67</v>
      </c>
      <c r="M50" s="60">
        <v>91.57</v>
      </c>
      <c r="N50" s="60">
        <v>102.9</v>
      </c>
      <c r="O50" s="60">
        <v>0</v>
      </c>
      <c r="P50" s="60">
        <v>3.35</v>
      </c>
      <c r="Q50" s="60">
        <v>3.31</v>
      </c>
      <c r="R50" s="197"/>
      <c r="S50" s="197"/>
      <c r="T50" s="197"/>
      <c r="U50" s="197"/>
    </row>
    <row r="51" spans="1:21" s="12" customFormat="1" x14ac:dyDescent="0.25">
      <c r="A51" s="200" t="s">
        <v>1154</v>
      </c>
      <c r="B51" s="60">
        <v>3.13</v>
      </c>
      <c r="C51" s="60">
        <v>8.74</v>
      </c>
      <c r="D51" s="60">
        <v>11.87</v>
      </c>
      <c r="E51" s="60">
        <v>4.58</v>
      </c>
      <c r="F51" s="60">
        <v>0.28000000000000003</v>
      </c>
      <c r="G51" s="215" t="s">
        <v>36</v>
      </c>
      <c r="H51" s="60">
        <v>2.91</v>
      </c>
      <c r="I51" s="60">
        <v>3.71</v>
      </c>
      <c r="J51" s="60">
        <v>0.73</v>
      </c>
      <c r="K51" s="60">
        <v>212.94</v>
      </c>
      <c r="L51" s="60">
        <v>36.200000000000003</v>
      </c>
      <c r="M51" s="60">
        <v>90.3</v>
      </c>
      <c r="N51" s="60">
        <v>135.9</v>
      </c>
      <c r="O51" s="60">
        <v>0</v>
      </c>
      <c r="P51" s="60">
        <v>3.35</v>
      </c>
      <c r="Q51" s="60">
        <v>3.32</v>
      </c>
      <c r="R51" s="197"/>
      <c r="S51" s="197"/>
      <c r="T51" s="197"/>
      <c r="U51" s="197"/>
    </row>
    <row r="52" spans="1:21" s="12" customFormat="1" x14ac:dyDescent="0.25">
      <c r="A52" s="200" t="s">
        <v>1155</v>
      </c>
      <c r="B52" s="60">
        <v>2.87</v>
      </c>
      <c r="C52" s="60">
        <v>8.99</v>
      </c>
      <c r="D52" s="60">
        <v>11.86</v>
      </c>
      <c r="E52" s="60">
        <v>4.46</v>
      </c>
      <c r="F52" s="60">
        <v>0.39</v>
      </c>
      <c r="G52" s="215" t="s">
        <v>36</v>
      </c>
      <c r="H52" s="60">
        <v>2.91</v>
      </c>
      <c r="I52" s="60">
        <v>3.78</v>
      </c>
      <c r="J52" s="60">
        <v>0.27</v>
      </c>
      <c r="K52" s="60">
        <v>223.49</v>
      </c>
      <c r="L52" s="60">
        <v>36.74</v>
      </c>
      <c r="M52" s="60">
        <v>89.61</v>
      </c>
      <c r="N52" s="60">
        <v>195.7</v>
      </c>
      <c r="O52" s="60">
        <v>0</v>
      </c>
      <c r="P52" s="60">
        <v>3.34</v>
      </c>
      <c r="Q52" s="60">
        <v>3.42</v>
      </c>
      <c r="R52" s="197"/>
      <c r="S52" s="197"/>
      <c r="T52" s="197"/>
      <c r="U52" s="197"/>
    </row>
    <row r="53" spans="1:21" s="12" customFormat="1" x14ac:dyDescent="0.25">
      <c r="A53" s="200" t="s">
        <v>1156</v>
      </c>
      <c r="B53" s="60">
        <v>2.67</v>
      </c>
      <c r="C53" s="60">
        <v>9.68</v>
      </c>
      <c r="D53" s="60">
        <v>12.35</v>
      </c>
      <c r="E53" s="60">
        <v>4.1100000000000003</v>
      </c>
      <c r="F53" s="60">
        <v>0.52</v>
      </c>
      <c r="G53" s="215" t="s">
        <v>36</v>
      </c>
      <c r="H53" s="60">
        <v>2.79</v>
      </c>
      <c r="I53" s="60">
        <v>3.78</v>
      </c>
      <c r="J53" s="60">
        <v>0.5</v>
      </c>
      <c r="K53" s="60">
        <v>220.44</v>
      </c>
      <c r="L53" s="60">
        <v>36.380000000000003</v>
      </c>
      <c r="M53" s="60">
        <v>91.06</v>
      </c>
      <c r="N53" s="60">
        <v>156.9</v>
      </c>
      <c r="O53" s="60">
        <v>0</v>
      </c>
      <c r="P53" s="60">
        <v>3.35</v>
      </c>
      <c r="Q53" s="60">
        <v>3.69</v>
      </c>
      <c r="R53" s="197"/>
      <c r="S53" s="197"/>
      <c r="T53" s="197"/>
      <c r="U53" s="197"/>
    </row>
    <row r="54" spans="1:21" s="12" customFormat="1" x14ac:dyDescent="0.25">
      <c r="A54" s="200" t="s">
        <v>1157</v>
      </c>
      <c r="B54" s="60">
        <v>2.4300000000000002</v>
      </c>
      <c r="C54" s="60">
        <v>10.1</v>
      </c>
      <c r="D54" s="60">
        <v>12.52</v>
      </c>
      <c r="E54" s="60">
        <v>4.75</v>
      </c>
      <c r="F54" s="60">
        <v>0.8</v>
      </c>
      <c r="G54" s="215" t="s">
        <v>36</v>
      </c>
      <c r="H54" s="60">
        <v>2.48</v>
      </c>
      <c r="I54" s="60">
        <v>3.71</v>
      </c>
      <c r="J54" s="60">
        <v>0.35</v>
      </c>
      <c r="K54" s="60">
        <v>224.37</v>
      </c>
      <c r="L54" s="60">
        <v>36.33</v>
      </c>
      <c r="M54" s="60">
        <v>89.98</v>
      </c>
      <c r="N54" s="60">
        <v>158.9</v>
      </c>
      <c r="O54" s="60">
        <v>0</v>
      </c>
      <c r="P54" s="60">
        <v>3.35</v>
      </c>
      <c r="Q54" s="60">
        <v>3.75</v>
      </c>
      <c r="R54" s="197"/>
      <c r="S54" s="197"/>
      <c r="T54" s="197"/>
      <c r="U54" s="197"/>
    </row>
    <row r="55" spans="1:21" s="12" customFormat="1" x14ac:dyDescent="0.25">
      <c r="A55" s="200" t="s">
        <v>1158</v>
      </c>
      <c r="B55" s="60">
        <v>2.2200000000000002</v>
      </c>
      <c r="C55" s="60">
        <v>10.42</v>
      </c>
      <c r="D55" s="60">
        <v>12.63</v>
      </c>
      <c r="E55" s="60">
        <v>4.37</v>
      </c>
      <c r="F55" s="60">
        <v>0.61</v>
      </c>
      <c r="G55" s="215" t="s">
        <v>36</v>
      </c>
      <c r="H55" s="60">
        <v>2.48</v>
      </c>
      <c r="I55" s="60">
        <v>3.62</v>
      </c>
      <c r="J55" s="60">
        <v>0.97</v>
      </c>
      <c r="K55" s="60">
        <v>206.78</v>
      </c>
      <c r="L55" s="60">
        <v>36.1</v>
      </c>
      <c r="M55" s="60">
        <v>88.52</v>
      </c>
      <c r="N55" s="60">
        <v>157.80000000000001</v>
      </c>
      <c r="O55" s="60">
        <v>0</v>
      </c>
      <c r="P55" s="60">
        <v>3.35</v>
      </c>
      <c r="Q55" s="60">
        <v>3.81</v>
      </c>
      <c r="R55" s="197"/>
      <c r="S55" s="197"/>
      <c r="T55" s="197"/>
      <c r="U55" s="197"/>
    </row>
    <row r="56" spans="1:21" s="12" customFormat="1" x14ac:dyDescent="0.25">
      <c r="A56" s="200" t="s">
        <v>1159</v>
      </c>
      <c r="B56" s="60">
        <v>2</v>
      </c>
      <c r="C56" s="60">
        <v>10.65</v>
      </c>
      <c r="D56" s="60">
        <v>12.65</v>
      </c>
      <c r="E56" s="60">
        <v>1.57</v>
      </c>
      <c r="F56" s="60">
        <v>0.73</v>
      </c>
      <c r="G56" s="215" t="s">
        <v>36</v>
      </c>
      <c r="H56" s="60">
        <v>2.48</v>
      </c>
      <c r="I56" s="60">
        <v>3.57</v>
      </c>
      <c r="J56" s="60">
        <v>0.56999999999999995</v>
      </c>
      <c r="K56" s="60">
        <v>211.04</v>
      </c>
      <c r="L56" s="60">
        <v>36.06</v>
      </c>
      <c r="M56" s="60">
        <v>88.11</v>
      </c>
      <c r="N56" s="60">
        <v>190.9</v>
      </c>
      <c r="O56" s="60">
        <v>0</v>
      </c>
      <c r="P56" s="60">
        <v>3.34</v>
      </c>
      <c r="Q56" s="60">
        <v>3.86</v>
      </c>
      <c r="R56" s="197"/>
      <c r="S56" s="197"/>
      <c r="T56" s="197"/>
      <c r="U56" s="197"/>
    </row>
    <row r="57" spans="1:21" s="12" customFormat="1" x14ac:dyDescent="0.25">
      <c r="A57" s="200" t="s">
        <v>1160</v>
      </c>
      <c r="B57" s="60">
        <v>1.8</v>
      </c>
      <c r="C57" s="60">
        <v>10.71</v>
      </c>
      <c r="D57" s="60">
        <v>12.52</v>
      </c>
      <c r="E57" s="60">
        <v>2.88</v>
      </c>
      <c r="F57" s="60">
        <v>0.71</v>
      </c>
      <c r="G57" s="215" t="s">
        <v>36</v>
      </c>
      <c r="H57" s="60">
        <v>2.56</v>
      </c>
      <c r="I57" s="60">
        <v>3.5</v>
      </c>
      <c r="J57" s="60">
        <v>0.35</v>
      </c>
      <c r="K57" s="60">
        <v>225.36</v>
      </c>
      <c r="L57" s="60">
        <v>36.28</v>
      </c>
      <c r="M57" s="60">
        <v>87.36</v>
      </c>
      <c r="N57" s="60">
        <v>184.4</v>
      </c>
      <c r="O57" s="60">
        <v>0</v>
      </c>
      <c r="P57" s="60">
        <v>3.34</v>
      </c>
      <c r="Q57" s="60">
        <v>3.85</v>
      </c>
      <c r="R57" s="197"/>
      <c r="S57" s="197"/>
      <c r="T57" s="197"/>
      <c r="U57" s="197"/>
    </row>
    <row r="58" spans="1:21" s="12" customFormat="1" x14ac:dyDescent="0.25">
      <c r="A58" s="200" t="s">
        <v>1161</v>
      </c>
      <c r="B58" s="60">
        <v>1.54</v>
      </c>
      <c r="C58" s="60">
        <v>10.8</v>
      </c>
      <c r="D58" s="60">
        <v>12.34</v>
      </c>
      <c r="E58" s="60">
        <v>3.8</v>
      </c>
      <c r="F58" s="60">
        <v>0.97</v>
      </c>
      <c r="G58" s="215" t="s">
        <v>36</v>
      </c>
      <c r="H58" s="60">
        <v>2.74</v>
      </c>
      <c r="I58" s="60">
        <v>3.39</v>
      </c>
      <c r="J58" s="60">
        <v>0.54</v>
      </c>
      <c r="K58" s="60">
        <v>197.37</v>
      </c>
      <c r="L58" s="60">
        <v>36.340000000000003</v>
      </c>
      <c r="M58" s="60">
        <v>87.03</v>
      </c>
      <c r="N58" s="60">
        <v>214.1</v>
      </c>
      <c r="O58" s="60">
        <v>0</v>
      </c>
      <c r="P58" s="60">
        <v>3.34</v>
      </c>
      <c r="Q58" s="60">
        <v>3.73</v>
      </c>
      <c r="R58" s="197"/>
      <c r="S58" s="197"/>
      <c r="T58" s="197"/>
      <c r="U58" s="197"/>
    </row>
    <row r="59" spans="1:21" s="12" customFormat="1" x14ac:dyDescent="0.25">
      <c r="A59" s="200" t="s">
        <v>1162</v>
      </c>
      <c r="B59" s="60">
        <v>1.33</v>
      </c>
      <c r="C59" s="60">
        <v>10.53</v>
      </c>
      <c r="D59" s="60">
        <v>11.86</v>
      </c>
      <c r="E59" s="60">
        <v>3.58</v>
      </c>
      <c r="F59" s="60">
        <v>1.17</v>
      </c>
      <c r="G59" s="215" t="s">
        <v>36</v>
      </c>
      <c r="H59" s="60">
        <v>2.74</v>
      </c>
      <c r="I59" s="60">
        <v>3.37</v>
      </c>
      <c r="J59" s="60">
        <v>0.79</v>
      </c>
      <c r="K59" s="60">
        <v>208.33</v>
      </c>
      <c r="L59" s="60">
        <v>36.47</v>
      </c>
      <c r="M59" s="60">
        <v>87.03</v>
      </c>
      <c r="N59" s="60">
        <v>196.2</v>
      </c>
      <c r="O59" s="60">
        <v>0</v>
      </c>
      <c r="P59" s="60">
        <v>3.33</v>
      </c>
      <c r="Q59" s="60">
        <v>3.57</v>
      </c>
      <c r="R59" s="197"/>
      <c r="S59" s="197"/>
      <c r="T59" s="197"/>
      <c r="U59" s="197"/>
    </row>
    <row r="60" spans="1:21" s="12" customFormat="1" x14ac:dyDescent="0.25">
      <c r="A60" s="200" t="s">
        <v>1163</v>
      </c>
      <c r="B60" s="60">
        <v>1.38</v>
      </c>
      <c r="C60" s="60">
        <v>9.7100000000000009</v>
      </c>
      <c r="D60" s="60">
        <v>11.1</v>
      </c>
      <c r="E60" s="60">
        <v>3.94</v>
      </c>
      <c r="F60" s="60">
        <v>0.94</v>
      </c>
      <c r="G60" s="215" t="s">
        <v>36</v>
      </c>
      <c r="H60" s="60">
        <v>2.74</v>
      </c>
      <c r="I60" s="60">
        <v>3.25</v>
      </c>
      <c r="J60" s="60">
        <v>0.43</v>
      </c>
      <c r="K60" s="60">
        <v>193.35</v>
      </c>
      <c r="L60" s="60">
        <v>36.270000000000003</v>
      </c>
      <c r="M60" s="60">
        <v>87.21</v>
      </c>
      <c r="N60" s="60">
        <v>138.6</v>
      </c>
      <c r="O60" s="60">
        <v>0</v>
      </c>
      <c r="P60" s="60">
        <v>3.33</v>
      </c>
      <c r="Q60" s="60">
        <v>3.2</v>
      </c>
      <c r="R60" s="197"/>
      <c r="S60" s="197"/>
      <c r="T60" s="197"/>
      <c r="U60" s="197"/>
    </row>
    <row r="61" spans="1:21" s="12" customFormat="1" x14ac:dyDescent="0.25">
      <c r="A61" s="200" t="s">
        <v>1164</v>
      </c>
      <c r="B61" s="60">
        <v>1.52</v>
      </c>
      <c r="C61" s="60">
        <v>9.32</v>
      </c>
      <c r="D61" s="60">
        <v>10.85</v>
      </c>
      <c r="E61" s="60">
        <v>4.4800000000000004</v>
      </c>
      <c r="F61" s="60">
        <v>0.7</v>
      </c>
      <c r="G61" s="215" t="s">
        <v>36</v>
      </c>
      <c r="H61" s="60">
        <v>2.71</v>
      </c>
      <c r="I61" s="60">
        <v>3.19</v>
      </c>
      <c r="J61" s="60">
        <v>0.6</v>
      </c>
      <c r="K61" s="60">
        <v>210.59</v>
      </c>
      <c r="L61" s="60">
        <v>36.090000000000003</v>
      </c>
      <c r="M61" s="60">
        <v>87.84</v>
      </c>
      <c r="N61" s="60">
        <v>141</v>
      </c>
      <c r="O61" s="60">
        <v>0</v>
      </c>
      <c r="P61" s="60">
        <v>3.33</v>
      </c>
      <c r="Q61" s="60">
        <v>2.91</v>
      </c>
      <c r="R61" s="197"/>
      <c r="S61" s="197"/>
      <c r="T61" s="197"/>
      <c r="U61" s="197"/>
    </row>
    <row r="62" spans="1:21" s="12" customFormat="1" x14ac:dyDescent="0.25">
      <c r="A62" s="200" t="s">
        <v>1165</v>
      </c>
      <c r="B62" s="60">
        <v>1.66</v>
      </c>
      <c r="C62" s="60">
        <v>9.08</v>
      </c>
      <c r="D62" s="60">
        <v>10.74</v>
      </c>
      <c r="E62" s="60">
        <v>3.97</v>
      </c>
      <c r="F62" s="60">
        <v>0.62</v>
      </c>
      <c r="G62" s="215" t="s">
        <v>36</v>
      </c>
      <c r="H62" s="60">
        <v>2.63</v>
      </c>
      <c r="I62" s="60">
        <v>3.22</v>
      </c>
      <c r="J62" s="60">
        <v>0.36</v>
      </c>
      <c r="K62" s="60">
        <v>206.27</v>
      </c>
      <c r="L62" s="60">
        <v>36.119999999999997</v>
      </c>
      <c r="M62" s="60">
        <v>87.61</v>
      </c>
      <c r="N62" s="60">
        <v>123.2</v>
      </c>
      <c r="O62" s="60">
        <v>0</v>
      </c>
      <c r="P62" s="60">
        <v>3.34</v>
      </c>
      <c r="Q62" s="60">
        <v>2.68</v>
      </c>
      <c r="R62" s="197"/>
      <c r="S62" s="197"/>
      <c r="T62" s="197"/>
      <c r="U62" s="197"/>
    </row>
    <row r="63" spans="1:21" s="12" customFormat="1" x14ac:dyDescent="0.25">
      <c r="A63" s="200" t="s">
        <v>1166</v>
      </c>
      <c r="B63" s="60">
        <v>1.74</v>
      </c>
      <c r="C63" s="60">
        <v>8.89</v>
      </c>
      <c r="D63" s="60">
        <v>10.63</v>
      </c>
      <c r="E63" s="60">
        <v>4</v>
      </c>
      <c r="F63" s="60">
        <v>0.55000000000000004</v>
      </c>
      <c r="G63" s="215" t="s">
        <v>36</v>
      </c>
      <c r="H63" s="60">
        <v>2.63</v>
      </c>
      <c r="I63" s="60">
        <v>3.22</v>
      </c>
      <c r="J63" s="60">
        <v>0.66</v>
      </c>
      <c r="K63" s="60">
        <v>205.84</v>
      </c>
      <c r="L63" s="60">
        <v>35.93</v>
      </c>
      <c r="M63" s="60">
        <v>88.54</v>
      </c>
      <c r="N63" s="60">
        <v>92.1</v>
      </c>
      <c r="O63" s="60">
        <v>0</v>
      </c>
      <c r="P63" s="60">
        <v>3.33</v>
      </c>
      <c r="Q63" s="60">
        <v>2.6</v>
      </c>
      <c r="R63" s="197"/>
      <c r="S63" s="197"/>
      <c r="T63" s="197"/>
      <c r="U63" s="197"/>
    </row>
    <row r="64" spans="1:21" s="12" customFormat="1" x14ac:dyDescent="0.25">
      <c r="A64" s="200" t="s">
        <v>1167</v>
      </c>
      <c r="B64" s="60">
        <v>1.78</v>
      </c>
      <c r="C64" s="60">
        <v>8.74</v>
      </c>
      <c r="D64" s="60">
        <v>10.51</v>
      </c>
      <c r="E64" s="60">
        <v>4.04</v>
      </c>
      <c r="F64" s="60">
        <v>0.64</v>
      </c>
      <c r="G64" s="215" t="s">
        <v>36</v>
      </c>
      <c r="H64" s="60">
        <v>2.63</v>
      </c>
      <c r="I64" s="60">
        <v>3.26</v>
      </c>
      <c r="J64" s="60">
        <v>0.56999999999999995</v>
      </c>
      <c r="K64" s="60">
        <v>205.28</v>
      </c>
      <c r="L64" s="60">
        <v>35.33</v>
      </c>
      <c r="M64" s="60">
        <v>93.15</v>
      </c>
      <c r="N64" s="60">
        <v>102.7</v>
      </c>
      <c r="O64" s="60">
        <v>0</v>
      </c>
      <c r="P64" s="60">
        <v>3.33</v>
      </c>
      <c r="Q64" s="60">
        <v>2.4700000000000002</v>
      </c>
      <c r="R64" s="197"/>
      <c r="S64" s="197"/>
      <c r="T64" s="197"/>
      <c r="U64" s="197"/>
    </row>
    <row r="65" spans="1:21" s="12" customFormat="1" x14ac:dyDescent="0.25">
      <c r="A65" s="200" t="s">
        <v>1168</v>
      </c>
      <c r="B65" s="60">
        <v>1.77</v>
      </c>
      <c r="C65" s="60">
        <v>8.7799999999999994</v>
      </c>
      <c r="D65" s="60">
        <v>10.54</v>
      </c>
      <c r="E65" s="60">
        <v>4.17</v>
      </c>
      <c r="F65" s="60">
        <v>0.55000000000000004</v>
      </c>
      <c r="G65" s="215" t="s">
        <v>36</v>
      </c>
      <c r="H65" s="60">
        <v>2.6</v>
      </c>
      <c r="I65" s="60">
        <v>3.28</v>
      </c>
      <c r="J65" s="60">
        <v>0.47</v>
      </c>
      <c r="K65" s="60">
        <v>216.96</v>
      </c>
      <c r="L65" s="60">
        <v>35.64</v>
      </c>
      <c r="M65" s="60">
        <v>91.04</v>
      </c>
      <c r="N65" s="60">
        <v>120</v>
      </c>
      <c r="O65" s="60">
        <v>0</v>
      </c>
      <c r="P65" s="60">
        <v>3.32</v>
      </c>
      <c r="Q65" s="60">
        <v>2.4300000000000002</v>
      </c>
      <c r="R65" s="197"/>
      <c r="S65" s="197"/>
      <c r="T65" s="197"/>
      <c r="U65" s="197"/>
    </row>
    <row r="66" spans="1:21" s="12" customFormat="1" x14ac:dyDescent="0.25">
      <c r="A66" s="200" t="s">
        <v>1169</v>
      </c>
      <c r="B66" s="60">
        <v>1.8</v>
      </c>
      <c r="C66" s="60">
        <v>9.09</v>
      </c>
      <c r="D66" s="60">
        <v>10.89</v>
      </c>
      <c r="E66" s="60">
        <v>4.4800000000000004</v>
      </c>
      <c r="F66" s="60">
        <v>0.28000000000000003</v>
      </c>
      <c r="G66" s="215" t="s">
        <v>36</v>
      </c>
      <c r="H66" s="60">
        <v>2.5299999999999998</v>
      </c>
      <c r="I66" s="60">
        <v>3.25</v>
      </c>
      <c r="J66" s="60">
        <v>0.53</v>
      </c>
      <c r="K66" s="60">
        <v>215.67</v>
      </c>
      <c r="L66" s="60">
        <v>36.130000000000003</v>
      </c>
      <c r="M66" s="60">
        <v>89.31</v>
      </c>
      <c r="N66" s="60">
        <v>145.19999999999999</v>
      </c>
      <c r="O66" s="60">
        <v>0</v>
      </c>
      <c r="P66" s="60">
        <v>3.32</v>
      </c>
      <c r="Q66" s="60">
        <v>2.59</v>
      </c>
      <c r="R66" s="197"/>
      <c r="S66" s="197"/>
      <c r="T66" s="197"/>
      <c r="U66" s="197"/>
    </row>
    <row r="67" spans="1:21" s="12" customFormat="1" x14ac:dyDescent="0.25">
      <c r="A67" s="200" t="s">
        <v>1170</v>
      </c>
      <c r="B67" s="60">
        <v>1.66</v>
      </c>
      <c r="C67" s="60">
        <v>9.3000000000000007</v>
      </c>
      <c r="D67" s="60">
        <v>10.97</v>
      </c>
      <c r="E67" s="60">
        <v>4.1399999999999997</v>
      </c>
      <c r="F67" s="60">
        <v>0.4</v>
      </c>
      <c r="G67" s="215" t="s">
        <v>36</v>
      </c>
      <c r="H67" s="60">
        <v>2.5299999999999998</v>
      </c>
      <c r="I67" s="60">
        <v>3.26</v>
      </c>
      <c r="J67" s="60">
        <v>0.66</v>
      </c>
      <c r="K67" s="60">
        <v>188.31</v>
      </c>
      <c r="L67" s="60">
        <v>36.33</v>
      </c>
      <c r="M67" s="60">
        <v>88.89</v>
      </c>
      <c r="N67" s="60">
        <v>114</v>
      </c>
      <c r="O67" s="60">
        <v>0</v>
      </c>
      <c r="P67" s="60">
        <v>3.32</v>
      </c>
      <c r="Q67" s="60">
        <v>2.66</v>
      </c>
      <c r="R67" s="197"/>
      <c r="S67" s="197"/>
      <c r="T67" s="197"/>
      <c r="U67" s="197"/>
    </row>
    <row r="68" spans="1:21" s="12" customFormat="1" x14ac:dyDescent="0.25">
      <c r="A68" s="200" t="s">
        <v>1171</v>
      </c>
      <c r="B68" s="60">
        <v>1.62</v>
      </c>
      <c r="C68" s="60">
        <v>9.31</v>
      </c>
      <c r="D68" s="60">
        <v>10.93</v>
      </c>
      <c r="E68" s="60">
        <v>4.17</v>
      </c>
      <c r="F68" s="60">
        <v>0.57999999999999996</v>
      </c>
      <c r="G68" s="215" t="s">
        <v>36</v>
      </c>
      <c r="H68" s="60">
        <v>2.5299999999999998</v>
      </c>
      <c r="I68" s="60">
        <v>3.24</v>
      </c>
      <c r="J68" s="60">
        <v>0.68</v>
      </c>
      <c r="K68" s="60">
        <v>197.16</v>
      </c>
      <c r="L68" s="60">
        <v>36.39</v>
      </c>
      <c r="M68" s="60">
        <v>89.3</v>
      </c>
      <c r="N68" s="60">
        <v>70.7</v>
      </c>
      <c r="O68" s="60">
        <v>0</v>
      </c>
      <c r="P68" s="60">
        <v>3.32</v>
      </c>
      <c r="Q68" s="60">
        <v>2.86</v>
      </c>
      <c r="R68" s="197"/>
      <c r="S68" s="197"/>
      <c r="T68" s="197"/>
      <c r="U68" s="197"/>
    </row>
    <row r="69" spans="1:21" s="12" customFormat="1" x14ac:dyDescent="0.25">
      <c r="A69" s="200" t="s">
        <v>1172</v>
      </c>
      <c r="B69" s="60">
        <v>1.77</v>
      </c>
      <c r="C69" s="60">
        <v>9.35</v>
      </c>
      <c r="D69" s="60">
        <v>11.12</v>
      </c>
      <c r="E69" s="60">
        <v>4.45</v>
      </c>
      <c r="F69" s="60">
        <v>0.42</v>
      </c>
      <c r="G69" s="215" t="s">
        <v>36</v>
      </c>
      <c r="H69" s="60">
        <v>2.5099999999999998</v>
      </c>
      <c r="I69" s="60">
        <v>3.21</v>
      </c>
      <c r="J69" s="60">
        <v>0.62</v>
      </c>
      <c r="K69" s="60">
        <v>201.54</v>
      </c>
      <c r="L69" s="60">
        <v>36.450000000000003</v>
      </c>
      <c r="M69" s="60">
        <v>89.87</v>
      </c>
      <c r="N69" s="60">
        <v>80.900000000000006</v>
      </c>
      <c r="O69" s="60">
        <v>0</v>
      </c>
      <c r="P69" s="60">
        <v>3.33</v>
      </c>
      <c r="Q69" s="60">
        <v>3.16</v>
      </c>
      <c r="R69" s="197"/>
      <c r="S69" s="197"/>
      <c r="T69" s="197"/>
      <c r="U69" s="197"/>
    </row>
    <row r="70" spans="1:21" s="12" customFormat="1" x14ac:dyDescent="0.25">
      <c r="A70" s="200" t="s">
        <v>1173</v>
      </c>
      <c r="B70" s="60">
        <v>1.96</v>
      </c>
      <c r="C70" s="60">
        <v>9.3699999999999992</v>
      </c>
      <c r="D70" s="60">
        <v>11.33</v>
      </c>
      <c r="E70" s="60">
        <v>4.49</v>
      </c>
      <c r="F70" s="60">
        <v>0.53</v>
      </c>
      <c r="G70" s="215" t="s">
        <v>36</v>
      </c>
      <c r="H70" s="60">
        <v>2.4500000000000002</v>
      </c>
      <c r="I70" s="60">
        <v>3.23</v>
      </c>
      <c r="J70" s="60">
        <v>0.74</v>
      </c>
      <c r="K70" s="60">
        <v>193.79</v>
      </c>
      <c r="L70" s="60">
        <v>36.6</v>
      </c>
      <c r="M70" s="60">
        <v>90.14</v>
      </c>
      <c r="N70" s="60">
        <v>75.599999999999994</v>
      </c>
      <c r="O70" s="60">
        <v>0</v>
      </c>
      <c r="P70" s="60">
        <v>3.32</v>
      </c>
      <c r="Q70" s="60">
        <v>3.37</v>
      </c>
      <c r="R70" s="197"/>
      <c r="S70" s="197"/>
      <c r="T70" s="197"/>
      <c r="U70" s="197"/>
    </row>
    <row r="71" spans="1:21" s="12" customFormat="1" x14ac:dyDescent="0.25">
      <c r="A71" s="200" t="s">
        <v>1174</v>
      </c>
      <c r="B71" s="60">
        <v>2.08</v>
      </c>
      <c r="C71" s="60">
        <v>9.39</v>
      </c>
      <c r="D71" s="60">
        <v>11.47</v>
      </c>
      <c r="E71" s="60">
        <v>4.3899999999999997</v>
      </c>
      <c r="F71" s="60">
        <v>0.49</v>
      </c>
      <c r="G71" s="215" t="s">
        <v>36</v>
      </c>
      <c r="H71" s="60">
        <v>2.4500000000000002</v>
      </c>
      <c r="I71" s="60">
        <v>3.25</v>
      </c>
      <c r="J71" s="60">
        <v>0.46</v>
      </c>
      <c r="K71" s="60">
        <v>208.88</v>
      </c>
      <c r="L71" s="60">
        <v>36.549999999999997</v>
      </c>
      <c r="M71" s="60">
        <v>90.43</v>
      </c>
      <c r="N71" s="60">
        <v>80.599999999999994</v>
      </c>
      <c r="O71" s="60">
        <v>0</v>
      </c>
      <c r="P71" s="60">
        <v>3.33</v>
      </c>
      <c r="Q71" s="60">
        <v>3.56</v>
      </c>
      <c r="R71" s="197"/>
      <c r="S71" s="197"/>
      <c r="T71" s="197"/>
      <c r="U71" s="197"/>
    </row>
    <row r="72" spans="1:21" s="12" customFormat="1" x14ac:dyDescent="0.25">
      <c r="A72" s="200" t="s">
        <v>1175</v>
      </c>
      <c r="B72" s="60">
        <v>2.09</v>
      </c>
      <c r="C72" s="60">
        <v>9.4700000000000006</v>
      </c>
      <c r="D72" s="60">
        <v>11.56</v>
      </c>
      <c r="E72" s="60">
        <v>2.0099999999999998</v>
      </c>
      <c r="F72" s="60">
        <v>0.56999999999999995</v>
      </c>
      <c r="G72" s="215" t="s">
        <v>36</v>
      </c>
      <c r="H72" s="60">
        <v>2.4500000000000002</v>
      </c>
      <c r="I72" s="60">
        <v>3.31</v>
      </c>
      <c r="J72" s="60">
        <v>0.79</v>
      </c>
      <c r="K72" s="60">
        <v>200.79</v>
      </c>
      <c r="L72" s="60">
        <v>36.25</v>
      </c>
      <c r="M72" s="60">
        <v>90.08</v>
      </c>
      <c r="N72" s="60">
        <v>78</v>
      </c>
      <c r="O72" s="60">
        <v>0</v>
      </c>
      <c r="P72" s="60">
        <v>3.34</v>
      </c>
      <c r="Q72" s="60">
        <v>3.68</v>
      </c>
      <c r="R72" s="197"/>
      <c r="S72" s="197"/>
      <c r="T72" s="197"/>
      <c r="U72" s="197"/>
    </row>
    <row r="73" spans="1:21" s="12" customFormat="1" x14ac:dyDescent="0.25">
      <c r="A73" s="200" t="s">
        <v>1176</v>
      </c>
      <c r="B73" s="60">
        <v>1.97</v>
      </c>
      <c r="C73" s="60">
        <v>9.7200000000000006</v>
      </c>
      <c r="D73" s="60">
        <v>11.69</v>
      </c>
      <c r="E73" s="60">
        <v>3.07</v>
      </c>
      <c r="F73" s="60">
        <v>0.64</v>
      </c>
      <c r="G73" s="215" t="s">
        <v>36</v>
      </c>
      <c r="H73" s="60">
        <v>2.41</v>
      </c>
      <c r="I73" s="60">
        <v>3.34</v>
      </c>
      <c r="J73" s="60">
        <v>0.53</v>
      </c>
      <c r="K73" s="60">
        <v>202.15</v>
      </c>
      <c r="L73" s="60">
        <v>36.299999999999997</v>
      </c>
      <c r="M73" s="60">
        <v>90.28</v>
      </c>
      <c r="N73" s="60">
        <v>76.3</v>
      </c>
      <c r="O73" s="60">
        <v>0</v>
      </c>
      <c r="P73" s="60">
        <v>3.34</v>
      </c>
      <c r="Q73" s="60">
        <v>3.73</v>
      </c>
      <c r="R73" s="197"/>
      <c r="S73" s="197"/>
      <c r="T73" s="197"/>
      <c r="U73" s="197"/>
    </row>
    <row r="74" spans="1:21" s="12" customFormat="1" x14ac:dyDescent="0.25">
      <c r="A74" s="200" t="s">
        <v>1177</v>
      </c>
      <c r="B74" s="60">
        <v>1.98</v>
      </c>
      <c r="C74" s="60">
        <v>9.23</v>
      </c>
      <c r="D74" s="60">
        <v>11.21</v>
      </c>
      <c r="E74" s="60">
        <v>4.1900000000000004</v>
      </c>
      <c r="F74" s="60">
        <v>0.8</v>
      </c>
      <c r="G74" s="215" t="s">
        <v>36</v>
      </c>
      <c r="H74" s="60">
        <v>2.3199999999999998</v>
      </c>
      <c r="I74" s="60">
        <v>3.38</v>
      </c>
      <c r="J74" s="60">
        <v>0.47</v>
      </c>
      <c r="K74" s="60">
        <v>204.24</v>
      </c>
      <c r="L74" s="60">
        <v>36.590000000000003</v>
      </c>
      <c r="M74" s="60">
        <v>90.83</v>
      </c>
      <c r="N74" s="60">
        <v>71.900000000000006</v>
      </c>
      <c r="O74" s="60">
        <v>0</v>
      </c>
      <c r="P74" s="60">
        <v>3.33</v>
      </c>
      <c r="Q74" s="60">
        <v>3.59</v>
      </c>
      <c r="R74" s="197"/>
      <c r="S74" s="197"/>
      <c r="T74" s="197"/>
      <c r="U74" s="197"/>
    </row>
    <row r="75" spans="1:21" s="12" customFormat="1" x14ac:dyDescent="0.25">
      <c r="A75" s="200" t="s">
        <v>1178</v>
      </c>
      <c r="B75" s="60">
        <v>2.1</v>
      </c>
      <c r="C75" s="60">
        <v>8.92</v>
      </c>
      <c r="D75" s="60">
        <v>11.02</v>
      </c>
      <c r="E75" s="60">
        <v>4.8899999999999997</v>
      </c>
      <c r="F75" s="60">
        <v>0.59</v>
      </c>
      <c r="G75" s="215" t="s">
        <v>36</v>
      </c>
      <c r="H75" s="60">
        <v>2.3199999999999998</v>
      </c>
      <c r="I75" s="60">
        <v>3.38</v>
      </c>
      <c r="J75" s="60">
        <v>0.43</v>
      </c>
      <c r="K75" s="60">
        <v>211</v>
      </c>
      <c r="L75" s="60">
        <v>36.51</v>
      </c>
      <c r="M75" s="60">
        <v>91.57</v>
      </c>
      <c r="N75" s="60">
        <v>64.5</v>
      </c>
      <c r="O75" s="60">
        <v>0</v>
      </c>
      <c r="P75" s="60">
        <v>3.34</v>
      </c>
      <c r="Q75" s="60">
        <v>3.41</v>
      </c>
      <c r="R75" s="197"/>
      <c r="S75" s="197"/>
      <c r="T75" s="197"/>
      <c r="U75" s="197"/>
    </row>
    <row r="76" spans="1:21" s="12" customFormat="1" x14ac:dyDescent="0.25">
      <c r="A76" s="200" t="s">
        <v>1179</v>
      </c>
      <c r="B76" s="60">
        <v>2.2999999999999998</v>
      </c>
      <c r="C76" s="60">
        <v>8.9600000000000009</v>
      </c>
      <c r="D76" s="60">
        <v>11.26</v>
      </c>
      <c r="E76" s="60">
        <v>5.12</v>
      </c>
      <c r="F76" s="60">
        <v>0.59</v>
      </c>
      <c r="G76" s="215" t="s">
        <v>36</v>
      </c>
      <c r="H76" s="60">
        <v>2.3199999999999998</v>
      </c>
      <c r="I76" s="60">
        <v>3.47</v>
      </c>
      <c r="J76" s="60">
        <v>0.71</v>
      </c>
      <c r="K76" s="60">
        <v>173.55</v>
      </c>
      <c r="L76" s="60">
        <v>36.39</v>
      </c>
      <c r="M76" s="60">
        <v>92.66</v>
      </c>
      <c r="N76" s="60">
        <v>38.9</v>
      </c>
      <c r="O76" s="60">
        <v>0</v>
      </c>
      <c r="P76" s="60">
        <v>3.34</v>
      </c>
      <c r="Q76" s="60">
        <v>3.4</v>
      </c>
      <c r="R76" s="197"/>
      <c r="S76" s="197"/>
      <c r="T76" s="197"/>
      <c r="U76" s="197"/>
    </row>
    <row r="77" spans="1:21" s="12" customFormat="1" x14ac:dyDescent="0.25">
      <c r="A77" s="200" t="s">
        <v>1180</v>
      </c>
      <c r="B77" s="60">
        <v>2.64</v>
      </c>
      <c r="C77" s="60">
        <v>9.01</v>
      </c>
      <c r="D77" s="60">
        <v>11.64</v>
      </c>
      <c r="E77" s="60">
        <v>5.04</v>
      </c>
      <c r="F77" s="60">
        <v>0.36</v>
      </c>
      <c r="G77" s="215" t="s">
        <v>36</v>
      </c>
      <c r="H77" s="60">
        <v>3.14</v>
      </c>
      <c r="I77" s="60">
        <v>3.56</v>
      </c>
      <c r="J77" s="60">
        <v>0.57999999999999996</v>
      </c>
      <c r="K77" s="60">
        <v>182.26</v>
      </c>
      <c r="L77" s="60">
        <v>36.64</v>
      </c>
      <c r="M77" s="60">
        <v>93.98</v>
      </c>
      <c r="N77" s="60">
        <v>34.299999999999997</v>
      </c>
      <c r="O77" s="60">
        <v>0</v>
      </c>
      <c r="P77" s="60">
        <v>3.35</v>
      </c>
      <c r="Q77" s="60">
        <v>3.49</v>
      </c>
      <c r="R77" s="197"/>
      <c r="S77" s="197"/>
      <c r="T77" s="197"/>
      <c r="U77" s="197"/>
    </row>
    <row r="78" spans="1:21" s="12" customFormat="1" x14ac:dyDescent="0.25">
      <c r="A78" s="200" t="s">
        <v>1181</v>
      </c>
      <c r="B78" s="60">
        <v>3</v>
      </c>
      <c r="C78" s="60">
        <v>8.83</v>
      </c>
      <c r="D78" s="60">
        <v>11.82</v>
      </c>
      <c r="E78" s="60">
        <v>5.1100000000000003</v>
      </c>
      <c r="F78" s="60">
        <v>0.35</v>
      </c>
      <c r="G78" s="215" t="s">
        <v>36</v>
      </c>
      <c r="H78" s="60">
        <v>5.18</v>
      </c>
      <c r="I78" s="60">
        <v>3.59</v>
      </c>
      <c r="J78" s="60">
        <v>0.65</v>
      </c>
      <c r="K78" s="60">
        <v>177.85</v>
      </c>
      <c r="L78" s="60">
        <v>37</v>
      </c>
      <c r="M78" s="60">
        <v>92.97</v>
      </c>
      <c r="N78" s="60">
        <v>45.9</v>
      </c>
      <c r="O78" s="60">
        <v>0</v>
      </c>
      <c r="P78" s="60">
        <v>3.35</v>
      </c>
      <c r="Q78" s="60">
        <v>3.54</v>
      </c>
      <c r="R78" s="197"/>
      <c r="S78" s="197"/>
      <c r="T78" s="197"/>
      <c r="U78" s="197"/>
    </row>
    <row r="79" spans="1:21" s="12" customFormat="1" x14ac:dyDescent="0.25">
      <c r="A79" s="200" t="s">
        <v>1182</v>
      </c>
      <c r="B79" s="60">
        <v>3.21</v>
      </c>
      <c r="C79" s="60">
        <v>8.77</v>
      </c>
      <c r="D79" s="60">
        <v>11.97</v>
      </c>
      <c r="E79" s="60">
        <v>5.3</v>
      </c>
      <c r="F79" s="60">
        <v>0.36</v>
      </c>
      <c r="G79" s="215" t="s">
        <v>36</v>
      </c>
      <c r="H79" s="60">
        <v>5.18</v>
      </c>
      <c r="I79" s="60">
        <v>3.69</v>
      </c>
      <c r="J79" s="60">
        <v>0.63</v>
      </c>
      <c r="K79" s="60">
        <v>197.58</v>
      </c>
      <c r="L79" s="60">
        <v>36.93</v>
      </c>
      <c r="M79" s="60">
        <v>92.72</v>
      </c>
      <c r="N79" s="60">
        <v>52.6</v>
      </c>
      <c r="O79" s="60">
        <v>0</v>
      </c>
      <c r="P79" s="60">
        <v>3.37</v>
      </c>
      <c r="Q79" s="60">
        <v>3.59</v>
      </c>
      <c r="R79" s="197"/>
      <c r="S79" s="197"/>
      <c r="T79" s="197"/>
      <c r="U79" s="197"/>
    </row>
    <row r="80" spans="1:21" s="12" customFormat="1" x14ac:dyDescent="0.25">
      <c r="A80" s="200" t="s">
        <v>1183</v>
      </c>
      <c r="B80" s="60">
        <v>3.38</v>
      </c>
      <c r="C80" s="60">
        <v>8.76</v>
      </c>
      <c r="D80" s="60">
        <v>12.14</v>
      </c>
      <c r="E80" s="60">
        <v>5.73</v>
      </c>
      <c r="F80" s="60">
        <v>0.17</v>
      </c>
      <c r="G80" s="215" t="s">
        <v>36</v>
      </c>
      <c r="H80" s="60">
        <v>5.18</v>
      </c>
      <c r="I80" s="60">
        <v>3.77</v>
      </c>
      <c r="J80" s="60">
        <v>0.74</v>
      </c>
      <c r="K80" s="60">
        <v>198.47</v>
      </c>
      <c r="L80" s="60">
        <v>37.03</v>
      </c>
      <c r="M80" s="60">
        <v>91.53</v>
      </c>
      <c r="N80" s="60">
        <v>35.1</v>
      </c>
      <c r="O80" s="60">
        <v>0</v>
      </c>
      <c r="P80" s="60">
        <v>3.37</v>
      </c>
      <c r="Q80" s="60">
        <v>3.64</v>
      </c>
      <c r="R80" s="197"/>
      <c r="S80" s="197"/>
      <c r="T80" s="197"/>
      <c r="U80" s="197"/>
    </row>
    <row r="81" spans="1:26" s="12" customFormat="1" x14ac:dyDescent="0.25">
      <c r="A81" s="200" t="s">
        <v>1184</v>
      </c>
      <c r="B81" s="60">
        <v>3.3</v>
      </c>
      <c r="C81" s="60">
        <v>8.85</v>
      </c>
      <c r="D81" s="60">
        <v>12.14</v>
      </c>
      <c r="E81" s="60">
        <v>6.07</v>
      </c>
      <c r="F81" s="60">
        <v>0.09</v>
      </c>
      <c r="G81" s="215" t="s">
        <v>36</v>
      </c>
      <c r="H81" s="60">
        <v>4.93</v>
      </c>
      <c r="I81" s="60">
        <v>3.87</v>
      </c>
      <c r="J81" s="60">
        <v>0.65</v>
      </c>
      <c r="K81" s="60">
        <v>188.18</v>
      </c>
      <c r="L81" s="60">
        <v>37.01</v>
      </c>
      <c r="M81" s="60">
        <v>90.98</v>
      </c>
      <c r="N81" s="60">
        <v>28.7</v>
      </c>
      <c r="O81" s="60">
        <v>0</v>
      </c>
      <c r="P81" s="60">
        <v>3.36</v>
      </c>
      <c r="Q81" s="60">
        <v>3.7</v>
      </c>
      <c r="R81" s="197"/>
      <c r="S81" s="197"/>
      <c r="T81" s="197"/>
      <c r="U81" s="197"/>
    </row>
    <row r="82" spans="1:26" s="12" customFormat="1" x14ac:dyDescent="0.25">
      <c r="A82" s="200" t="s">
        <v>1185</v>
      </c>
      <c r="B82" s="60">
        <v>3.24</v>
      </c>
      <c r="C82" s="60">
        <v>9.09</v>
      </c>
      <c r="D82" s="60">
        <v>12.33</v>
      </c>
      <c r="E82" s="60">
        <v>5.57</v>
      </c>
      <c r="F82" s="60">
        <v>0.16</v>
      </c>
      <c r="G82" s="215" t="s">
        <v>36</v>
      </c>
      <c r="H82" s="60">
        <v>4.3099999999999996</v>
      </c>
      <c r="I82" s="60">
        <v>3.9</v>
      </c>
      <c r="J82" s="60">
        <v>0.93</v>
      </c>
      <c r="K82" s="60">
        <v>181.62</v>
      </c>
      <c r="L82" s="60">
        <v>36.31</v>
      </c>
      <c r="M82" s="60">
        <v>90.79</v>
      </c>
      <c r="N82" s="60">
        <v>19.399999999999999</v>
      </c>
      <c r="O82" s="60">
        <v>0</v>
      </c>
      <c r="P82" s="60">
        <v>3.36</v>
      </c>
      <c r="Q82" s="60">
        <v>3.87</v>
      </c>
      <c r="R82" s="197"/>
      <c r="S82" s="197"/>
      <c r="T82" s="197"/>
      <c r="U82" s="197"/>
    </row>
    <row r="83" spans="1:26" s="12" customFormat="1" x14ac:dyDescent="0.25">
      <c r="A83" s="200" t="s">
        <v>1186</v>
      </c>
      <c r="B83" s="60">
        <v>3.21</v>
      </c>
      <c r="C83" s="60">
        <v>9.2799999999999994</v>
      </c>
      <c r="D83" s="60">
        <v>12.48</v>
      </c>
      <c r="E83" s="60">
        <v>5.74</v>
      </c>
      <c r="F83" s="60">
        <v>0.33</v>
      </c>
      <c r="G83" s="215" t="s">
        <v>36</v>
      </c>
      <c r="H83" s="60">
        <v>4.3099999999999996</v>
      </c>
      <c r="I83" s="60">
        <v>3.87</v>
      </c>
      <c r="J83" s="60">
        <v>0.68</v>
      </c>
      <c r="K83" s="60">
        <v>186.75</v>
      </c>
      <c r="L83" s="60">
        <v>36.08</v>
      </c>
      <c r="M83" s="60">
        <v>91.25</v>
      </c>
      <c r="N83" s="60">
        <v>16</v>
      </c>
      <c r="O83" s="60">
        <v>0</v>
      </c>
      <c r="P83" s="60">
        <v>3.35</v>
      </c>
      <c r="Q83" s="60">
        <v>4.17</v>
      </c>
      <c r="R83" s="197"/>
      <c r="S83" s="197"/>
      <c r="T83" s="197"/>
      <c r="U83" s="197"/>
    </row>
    <row r="84" spans="1:26" s="12" customFormat="1" x14ac:dyDescent="0.25">
      <c r="A84" s="200" t="s">
        <v>1187</v>
      </c>
      <c r="B84" s="60">
        <v>3.18</v>
      </c>
      <c r="C84" s="60">
        <v>9.41</v>
      </c>
      <c r="D84" s="60">
        <v>12.59</v>
      </c>
      <c r="E84" s="60">
        <v>5.91</v>
      </c>
      <c r="F84" s="60">
        <v>0.2</v>
      </c>
      <c r="G84" s="215" t="s">
        <v>36</v>
      </c>
      <c r="H84" s="60">
        <v>4.3099999999999996</v>
      </c>
      <c r="I84" s="60">
        <v>3.84</v>
      </c>
      <c r="J84" s="60">
        <v>0.5</v>
      </c>
      <c r="K84" s="60">
        <v>191.47</v>
      </c>
      <c r="L84" s="60">
        <v>36.03</v>
      </c>
      <c r="M84" s="60">
        <v>91.77</v>
      </c>
      <c r="N84" s="60">
        <v>15.4</v>
      </c>
      <c r="O84" s="60">
        <v>0</v>
      </c>
      <c r="P84" s="60">
        <v>3.36</v>
      </c>
      <c r="Q84" s="60">
        <v>4.3499999999999996</v>
      </c>
      <c r="R84" s="197"/>
      <c r="S84" s="197"/>
      <c r="T84" s="197"/>
      <c r="U84" s="197"/>
    </row>
    <row r="85" spans="1:26" s="12" customFormat="1" x14ac:dyDescent="0.25">
      <c r="A85" s="200" t="s">
        <v>1188</v>
      </c>
      <c r="B85" s="60">
        <v>3.2</v>
      </c>
      <c r="C85" s="60">
        <v>9.5399999999999991</v>
      </c>
      <c r="D85" s="60">
        <v>12.74</v>
      </c>
      <c r="E85" s="60">
        <v>6</v>
      </c>
      <c r="F85" s="60">
        <v>0.14000000000000001</v>
      </c>
      <c r="G85" s="215" t="s">
        <v>36</v>
      </c>
      <c r="H85" s="60">
        <v>4.13</v>
      </c>
      <c r="I85" s="60">
        <v>3.85</v>
      </c>
      <c r="J85" s="60">
        <v>0.57999999999999996</v>
      </c>
      <c r="K85" s="60">
        <v>204.4</v>
      </c>
      <c r="L85" s="60">
        <v>36.1</v>
      </c>
      <c r="M85" s="60">
        <v>91.04</v>
      </c>
      <c r="N85" s="60">
        <v>15.3</v>
      </c>
      <c r="O85" s="60">
        <v>0</v>
      </c>
      <c r="P85" s="60">
        <v>3.36</v>
      </c>
      <c r="Q85" s="60">
        <v>4.4800000000000004</v>
      </c>
      <c r="R85" s="197"/>
      <c r="S85" s="197"/>
      <c r="T85" s="197"/>
      <c r="U85" s="197"/>
    </row>
    <row r="86" spans="1:26" s="12" customFormat="1" x14ac:dyDescent="0.25">
      <c r="A86" s="200" t="s">
        <v>1189</v>
      </c>
      <c r="B86" s="60">
        <v>3.07</v>
      </c>
      <c r="C86" s="60">
        <v>9.85</v>
      </c>
      <c r="D86" s="60">
        <v>12.92</v>
      </c>
      <c r="E86" s="60">
        <v>5.97</v>
      </c>
      <c r="F86" s="60">
        <v>0.41</v>
      </c>
      <c r="G86" s="215" t="s">
        <v>36</v>
      </c>
      <c r="H86" s="60">
        <v>3.7</v>
      </c>
      <c r="I86" s="60">
        <v>3.81</v>
      </c>
      <c r="J86" s="60">
        <v>0.52</v>
      </c>
      <c r="K86" s="60">
        <v>205.22</v>
      </c>
      <c r="L86" s="60">
        <v>36.14</v>
      </c>
      <c r="M86" s="60">
        <v>90.55</v>
      </c>
      <c r="N86" s="60">
        <v>15.4</v>
      </c>
      <c r="O86" s="60">
        <v>0</v>
      </c>
      <c r="P86" s="60">
        <v>3.36</v>
      </c>
      <c r="Q86" s="60">
        <v>4.5</v>
      </c>
      <c r="R86" s="197"/>
      <c r="S86" s="197"/>
      <c r="T86" s="197"/>
      <c r="U86" s="197"/>
    </row>
    <row r="87" spans="1:26" s="12" customFormat="1" x14ac:dyDescent="0.25">
      <c r="A87" s="200" t="s">
        <v>1190</v>
      </c>
      <c r="B87" s="60">
        <v>2.92</v>
      </c>
      <c r="C87" s="60">
        <v>10.119999999999999</v>
      </c>
      <c r="D87" s="60">
        <v>13.04</v>
      </c>
      <c r="E87" s="60">
        <v>5.29</v>
      </c>
      <c r="F87" s="60">
        <v>0.59</v>
      </c>
      <c r="G87" s="215" t="s">
        <v>36</v>
      </c>
      <c r="H87" s="60">
        <v>3.7</v>
      </c>
      <c r="I87" s="60">
        <v>3.83</v>
      </c>
      <c r="J87" s="60">
        <v>0.51</v>
      </c>
      <c r="K87" s="60">
        <v>199.94</v>
      </c>
      <c r="L87" s="60">
        <v>35.979999999999997</v>
      </c>
      <c r="M87" s="60">
        <v>91.83</v>
      </c>
      <c r="N87" s="60">
        <v>15.3</v>
      </c>
      <c r="O87" s="60">
        <v>0</v>
      </c>
      <c r="P87" s="60">
        <v>3.37</v>
      </c>
      <c r="Q87" s="60">
        <v>4.51</v>
      </c>
      <c r="R87" s="197"/>
      <c r="S87" s="197"/>
      <c r="T87" s="197"/>
      <c r="U87" s="197"/>
    </row>
    <row r="88" spans="1:26" s="12" customFormat="1" x14ac:dyDescent="0.25">
      <c r="A88" s="200" t="s">
        <v>1191</v>
      </c>
      <c r="B88" s="60">
        <v>2.82</v>
      </c>
      <c r="C88" s="60">
        <v>10.220000000000001</v>
      </c>
      <c r="D88" s="60">
        <v>13.05</v>
      </c>
      <c r="E88" s="60">
        <v>2.06</v>
      </c>
      <c r="F88" s="60">
        <v>0.55000000000000004</v>
      </c>
      <c r="G88" s="215" t="s">
        <v>36</v>
      </c>
      <c r="H88" s="60">
        <v>3.7</v>
      </c>
      <c r="I88" s="60">
        <v>3.85</v>
      </c>
      <c r="J88" s="60">
        <v>0.66</v>
      </c>
      <c r="K88" s="60">
        <v>189.39</v>
      </c>
      <c r="L88" s="60">
        <v>35.74</v>
      </c>
      <c r="M88" s="60">
        <v>94.16</v>
      </c>
      <c r="N88" s="60">
        <v>14.6</v>
      </c>
      <c r="O88" s="60">
        <v>0</v>
      </c>
      <c r="P88" s="60">
        <v>3.37</v>
      </c>
      <c r="Q88" s="60">
        <v>4.62</v>
      </c>
      <c r="R88" s="197"/>
      <c r="S88" s="197"/>
      <c r="T88" s="197"/>
      <c r="U88" s="197"/>
    </row>
    <row r="89" spans="1:26" s="12" customFormat="1" x14ac:dyDescent="0.25">
      <c r="A89" s="200" t="s">
        <v>1192</v>
      </c>
      <c r="B89" s="60">
        <v>2.84</v>
      </c>
      <c r="C89" s="60">
        <v>9.3800000000000008</v>
      </c>
      <c r="D89" s="60">
        <v>12.21</v>
      </c>
      <c r="E89" s="60">
        <v>3.19</v>
      </c>
      <c r="F89" s="60">
        <v>0.68</v>
      </c>
      <c r="G89" s="215" t="s">
        <v>36</v>
      </c>
      <c r="H89" s="60">
        <v>3.58</v>
      </c>
      <c r="I89" s="60">
        <v>3.83</v>
      </c>
      <c r="J89" s="60">
        <v>0.65</v>
      </c>
      <c r="K89" s="60">
        <v>186.66</v>
      </c>
      <c r="L89" s="60">
        <v>35.659999999999997</v>
      </c>
      <c r="M89" s="60">
        <v>95.21</v>
      </c>
      <c r="N89" s="60">
        <v>14.7</v>
      </c>
      <c r="O89" s="60">
        <v>0</v>
      </c>
      <c r="P89" s="60">
        <v>3.37</v>
      </c>
      <c r="Q89" s="60">
        <v>4.47</v>
      </c>
      <c r="R89" s="197"/>
      <c r="S89" s="197"/>
      <c r="T89" s="197"/>
      <c r="U89" s="197"/>
    </row>
    <row r="90" spans="1:26" s="12" customFormat="1" x14ac:dyDescent="0.25">
      <c r="A90" s="200" t="s">
        <v>1193</v>
      </c>
      <c r="B90" s="60">
        <v>2.91</v>
      </c>
      <c r="C90" s="60">
        <v>9.0299999999999994</v>
      </c>
      <c r="D90" s="60">
        <v>11.95</v>
      </c>
      <c r="E90" s="60">
        <v>4.1399999999999997</v>
      </c>
      <c r="F90" s="60">
        <v>0.52</v>
      </c>
      <c r="G90" s="215" t="s">
        <v>36</v>
      </c>
      <c r="H90" s="60">
        <v>3.3</v>
      </c>
      <c r="I90" s="60">
        <v>3.86</v>
      </c>
      <c r="J90" s="60">
        <v>0.74</v>
      </c>
      <c r="K90" s="60">
        <v>181.18</v>
      </c>
      <c r="L90" s="60">
        <v>35.57</v>
      </c>
      <c r="M90" s="60">
        <v>95.73</v>
      </c>
      <c r="N90" s="60">
        <v>14.7</v>
      </c>
      <c r="O90" s="60">
        <v>0.2</v>
      </c>
      <c r="P90" s="60">
        <v>3.37</v>
      </c>
      <c r="Q90" s="60">
        <v>4.05</v>
      </c>
      <c r="R90" s="197"/>
      <c r="S90" s="197"/>
      <c r="T90" s="197"/>
      <c r="U90" s="197"/>
    </row>
    <row r="91" spans="1:26" s="12" customFormat="1" x14ac:dyDescent="0.25">
      <c r="A91" s="200" t="s">
        <v>1194</v>
      </c>
      <c r="B91" s="60">
        <v>2.93</v>
      </c>
      <c r="C91" s="60">
        <v>8.6999999999999993</v>
      </c>
      <c r="D91" s="60">
        <v>11.63</v>
      </c>
      <c r="E91" s="60">
        <v>5.2</v>
      </c>
      <c r="F91" s="60">
        <v>0.55000000000000004</v>
      </c>
      <c r="G91" s="215" t="s">
        <v>36</v>
      </c>
      <c r="H91" s="60">
        <v>3.3</v>
      </c>
      <c r="I91" s="60">
        <v>3.88</v>
      </c>
      <c r="J91" s="60">
        <v>0.77</v>
      </c>
      <c r="K91" s="60">
        <v>184.5</v>
      </c>
      <c r="L91" s="60">
        <v>35.229999999999997</v>
      </c>
      <c r="M91" s="60">
        <v>98.12</v>
      </c>
      <c r="N91" s="60">
        <v>15.4</v>
      </c>
      <c r="O91" s="60">
        <v>0.6</v>
      </c>
      <c r="P91" s="60">
        <v>3.38</v>
      </c>
      <c r="Q91" s="60">
        <v>3.75</v>
      </c>
      <c r="R91" s="197"/>
      <c r="S91" s="197"/>
      <c r="T91" s="197"/>
      <c r="U91" s="197"/>
    </row>
    <row r="92" spans="1:26" s="12" customFormat="1" x14ac:dyDescent="0.25">
      <c r="A92" s="200" t="s">
        <v>1195</v>
      </c>
      <c r="B92" s="60">
        <v>2.97</v>
      </c>
      <c r="C92" s="60">
        <v>8.66</v>
      </c>
      <c r="D92" s="60">
        <v>11.63</v>
      </c>
      <c r="E92" s="60">
        <v>4.72</v>
      </c>
      <c r="F92" s="60">
        <v>0.56999999999999995</v>
      </c>
      <c r="G92" s="215" t="s">
        <v>36</v>
      </c>
      <c r="H92" s="60">
        <v>3.3</v>
      </c>
      <c r="I92" s="60">
        <v>3.94</v>
      </c>
      <c r="J92" s="60">
        <v>0.54</v>
      </c>
      <c r="K92" s="60">
        <v>177.2</v>
      </c>
      <c r="L92" s="60">
        <v>35.03</v>
      </c>
      <c r="M92" s="60">
        <v>99.08</v>
      </c>
      <c r="N92" s="60">
        <v>15.2</v>
      </c>
      <c r="O92" s="60">
        <v>0</v>
      </c>
      <c r="P92" s="60">
        <v>3.37</v>
      </c>
      <c r="Q92" s="60">
        <v>3.68</v>
      </c>
      <c r="R92" s="197"/>
      <c r="S92" s="197"/>
      <c r="T92" s="197"/>
      <c r="U92" s="197"/>
    </row>
    <row r="93" spans="1:26" s="12" customFormat="1" x14ac:dyDescent="0.25">
      <c r="A93" s="200" t="s">
        <v>1196</v>
      </c>
      <c r="B93" s="60">
        <v>3.14</v>
      </c>
      <c r="C93" s="60">
        <v>8.56</v>
      </c>
      <c r="D93" s="60">
        <v>11.7</v>
      </c>
      <c r="E93" s="60">
        <v>5.12</v>
      </c>
      <c r="F93" s="60">
        <v>0.44</v>
      </c>
      <c r="G93" s="215" t="s">
        <v>36</v>
      </c>
      <c r="H93" s="60">
        <v>3.06</v>
      </c>
      <c r="I93" s="60">
        <v>4.01</v>
      </c>
      <c r="J93" s="60">
        <v>0.66</v>
      </c>
      <c r="K93" s="60">
        <v>183.39</v>
      </c>
      <c r="L93" s="60">
        <v>35.01</v>
      </c>
      <c r="M93" s="60">
        <v>99.1</v>
      </c>
      <c r="N93" s="60">
        <v>15.1</v>
      </c>
      <c r="O93" s="60">
        <v>0.2</v>
      </c>
      <c r="P93" s="60">
        <v>3.38</v>
      </c>
      <c r="Q93" s="60">
        <v>3.68</v>
      </c>
      <c r="R93" s="197"/>
      <c r="S93" s="197"/>
      <c r="T93" s="197"/>
      <c r="U93" s="197"/>
    </row>
    <row r="94" spans="1:26" s="12" customFormat="1" x14ac:dyDescent="0.25">
      <c r="A94" s="200" t="s">
        <v>1197</v>
      </c>
      <c r="B94" s="60">
        <v>3.29</v>
      </c>
      <c r="C94" s="60">
        <v>8.4499999999999993</v>
      </c>
      <c r="D94" s="60">
        <v>11.74</v>
      </c>
      <c r="E94" s="60">
        <v>5.51</v>
      </c>
      <c r="F94" s="60">
        <v>0.44</v>
      </c>
      <c r="G94" s="215" t="s">
        <v>36</v>
      </c>
      <c r="H94" s="60">
        <v>2.4900000000000002</v>
      </c>
      <c r="I94" s="60">
        <v>4.05</v>
      </c>
      <c r="J94" s="60">
        <v>0.48</v>
      </c>
      <c r="K94" s="60">
        <v>181.61</v>
      </c>
      <c r="L94" s="60">
        <v>34.96</v>
      </c>
      <c r="M94" s="60">
        <v>99.14</v>
      </c>
      <c r="N94" s="60">
        <v>15.1</v>
      </c>
      <c r="O94" s="60">
        <v>0</v>
      </c>
      <c r="P94" s="60">
        <v>3.38</v>
      </c>
      <c r="Q94" s="60">
        <v>3.67</v>
      </c>
      <c r="R94" s="197"/>
      <c r="S94" s="197"/>
      <c r="T94" s="197"/>
      <c r="U94" s="197"/>
    </row>
    <row r="95" spans="1:26" s="12" customFormat="1" x14ac:dyDescent="0.25">
      <c r="A95" s="200" t="s">
        <v>1198</v>
      </c>
      <c r="B95" s="60">
        <v>3.4</v>
      </c>
      <c r="C95" s="60">
        <v>8.6199999999999992</v>
      </c>
      <c r="D95" s="60">
        <v>12.02</v>
      </c>
      <c r="E95" s="60">
        <v>5.37</v>
      </c>
      <c r="F95" s="60">
        <v>0.25</v>
      </c>
      <c r="G95" s="215" t="s">
        <v>36</v>
      </c>
      <c r="H95" s="60">
        <v>2.4900000000000002</v>
      </c>
      <c r="I95" s="60">
        <v>4.0999999999999996</v>
      </c>
      <c r="J95" s="60">
        <v>0.73</v>
      </c>
      <c r="K95" s="60">
        <v>179.56</v>
      </c>
      <c r="L95" s="60">
        <v>34.97</v>
      </c>
      <c r="M95" s="60">
        <v>99.14</v>
      </c>
      <c r="N95" s="60">
        <v>15.2</v>
      </c>
      <c r="O95" s="60">
        <v>0</v>
      </c>
      <c r="P95" s="60">
        <v>3.38</v>
      </c>
      <c r="Q95" s="60">
        <v>3.76</v>
      </c>
      <c r="R95" s="197"/>
      <c r="S95" s="197"/>
      <c r="T95" s="197"/>
      <c r="U95" s="197"/>
    </row>
    <row r="96" spans="1:26" s="12" customFormat="1" x14ac:dyDescent="0.25">
      <c r="A96" s="200" t="s">
        <v>1199</v>
      </c>
      <c r="B96" s="60">
        <v>3.54</v>
      </c>
      <c r="C96" s="60">
        <v>8.59</v>
      </c>
      <c r="D96" s="60">
        <v>12.13</v>
      </c>
      <c r="E96" s="60">
        <v>5.76</v>
      </c>
      <c r="F96" s="60">
        <v>0.36</v>
      </c>
      <c r="G96" s="215" t="s">
        <v>36</v>
      </c>
      <c r="H96" s="60">
        <v>2.4900000000000002</v>
      </c>
      <c r="I96" s="60">
        <v>4.12</v>
      </c>
      <c r="J96" s="60">
        <v>0.75</v>
      </c>
      <c r="K96" s="60">
        <v>171.19</v>
      </c>
      <c r="L96" s="60">
        <v>34.979999999999997</v>
      </c>
      <c r="M96" s="60">
        <v>99.15</v>
      </c>
      <c r="N96" s="60">
        <v>15</v>
      </c>
      <c r="O96" s="60">
        <v>0</v>
      </c>
      <c r="P96" s="60">
        <v>3.38</v>
      </c>
      <c r="Q96" s="60">
        <v>3.98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1200</v>
      </c>
      <c r="B97" s="60">
        <v>3.77</v>
      </c>
      <c r="C97" s="60">
        <v>8.3800000000000008</v>
      </c>
      <c r="D97" s="60">
        <v>12.14</v>
      </c>
      <c r="E97" s="60">
        <v>5.58</v>
      </c>
      <c r="F97" s="60">
        <v>0.36</v>
      </c>
      <c r="G97" s="215" t="s">
        <v>36</v>
      </c>
      <c r="H97" s="60">
        <v>2.4</v>
      </c>
      <c r="I97" s="60">
        <v>4.16</v>
      </c>
      <c r="J97" s="60">
        <v>0.54</v>
      </c>
      <c r="K97" s="60">
        <v>169.32</v>
      </c>
      <c r="L97" s="60">
        <v>35.049999999999997</v>
      </c>
      <c r="M97" s="60">
        <v>99.15</v>
      </c>
      <c r="N97" s="60">
        <v>15</v>
      </c>
      <c r="O97" s="60">
        <v>0</v>
      </c>
      <c r="P97" s="60">
        <v>3.38</v>
      </c>
      <c r="Q97" s="60">
        <v>4.24</v>
      </c>
      <c r="R97" s="197"/>
      <c r="S97" s="197"/>
      <c r="T97" s="197"/>
      <c r="U97" s="197"/>
    </row>
    <row r="98" spans="1:33" s="12" customFormat="1" x14ac:dyDescent="0.25">
      <c r="A98" s="200" t="s">
        <v>1201</v>
      </c>
      <c r="B98" s="60">
        <v>4.07</v>
      </c>
      <c r="C98" s="60">
        <v>8.33</v>
      </c>
      <c r="D98" s="60">
        <v>12.4</v>
      </c>
      <c r="E98" s="60">
        <v>5.89</v>
      </c>
      <c r="F98" s="60">
        <v>0.32</v>
      </c>
      <c r="G98" s="215" t="s">
        <v>36</v>
      </c>
      <c r="H98" s="60">
        <v>2.17</v>
      </c>
      <c r="I98" s="60">
        <v>4.1100000000000003</v>
      </c>
      <c r="J98" s="60">
        <v>0.67</v>
      </c>
      <c r="K98" s="60">
        <v>164.44</v>
      </c>
      <c r="L98" s="60">
        <v>35.11</v>
      </c>
      <c r="M98" s="60">
        <v>99.15</v>
      </c>
      <c r="N98" s="60">
        <v>15.1</v>
      </c>
      <c r="O98" s="60">
        <v>0</v>
      </c>
      <c r="P98" s="60">
        <v>3.39</v>
      </c>
      <c r="Q98" s="60">
        <v>4.45</v>
      </c>
      <c r="R98" s="197"/>
      <c r="S98" s="197"/>
      <c r="T98" s="197"/>
      <c r="U98" s="197"/>
    </row>
    <row r="99" spans="1:33" s="12" customFormat="1" x14ac:dyDescent="0.25">
      <c r="A99" s="200" t="s">
        <v>1202</v>
      </c>
      <c r="B99" s="60">
        <v>4.41</v>
      </c>
      <c r="C99" s="60">
        <v>8.2200000000000006</v>
      </c>
      <c r="D99" s="60">
        <v>12.63</v>
      </c>
      <c r="E99" s="60">
        <v>6.25</v>
      </c>
      <c r="F99" s="60">
        <v>0.37</v>
      </c>
      <c r="G99" s="215" t="s">
        <v>36</v>
      </c>
      <c r="H99" s="60">
        <v>2.17</v>
      </c>
      <c r="I99" s="60">
        <v>4.0999999999999996</v>
      </c>
      <c r="J99" s="60">
        <v>0.52</v>
      </c>
      <c r="K99" s="60">
        <v>184.41</v>
      </c>
      <c r="L99" s="60">
        <v>35.18</v>
      </c>
      <c r="M99" s="60">
        <v>99.14</v>
      </c>
      <c r="N99" s="60">
        <v>15.3</v>
      </c>
      <c r="O99" s="60">
        <v>0</v>
      </c>
      <c r="P99" s="60">
        <v>3.39</v>
      </c>
      <c r="Q99" s="60">
        <v>4.75</v>
      </c>
      <c r="R99" s="197"/>
      <c r="S99" s="197"/>
      <c r="T99" s="197"/>
      <c r="U99" s="197"/>
    </row>
    <row r="100" spans="1:33" s="12" customFormat="1" x14ac:dyDescent="0.25">
      <c r="A100" s="200" t="s">
        <v>1203</v>
      </c>
      <c r="B100" s="60">
        <v>4.62</v>
      </c>
      <c r="C100" s="60">
        <v>8.11</v>
      </c>
      <c r="D100" s="60">
        <v>12.72</v>
      </c>
      <c r="E100" s="60">
        <v>6.33</v>
      </c>
      <c r="F100" s="60">
        <v>0.41</v>
      </c>
      <c r="G100" s="215" t="s">
        <v>36</v>
      </c>
      <c r="H100" s="60">
        <v>2.17</v>
      </c>
      <c r="I100" s="60">
        <v>4.21</v>
      </c>
      <c r="J100" s="60">
        <v>0.82</v>
      </c>
      <c r="K100" s="60">
        <v>170.11</v>
      </c>
      <c r="L100" s="60">
        <v>35.270000000000003</v>
      </c>
      <c r="M100" s="60">
        <v>99.11</v>
      </c>
      <c r="N100" s="60">
        <v>15.4</v>
      </c>
      <c r="O100" s="60">
        <v>0</v>
      </c>
      <c r="P100" s="60">
        <v>3.39</v>
      </c>
      <c r="Q100" s="60">
        <v>4.9000000000000004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1204</v>
      </c>
      <c r="B101" s="60">
        <v>4.74</v>
      </c>
      <c r="C101" s="60">
        <v>8.23</v>
      </c>
      <c r="D101" s="60">
        <v>12.97</v>
      </c>
      <c r="E101" s="60">
        <v>6.36</v>
      </c>
      <c r="F101" s="60">
        <v>0.23</v>
      </c>
      <c r="G101" s="215" t="s">
        <v>36</v>
      </c>
      <c r="H101" s="60">
        <v>2.1</v>
      </c>
      <c r="I101" s="60">
        <v>4.18</v>
      </c>
      <c r="J101" s="60">
        <v>0.54</v>
      </c>
      <c r="K101" s="60">
        <v>169.8</v>
      </c>
      <c r="L101" s="60">
        <v>35.24</v>
      </c>
      <c r="M101" s="60">
        <v>99.13</v>
      </c>
      <c r="N101" s="60">
        <v>15.3</v>
      </c>
      <c r="O101" s="60">
        <v>0.2</v>
      </c>
      <c r="P101" s="60">
        <v>3.39</v>
      </c>
      <c r="Q101" s="60">
        <v>5.05</v>
      </c>
      <c r="R101" s="197"/>
      <c r="S101" s="197"/>
      <c r="T101" s="197"/>
      <c r="U101" s="197"/>
    </row>
    <row r="102" spans="1:33" s="12" customFormat="1" x14ac:dyDescent="0.25">
      <c r="A102" s="200" t="s">
        <v>1205</v>
      </c>
      <c r="B102" s="60">
        <v>4.88</v>
      </c>
      <c r="C102" s="60">
        <v>8.32</v>
      </c>
      <c r="D102" s="60">
        <v>13.2</v>
      </c>
      <c r="E102" s="60">
        <v>6.89</v>
      </c>
      <c r="F102" s="60">
        <v>0.25</v>
      </c>
      <c r="G102" s="215" t="s">
        <v>36</v>
      </c>
      <c r="H102" s="60">
        <v>1.93</v>
      </c>
      <c r="I102" s="60">
        <v>4.29</v>
      </c>
      <c r="J102" s="60">
        <v>0.64</v>
      </c>
      <c r="K102" s="60">
        <v>169.79</v>
      </c>
      <c r="L102" s="60">
        <v>35.159999999999997</v>
      </c>
      <c r="M102" s="60">
        <v>99.15</v>
      </c>
      <c r="N102" s="60">
        <v>15.4</v>
      </c>
      <c r="O102" s="60">
        <v>0.2</v>
      </c>
      <c r="P102" s="60">
        <v>3.39</v>
      </c>
      <c r="Q102" s="60">
        <v>5.22</v>
      </c>
      <c r="R102" s="197"/>
      <c r="S102" s="197"/>
      <c r="T102" s="197"/>
      <c r="U102" s="197"/>
    </row>
    <row r="103" spans="1:33" s="12" customFormat="1" x14ac:dyDescent="0.25">
      <c r="A103" s="200" t="s">
        <v>1206</v>
      </c>
      <c r="B103" s="60">
        <v>5.0999999999999996</v>
      </c>
      <c r="C103" s="60">
        <v>8.06</v>
      </c>
      <c r="D103" s="60">
        <v>13.16</v>
      </c>
      <c r="E103" s="60">
        <v>7.25</v>
      </c>
      <c r="F103" s="60">
        <v>0.4</v>
      </c>
      <c r="G103" s="215" t="s">
        <v>36</v>
      </c>
      <c r="H103" s="60">
        <v>1.93</v>
      </c>
      <c r="I103" s="60">
        <v>4.34</v>
      </c>
      <c r="J103" s="60">
        <v>0.76</v>
      </c>
      <c r="K103" s="60">
        <v>168.09</v>
      </c>
      <c r="L103" s="60">
        <v>35.130000000000003</v>
      </c>
      <c r="M103" s="60">
        <v>99.15</v>
      </c>
      <c r="N103" s="60">
        <v>15.4</v>
      </c>
      <c r="O103" s="60">
        <v>0</v>
      </c>
      <c r="P103" s="60">
        <v>3.38</v>
      </c>
      <c r="Q103" s="60">
        <v>5.37</v>
      </c>
      <c r="R103" s="197"/>
      <c r="S103" s="197"/>
      <c r="T103" s="197"/>
      <c r="U103" s="197"/>
    </row>
    <row r="104" spans="1:33" s="12" customFormat="1" x14ac:dyDescent="0.25">
      <c r="A104" s="200" t="s">
        <v>1207</v>
      </c>
      <c r="B104" s="60">
        <v>5.0599999999999996</v>
      </c>
      <c r="C104" s="60">
        <v>7.99</v>
      </c>
      <c r="D104" s="60">
        <v>13.05</v>
      </c>
      <c r="E104" s="60">
        <v>2.0699999999999998</v>
      </c>
      <c r="F104" s="60">
        <v>0.28000000000000003</v>
      </c>
      <c r="G104" s="215" t="s">
        <v>36</v>
      </c>
      <c r="H104" s="60">
        <v>1.93</v>
      </c>
      <c r="I104" s="60">
        <v>4.32</v>
      </c>
      <c r="J104" s="60">
        <v>0.55000000000000004</v>
      </c>
      <c r="K104" s="60">
        <v>174.38</v>
      </c>
      <c r="L104" s="60">
        <v>35.119999999999997</v>
      </c>
      <c r="M104" s="60">
        <v>99.15</v>
      </c>
      <c r="N104" s="60">
        <v>15.4</v>
      </c>
      <c r="O104" s="60">
        <v>0.2</v>
      </c>
      <c r="P104" s="60">
        <v>3.39</v>
      </c>
      <c r="Q104" s="60">
        <v>5.15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5" t="s">
        <v>59</v>
      </c>
      <c r="B106" s="67">
        <f>MIN(B9:B104)</f>
        <v>0.23</v>
      </c>
      <c r="C106" s="67">
        <f>MIN(C9:C104)</f>
        <v>7.99</v>
      </c>
      <c r="D106" s="67">
        <f t="shared" ref="D106:Q106" si="0">MIN(D9:D104)</f>
        <v>8.27</v>
      </c>
      <c r="E106" s="67">
        <f t="shared" si="0"/>
        <v>1.38</v>
      </c>
      <c r="F106" s="67">
        <f t="shared" si="0"/>
        <v>0.09</v>
      </c>
      <c r="G106" s="67">
        <f t="shared" si="0"/>
        <v>0</v>
      </c>
      <c r="H106" s="67">
        <f t="shared" si="0"/>
        <v>1.93</v>
      </c>
      <c r="I106" s="67">
        <f t="shared" si="0"/>
        <v>3.19</v>
      </c>
      <c r="J106" s="67">
        <f t="shared" si="0"/>
        <v>0.01</v>
      </c>
      <c r="K106" s="67">
        <f t="shared" si="0"/>
        <v>11.95</v>
      </c>
      <c r="L106" s="67">
        <f t="shared" si="0"/>
        <v>33.21</v>
      </c>
      <c r="M106" s="67">
        <f t="shared" si="0"/>
        <v>87.03</v>
      </c>
      <c r="N106" s="67">
        <f t="shared" si="0"/>
        <v>14.6</v>
      </c>
      <c r="O106" s="67">
        <f t="shared" si="0"/>
        <v>0</v>
      </c>
      <c r="P106" s="67">
        <f t="shared" si="0"/>
        <v>3.28</v>
      </c>
      <c r="Q106" s="67">
        <f t="shared" si="0"/>
        <v>1.75</v>
      </c>
      <c r="R106" s="198"/>
      <c r="S106" s="198"/>
      <c r="T106" s="198"/>
      <c r="U106" s="198"/>
    </row>
    <row r="107" spans="1:33" x14ac:dyDescent="0.25">
      <c r="A107" s="65" t="s">
        <v>60</v>
      </c>
      <c r="B107" s="66">
        <f>MAX(B9:B104)</f>
        <v>8.7100000000000009</v>
      </c>
      <c r="C107" s="66">
        <f t="shared" ref="C107:Q107" si="1">MAX(C9:C104)</f>
        <v>15.49</v>
      </c>
      <c r="D107" s="66">
        <f t="shared" si="1"/>
        <v>24.04</v>
      </c>
      <c r="E107" s="66">
        <f t="shared" si="1"/>
        <v>7.25</v>
      </c>
      <c r="F107" s="66">
        <f t="shared" si="1"/>
        <v>1.5</v>
      </c>
      <c r="G107" s="66">
        <f t="shared" si="1"/>
        <v>0</v>
      </c>
      <c r="H107" s="66">
        <f t="shared" si="1"/>
        <v>8.3699999999999992</v>
      </c>
      <c r="I107" s="66">
        <f t="shared" si="1"/>
        <v>11.71</v>
      </c>
      <c r="J107" s="66">
        <f t="shared" si="1"/>
        <v>1.51</v>
      </c>
      <c r="K107" s="66">
        <f t="shared" si="1"/>
        <v>225.36</v>
      </c>
      <c r="L107" s="66">
        <f t="shared" si="1"/>
        <v>41.57</v>
      </c>
      <c r="M107" s="66">
        <f t="shared" si="1"/>
        <v>99.15</v>
      </c>
      <c r="N107" s="66">
        <f t="shared" si="1"/>
        <v>214.1</v>
      </c>
      <c r="O107" s="66">
        <f t="shared" si="1"/>
        <v>1.4</v>
      </c>
      <c r="P107" s="66">
        <f t="shared" si="1"/>
        <v>4.0999999999999996</v>
      </c>
      <c r="Q107" s="66">
        <f t="shared" si="1"/>
        <v>8.1199999999999992</v>
      </c>
      <c r="R107" s="199"/>
      <c r="S107" s="199"/>
      <c r="T107" s="199"/>
      <c r="U107" s="199"/>
    </row>
    <row r="108" spans="1:33" x14ac:dyDescent="0.25">
      <c r="A108" s="65" t="s">
        <v>61</v>
      </c>
      <c r="B108" s="67">
        <f>AVERAGE(B9:B104)</f>
        <v>2.6548958333333337</v>
      </c>
      <c r="C108" s="67">
        <f t="shared" ref="C108:Q108" si="2">AVERAGE(C9:C104)</f>
        <v>9.5377083333333363</v>
      </c>
      <c r="D108" s="67">
        <f t="shared" si="2"/>
        <v>12.191562500000009</v>
      </c>
      <c r="E108" s="67">
        <f t="shared" si="2"/>
        <v>4.105104166666667</v>
      </c>
      <c r="F108" s="67">
        <f t="shared" si="2"/>
        <v>0.53864583333333316</v>
      </c>
      <c r="G108" s="67" t="e">
        <f t="shared" si="2"/>
        <v>#DIV/0!</v>
      </c>
      <c r="H108" s="67">
        <f t="shared" si="2"/>
        <v>3.504270833333333</v>
      </c>
      <c r="I108" s="67">
        <f t="shared" si="2"/>
        <v>4.706458333333333</v>
      </c>
      <c r="J108" s="67">
        <f t="shared" si="2"/>
        <v>0.50177083333333317</v>
      </c>
      <c r="K108" s="67">
        <f t="shared" si="2"/>
        <v>172.65760416666669</v>
      </c>
      <c r="L108" s="67">
        <f t="shared" si="2"/>
        <v>35.832604166666663</v>
      </c>
      <c r="M108" s="67">
        <f t="shared" si="2"/>
        <v>95.193437499999959</v>
      </c>
      <c r="N108" s="67">
        <f t="shared" si="2"/>
        <v>57.158333333333324</v>
      </c>
      <c r="O108" s="67">
        <f t="shared" si="2"/>
        <v>0.16458333333333322</v>
      </c>
      <c r="P108" s="67">
        <f t="shared" si="2"/>
        <v>3.4116666666666675</v>
      </c>
      <c r="Q108" s="67">
        <f t="shared" si="2"/>
        <v>3.7479166666666681</v>
      </c>
      <c r="R108" s="198"/>
      <c r="S108" s="198"/>
      <c r="T108" s="198"/>
      <c r="U108" s="198"/>
    </row>
    <row r="109" spans="1:33" x14ac:dyDescent="0.25">
      <c r="A109" s="65" t="s">
        <v>77</v>
      </c>
      <c r="B109" s="67">
        <f>STDEV(B9:B104)</f>
        <v>1.5046244467896932</v>
      </c>
      <c r="C109" s="67">
        <f t="shared" ref="C109:Q109" si="3">STDEV(C9:C104)</f>
        <v>1.5405873652034467</v>
      </c>
      <c r="D109" s="67">
        <f t="shared" si="3"/>
        <v>2.6809312318179042</v>
      </c>
      <c r="E109" s="67">
        <f t="shared" si="3"/>
        <v>1.2277347517334682</v>
      </c>
      <c r="F109" s="67">
        <f t="shared" si="3"/>
        <v>0.30387192520834311</v>
      </c>
      <c r="G109" s="67" t="e">
        <f t="shared" si="3"/>
        <v>#DIV/0!</v>
      </c>
      <c r="H109" s="67">
        <f t="shared" si="3"/>
        <v>1.6632256199082893</v>
      </c>
      <c r="I109" s="67">
        <f t="shared" si="3"/>
        <v>2.1830273422916622</v>
      </c>
      <c r="J109" s="67">
        <f t="shared" si="3"/>
        <v>0.2521736861420244</v>
      </c>
      <c r="K109" s="67">
        <f t="shared" si="3"/>
        <v>50.148472396208</v>
      </c>
      <c r="L109" s="67">
        <f t="shared" si="3"/>
        <v>1.4495917717842361</v>
      </c>
      <c r="M109" s="67">
        <f t="shared" si="3"/>
        <v>4.4068195544549278</v>
      </c>
      <c r="N109" s="67">
        <f t="shared" si="3"/>
        <v>55.107574542251683</v>
      </c>
      <c r="O109" s="67">
        <f t="shared" si="3"/>
        <v>0.30016808156928076</v>
      </c>
      <c r="P109" s="67">
        <f t="shared" si="3"/>
        <v>0.17041538518799276</v>
      </c>
      <c r="Q109" s="67">
        <f t="shared" si="3"/>
        <v>1.2956119599931095</v>
      </c>
      <c r="R109" s="198"/>
      <c r="S109" s="198"/>
      <c r="T109" s="198"/>
      <c r="U109" s="198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COUNT(G9:G104)+96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9"/>
      <c r="S110" s="199"/>
      <c r="T110" s="199"/>
      <c r="U110" s="199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247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6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F110" sqref="F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11-08-2022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234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1208</v>
      </c>
      <c r="B9" s="60">
        <v>4.8899999999999997</v>
      </c>
      <c r="C9" s="60">
        <v>8.16</v>
      </c>
      <c r="D9" s="60">
        <v>13.05</v>
      </c>
      <c r="E9" s="60">
        <v>4.18</v>
      </c>
      <c r="F9" s="60">
        <v>0.23</v>
      </c>
      <c r="G9" s="215" t="s">
        <v>36</v>
      </c>
      <c r="H9" s="60">
        <v>2.0299999999999998</v>
      </c>
      <c r="I9" s="60">
        <v>4.47</v>
      </c>
      <c r="J9" s="60">
        <v>0.68</v>
      </c>
      <c r="K9" s="60">
        <v>164.73</v>
      </c>
      <c r="L9" s="60">
        <v>35.24</v>
      </c>
      <c r="M9" s="60">
        <v>99.14</v>
      </c>
      <c r="N9" s="60">
        <v>15.2</v>
      </c>
      <c r="O9" s="60">
        <v>0</v>
      </c>
      <c r="P9" s="60">
        <v>3.39</v>
      </c>
      <c r="Q9" s="60">
        <v>4.88</v>
      </c>
      <c r="R9" s="197"/>
      <c r="S9" s="197"/>
      <c r="T9" s="197"/>
      <c r="U9" s="197"/>
    </row>
    <row r="10" spans="1:21" s="12" customFormat="1" x14ac:dyDescent="0.25">
      <c r="A10" s="200" t="s">
        <v>1209</v>
      </c>
      <c r="B10" s="60">
        <v>4.67</v>
      </c>
      <c r="C10" s="60">
        <v>8.14</v>
      </c>
      <c r="D10" s="60">
        <v>12.8</v>
      </c>
      <c r="E10" s="60">
        <v>5.23</v>
      </c>
      <c r="F10" s="60">
        <v>0.25</v>
      </c>
      <c r="G10" s="215" t="s">
        <v>36</v>
      </c>
      <c r="H10" s="60">
        <v>2.29</v>
      </c>
      <c r="I10" s="60">
        <v>4.51</v>
      </c>
      <c r="J10" s="60">
        <v>0.42</v>
      </c>
      <c r="K10" s="60">
        <v>189.35</v>
      </c>
      <c r="L10" s="60">
        <v>35.42</v>
      </c>
      <c r="M10" s="60">
        <v>99.1</v>
      </c>
      <c r="N10" s="60">
        <v>15.5</v>
      </c>
      <c r="O10" s="60">
        <v>0</v>
      </c>
      <c r="P10" s="60">
        <v>3.38</v>
      </c>
      <c r="Q10" s="60">
        <v>4.59</v>
      </c>
      <c r="R10" s="197"/>
      <c r="S10" s="197"/>
      <c r="T10" s="197"/>
      <c r="U10" s="197"/>
    </row>
    <row r="11" spans="1:21" s="12" customFormat="1" x14ac:dyDescent="0.25">
      <c r="A11" s="200" t="s">
        <v>1210</v>
      </c>
      <c r="B11" s="60">
        <v>4.4000000000000004</v>
      </c>
      <c r="C11" s="60">
        <v>8.01</v>
      </c>
      <c r="D11" s="60">
        <v>12.41</v>
      </c>
      <c r="E11" s="60">
        <v>5.71</v>
      </c>
      <c r="F11" s="60">
        <v>0.31</v>
      </c>
      <c r="G11" s="215" t="s">
        <v>36</v>
      </c>
      <c r="H11" s="60">
        <v>2.29</v>
      </c>
      <c r="I11" s="60">
        <v>4.47</v>
      </c>
      <c r="J11" s="60">
        <v>0.67</v>
      </c>
      <c r="K11" s="60">
        <v>174.73</v>
      </c>
      <c r="L11" s="60">
        <v>35.56</v>
      </c>
      <c r="M11" s="60">
        <v>98.87</v>
      </c>
      <c r="N11" s="60">
        <v>15.6</v>
      </c>
      <c r="O11" s="60">
        <v>0</v>
      </c>
      <c r="P11" s="60">
        <v>3.37</v>
      </c>
      <c r="Q11" s="60">
        <v>4.38</v>
      </c>
      <c r="R11" s="197"/>
      <c r="S11" s="197"/>
      <c r="T11" s="197"/>
      <c r="U11" s="197"/>
    </row>
    <row r="12" spans="1:21" s="12" customFormat="1" x14ac:dyDescent="0.25">
      <c r="A12" s="200" t="s">
        <v>1211</v>
      </c>
      <c r="B12" s="60">
        <v>4.1100000000000003</v>
      </c>
      <c r="C12" s="60">
        <v>7.93</v>
      </c>
      <c r="D12" s="60">
        <v>12.04</v>
      </c>
      <c r="E12" s="60">
        <v>5.58</v>
      </c>
      <c r="F12" s="60">
        <v>0.24</v>
      </c>
      <c r="G12" s="215" t="s">
        <v>36</v>
      </c>
      <c r="H12" s="60">
        <v>2.29</v>
      </c>
      <c r="I12" s="60">
        <v>4.46</v>
      </c>
      <c r="J12" s="60">
        <v>0.66</v>
      </c>
      <c r="K12" s="60">
        <v>178.92</v>
      </c>
      <c r="L12" s="60">
        <v>35.68</v>
      </c>
      <c r="M12" s="60">
        <v>98.52</v>
      </c>
      <c r="N12" s="60">
        <v>15.1</v>
      </c>
      <c r="O12" s="60">
        <v>0</v>
      </c>
      <c r="P12" s="60">
        <v>3.37</v>
      </c>
      <c r="Q12" s="60">
        <v>4.26</v>
      </c>
      <c r="R12" s="197"/>
      <c r="S12" s="197"/>
      <c r="T12" s="197"/>
      <c r="U12" s="197"/>
    </row>
    <row r="13" spans="1:21" s="12" customFormat="1" x14ac:dyDescent="0.25">
      <c r="A13" s="200" t="s">
        <v>1212</v>
      </c>
      <c r="B13" s="60">
        <v>3.87</v>
      </c>
      <c r="C13" s="60">
        <v>7.81</v>
      </c>
      <c r="D13" s="60">
        <v>11.68</v>
      </c>
      <c r="E13" s="60">
        <v>5.6</v>
      </c>
      <c r="F13" s="60">
        <v>0.31</v>
      </c>
      <c r="G13" s="215" t="s">
        <v>36</v>
      </c>
      <c r="H13" s="60">
        <v>2.4300000000000002</v>
      </c>
      <c r="I13" s="60">
        <v>4.46</v>
      </c>
      <c r="J13" s="60">
        <v>0.64</v>
      </c>
      <c r="K13" s="60">
        <v>181.03</v>
      </c>
      <c r="L13" s="60">
        <v>35.83</v>
      </c>
      <c r="M13" s="60">
        <v>98.03</v>
      </c>
      <c r="N13" s="60">
        <v>15</v>
      </c>
      <c r="O13" s="60">
        <v>0</v>
      </c>
      <c r="P13" s="60">
        <v>3.36</v>
      </c>
      <c r="Q13" s="60">
        <v>4.13</v>
      </c>
      <c r="R13" s="197"/>
      <c r="S13" s="197"/>
      <c r="T13" s="197"/>
      <c r="U13" s="197"/>
    </row>
    <row r="14" spans="1:21" s="12" customFormat="1" x14ac:dyDescent="0.25">
      <c r="A14" s="200" t="s">
        <v>1213</v>
      </c>
      <c r="B14" s="60">
        <v>3.58</v>
      </c>
      <c r="C14" s="60">
        <v>7.72</v>
      </c>
      <c r="D14" s="60">
        <v>11.3</v>
      </c>
      <c r="E14" s="60">
        <v>5.58</v>
      </c>
      <c r="F14" s="60">
        <v>0.2</v>
      </c>
      <c r="G14" s="215" t="s">
        <v>36</v>
      </c>
      <c r="H14" s="60">
        <v>2.79</v>
      </c>
      <c r="I14" s="60">
        <v>4.4400000000000004</v>
      </c>
      <c r="J14" s="60">
        <v>0.51</v>
      </c>
      <c r="K14" s="60">
        <v>177.71</v>
      </c>
      <c r="L14" s="60">
        <v>36.04</v>
      </c>
      <c r="M14" s="60">
        <v>98.75</v>
      </c>
      <c r="N14" s="60">
        <v>15</v>
      </c>
      <c r="O14" s="60">
        <v>0</v>
      </c>
      <c r="P14" s="60">
        <v>3.35</v>
      </c>
      <c r="Q14" s="60">
        <v>3.98</v>
      </c>
      <c r="R14" s="197"/>
      <c r="S14" s="197"/>
      <c r="T14" s="197"/>
      <c r="U14" s="197"/>
    </row>
    <row r="15" spans="1:21" s="12" customFormat="1" x14ac:dyDescent="0.25">
      <c r="A15" s="200" t="s">
        <v>1214</v>
      </c>
      <c r="B15" s="60">
        <v>3.47</v>
      </c>
      <c r="C15" s="60">
        <v>7.74</v>
      </c>
      <c r="D15" s="60">
        <v>11.21</v>
      </c>
      <c r="E15" s="60">
        <v>5.66</v>
      </c>
      <c r="F15" s="60">
        <v>0.18</v>
      </c>
      <c r="G15" s="215" t="s">
        <v>36</v>
      </c>
      <c r="H15" s="60">
        <v>2.79</v>
      </c>
      <c r="I15" s="60">
        <v>4.4000000000000004</v>
      </c>
      <c r="J15" s="60">
        <v>0.46</v>
      </c>
      <c r="K15" s="60">
        <v>176.05</v>
      </c>
      <c r="L15" s="60">
        <v>36.44</v>
      </c>
      <c r="M15" s="60">
        <v>98.99</v>
      </c>
      <c r="N15" s="60">
        <v>15</v>
      </c>
      <c r="O15" s="60">
        <v>0</v>
      </c>
      <c r="P15" s="60">
        <v>3.35</v>
      </c>
      <c r="Q15" s="60">
        <v>4.21</v>
      </c>
      <c r="R15" s="197"/>
      <c r="S15" s="197"/>
      <c r="T15" s="197"/>
      <c r="U15" s="197"/>
    </row>
    <row r="16" spans="1:21" s="12" customFormat="1" x14ac:dyDescent="0.25">
      <c r="A16" s="200" t="s">
        <v>1215</v>
      </c>
      <c r="B16" s="60">
        <v>3.46</v>
      </c>
      <c r="C16" s="60">
        <v>7.75</v>
      </c>
      <c r="D16" s="60">
        <v>11.22</v>
      </c>
      <c r="E16" s="60">
        <v>5.45</v>
      </c>
      <c r="F16" s="60">
        <v>0.33</v>
      </c>
      <c r="G16" s="215" t="s">
        <v>36</v>
      </c>
      <c r="H16" s="60">
        <v>2.79</v>
      </c>
      <c r="I16" s="60">
        <v>4.3</v>
      </c>
      <c r="J16" s="60">
        <v>0.34</v>
      </c>
      <c r="K16" s="60">
        <v>185.4</v>
      </c>
      <c r="L16" s="60">
        <v>36.229999999999997</v>
      </c>
      <c r="M16" s="60">
        <v>98.89</v>
      </c>
      <c r="N16" s="60">
        <v>15</v>
      </c>
      <c r="O16" s="60">
        <v>0</v>
      </c>
      <c r="P16" s="60">
        <v>3.35</v>
      </c>
      <c r="Q16" s="60">
        <v>4.3899999999999997</v>
      </c>
      <c r="R16" s="197"/>
      <c r="S16" s="197"/>
      <c r="T16" s="197"/>
      <c r="U16" s="197"/>
    </row>
    <row r="17" spans="1:21" s="12" customFormat="1" x14ac:dyDescent="0.25">
      <c r="A17" s="200" t="s">
        <v>1216</v>
      </c>
      <c r="B17" s="60">
        <v>3.49</v>
      </c>
      <c r="C17" s="60">
        <v>7.71</v>
      </c>
      <c r="D17" s="60">
        <v>11.2</v>
      </c>
      <c r="E17" s="60">
        <v>5.91</v>
      </c>
      <c r="F17" s="60">
        <v>0.7</v>
      </c>
      <c r="G17" s="215" t="s">
        <v>36</v>
      </c>
      <c r="H17" s="60">
        <v>2.76</v>
      </c>
      <c r="I17" s="60">
        <v>4.16</v>
      </c>
      <c r="J17" s="60">
        <v>0.4</v>
      </c>
      <c r="K17" s="60">
        <v>191.43</v>
      </c>
      <c r="L17" s="60">
        <v>36.03</v>
      </c>
      <c r="M17" s="60">
        <v>99.05</v>
      </c>
      <c r="N17" s="60">
        <v>15.1</v>
      </c>
      <c r="O17" s="60">
        <v>0</v>
      </c>
      <c r="P17" s="60">
        <v>3.35</v>
      </c>
      <c r="Q17" s="60">
        <v>4.5599999999999996</v>
      </c>
      <c r="R17" s="197"/>
      <c r="S17" s="197"/>
      <c r="T17" s="197"/>
      <c r="U17" s="197"/>
    </row>
    <row r="18" spans="1:21" s="12" customFormat="1" x14ac:dyDescent="0.25">
      <c r="A18" s="200" t="s">
        <v>1217</v>
      </c>
      <c r="B18" s="60">
        <v>3.51</v>
      </c>
      <c r="C18" s="60">
        <v>7.73</v>
      </c>
      <c r="D18" s="60">
        <v>11.24</v>
      </c>
      <c r="E18" s="60">
        <v>5.91</v>
      </c>
      <c r="F18" s="60">
        <v>0.34</v>
      </c>
      <c r="G18" s="215" t="s">
        <v>36</v>
      </c>
      <c r="H18" s="60">
        <v>2.71</v>
      </c>
      <c r="I18" s="60">
        <v>4.21</v>
      </c>
      <c r="J18" s="60">
        <v>0.53</v>
      </c>
      <c r="K18" s="60">
        <v>183.3</v>
      </c>
      <c r="L18" s="60">
        <v>35.86</v>
      </c>
      <c r="M18" s="60">
        <v>98.94</v>
      </c>
      <c r="N18" s="60">
        <v>15.1</v>
      </c>
      <c r="O18" s="60">
        <v>0</v>
      </c>
      <c r="P18" s="60">
        <v>3.35</v>
      </c>
      <c r="Q18" s="60">
        <v>4.62</v>
      </c>
      <c r="R18" s="197"/>
      <c r="S18" s="197"/>
      <c r="T18" s="197"/>
      <c r="U18" s="197"/>
    </row>
    <row r="19" spans="1:21" s="12" customFormat="1" x14ac:dyDescent="0.25">
      <c r="A19" s="200" t="s">
        <v>1218</v>
      </c>
      <c r="B19" s="60">
        <v>3.47</v>
      </c>
      <c r="C19" s="60">
        <v>7.71</v>
      </c>
      <c r="D19" s="60">
        <v>11.17</v>
      </c>
      <c r="E19" s="60">
        <v>6.38</v>
      </c>
      <c r="F19" s="60">
        <v>0.28000000000000003</v>
      </c>
      <c r="G19" s="215" t="s">
        <v>36</v>
      </c>
      <c r="H19" s="60">
        <v>2.71</v>
      </c>
      <c r="I19" s="60">
        <v>4.22</v>
      </c>
      <c r="J19" s="60">
        <v>0.56000000000000005</v>
      </c>
      <c r="K19" s="60">
        <v>190.41</v>
      </c>
      <c r="L19" s="60">
        <v>36.020000000000003</v>
      </c>
      <c r="M19" s="60">
        <v>98.15</v>
      </c>
      <c r="N19" s="60">
        <v>15.6</v>
      </c>
      <c r="O19" s="60">
        <v>0</v>
      </c>
      <c r="P19" s="60">
        <v>3.34</v>
      </c>
      <c r="Q19" s="60">
        <v>4.72</v>
      </c>
      <c r="R19" s="197"/>
      <c r="S19" s="197"/>
      <c r="T19" s="197"/>
      <c r="U19" s="197"/>
    </row>
    <row r="20" spans="1:21" s="12" customFormat="1" x14ac:dyDescent="0.25">
      <c r="A20" s="200" t="s">
        <v>1219</v>
      </c>
      <c r="B20" s="60">
        <v>3.38</v>
      </c>
      <c r="C20" s="60">
        <v>7.84</v>
      </c>
      <c r="D20" s="60">
        <v>11.22</v>
      </c>
      <c r="E20" s="60">
        <v>6.34</v>
      </c>
      <c r="F20" s="60">
        <v>0.41</v>
      </c>
      <c r="G20" s="215" t="s">
        <v>36</v>
      </c>
      <c r="H20" s="60">
        <v>2.71</v>
      </c>
      <c r="I20" s="60">
        <v>4.1900000000000004</v>
      </c>
      <c r="J20" s="60">
        <v>0.5</v>
      </c>
      <c r="K20" s="60">
        <v>182.96</v>
      </c>
      <c r="L20" s="60">
        <v>36.15</v>
      </c>
      <c r="M20" s="60">
        <v>98.03</v>
      </c>
      <c r="N20" s="60">
        <v>15.6</v>
      </c>
      <c r="O20" s="60">
        <v>0</v>
      </c>
      <c r="P20" s="60">
        <v>3.34</v>
      </c>
      <c r="Q20" s="60">
        <v>4.79</v>
      </c>
      <c r="R20" s="197"/>
      <c r="S20" s="197"/>
      <c r="T20" s="197"/>
      <c r="U20" s="197"/>
    </row>
    <row r="21" spans="1:21" s="12" customFormat="1" x14ac:dyDescent="0.25">
      <c r="A21" s="200" t="s">
        <v>1220</v>
      </c>
      <c r="B21" s="60">
        <v>3.28</v>
      </c>
      <c r="C21" s="60">
        <v>7.86</v>
      </c>
      <c r="D21" s="60">
        <v>11.15</v>
      </c>
      <c r="E21" s="60">
        <v>6.74</v>
      </c>
      <c r="F21" s="60">
        <v>0.41</v>
      </c>
      <c r="G21" s="215" t="s">
        <v>36</v>
      </c>
      <c r="H21" s="60">
        <v>3.15</v>
      </c>
      <c r="I21" s="60">
        <v>4.2699999999999996</v>
      </c>
      <c r="J21" s="60">
        <v>0.52</v>
      </c>
      <c r="K21" s="60">
        <v>190.91</v>
      </c>
      <c r="L21" s="60">
        <v>36.090000000000003</v>
      </c>
      <c r="M21" s="60">
        <v>98.08</v>
      </c>
      <c r="N21" s="60">
        <v>15.3</v>
      </c>
      <c r="O21" s="60">
        <v>0</v>
      </c>
      <c r="P21" s="60">
        <v>3.34</v>
      </c>
      <c r="Q21" s="60">
        <v>4.76</v>
      </c>
      <c r="R21" s="197"/>
      <c r="S21" s="197"/>
      <c r="T21" s="197"/>
      <c r="U21" s="197"/>
    </row>
    <row r="22" spans="1:21" s="12" customFormat="1" x14ac:dyDescent="0.25">
      <c r="A22" s="200" t="s">
        <v>1221</v>
      </c>
      <c r="B22" s="60">
        <v>3.19</v>
      </c>
      <c r="C22" s="60">
        <v>7.49</v>
      </c>
      <c r="D22" s="60">
        <v>10.68</v>
      </c>
      <c r="E22" s="60">
        <v>6.62</v>
      </c>
      <c r="F22" s="60">
        <v>0.6</v>
      </c>
      <c r="G22" s="215" t="s">
        <v>36</v>
      </c>
      <c r="H22" s="60">
        <v>4.24</v>
      </c>
      <c r="I22" s="60">
        <v>4.3</v>
      </c>
      <c r="J22" s="60">
        <v>0.49</v>
      </c>
      <c r="K22" s="60">
        <v>197.86</v>
      </c>
      <c r="L22" s="60">
        <v>35.840000000000003</v>
      </c>
      <c r="M22" s="60">
        <v>98.93</v>
      </c>
      <c r="N22" s="60">
        <v>15.2</v>
      </c>
      <c r="O22" s="60">
        <v>0</v>
      </c>
      <c r="P22" s="60">
        <v>3.33</v>
      </c>
      <c r="Q22" s="60">
        <v>4.5599999999999996</v>
      </c>
      <c r="R22" s="197"/>
      <c r="S22" s="197"/>
      <c r="T22" s="197"/>
      <c r="U22" s="197"/>
    </row>
    <row r="23" spans="1:21" s="12" customFormat="1" x14ac:dyDescent="0.25">
      <c r="A23" s="200" t="s">
        <v>1222</v>
      </c>
      <c r="B23" s="60">
        <v>3.04</v>
      </c>
      <c r="C23" s="60">
        <v>7.44</v>
      </c>
      <c r="D23" s="60">
        <v>10.47</v>
      </c>
      <c r="E23" s="60">
        <v>6.24</v>
      </c>
      <c r="F23" s="60">
        <v>0.52</v>
      </c>
      <c r="G23" s="215" t="s">
        <v>36</v>
      </c>
      <c r="H23" s="60">
        <v>4.24</v>
      </c>
      <c r="I23" s="60">
        <v>4.34</v>
      </c>
      <c r="J23" s="60">
        <v>0.89</v>
      </c>
      <c r="K23" s="60">
        <v>179.07</v>
      </c>
      <c r="L23" s="60">
        <v>35.799999999999997</v>
      </c>
      <c r="M23" s="60">
        <v>99.09</v>
      </c>
      <c r="N23" s="60">
        <v>15.2</v>
      </c>
      <c r="O23" s="60">
        <v>0.2</v>
      </c>
      <c r="P23" s="60">
        <v>3.33</v>
      </c>
      <c r="Q23" s="60">
        <v>4.1900000000000004</v>
      </c>
      <c r="R23" s="197"/>
      <c r="S23" s="197"/>
      <c r="T23" s="197"/>
      <c r="U23" s="197"/>
    </row>
    <row r="24" spans="1:21" s="12" customFormat="1" x14ac:dyDescent="0.25">
      <c r="A24" s="200" t="s">
        <v>1223</v>
      </c>
      <c r="B24" s="60">
        <v>2.91</v>
      </c>
      <c r="C24" s="60">
        <v>7.54</v>
      </c>
      <c r="D24" s="60">
        <v>10.45</v>
      </c>
      <c r="E24" s="60">
        <v>2.76</v>
      </c>
      <c r="F24" s="60">
        <v>0.42</v>
      </c>
      <c r="G24" s="215" t="s">
        <v>36</v>
      </c>
      <c r="H24" s="60">
        <v>4.24</v>
      </c>
      <c r="I24" s="60">
        <v>4.32</v>
      </c>
      <c r="J24" s="60">
        <v>0.71</v>
      </c>
      <c r="K24" s="60">
        <v>170.35</v>
      </c>
      <c r="L24" s="60">
        <v>35.729999999999997</v>
      </c>
      <c r="M24" s="60">
        <v>99.15</v>
      </c>
      <c r="N24" s="60">
        <v>15.4</v>
      </c>
      <c r="O24" s="60">
        <v>0</v>
      </c>
      <c r="P24" s="60">
        <v>3.33</v>
      </c>
      <c r="Q24" s="60">
        <v>3.92</v>
      </c>
      <c r="R24" s="197"/>
      <c r="S24" s="197"/>
      <c r="T24" s="197"/>
      <c r="U24" s="197"/>
    </row>
    <row r="25" spans="1:21" s="12" customFormat="1" x14ac:dyDescent="0.25">
      <c r="A25" s="200" t="s">
        <v>1224</v>
      </c>
      <c r="B25" s="60">
        <v>2.85</v>
      </c>
      <c r="C25" s="60">
        <v>7.53</v>
      </c>
      <c r="D25" s="60">
        <v>10.37</v>
      </c>
      <c r="E25" s="60">
        <v>5.4</v>
      </c>
      <c r="F25" s="60">
        <v>0.27</v>
      </c>
      <c r="G25" s="215" t="s">
        <v>36</v>
      </c>
      <c r="H25" s="60">
        <v>4</v>
      </c>
      <c r="I25" s="60">
        <v>4.3099999999999996</v>
      </c>
      <c r="J25" s="60">
        <v>0.75</v>
      </c>
      <c r="K25" s="60">
        <v>181.8</v>
      </c>
      <c r="L25" s="60">
        <v>36.49</v>
      </c>
      <c r="M25" s="60">
        <v>99.15</v>
      </c>
      <c r="N25" s="60">
        <v>15.4</v>
      </c>
      <c r="O25" s="60">
        <v>0</v>
      </c>
      <c r="P25" s="60">
        <v>3.32</v>
      </c>
      <c r="Q25" s="60">
        <v>3.73</v>
      </c>
      <c r="R25" s="197"/>
      <c r="S25" s="197"/>
      <c r="T25" s="197"/>
      <c r="U25" s="197"/>
    </row>
    <row r="26" spans="1:21" s="12" customFormat="1" x14ac:dyDescent="0.25">
      <c r="A26" s="200" t="s">
        <v>1225</v>
      </c>
      <c r="B26" s="60">
        <v>2.74</v>
      </c>
      <c r="C26" s="60">
        <v>7.61</v>
      </c>
      <c r="D26" s="60">
        <v>10.35</v>
      </c>
      <c r="E26" s="60">
        <v>6.45</v>
      </c>
      <c r="F26" s="60">
        <v>0.47</v>
      </c>
      <c r="G26" s="215" t="s">
        <v>36</v>
      </c>
      <c r="H26" s="60">
        <v>3.41</v>
      </c>
      <c r="I26" s="60">
        <v>4.32</v>
      </c>
      <c r="J26" s="60">
        <v>0.86</v>
      </c>
      <c r="K26" s="60">
        <v>170.57</v>
      </c>
      <c r="L26" s="60">
        <v>36.44</v>
      </c>
      <c r="M26" s="60">
        <v>99.15</v>
      </c>
      <c r="N26" s="60">
        <v>15.4</v>
      </c>
      <c r="O26" s="60">
        <v>0</v>
      </c>
      <c r="P26" s="60">
        <v>3.32</v>
      </c>
      <c r="Q26" s="60">
        <v>3.56</v>
      </c>
      <c r="R26" s="197"/>
      <c r="S26" s="197"/>
      <c r="T26" s="197"/>
      <c r="U26" s="197"/>
    </row>
    <row r="27" spans="1:21" s="12" customFormat="1" x14ac:dyDescent="0.25">
      <c r="A27" s="200" t="s">
        <v>1226</v>
      </c>
      <c r="B27" s="60">
        <v>2.69</v>
      </c>
      <c r="C27" s="60">
        <v>7.55</v>
      </c>
      <c r="D27" s="60">
        <v>10.24</v>
      </c>
      <c r="E27" s="60">
        <v>7.12</v>
      </c>
      <c r="F27" s="8" t="s">
        <v>34</v>
      </c>
      <c r="G27" s="215" t="s">
        <v>36</v>
      </c>
      <c r="H27" s="60">
        <v>3.41</v>
      </c>
      <c r="I27" s="60">
        <v>4.3099999999999996</v>
      </c>
      <c r="J27" s="60">
        <v>0.96</v>
      </c>
      <c r="K27" s="60">
        <v>183.24</v>
      </c>
      <c r="L27" s="60">
        <v>36.44</v>
      </c>
      <c r="M27" s="60">
        <v>99.12</v>
      </c>
      <c r="N27" s="60">
        <v>15.3</v>
      </c>
      <c r="O27" s="60">
        <v>0</v>
      </c>
      <c r="P27" s="60">
        <v>3.31</v>
      </c>
      <c r="Q27" s="60">
        <v>3.54</v>
      </c>
      <c r="R27" s="197"/>
      <c r="S27" s="197"/>
      <c r="T27" s="197"/>
      <c r="U27" s="197"/>
    </row>
    <row r="28" spans="1:21" s="12" customFormat="1" x14ac:dyDescent="0.25">
      <c r="A28" s="200" t="s">
        <v>1227</v>
      </c>
      <c r="B28" s="60">
        <v>2.6</v>
      </c>
      <c r="C28" s="60">
        <v>7.51</v>
      </c>
      <c r="D28" s="60">
        <v>10.119999999999999</v>
      </c>
      <c r="E28" s="60">
        <v>7.27</v>
      </c>
      <c r="F28" s="60">
        <v>0.11</v>
      </c>
      <c r="G28" s="215" t="s">
        <v>36</v>
      </c>
      <c r="H28" s="60">
        <v>3.41</v>
      </c>
      <c r="I28" s="60">
        <v>4.29</v>
      </c>
      <c r="J28" s="60">
        <v>0.53</v>
      </c>
      <c r="K28" s="60">
        <v>188.27</v>
      </c>
      <c r="L28" s="60">
        <v>35.979999999999997</v>
      </c>
      <c r="M28" s="60">
        <v>99.09</v>
      </c>
      <c r="N28" s="60">
        <v>15.4</v>
      </c>
      <c r="O28" s="60">
        <v>0</v>
      </c>
      <c r="P28" s="60">
        <v>3.32</v>
      </c>
      <c r="Q28" s="60">
        <v>3.42</v>
      </c>
      <c r="R28" s="197"/>
      <c r="S28" s="197"/>
      <c r="T28" s="197"/>
      <c r="U28" s="197"/>
    </row>
    <row r="29" spans="1:21" s="12" customFormat="1" x14ac:dyDescent="0.25">
      <c r="A29" s="200" t="s">
        <v>1228</v>
      </c>
      <c r="B29" s="60">
        <v>2.5499999999999998</v>
      </c>
      <c r="C29" s="60">
        <v>7.51</v>
      </c>
      <c r="D29" s="60">
        <v>10.07</v>
      </c>
      <c r="E29" s="60">
        <v>7.42</v>
      </c>
      <c r="F29" s="60">
        <v>0.28000000000000003</v>
      </c>
      <c r="G29" s="215" t="s">
        <v>36</v>
      </c>
      <c r="H29" s="60">
        <v>3.26</v>
      </c>
      <c r="I29" s="60">
        <v>4.26</v>
      </c>
      <c r="J29" s="60">
        <v>0.52</v>
      </c>
      <c r="K29" s="60">
        <v>181.45</v>
      </c>
      <c r="L29" s="60">
        <v>36.22</v>
      </c>
      <c r="M29" s="60">
        <v>99.1</v>
      </c>
      <c r="N29" s="60">
        <v>15.4</v>
      </c>
      <c r="O29" s="60">
        <v>0</v>
      </c>
      <c r="P29" s="60">
        <v>3.31</v>
      </c>
      <c r="Q29" s="60">
        <v>3.46</v>
      </c>
      <c r="R29" s="197"/>
      <c r="S29" s="197"/>
      <c r="T29" s="197"/>
      <c r="U29" s="197"/>
    </row>
    <row r="30" spans="1:21" s="12" customFormat="1" x14ac:dyDescent="0.25">
      <c r="A30" s="200" t="s">
        <v>1229</v>
      </c>
      <c r="B30" s="60">
        <v>2.57</v>
      </c>
      <c r="C30" s="60">
        <v>7.49</v>
      </c>
      <c r="D30" s="60">
        <v>10.06</v>
      </c>
      <c r="E30" s="60">
        <v>7.56</v>
      </c>
      <c r="F30" s="60">
        <v>0.37</v>
      </c>
      <c r="G30" s="215" t="s">
        <v>36</v>
      </c>
      <c r="H30" s="60">
        <v>2.89</v>
      </c>
      <c r="I30" s="60">
        <v>4.18</v>
      </c>
      <c r="J30" s="60">
        <v>0.33</v>
      </c>
      <c r="K30" s="60">
        <v>194.42</v>
      </c>
      <c r="L30" s="60">
        <v>36.54</v>
      </c>
      <c r="M30" s="60">
        <v>99.09</v>
      </c>
      <c r="N30" s="60">
        <v>15.5</v>
      </c>
      <c r="O30" s="60">
        <v>0</v>
      </c>
      <c r="P30" s="60">
        <v>3.31</v>
      </c>
      <c r="Q30" s="60">
        <v>3.62</v>
      </c>
      <c r="R30" s="197"/>
      <c r="S30" s="197"/>
      <c r="T30" s="197"/>
      <c r="U30" s="197"/>
    </row>
    <row r="31" spans="1:21" s="12" customFormat="1" x14ac:dyDescent="0.25">
      <c r="A31" s="200" t="s">
        <v>1230</v>
      </c>
      <c r="B31" s="60">
        <v>2.68</v>
      </c>
      <c r="C31" s="60">
        <v>7.56</v>
      </c>
      <c r="D31" s="60">
        <v>10.24</v>
      </c>
      <c r="E31" s="60">
        <v>7.39</v>
      </c>
      <c r="F31" s="60">
        <v>0.73</v>
      </c>
      <c r="G31" s="215" t="s">
        <v>36</v>
      </c>
      <c r="H31" s="60">
        <v>2.89</v>
      </c>
      <c r="I31" s="60">
        <v>4.13</v>
      </c>
      <c r="J31" s="60">
        <v>0.51</v>
      </c>
      <c r="K31" s="60">
        <v>191.01</v>
      </c>
      <c r="L31" s="60">
        <v>39.53</v>
      </c>
      <c r="M31" s="60">
        <v>99.07</v>
      </c>
      <c r="N31" s="60">
        <v>16.5</v>
      </c>
      <c r="O31" s="60">
        <v>0</v>
      </c>
      <c r="P31" s="60">
        <v>3.31</v>
      </c>
      <c r="Q31" s="60">
        <v>3.88</v>
      </c>
      <c r="R31" s="197"/>
      <c r="S31" s="197"/>
      <c r="T31" s="197"/>
      <c r="U31" s="197"/>
    </row>
    <row r="32" spans="1:21" s="12" customFormat="1" x14ac:dyDescent="0.25">
      <c r="A32" s="200" t="s">
        <v>1231</v>
      </c>
      <c r="B32" s="60">
        <v>2.78</v>
      </c>
      <c r="C32" s="60">
        <v>7.58</v>
      </c>
      <c r="D32" s="60">
        <v>10.36</v>
      </c>
      <c r="E32" s="60">
        <v>7.37</v>
      </c>
      <c r="F32" s="60">
        <v>0.49</v>
      </c>
      <c r="G32" s="215" t="s">
        <v>36</v>
      </c>
      <c r="H32" s="60">
        <v>2.89</v>
      </c>
      <c r="I32" s="60">
        <v>4.09</v>
      </c>
      <c r="J32" s="60">
        <v>0.4</v>
      </c>
      <c r="K32" s="60">
        <v>197.1</v>
      </c>
      <c r="L32" s="60">
        <v>39.450000000000003</v>
      </c>
      <c r="M32" s="60">
        <v>99</v>
      </c>
      <c r="N32" s="60">
        <v>24.4</v>
      </c>
      <c r="O32" s="60">
        <v>0</v>
      </c>
      <c r="P32" s="60">
        <v>3.31</v>
      </c>
      <c r="Q32" s="60">
        <v>4.13</v>
      </c>
      <c r="R32" s="197"/>
      <c r="S32" s="197"/>
      <c r="T32" s="197"/>
      <c r="U32" s="197"/>
    </row>
    <row r="33" spans="1:21" s="12" customFormat="1" x14ac:dyDescent="0.25">
      <c r="A33" s="200" t="s">
        <v>1232</v>
      </c>
      <c r="B33" s="60">
        <v>2.92</v>
      </c>
      <c r="C33" s="60">
        <v>7.76</v>
      </c>
      <c r="D33" s="60">
        <v>10.68</v>
      </c>
      <c r="E33" s="60">
        <v>7.96</v>
      </c>
      <c r="F33" s="60">
        <v>0.34</v>
      </c>
      <c r="G33" s="215" t="s">
        <v>36</v>
      </c>
      <c r="H33" s="60">
        <v>2.73</v>
      </c>
      <c r="I33" s="60">
        <v>4.0599999999999996</v>
      </c>
      <c r="J33" s="60">
        <v>0.24</v>
      </c>
      <c r="K33" s="60">
        <v>212.96</v>
      </c>
      <c r="L33" s="60">
        <v>43.06</v>
      </c>
      <c r="M33" s="60">
        <v>98.77</v>
      </c>
      <c r="N33" s="60">
        <v>39.6</v>
      </c>
      <c r="O33" s="60">
        <v>0.4</v>
      </c>
      <c r="P33" s="60">
        <v>3.31</v>
      </c>
      <c r="Q33" s="60">
        <v>4.3</v>
      </c>
      <c r="R33" s="197"/>
      <c r="S33" s="197"/>
      <c r="T33" s="197"/>
      <c r="U33" s="197"/>
    </row>
    <row r="34" spans="1:21" s="12" customFormat="1" x14ac:dyDescent="0.25">
      <c r="A34" s="200" t="s">
        <v>1233</v>
      </c>
      <c r="B34" s="60">
        <v>3.06</v>
      </c>
      <c r="C34" s="60">
        <v>7.84</v>
      </c>
      <c r="D34" s="60">
        <v>10.9</v>
      </c>
      <c r="E34" s="60">
        <v>7.87</v>
      </c>
      <c r="F34" s="60">
        <v>0.26</v>
      </c>
      <c r="G34" s="215" t="s">
        <v>36</v>
      </c>
      <c r="H34" s="60">
        <v>2.3199999999999998</v>
      </c>
      <c r="I34" s="60">
        <v>4.0199999999999996</v>
      </c>
      <c r="J34" s="60">
        <v>0.39</v>
      </c>
      <c r="K34" s="60">
        <v>206.63</v>
      </c>
      <c r="L34" s="60">
        <v>48.88</v>
      </c>
      <c r="M34" s="60">
        <v>99.11</v>
      </c>
      <c r="N34" s="60">
        <v>55.4</v>
      </c>
      <c r="O34" s="60">
        <v>0.6</v>
      </c>
      <c r="P34" s="60">
        <v>3.32</v>
      </c>
      <c r="Q34" s="60">
        <v>4.47</v>
      </c>
      <c r="R34" s="197"/>
      <c r="S34" s="197"/>
      <c r="T34" s="197"/>
      <c r="U34" s="197"/>
    </row>
    <row r="35" spans="1:21" s="12" customFormat="1" x14ac:dyDescent="0.25">
      <c r="A35" s="200" t="s">
        <v>1234</v>
      </c>
      <c r="B35" s="60">
        <v>3.14</v>
      </c>
      <c r="C35" s="60">
        <v>8.0500000000000007</v>
      </c>
      <c r="D35" s="60">
        <v>11.19</v>
      </c>
      <c r="E35" s="60">
        <v>8.51</v>
      </c>
      <c r="F35" s="60">
        <v>0.31</v>
      </c>
      <c r="G35" s="215" t="s">
        <v>36</v>
      </c>
      <c r="H35" s="60">
        <v>2.3199999999999998</v>
      </c>
      <c r="I35" s="60">
        <v>4.09</v>
      </c>
      <c r="J35" s="60">
        <v>0.47</v>
      </c>
      <c r="K35" s="60">
        <v>194.5</v>
      </c>
      <c r="L35" s="60">
        <v>39.47</v>
      </c>
      <c r="M35" s="60">
        <v>98.48</v>
      </c>
      <c r="N35" s="60">
        <v>68.2</v>
      </c>
      <c r="O35" s="60">
        <v>0.4</v>
      </c>
      <c r="P35" s="60">
        <v>3.31</v>
      </c>
      <c r="Q35" s="60">
        <v>4.6900000000000004</v>
      </c>
      <c r="R35" s="197"/>
      <c r="S35" s="197"/>
      <c r="T35" s="197"/>
      <c r="U35" s="197"/>
    </row>
    <row r="36" spans="1:21" s="12" customFormat="1" x14ac:dyDescent="0.25">
      <c r="A36" s="200" t="s">
        <v>1235</v>
      </c>
      <c r="B36" s="60">
        <v>3.2</v>
      </c>
      <c r="C36" s="60">
        <v>8.1300000000000008</v>
      </c>
      <c r="D36" s="60">
        <v>11.33</v>
      </c>
      <c r="E36" s="60">
        <v>8.09</v>
      </c>
      <c r="F36" s="60">
        <v>0.42</v>
      </c>
      <c r="G36" s="215" t="s">
        <v>36</v>
      </c>
      <c r="H36" s="60">
        <v>2.3199999999999998</v>
      </c>
      <c r="I36" s="60">
        <v>4.09</v>
      </c>
      <c r="J36" s="60">
        <v>0.23</v>
      </c>
      <c r="K36" s="60">
        <v>209.76</v>
      </c>
      <c r="L36" s="60">
        <v>37.299999999999997</v>
      </c>
      <c r="M36" s="60">
        <v>97.69</v>
      </c>
      <c r="N36" s="60">
        <v>64.5</v>
      </c>
      <c r="O36" s="60">
        <v>0.4</v>
      </c>
      <c r="P36" s="60">
        <v>3.31</v>
      </c>
      <c r="Q36" s="60">
        <v>4.83</v>
      </c>
      <c r="R36" s="197"/>
      <c r="S36" s="197"/>
      <c r="T36" s="197"/>
      <c r="U36" s="197"/>
    </row>
    <row r="37" spans="1:21" s="12" customFormat="1" x14ac:dyDescent="0.25">
      <c r="A37" s="200" t="s">
        <v>1236</v>
      </c>
      <c r="B37" s="60">
        <v>3.15</v>
      </c>
      <c r="C37" s="60">
        <v>8.08</v>
      </c>
      <c r="D37" s="60">
        <v>11.23</v>
      </c>
      <c r="E37" s="60">
        <v>7.52</v>
      </c>
      <c r="F37" s="60">
        <v>0.48</v>
      </c>
      <c r="G37" s="215" t="s">
        <v>36</v>
      </c>
      <c r="H37" s="60">
        <v>2.17</v>
      </c>
      <c r="I37" s="60">
        <v>4.24</v>
      </c>
      <c r="J37" s="60">
        <v>7.0000000000000007E-2</v>
      </c>
      <c r="K37" s="60">
        <v>226.52</v>
      </c>
      <c r="L37" s="60">
        <v>37.159999999999997</v>
      </c>
      <c r="M37" s="60">
        <v>97.61</v>
      </c>
      <c r="N37" s="60">
        <v>68.900000000000006</v>
      </c>
      <c r="O37" s="60">
        <v>0.2</v>
      </c>
      <c r="P37" s="60">
        <v>3.31</v>
      </c>
      <c r="Q37" s="60">
        <v>4.63</v>
      </c>
      <c r="R37" s="197"/>
      <c r="S37" s="197"/>
      <c r="T37" s="197"/>
      <c r="U37" s="197"/>
    </row>
    <row r="38" spans="1:21" s="12" customFormat="1" x14ac:dyDescent="0.25">
      <c r="A38" s="200" t="s">
        <v>1237</v>
      </c>
      <c r="B38" s="60">
        <v>3.11</v>
      </c>
      <c r="C38" s="60">
        <v>8.19</v>
      </c>
      <c r="D38" s="60">
        <v>11.3</v>
      </c>
      <c r="E38" s="60">
        <v>7.76</v>
      </c>
      <c r="F38" s="60">
        <v>0.42</v>
      </c>
      <c r="G38" s="215" t="s">
        <v>36</v>
      </c>
      <c r="H38" s="60">
        <v>1.8</v>
      </c>
      <c r="I38" s="60">
        <v>4.2300000000000004</v>
      </c>
      <c r="J38" s="60">
        <v>0.23</v>
      </c>
      <c r="K38" s="60">
        <v>218.91</v>
      </c>
      <c r="L38" s="60">
        <v>37.26</v>
      </c>
      <c r="M38" s="60">
        <v>97.38</v>
      </c>
      <c r="N38" s="60">
        <v>94.5</v>
      </c>
      <c r="O38" s="60">
        <v>0</v>
      </c>
      <c r="P38" s="60">
        <v>3.31</v>
      </c>
      <c r="Q38" s="60">
        <v>4.28</v>
      </c>
      <c r="R38" s="197"/>
      <c r="S38" s="197"/>
      <c r="T38" s="197"/>
      <c r="U38" s="197"/>
    </row>
    <row r="39" spans="1:21" s="12" customFormat="1" x14ac:dyDescent="0.25">
      <c r="A39" s="200" t="s">
        <v>1238</v>
      </c>
      <c r="B39" s="60">
        <v>3.08</v>
      </c>
      <c r="C39" s="60">
        <v>8.36</v>
      </c>
      <c r="D39" s="60">
        <v>11.44</v>
      </c>
      <c r="E39" s="60">
        <v>7.64</v>
      </c>
      <c r="F39" s="60">
        <v>0.2</v>
      </c>
      <c r="G39" s="215" t="s">
        <v>36</v>
      </c>
      <c r="H39" s="60">
        <v>1.8</v>
      </c>
      <c r="I39" s="60">
        <v>4.22</v>
      </c>
      <c r="J39" s="60">
        <v>0.31</v>
      </c>
      <c r="K39" s="60">
        <v>206.23</v>
      </c>
      <c r="L39" s="60">
        <v>37.43</v>
      </c>
      <c r="M39" s="60">
        <v>97.59</v>
      </c>
      <c r="N39" s="60">
        <v>103.4</v>
      </c>
      <c r="O39" s="60">
        <v>0</v>
      </c>
      <c r="P39" s="60">
        <v>3.32</v>
      </c>
      <c r="Q39" s="60">
        <v>4.0999999999999996</v>
      </c>
      <c r="R39" s="197"/>
      <c r="S39" s="197"/>
      <c r="T39" s="197"/>
      <c r="U39" s="197"/>
    </row>
    <row r="40" spans="1:21" s="12" customFormat="1" x14ac:dyDescent="0.25">
      <c r="A40" s="200" t="s">
        <v>1239</v>
      </c>
      <c r="B40" s="60">
        <v>3.13</v>
      </c>
      <c r="C40" s="60">
        <v>8.15</v>
      </c>
      <c r="D40" s="60">
        <v>11.28</v>
      </c>
      <c r="E40" s="60">
        <v>2.39</v>
      </c>
      <c r="F40" s="60">
        <v>0.28000000000000003</v>
      </c>
      <c r="G40" s="215" t="s">
        <v>36</v>
      </c>
      <c r="H40" s="60">
        <v>1.8</v>
      </c>
      <c r="I40" s="60">
        <v>4.1900000000000004</v>
      </c>
      <c r="J40" s="60">
        <v>0.15</v>
      </c>
      <c r="K40" s="60">
        <v>224.15</v>
      </c>
      <c r="L40" s="60">
        <v>37.54</v>
      </c>
      <c r="M40" s="60">
        <v>96.82</v>
      </c>
      <c r="N40" s="60">
        <v>104.5</v>
      </c>
      <c r="O40" s="60">
        <v>0</v>
      </c>
      <c r="P40" s="60">
        <v>3.32</v>
      </c>
      <c r="Q40" s="60">
        <v>4.04</v>
      </c>
      <c r="R40" s="197"/>
      <c r="S40" s="197"/>
      <c r="T40" s="197"/>
      <c r="U40" s="197"/>
    </row>
    <row r="41" spans="1:21" s="12" customFormat="1" x14ac:dyDescent="0.25">
      <c r="A41" s="200" t="s">
        <v>1240</v>
      </c>
      <c r="B41" s="60">
        <v>3.26</v>
      </c>
      <c r="C41" s="60">
        <v>8.06</v>
      </c>
      <c r="D41" s="60">
        <v>11.32</v>
      </c>
      <c r="E41" s="60">
        <v>4.22</v>
      </c>
      <c r="F41" s="60">
        <v>0.42</v>
      </c>
      <c r="G41" s="215" t="s">
        <v>36</v>
      </c>
      <c r="H41" s="60">
        <v>2.09</v>
      </c>
      <c r="I41" s="60">
        <v>4.2</v>
      </c>
      <c r="J41" s="60">
        <v>0.11</v>
      </c>
      <c r="K41" s="60">
        <v>198.08</v>
      </c>
      <c r="L41" s="60">
        <v>42.59</v>
      </c>
      <c r="M41" s="60">
        <v>96.22</v>
      </c>
      <c r="N41" s="60">
        <v>106.9</v>
      </c>
      <c r="O41" s="60">
        <v>0</v>
      </c>
      <c r="P41" s="60">
        <v>3.32</v>
      </c>
      <c r="Q41" s="60">
        <v>4.04</v>
      </c>
      <c r="R41" s="197"/>
      <c r="S41" s="197"/>
      <c r="T41" s="197"/>
      <c r="U41" s="197"/>
    </row>
    <row r="42" spans="1:21" s="12" customFormat="1" x14ac:dyDescent="0.25">
      <c r="A42" s="200" t="s">
        <v>1241</v>
      </c>
      <c r="B42" s="60">
        <v>3.45</v>
      </c>
      <c r="C42" s="60">
        <v>8.17</v>
      </c>
      <c r="D42" s="60">
        <v>11.62</v>
      </c>
      <c r="E42" s="60">
        <v>5.73</v>
      </c>
      <c r="F42" s="60">
        <v>0.31</v>
      </c>
      <c r="G42" s="215" t="s">
        <v>36</v>
      </c>
      <c r="H42" s="60">
        <v>2.78</v>
      </c>
      <c r="I42" s="60">
        <v>4.2</v>
      </c>
      <c r="J42" s="60">
        <v>0.2</v>
      </c>
      <c r="K42" s="60">
        <v>221.4</v>
      </c>
      <c r="L42" s="60">
        <v>42.92</v>
      </c>
      <c r="M42" s="60">
        <v>95.12</v>
      </c>
      <c r="N42" s="60">
        <v>124.6</v>
      </c>
      <c r="O42" s="60">
        <v>0</v>
      </c>
      <c r="P42" s="60">
        <v>3.33</v>
      </c>
      <c r="Q42" s="60">
        <v>4</v>
      </c>
      <c r="R42" s="197"/>
      <c r="S42" s="197"/>
      <c r="T42" s="197"/>
      <c r="U42" s="197"/>
    </row>
    <row r="43" spans="1:21" s="12" customFormat="1" x14ac:dyDescent="0.25">
      <c r="A43" s="200" t="s">
        <v>1242</v>
      </c>
      <c r="B43" s="60">
        <v>3.42</v>
      </c>
      <c r="C43" s="60">
        <v>8.14</v>
      </c>
      <c r="D43" s="60">
        <v>11.56</v>
      </c>
      <c r="E43" s="60">
        <v>6.01</v>
      </c>
      <c r="F43" s="60">
        <v>0.31</v>
      </c>
      <c r="G43" s="215" t="s">
        <v>36</v>
      </c>
      <c r="H43" s="60">
        <v>2.78</v>
      </c>
      <c r="I43" s="60">
        <v>4.22</v>
      </c>
      <c r="J43" s="60">
        <v>0.04</v>
      </c>
      <c r="K43" s="60">
        <v>225.93</v>
      </c>
      <c r="L43" s="60">
        <v>39.89</v>
      </c>
      <c r="M43" s="60">
        <v>94.32</v>
      </c>
      <c r="N43" s="60">
        <v>164.3</v>
      </c>
      <c r="O43" s="60">
        <v>0.2</v>
      </c>
      <c r="P43" s="60">
        <v>3.33</v>
      </c>
      <c r="Q43" s="60">
        <v>4.0199999999999996</v>
      </c>
      <c r="R43" s="197"/>
      <c r="S43" s="197"/>
      <c r="T43" s="197"/>
      <c r="U43" s="197"/>
    </row>
    <row r="44" spans="1:21" s="12" customFormat="1" x14ac:dyDescent="0.25">
      <c r="A44" s="200" t="s">
        <v>1243</v>
      </c>
      <c r="B44" s="60">
        <v>3.29</v>
      </c>
      <c r="C44" s="60">
        <v>8.5500000000000007</v>
      </c>
      <c r="D44" s="60">
        <v>11.84</v>
      </c>
      <c r="E44" s="60">
        <v>6.15</v>
      </c>
      <c r="F44" s="60">
        <v>0.25</v>
      </c>
      <c r="G44" s="215" t="s">
        <v>36</v>
      </c>
      <c r="H44" s="60">
        <v>2.78</v>
      </c>
      <c r="I44" s="60">
        <v>4.26</v>
      </c>
      <c r="J44" s="60">
        <v>0.03</v>
      </c>
      <c r="K44" s="60">
        <v>286.54000000000002</v>
      </c>
      <c r="L44" s="60">
        <v>39.590000000000003</v>
      </c>
      <c r="M44" s="60">
        <v>93.76</v>
      </c>
      <c r="N44" s="60">
        <v>184.9</v>
      </c>
      <c r="O44" s="60">
        <v>0</v>
      </c>
      <c r="P44" s="60">
        <v>3.34</v>
      </c>
      <c r="Q44" s="60">
        <v>4.1900000000000004</v>
      </c>
      <c r="R44" s="197"/>
      <c r="S44" s="197"/>
      <c r="T44" s="197"/>
      <c r="U44" s="197"/>
    </row>
    <row r="45" spans="1:21" s="12" customFormat="1" x14ac:dyDescent="0.25">
      <c r="A45" s="200" t="s">
        <v>1244</v>
      </c>
      <c r="B45" s="60">
        <v>3.22</v>
      </c>
      <c r="C45" s="60">
        <v>9.17</v>
      </c>
      <c r="D45" s="60">
        <v>12.39</v>
      </c>
      <c r="E45" s="60">
        <v>5.75</v>
      </c>
      <c r="F45" s="60">
        <v>0.25</v>
      </c>
      <c r="G45" s="215" t="s">
        <v>36</v>
      </c>
      <c r="H45" s="60">
        <v>2.73</v>
      </c>
      <c r="I45" s="60">
        <v>4.18</v>
      </c>
      <c r="J45" s="60">
        <v>0.13</v>
      </c>
      <c r="K45" s="60">
        <v>225.99</v>
      </c>
      <c r="L45" s="60">
        <v>39.700000000000003</v>
      </c>
      <c r="M45" s="60">
        <v>92.22</v>
      </c>
      <c r="N45" s="60">
        <v>199.3</v>
      </c>
      <c r="O45" s="60">
        <v>0</v>
      </c>
      <c r="P45" s="60">
        <v>3.34</v>
      </c>
      <c r="Q45" s="60">
        <v>4.4400000000000004</v>
      </c>
      <c r="R45" s="197"/>
      <c r="S45" s="197"/>
      <c r="T45" s="197"/>
      <c r="U45" s="197"/>
    </row>
    <row r="46" spans="1:21" s="12" customFormat="1" x14ac:dyDescent="0.25">
      <c r="A46" s="200" t="s">
        <v>1245</v>
      </c>
      <c r="B46" s="60">
        <v>3.07</v>
      </c>
      <c r="C46" s="60">
        <v>9.6199999999999992</v>
      </c>
      <c r="D46" s="60">
        <v>12.69</v>
      </c>
      <c r="E46" s="60">
        <v>5.82</v>
      </c>
      <c r="F46" s="60">
        <v>0.34</v>
      </c>
      <c r="G46" s="215" t="s">
        <v>36</v>
      </c>
      <c r="H46" s="60">
        <v>2.59</v>
      </c>
      <c r="I46" s="60">
        <v>4.0999999999999996</v>
      </c>
      <c r="J46" s="60">
        <v>0.25</v>
      </c>
      <c r="K46" s="60">
        <v>230.49</v>
      </c>
      <c r="L46" s="60">
        <v>39.840000000000003</v>
      </c>
      <c r="M46" s="60">
        <v>91.04</v>
      </c>
      <c r="N46" s="60">
        <v>228.8</v>
      </c>
      <c r="O46" s="60">
        <v>0</v>
      </c>
      <c r="P46" s="60">
        <v>3.35</v>
      </c>
      <c r="Q46" s="60">
        <v>4.4800000000000004</v>
      </c>
      <c r="R46" s="197"/>
      <c r="S46" s="197"/>
      <c r="T46" s="197"/>
      <c r="U46" s="197"/>
    </row>
    <row r="47" spans="1:21" s="12" customFormat="1" x14ac:dyDescent="0.25">
      <c r="A47" s="200" t="s">
        <v>1246</v>
      </c>
      <c r="B47" s="60">
        <v>2.74</v>
      </c>
      <c r="C47" s="60">
        <v>9.99</v>
      </c>
      <c r="D47" s="60">
        <v>12.74</v>
      </c>
      <c r="E47" s="60">
        <v>5.28</v>
      </c>
      <c r="F47" s="60">
        <v>0.5</v>
      </c>
      <c r="G47" s="215" t="s">
        <v>36</v>
      </c>
      <c r="H47" s="60">
        <v>2.59</v>
      </c>
      <c r="I47" s="60">
        <v>4.0599999999999996</v>
      </c>
      <c r="J47" s="60">
        <v>0.33</v>
      </c>
      <c r="K47" s="60">
        <v>226.35</v>
      </c>
      <c r="L47" s="60">
        <v>40.19</v>
      </c>
      <c r="M47" s="60">
        <v>89.22</v>
      </c>
      <c r="N47" s="60">
        <v>258.60000000000002</v>
      </c>
      <c r="O47" s="60">
        <v>0</v>
      </c>
      <c r="P47" s="60">
        <v>3.35</v>
      </c>
      <c r="Q47" s="60">
        <v>4.47</v>
      </c>
      <c r="R47" s="197"/>
      <c r="S47" s="197"/>
      <c r="T47" s="197"/>
      <c r="U47" s="197"/>
    </row>
    <row r="48" spans="1:21" s="12" customFormat="1" x14ac:dyDescent="0.25">
      <c r="A48" s="200" t="s">
        <v>1247</v>
      </c>
      <c r="B48" s="60">
        <v>2.5099999999999998</v>
      </c>
      <c r="C48" s="60">
        <v>10.23</v>
      </c>
      <c r="D48" s="60">
        <v>12.74</v>
      </c>
      <c r="E48" s="60">
        <v>4.7699999999999996</v>
      </c>
      <c r="F48" s="60">
        <v>0.41</v>
      </c>
      <c r="G48" s="215" t="s">
        <v>36</v>
      </c>
      <c r="H48" s="60">
        <v>2.59</v>
      </c>
      <c r="I48" s="60">
        <v>4.04</v>
      </c>
      <c r="J48" s="60">
        <v>0.22</v>
      </c>
      <c r="K48" s="60">
        <v>226.81</v>
      </c>
      <c r="L48" s="60">
        <v>40.549999999999997</v>
      </c>
      <c r="M48" s="60">
        <v>88.13</v>
      </c>
      <c r="N48" s="60">
        <v>230.6</v>
      </c>
      <c r="O48" s="60">
        <v>0</v>
      </c>
      <c r="P48" s="60">
        <v>3.35</v>
      </c>
      <c r="Q48" s="60">
        <v>4.41</v>
      </c>
      <c r="R48" s="197"/>
      <c r="S48" s="197"/>
      <c r="T48" s="197"/>
      <c r="U48" s="197"/>
    </row>
    <row r="49" spans="1:21" s="12" customFormat="1" x14ac:dyDescent="0.25">
      <c r="A49" s="200" t="s">
        <v>1248</v>
      </c>
      <c r="B49" s="60">
        <v>2.38</v>
      </c>
      <c r="C49" s="60">
        <v>10.48</v>
      </c>
      <c r="D49" s="60">
        <v>12.87</v>
      </c>
      <c r="E49" s="60">
        <v>5.28</v>
      </c>
      <c r="F49" s="60">
        <v>0.39</v>
      </c>
      <c r="G49" s="215" t="s">
        <v>36</v>
      </c>
      <c r="H49" s="60">
        <v>2.92</v>
      </c>
      <c r="I49" s="60">
        <v>3.9</v>
      </c>
      <c r="J49" s="60">
        <v>0.23</v>
      </c>
      <c r="K49" s="60">
        <v>198.25</v>
      </c>
      <c r="L49" s="60">
        <v>40.99</v>
      </c>
      <c r="M49" s="60">
        <v>86.45</v>
      </c>
      <c r="N49" s="60">
        <v>250.2</v>
      </c>
      <c r="O49" s="60">
        <v>0</v>
      </c>
      <c r="P49" s="60">
        <v>3.36</v>
      </c>
      <c r="Q49" s="60">
        <v>4.4400000000000004</v>
      </c>
      <c r="R49" s="197"/>
      <c r="S49" s="197"/>
      <c r="T49" s="197"/>
      <c r="U49" s="197"/>
    </row>
    <row r="50" spans="1:21" s="12" customFormat="1" x14ac:dyDescent="0.25">
      <c r="A50" s="200" t="s">
        <v>1249</v>
      </c>
      <c r="B50" s="60">
        <v>2.34</v>
      </c>
      <c r="C50" s="60">
        <v>10.89</v>
      </c>
      <c r="D50" s="60">
        <v>13.23</v>
      </c>
      <c r="E50" s="60">
        <v>4.63</v>
      </c>
      <c r="F50" s="60">
        <v>0.37</v>
      </c>
      <c r="G50" s="215" t="s">
        <v>36</v>
      </c>
      <c r="H50" s="60">
        <v>3.74</v>
      </c>
      <c r="I50" s="60">
        <v>3.87</v>
      </c>
      <c r="J50" s="60">
        <v>0.22</v>
      </c>
      <c r="K50" s="60">
        <v>244.77</v>
      </c>
      <c r="L50" s="60">
        <v>40.86</v>
      </c>
      <c r="M50" s="60">
        <v>85.41</v>
      </c>
      <c r="N50" s="60">
        <v>233.7</v>
      </c>
      <c r="O50" s="60">
        <v>0</v>
      </c>
      <c r="P50" s="60">
        <v>3.36</v>
      </c>
      <c r="Q50" s="60">
        <v>4.3899999999999997</v>
      </c>
      <c r="R50" s="197"/>
      <c r="S50" s="197"/>
      <c r="T50" s="197"/>
      <c r="U50" s="197"/>
    </row>
    <row r="51" spans="1:21" s="12" customFormat="1" x14ac:dyDescent="0.25">
      <c r="A51" s="200" t="s">
        <v>1250</v>
      </c>
      <c r="B51" s="60">
        <v>2.2999999999999998</v>
      </c>
      <c r="C51" s="60">
        <v>10.45</v>
      </c>
      <c r="D51" s="60">
        <v>12.74</v>
      </c>
      <c r="E51" s="60">
        <v>4.3899999999999997</v>
      </c>
      <c r="F51" s="60">
        <v>0.84</v>
      </c>
      <c r="G51" s="215" t="s">
        <v>36</v>
      </c>
      <c r="H51" s="60">
        <v>3.74</v>
      </c>
      <c r="I51" s="60">
        <v>3.83</v>
      </c>
      <c r="J51" s="60">
        <v>0.09</v>
      </c>
      <c r="K51" s="60">
        <v>226.62</v>
      </c>
      <c r="L51" s="60">
        <v>40.74</v>
      </c>
      <c r="M51" s="60">
        <v>85.23</v>
      </c>
      <c r="N51" s="60">
        <v>198.6</v>
      </c>
      <c r="O51" s="60">
        <v>0</v>
      </c>
      <c r="P51" s="60">
        <v>3.37</v>
      </c>
      <c r="Q51" s="60">
        <v>4.3</v>
      </c>
      <c r="R51" s="197"/>
      <c r="S51" s="197"/>
      <c r="T51" s="197"/>
      <c r="U51" s="197"/>
    </row>
    <row r="52" spans="1:21" s="12" customFormat="1" x14ac:dyDescent="0.25">
      <c r="A52" s="200" t="s">
        <v>1251</v>
      </c>
      <c r="B52" s="60">
        <v>2.2999999999999998</v>
      </c>
      <c r="C52" s="60">
        <v>10.23</v>
      </c>
      <c r="D52" s="60">
        <v>12.53</v>
      </c>
      <c r="E52" s="60">
        <v>4.2</v>
      </c>
      <c r="F52" s="60">
        <v>0.6</v>
      </c>
      <c r="G52" s="215" t="s">
        <v>36</v>
      </c>
      <c r="H52" s="60">
        <v>3.74</v>
      </c>
      <c r="I52" s="60">
        <v>3.78</v>
      </c>
      <c r="J52" s="60">
        <v>0.56999999999999995</v>
      </c>
      <c r="K52" s="60">
        <v>217.64</v>
      </c>
      <c r="L52" s="60">
        <v>40.71</v>
      </c>
      <c r="M52" s="60">
        <v>85.47</v>
      </c>
      <c r="N52" s="60">
        <v>211.7</v>
      </c>
      <c r="O52" s="60">
        <v>0</v>
      </c>
      <c r="P52" s="60">
        <v>3.37</v>
      </c>
      <c r="Q52" s="60">
        <v>3.88</v>
      </c>
      <c r="R52" s="197"/>
      <c r="S52" s="197"/>
      <c r="T52" s="197"/>
      <c r="U52" s="197"/>
    </row>
    <row r="53" spans="1:21" s="12" customFormat="1" x14ac:dyDescent="0.25">
      <c r="A53" s="200" t="s">
        <v>1252</v>
      </c>
      <c r="B53" s="60">
        <v>2.19</v>
      </c>
      <c r="C53" s="60">
        <v>9.86</v>
      </c>
      <c r="D53" s="60">
        <v>12.05</v>
      </c>
      <c r="E53" s="60">
        <v>4.0999999999999996</v>
      </c>
      <c r="F53" s="60">
        <v>0.5</v>
      </c>
      <c r="G53" s="215" t="s">
        <v>36</v>
      </c>
      <c r="H53" s="60">
        <v>3.69</v>
      </c>
      <c r="I53" s="60">
        <v>3.75</v>
      </c>
      <c r="J53" s="60">
        <v>0.23</v>
      </c>
      <c r="K53" s="60">
        <v>229.43</v>
      </c>
      <c r="L53" s="60">
        <v>41.09</v>
      </c>
      <c r="M53" s="60">
        <v>85.4</v>
      </c>
      <c r="N53" s="60">
        <v>296.5</v>
      </c>
      <c r="O53" s="60">
        <v>0</v>
      </c>
      <c r="P53" s="60">
        <v>3.37</v>
      </c>
      <c r="Q53" s="60">
        <v>3.5</v>
      </c>
      <c r="R53" s="197"/>
      <c r="S53" s="197"/>
      <c r="T53" s="197"/>
      <c r="U53" s="197"/>
    </row>
    <row r="54" spans="1:21" s="12" customFormat="1" x14ac:dyDescent="0.25">
      <c r="A54" s="200" t="s">
        <v>1253</v>
      </c>
      <c r="B54" s="60">
        <v>2.23</v>
      </c>
      <c r="C54" s="60">
        <v>9.7100000000000009</v>
      </c>
      <c r="D54" s="60">
        <v>11.94</v>
      </c>
      <c r="E54" s="60">
        <v>4.0999999999999996</v>
      </c>
      <c r="F54" s="60">
        <v>0.57999999999999996</v>
      </c>
      <c r="G54" s="215" t="s">
        <v>36</v>
      </c>
      <c r="H54" s="60">
        <v>3.59</v>
      </c>
      <c r="I54" s="60">
        <v>3.76</v>
      </c>
      <c r="J54" s="60">
        <v>0.13</v>
      </c>
      <c r="K54" s="60">
        <v>218.93</v>
      </c>
      <c r="L54" s="60">
        <v>42.46</v>
      </c>
      <c r="M54" s="60">
        <v>84.88</v>
      </c>
      <c r="N54" s="60">
        <v>597</v>
      </c>
      <c r="O54" s="60">
        <v>0</v>
      </c>
      <c r="P54" s="60">
        <v>3.38</v>
      </c>
      <c r="Q54" s="60">
        <v>3.27</v>
      </c>
      <c r="R54" s="197"/>
      <c r="S54" s="197"/>
      <c r="T54" s="197"/>
      <c r="U54" s="197"/>
    </row>
    <row r="55" spans="1:21" s="12" customFormat="1" x14ac:dyDescent="0.25">
      <c r="A55" s="200" t="s">
        <v>1254</v>
      </c>
      <c r="B55" s="60">
        <v>2.0299999999999998</v>
      </c>
      <c r="C55" s="60">
        <v>10.6</v>
      </c>
      <c r="D55" s="60">
        <v>12.63</v>
      </c>
      <c r="E55" s="60">
        <v>4.3600000000000003</v>
      </c>
      <c r="F55" s="60">
        <v>1.43</v>
      </c>
      <c r="G55" s="215" t="s">
        <v>36</v>
      </c>
      <c r="H55" s="60">
        <v>3.59</v>
      </c>
      <c r="I55" s="60">
        <v>3.78</v>
      </c>
      <c r="J55" s="60">
        <v>0.32</v>
      </c>
      <c r="K55" s="60">
        <v>214.01</v>
      </c>
      <c r="L55" s="60">
        <v>43.62</v>
      </c>
      <c r="M55" s="60">
        <v>83.86</v>
      </c>
      <c r="N55" s="60">
        <v>729.2</v>
      </c>
      <c r="O55" s="60">
        <v>0</v>
      </c>
      <c r="P55" s="60">
        <v>3.38</v>
      </c>
      <c r="Q55" s="60">
        <v>3.13</v>
      </c>
      <c r="R55" s="197"/>
      <c r="S55" s="197"/>
      <c r="T55" s="197"/>
      <c r="U55" s="197"/>
    </row>
    <row r="56" spans="1:21" s="12" customFormat="1" x14ac:dyDescent="0.25">
      <c r="A56" s="200" t="s">
        <v>1255</v>
      </c>
      <c r="B56" s="60">
        <v>1.45</v>
      </c>
      <c r="C56" s="60">
        <v>11.22</v>
      </c>
      <c r="D56" s="60">
        <v>12.67</v>
      </c>
      <c r="E56" s="60">
        <v>1.02</v>
      </c>
      <c r="F56" s="60">
        <v>1.1499999999999999</v>
      </c>
      <c r="G56" s="215" t="s">
        <v>36</v>
      </c>
      <c r="H56" s="60">
        <v>3.59</v>
      </c>
      <c r="I56" s="60">
        <v>3.66</v>
      </c>
      <c r="J56" s="60">
        <v>0.27</v>
      </c>
      <c r="K56" s="60">
        <v>196.46</v>
      </c>
      <c r="L56" s="60">
        <v>44.09</v>
      </c>
      <c r="M56" s="60">
        <v>86.96</v>
      </c>
      <c r="N56" s="60">
        <v>571.6</v>
      </c>
      <c r="O56" s="60">
        <v>0.4</v>
      </c>
      <c r="P56" s="60">
        <v>3.37</v>
      </c>
      <c r="Q56" s="60">
        <v>2.77</v>
      </c>
      <c r="R56" s="197"/>
      <c r="S56" s="197"/>
      <c r="T56" s="197"/>
      <c r="U56" s="197"/>
    </row>
    <row r="57" spans="1:21" s="12" customFormat="1" x14ac:dyDescent="0.25">
      <c r="A57" s="200" t="s">
        <v>1256</v>
      </c>
      <c r="B57" s="60">
        <v>1.8</v>
      </c>
      <c r="C57" s="60">
        <v>11.04</v>
      </c>
      <c r="D57" s="60">
        <v>12.84</v>
      </c>
      <c r="E57" s="60">
        <v>1.66</v>
      </c>
      <c r="F57" s="60">
        <v>1.22</v>
      </c>
      <c r="G57" s="215" t="s">
        <v>36</v>
      </c>
      <c r="H57" s="60">
        <v>4.47</v>
      </c>
      <c r="I57" s="60">
        <v>3.24</v>
      </c>
      <c r="J57" s="60">
        <v>0.09</v>
      </c>
      <c r="K57" s="60">
        <v>289.06</v>
      </c>
      <c r="L57" s="60">
        <v>45.95</v>
      </c>
      <c r="M57" s="60">
        <v>86.45</v>
      </c>
      <c r="N57" s="60">
        <v>500.6</v>
      </c>
      <c r="O57" s="60">
        <v>0</v>
      </c>
      <c r="P57" s="60">
        <v>3.35</v>
      </c>
      <c r="Q57" s="60">
        <v>2.76</v>
      </c>
      <c r="R57" s="197"/>
      <c r="S57" s="197"/>
      <c r="T57" s="197"/>
      <c r="U57" s="197"/>
    </row>
    <row r="58" spans="1:21" s="12" customFormat="1" x14ac:dyDescent="0.25">
      <c r="A58" s="200" t="s">
        <v>1257</v>
      </c>
      <c r="B58" s="60">
        <v>2.2999999999999998</v>
      </c>
      <c r="C58" s="60">
        <v>12.99</v>
      </c>
      <c r="D58" s="60">
        <v>15.29</v>
      </c>
      <c r="E58" s="60">
        <v>1.46</v>
      </c>
      <c r="F58" s="60">
        <v>2.09</v>
      </c>
      <c r="G58" s="215" t="s">
        <v>36</v>
      </c>
      <c r="H58" s="60">
        <v>6.65</v>
      </c>
      <c r="I58" s="60">
        <v>3.07</v>
      </c>
      <c r="J58" s="60">
        <v>0.38</v>
      </c>
      <c r="K58" s="60">
        <v>222.66</v>
      </c>
      <c r="L58" s="60">
        <v>43.93</v>
      </c>
      <c r="M58" s="60">
        <v>85.94</v>
      </c>
      <c r="N58" s="60">
        <v>569.6</v>
      </c>
      <c r="O58" s="60">
        <v>0.2</v>
      </c>
      <c r="P58" s="60">
        <v>3.38</v>
      </c>
      <c r="Q58" s="60">
        <v>3.33</v>
      </c>
      <c r="R58" s="197"/>
      <c r="S58" s="197"/>
      <c r="T58" s="197"/>
      <c r="U58" s="197"/>
    </row>
    <row r="59" spans="1:21" s="12" customFormat="1" x14ac:dyDescent="0.25">
      <c r="A59" s="200" t="s">
        <v>1258</v>
      </c>
      <c r="B59" s="60">
        <v>1.73</v>
      </c>
      <c r="C59" s="60">
        <v>13.19</v>
      </c>
      <c r="D59" s="60">
        <v>14.93</v>
      </c>
      <c r="E59" s="60">
        <v>1.02</v>
      </c>
      <c r="F59" s="60">
        <v>2.02</v>
      </c>
      <c r="G59" s="215" t="s">
        <v>36</v>
      </c>
      <c r="H59" s="60">
        <v>6.65</v>
      </c>
      <c r="I59" s="60">
        <v>2.94</v>
      </c>
      <c r="J59" s="60">
        <v>0.18</v>
      </c>
      <c r="K59" s="60">
        <v>241.89</v>
      </c>
      <c r="L59" s="60">
        <v>42.67</v>
      </c>
      <c r="M59" s="60">
        <v>85.14</v>
      </c>
      <c r="N59" s="60">
        <v>514.1</v>
      </c>
      <c r="O59" s="60">
        <v>0</v>
      </c>
      <c r="P59" s="60">
        <v>3.43</v>
      </c>
      <c r="Q59" s="60">
        <v>3.26</v>
      </c>
      <c r="R59" s="197"/>
      <c r="S59" s="197"/>
      <c r="T59" s="197"/>
      <c r="U59" s="197"/>
    </row>
    <row r="60" spans="1:21" s="12" customFormat="1" x14ac:dyDescent="0.25">
      <c r="A60" s="200" t="s">
        <v>1259</v>
      </c>
      <c r="B60" s="60">
        <v>1.33</v>
      </c>
      <c r="C60" s="60">
        <v>12.71</v>
      </c>
      <c r="D60" s="60">
        <v>14.03</v>
      </c>
      <c r="E60" s="60">
        <v>0.41</v>
      </c>
      <c r="F60" s="60">
        <v>2.04</v>
      </c>
      <c r="G60" s="215" t="s">
        <v>36</v>
      </c>
      <c r="H60" s="60">
        <v>6.65</v>
      </c>
      <c r="I60" s="60">
        <v>2.68</v>
      </c>
      <c r="J60" s="60">
        <v>0.04</v>
      </c>
      <c r="K60" s="60">
        <v>269.45999999999998</v>
      </c>
      <c r="L60" s="60">
        <v>45.75</v>
      </c>
      <c r="M60" s="60">
        <v>85.14</v>
      </c>
      <c r="N60" s="60">
        <v>314</v>
      </c>
      <c r="O60" s="60">
        <v>0</v>
      </c>
      <c r="P60" s="60">
        <v>3.45</v>
      </c>
      <c r="Q60" s="60">
        <v>2.91</v>
      </c>
      <c r="R60" s="197"/>
      <c r="S60" s="197"/>
      <c r="T60" s="197"/>
      <c r="U60" s="197"/>
    </row>
    <row r="61" spans="1:21" s="12" customFormat="1" x14ac:dyDescent="0.25">
      <c r="A61" s="200" t="s">
        <v>1260</v>
      </c>
      <c r="B61" s="60">
        <v>1.27</v>
      </c>
      <c r="C61" s="60">
        <v>12.28</v>
      </c>
      <c r="D61" s="60">
        <v>13.55</v>
      </c>
      <c r="E61" s="60">
        <v>0.08</v>
      </c>
      <c r="F61" s="60">
        <v>1.84</v>
      </c>
      <c r="G61" s="215" t="s">
        <v>36</v>
      </c>
      <c r="H61" s="60">
        <v>6.68</v>
      </c>
      <c r="I61" s="60">
        <v>2.56</v>
      </c>
      <c r="J61" s="60">
        <v>0.19</v>
      </c>
      <c r="K61" s="60">
        <v>233.18</v>
      </c>
      <c r="L61" s="60">
        <v>45.07</v>
      </c>
      <c r="M61" s="60">
        <v>83.83</v>
      </c>
      <c r="N61" s="60">
        <v>230.5</v>
      </c>
      <c r="O61" s="60">
        <v>0</v>
      </c>
      <c r="P61" s="60">
        <v>3.46</v>
      </c>
      <c r="Q61" s="60">
        <v>2.79</v>
      </c>
      <c r="R61" s="197"/>
      <c r="S61" s="197"/>
      <c r="T61" s="197"/>
      <c r="U61" s="197"/>
    </row>
    <row r="62" spans="1:21" s="12" customFormat="1" x14ac:dyDescent="0.25">
      <c r="A62" s="200" t="s">
        <v>1261</v>
      </c>
      <c r="B62" s="60">
        <v>1.6</v>
      </c>
      <c r="C62" s="60">
        <v>11.8</v>
      </c>
      <c r="D62" s="60">
        <v>13.41</v>
      </c>
      <c r="E62" s="60">
        <v>0.03</v>
      </c>
      <c r="F62" s="60">
        <v>1.99</v>
      </c>
      <c r="G62" s="215" t="s">
        <v>36</v>
      </c>
      <c r="H62" s="60">
        <v>6.77</v>
      </c>
      <c r="I62" s="60">
        <v>2.38</v>
      </c>
      <c r="J62" s="60">
        <v>0.13</v>
      </c>
      <c r="K62" s="60">
        <v>224.51</v>
      </c>
      <c r="L62" s="60">
        <v>46.76</v>
      </c>
      <c r="M62" s="60">
        <v>82.96</v>
      </c>
      <c r="N62" s="60">
        <v>250.5</v>
      </c>
      <c r="O62" s="60">
        <v>0</v>
      </c>
      <c r="P62" s="60">
        <v>3.5</v>
      </c>
      <c r="Q62" s="60">
        <v>2.88</v>
      </c>
      <c r="R62" s="197"/>
      <c r="S62" s="197"/>
      <c r="T62" s="197"/>
      <c r="U62" s="197"/>
    </row>
    <row r="63" spans="1:21" s="12" customFormat="1" x14ac:dyDescent="0.25">
      <c r="A63" s="200" t="s">
        <v>1262</v>
      </c>
      <c r="B63" s="60">
        <v>0.35</v>
      </c>
      <c r="C63" s="60">
        <v>5.0199999999999996</v>
      </c>
      <c r="D63" s="60">
        <v>5.37</v>
      </c>
      <c r="E63" s="60">
        <v>0.31</v>
      </c>
      <c r="F63" s="60">
        <v>1.25</v>
      </c>
      <c r="G63" s="215" t="s">
        <v>36</v>
      </c>
      <c r="H63" s="60">
        <v>6.77</v>
      </c>
      <c r="I63" s="60">
        <v>2.4</v>
      </c>
      <c r="J63" s="60">
        <v>7.0000000000000007E-2</v>
      </c>
      <c r="K63" s="60">
        <v>214.76</v>
      </c>
      <c r="L63" s="60">
        <v>42.31</v>
      </c>
      <c r="M63" s="60">
        <v>83.17</v>
      </c>
      <c r="N63" s="60">
        <v>221.7</v>
      </c>
      <c r="O63" s="60">
        <v>0</v>
      </c>
      <c r="P63" s="60">
        <v>3.52</v>
      </c>
      <c r="Q63" s="60">
        <v>2.77</v>
      </c>
      <c r="R63" s="197"/>
      <c r="S63" s="197"/>
      <c r="T63" s="197"/>
      <c r="U63" s="197"/>
    </row>
    <row r="64" spans="1:21" s="12" customFormat="1" x14ac:dyDescent="0.25">
      <c r="A64" s="200" t="s">
        <v>1263</v>
      </c>
      <c r="B64" s="8" t="s">
        <v>34</v>
      </c>
      <c r="C64" s="60">
        <v>1.63</v>
      </c>
      <c r="D64" s="60">
        <v>1.63</v>
      </c>
      <c r="E64" s="8" t="s">
        <v>34</v>
      </c>
      <c r="F64" s="60">
        <v>1.98</v>
      </c>
      <c r="G64" s="215" t="s">
        <v>36</v>
      </c>
      <c r="H64" s="60">
        <v>6.77</v>
      </c>
      <c r="I64" s="60">
        <v>2.41</v>
      </c>
      <c r="J64" s="60">
        <v>0.18</v>
      </c>
      <c r="K64" s="60">
        <v>198.08</v>
      </c>
      <c r="L64" s="60">
        <v>47.09</v>
      </c>
      <c r="M64" s="60">
        <v>82.62</v>
      </c>
      <c r="N64" s="60">
        <v>259</v>
      </c>
      <c r="O64" s="60">
        <v>0</v>
      </c>
      <c r="P64" s="60">
        <v>3.52</v>
      </c>
      <c r="Q64" s="60">
        <v>3.05</v>
      </c>
      <c r="R64" s="197"/>
      <c r="S64" s="197"/>
      <c r="T64" s="197"/>
      <c r="U64" s="197"/>
    </row>
    <row r="65" spans="1:21" s="12" customFormat="1" x14ac:dyDescent="0.25">
      <c r="A65" s="200" t="s">
        <v>1264</v>
      </c>
      <c r="B65" s="60">
        <v>62.9</v>
      </c>
      <c r="C65" s="60">
        <v>3.71</v>
      </c>
      <c r="D65" s="60">
        <v>66.61</v>
      </c>
      <c r="E65" s="60">
        <v>0.12</v>
      </c>
      <c r="F65" s="60">
        <v>1.46</v>
      </c>
      <c r="G65" s="215" t="s">
        <v>36</v>
      </c>
      <c r="H65" s="60">
        <v>6.55</v>
      </c>
      <c r="I65" s="60">
        <v>2.59</v>
      </c>
      <c r="J65" s="60">
        <v>0.27</v>
      </c>
      <c r="K65" s="60">
        <v>226.18</v>
      </c>
      <c r="L65" s="10" t="s">
        <v>43</v>
      </c>
      <c r="M65" s="60">
        <v>84.77</v>
      </c>
      <c r="N65" s="60">
        <v>268.8</v>
      </c>
      <c r="O65" s="60">
        <v>0</v>
      </c>
      <c r="P65" s="60">
        <v>3.51</v>
      </c>
      <c r="Q65" s="60">
        <v>3.02</v>
      </c>
      <c r="R65" s="197"/>
      <c r="S65" s="197"/>
      <c r="T65" s="197"/>
      <c r="U65" s="197"/>
    </row>
    <row r="66" spans="1:21" s="12" customFormat="1" x14ac:dyDescent="0.25">
      <c r="A66" s="200" t="s">
        <v>1265</v>
      </c>
      <c r="B66" s="60">
        <v>155.34</v>
      </c>
      <c r="C66" s="60">
        <v>6.06</v>
      </c>
      <c r="D66" s="60">
        <v>161.4</v>
      </c>
      <c r="E66" s="8" t="s">
        <v>34</v>
      </c>
      <c r="F66" s="60">
        <v>1.99</v>
      </c>
      <c r="G66" s="215" t="s">
        <v>36</v>
      </c>
      <c r="H66" s="60">
        <v>6</v>
      </c>
      <c r="I66" s="60">
        <v>5.99</v>
      </c>
      <c r="J66" s="60">
        <v>0.19</v>
      </c>
      <c r="K66" s="60">
        <v>218.38</v>
      </c>
      <c r="L66" s="10" t="s">
        <v>43</v>
      </c>
      <c r="M66" s="60">
        <v>87.24</v>
      </c>
      <c r="N66" s="60">
        <v>141.9</v>
      </c>
      <c r="O66" s="60">
        <v>0.2</v>
      </c>
      <c r="P66" s="60">
        <v>3.5</v>
      </c>
      <c r="Q66" s="60">
        <v>2.94</v>
      </c>
      <c r="R66" s="197"/>
      <c r="S66" s="197"/>
      <c r="T66" s="197"/>
      <c r="U66" s="197"/>
    </row>
    <row r="67" spans="1:21" s="12" customFormat="1" x14ac:dyDescent="0.25">
      <c r="A67" s="200" t="s">
        <v>1266</v>
      </c>
      <c r="B67" s="60">
        <v>180.83</v>
      </c>
      <c r="C67" s="60">
        <v>7.24</v>
      </c>
      <c r="D67" s="60">
        <v>188.07</v>
      </c>
      <c r="E67" s="60">
        <v>0.01</v>
      </c>
      <c r="F67" s="60">
        <v>2</v>
      </c>
      <c r="G67" s="215" t="s">
        <v>36</v>
      </c>
      <c r="H67" s="60">
        <v>6</v>
      </c>
      <c r="I67" s="60">
        <v>24.12</v>
      </c>
      <c r="J67" s="60">
        <v>0.02</v>
      </c>
      <c r="K67" s="60">
        <v>330.72</v>
      </c>
      <c r="L67" s="10" t="s">
        <v>43</v>
      </c>
      <c r="M67" s="60">
        <v>86.85</v>
      </c>
      <c r="N67" s="60">
        <v>241.4</v>
      </c>
      <c r="O67" s="60">
        <v>0</v>
      </c>
      <c r="P67" s="60">
        <v>3.48</v>
      </c>
      <c r="Q67" s="60">
        <v>2.75</v>
      </c>
      <c r="R67" s="197"/>
      <c r="S67" s="197"/>
      <c r="T67" s="197"/>
      <c r="U67" s="197"/>
    </row>
    <row r="68" spans="1:21" s="12" customFormat="1" x14ac:dyDescent="0.25">
      <c r="A68" s="200" t="s">
        <v>1267</v>
      </c>
      <c r="B68" s="60">
        <v>189.18</v>
      </c>
      <c r="C68" s="60">
        <v>7.7</v>
      </c>
      <c r="D68" s="60">
        <v>196.87</v>
      </c>
      <c r="E68" s="60">
        <v>0.09</v>
      </c>
      <c r="F68" s="60">
        <v>1.89</v>
      </c>
      <c r="G68" s="215" t="s">
        <v>36</v>
      </c>
      <c r="H68" s="60">
        <v>6</v>
      </c>
      <c r="I68" s="60">
        <v>42.74</v>
      </c>
      <c r="J68" s="60">
        <v>0.2</v>
      </c>
      <c r="K68" s="60">
        <v>241.93</v>
      </c>
      <c r="L68" s="60">
        <v>49.35</v>
      </c>
      <c r="M68" s="60">
        <v>83.91</v>
      </c>
      <c r="N68" s="60">
        <v>255.9</v>
      </c>
      <c r="O68" s="60">
        <v>0</v>
      </c>
      <c r="P68" s="60">
        <v>3.5</v>
      </c>
      <c r="Q68" s="60">
        <v>2.96</v>
      </c>
      <c r="R68" s="197"/>
      <c r="S68" s="197"/>
      <c r="T68" s="197"/>
      <c r="U68" s="197"/>
    </row>
    <row r="69" spans="1:21" s="12" customFormat="1" x14ac:dyDescent="0.25">
      <c r="A69" s="200" t="s">
        <v>1268</v>
      </c>
      <c r="B69" s="60">
        <v>2.3199999999999998</v>
      </c>
      <c r="C69" s="60">
        <v>12.61</v>
      </c>
      <c r="D69" s="60">
        <v>14.93</v>
      </c>
      <c r="E69" s="8" t="s">
        <v>34</v>
      </c>
      <c r="F69" s="60">
        <v>2.75</v>
      </c>
      <c r="G69" s="215" t="s">
        <v>36</v>
      </c>
      <c r="H69" s="60">
        <v>5.65</v>
      </c>
      <c r="I69" s="60">
        <v>59.34</v>
      </c>
      <c r="J69" s="60">
        <v>0.48</v>
      </c>
      <c r="K69" s="60">
        <v>211.33</v>
      </c>
      <c r="L69" s="60">
        <v>47.49</v>
      </c>
      <c r="M69" s="60">
        <v>85.96</v>
      </c>
      <c r="N69" s="60">
        <v>142.80000000000001</v>
      </c>
      <c r="O69" s="60">
        <v>0</v>
      </c>
      <c r="P69" s="60">
        <v>3.5</v>
      </c>
      <c r="Q69" s="60">
        <v>3.35</v>
      </c>
      <c r="R69" s="197"/>
      <c r="S69" s="197"/>
      <c r="T69" s="197"/>
      <c r="U69" s="197"/>
    </row>
    <row r="70" spans="1:21" s="12" customFormat="1" x14ac:dyDescent="0.25">
      <c r="A70" s="200" t="s">
        <v>1269</v>
      </c>
      <c r="B70" s="60">
        <v>1.98</v>
      </c>
      <c r="C70" s="60">
        <v>13.3</v>
      </c>
      <c r="D70" s="60">
        <v>15.28</v>
      </c>
      <c r="E70" s="8" t="s">
        <v>34</v>
      </c>
      <c r="F70" s="60">
        <v>1.6</v>
      </c>
      <c r="G70" s="215" t="s">
        <v>36</v>
      </c>
      <c r="H70" s="60">
        <v>4.7699999999999996</v>
      </c>
      <c r="I70" s="60">
        <v>71.45</v>
      </c>
      <c r="J70" s="60">
        <v>0.49</v>
      </c>
      <c r="K70" s="60">
        <v>200.09</v>
      </c>
      <c r="L70" s="60">
        <v>49.4</v>
      </c>
      <c r="M70" s="60">
        <v>87.51</v>
      </c>
      <c r="N70" s="60">
        <v>109.2</v>
      </c>
      <c r="O70" s="60">
        <v>0</v>
      </c>
      <c r="P70" s="60">
        <v>3.49</v>
      </c>
      <c r="Q70" s="60">
        <v>2.87</v>
      </c>
      <c r="R70" s="197"/>
      <c r="S70" s="197"/>
      <c r="T70" s="197"/>
      <c r="U70" s="197"/>
    </row>
    <row r="71" spans="1:21" s="12" customFormat="1" x14ac:dyDescent="0.25">
      <c r="A71" s="200" t="s">
        <v>1270</v>
      </c>
      <c r="B71" s="60">
        <v>1.65</v>
      </c>
      <c r="C71" s="60">
        <v>11.5</v>
      </c>
      <c r="D71" s="60">
        <v>13.14</v>
      </c>
      <c r="E71" s="8" t="s">
        <v>34</v>
      </c>
      <c r="F71" s="60">
        <v>1.53</v>
      </c>
      <c r="G71" s="215" t="s">
        <v>36</v>
      </c>
      <c r="H71" s="60">
        <v>4.7699999999999996</v>
      </c>
      <c r="I71" s="60">
        <v>64.31</v>
      </c>
      <c r="J71" s="60">
        <v>0.28000000000000003</v>
      </c>
      <c r="K71" s="60">
        <v>210.54</v>
      </c>
      <c r="L71" s="60">
        <v>52.67</v>
      </c>
      <c r="M71" s="60">
        <v>86.95</v>
      </c>
      <c r="N71" s="60">
        <v>73.7</v>
      </c>
      <c r="O71" s="60">
        <v>0</v>
      </c>
      <c r="P71" s="60">
        <v>3.48</v>
      </c>
      <c r="Q71" s="60">
        <v>2.3199999999999998</v>
      </c>
      <c r="R71" s="197"/>
      <c r="S71" s="197"/>
      <c r="T71" s="197"/>
      <c r="U71" s="197"/>
    </row>
    <row r="72" spans="1:21" s="12" customFormat="1" x14ac:dyDescent="0.25">
      <c r="A72" s="200" t="s">
        <v>1271</v>
      </c>
      <c r="B72" s="60">
        <v>1.01</v>
      </c>
      <c r="C72" s="60">
        <v>10.56</v>
      </c>
      <c r="D72" s="60">
        <v>11.56</v>
      </c>
      <c r="E72" s="60">
        <v>0.62</v>
      </c>
      <c r="F72" s="60">
        <v>1.28</v>
      </c>
      <c r="G72" s="215" t="s">
        <v>36</v>
      </c>
      <c r="H72" s="60">
        <v>4.7699999999999996</v>
      </c>
      <c r="I72" s="60">
        <v>50.59</v>
      </c>
      <c r="J72" s="60">
        <v>0.11</v>
      </c>
      <c r="K72" s="60">
        <v>236.02</v>
      </c>
      <c r="L72" s="60">
        <v>37.33</v>
      </c>
      <c r="M72" s="60">
        <v>87.32</v>
      </c>
      <c r="N72" s="60">
        <v>87.1</v>
      </c>
      <c r="O72" s="60">
        <v>0</v>
      </c>
      <c r="P72" s="60">
        <v>3.45</v>
      </c>
      <c r="Q72" s="60">
        <v>1.72</v>
      </c>
      <c r="R72" s="197"/>
      <c r="S72" s="197"/>
      <c r="T72" s="197"/>
      <c r="U72" s="197"/>
    </row>
    <row r="73" spans="1:21" s="12" customFormat="1" x14ac:dyDescent="0.25">
      <c r="A73" s="200" t="s">
        <v>1272</v>
      </c>
      <c r="B73" s="60">
        <v>1.01</v>
      </c>
      <c r="C73" s="60">
        <v>10.11</v>
      </c>
      <c r="D73" s="60">
        <v>11.12</v>
      </c>
      <c r="E73" s="60">
        <v>1.07</v>
      </c>
      <c r="F73" s="60">
        <v>0.62</v>
      </c>
      <c r="G73" s="215" t="s">
        <v>36</v>
      </c>
      <c r="H73" s="60">
        <v>4.45</v>
      </c>
      <c r="I73" s="60">
        <v>39.450000000000003</v>
      </c>
      <c r="J73" s="60">
        <v>7.0000000000000007E-2</v>
      </c>
      <c r="K73" s="60">
        <v>35.229999999999997</v>
      </c>
      <c r="L73" s="60">
        <v>43.38</v>
      </c>
      <c r="M73" s="60">
        <v>87.71</v>
      </c>
      <c r="N73" s="60">
        <v>94.6</v>
      </c>
      <c r="O73" s="60">
        <v>0</v>
      </c>
      <c r="P73" s="60">
        <v>3.46</v>
      </c>
      <c r="Q73" s="60">
        <v>1.74</v>
      </c>
      <c r="R73" s="197"/>
      <c r="S73" s="197"/>
      <c r="T73" s="197"/>
      <c r="U73" s="197"/>
    </row>
    <row r="74" spans="1:21" s="12" customFormat="1" x14ac:dyDescent="0.25">
      <c r="A74" s="200" t="s">
        <v>1273</v>
      </c>
      <c r="B74" s="60">
        <v>1.38</v>
      </c>
      <c r="C74" s="60">
        <v>9.98</v>
      </c>
      <c r="D74" s="60">
        <v>11.36</v>
      </c>
      <c r="E74" s="60">
        <v>1.5</v>
      </c>
      <c r="F74" s="60">
        <v>0.33</v>
      </c>
      <c r="G74" s="215" t="s">
        <v>36</v>
      </c>
      <c r="H74" s="60">
        <v>3.64</v>
      </c>
      <c r="I74" s="60">
        <v>31.21</v>
      </c>
      <c r="J74" s="60">
        <v>0.11</v>
      </c>
      <c r="K74" s="60">
        <v>220.6</v>
      </c>
      <c r="L74" s="60">
        <v>48.76</v>
      </c>
      <c r="M74" s="60">
        <v>85.85</v>
      </c>
      <c r="N74" s="60">
        <v>86.4</v>
      </c>
      <c r="O74" s="60">
        <v>0</v>
      </c>
      <c r="P74" s="60">
        <v>3.46</v>
      </c>
      <c r="Q74" s="60">
        <v>2.0499999999999998</v>
      </c>
      <c r="R74" s="197"/>
      <c r="S74" s="197"/>
      <c r="T74" s="197"/>
      <c r="U74" s="197"/>
    </row>
    <row r="75" spans="1:21" s="12" customFormat="1" x14ac:dyDescent="0.25">
      <c r="A75" s="200" t="s">
        <v>1274</v>
      </c>
      <c r="B75" s="60">
        <v>1.73</v>
      </c>
      <c r="C75" s="60">
        <v>9.73</v>
      </c>
      <c r="D75" s="60">
        <v>11.45</v>
      </c>
      <c r="E75" s="60">
        <v>2.38</v>
      </c>
      <c r="F75" s="60">
        <v>0.37</v>
      </c>
      <c r="G75" s="215" t="s">
        <v>36</v>
      </c>
      <c r="H75" s="60">
        <v>3.64</v>
      </c>
      <c r="I75" s="60">
        <v>28.75</v>
      </c>
      <c r="J75" s="60">
        <v>0.06</v>
      </c>
      <c r="K75" s="60">
        <v>250.14</v>
      </c>
      <c r="L75" s="60">
        <v>44.74</v>
      </c>
      <c r="M75" s="60">
        <v>86.5</v>
      </c>
      <c r="N75" s="60">
        <v>76.099999999999994</v>
      </c>
      <c r="O75" s="60">
        <v>0</v>
      </c>
      <c r="P75" s="60">
        <v>3.47</v>
      </c>
      <c r="Q75" s="60">
        <v>2.41</v>
      </c>
      <c r="R75" s="197"/>
      <c r="S75" s="197"/>
      <c r="T75" s="197"/>
      <c r="U75" s="197"/>
    </row>
    <row r="76" spans="1:21" s="12" customFormat="1" x14ac:dyDescent="0.25">
      <c r="A76" s="200" t="s">
        <v>1275</v>
      </c>
      <c r="B76" s="60">
        <v>1.95</v>
      </c>
      <c r="C76" s="60">
        <v>9.3000000000000007</v>
      </c>
      <c r="D76" s="60">
        <v>11.25</v>
      </c>
      <c r="E76" s="60">
        <v>3.25</v>
      </c>
      <c r="F76" s="60">
        <v>0.27</v>
      </c>
      <c r="G76" s="215" t="s">
        <v>36</v>
      </c>
      <c r="H76" s="60">
        <v>3.64</v>
      </c>
      <c r="I76" s="60">
        <v>26.64</v>
      </c>
      <c r="J76" s="60">
        <v>0.13</v>
      </c>
      <c r="K76" s="60">
        <v>246.97</v>
      </c>
      <c r="L76" s="60">
        <v>45.43</v>
      </c>
      <c r="M76" s="60">
        <v>86.93</v>
      </c>
      <c r="N76" s="60">
        <v>55.9</v>
      </c>
      <c r="O76" s="60">
        <v>0</v>
      </c>
      <c r="P76" s="60">
        <v>3.48</v>
      </c>
      <c r="Q76" s="60">
        <v>2.74</v>
      </c>
      <c r="R76" s="197"/>
      <c r="S76" s="197"/>
      <c r="T76" s="197"/>
      <c r="U76" s="197"/>
    </row>
    <row r="77" spans="1:21" s="12" customFormat="1" x14ac:dyDescent="0.25">
      <c r="A77" s="200" t="s">
        <v>1276</v>
      </c>
      <c r="B77" s="60">
        <v>2.09</v>
      </c>
      <c r="C77" s="60">
        <v>8.89</v>
      </c>
      <c r="D77" s="60">
        <v>10.97</v>
      </c>
      <c r="E77" s="60">
        <v>3.16</v>
      </c>
      <c r="F77" s="60">
        <v>0.24</v>
      </c>
      <c r="G77" s="215" t="s">
        <v>36</v>
      </c>
      <c r="H77" s="60">
        <v>3.52</v>
      </c>
      <c r="I77" s="60">
        <v>24.58</v>
      </c>
      <c r="J77" s="60">
        <v>0.19</v>
      </c>
      <c r="K77" s="60">
        <v>202.18</v>
      </c>
      <c r="L77" s="60">
        <v>45.73</v>
      </c>
      <c r="M77" s="60">
        <v>87.48</v>
      </c>
      <c r="N77" s="60">
        <v>43.8</v>
      </c>
      <c r="O77" s="60">
        <v>0</v>
      </c>
      <c r="P77" s="60">
        <v>3.48</v>
      </c>
      <c r="Q77" s="60">
        <v>2.9</v>
      </c>
      <c r="R77" s="197"/>
      <c r="S77" s="197"/>
      <c r="T77" s="197"/>
      <c r="U77" s="197"/>
    </row>
    <row r="78" spans="1:21" s="12" customFormat="1" x14ac:dyDescent="0.25">
      <c r="A78" s="200" t="s">
        <v>1277</v>
      </c>
      <c r="B78" s="60">
        <v>2.34</v>
      </c>
      <c r="C78" s="60">
        <v>8.51</v>
      </c>
      <c r="D78" s="60">
        <v>10.85</v>
      </c>
      <c r="E78" s="60">
        <v>3.75</v>
      </c>
      <c r="F78" s="60">
        <v>0.25</v>
      </c>
      <c r="G78" s="215" t="s">
        <v>36</v>
      </c>
      <c r="H78" s="60">
        <v>3.21</v>
      </c>
      <c r="I78" s="60">
        <v>23.78</v>
      </c>
      <c r="J78" s="60">
        <v>0.38</v>
      </c>
      <c r="K78" s="60">
        <v>193.6</v>
      </c>
      <c r="L78" s="60">
        <v>45.91</v>
      </c>
      <c r="M78" s="60">
        <v>88.59</v>
      </c>
      <c r="N78" s="60">
        <v>28.7</v>
      </c>
      <c r="O78" s="60">
        <v>0</v>
      </c>
      <c r="P78" s="60">
        <v>3.48</v>
      </c>
      <c r="Q78" s="60">
        <v>3.1</v>
      </c>
      <c r="R78" s="197"/>
      <c r="S78" s="197"/>
      <c r="T78" s="197"/>
      <c r="U78" s="197"/>
    </row>
    <row r="79" spans="1:21" s="12" customFormat="1" x14ac:dyDescent="0.25">
      <c r="A79" s="200" t="s">
        <v>1278</v>
      </c>
      <c r="B79" s="60">
        <v>2.59</v>
      </c>
      <c r="C79" s="60">
        <v>8.16</v>
      </c>
      <c r="D79" s="60">
        <v>10.74</v>
      </c>
      <c r="E79" s="60">
        <v>4.29</v>
      </c>
      <c r="F79" s="60">
        <v>0.37</v>
      </c>
      <c r="G79" s="215" t="s">
        <v>36</v>
      </c>
      <c r="H79" s="60">
        <v>3.21</v>
      </c>
      <c r="I79" s="60">
        <v>22.63</v>
      </c>
      <c r="J79" s="60">
        <v>0.59</v>
      </c>
      <c r="K79" s="60">
        <v>199.98</v>
      </c>
      <c r="L79" s="60">
        <v>46.84</v>
      </c>
      <c r="M79" s="60">
        <v>89.02</v>
      </c>
      <c r="N79" s="60">
        <v>26</v>
      </c>
      <c r="O79" s="60">
        <v>0.2</v>
      </c>
      <c r="P79" s="60">
        <v>3.48</v>
      </c>
      <c r="Q79" s="60">
        <v>3.45</v>
      </c>
      <c r="R79" s="197"/>
      <c r="S79" s="197"/>
      <c r="T79" s="197"/>
      <c r="U79" s="197"/>
    </row>
    <row r="80" spans="1:21" s="12" customFormat="1" x14ac:dyDescent="0.25">
      <c r="A80" s="200" t="s">
        <v>1279</v>
      </c>
      <c r="B80" s="60">
        <v>2.74</v>
      </c>
      <c r="C80" s="60">
        <v>7.97</v>
      </c>
      <c r="D80" s="60">
        <v>10.71</v>
      </c>
      <c r="E80" s="60">
        <v>4.41</v>
      </c>
      <c r="F80" s="60">
        <v>0.56000000000000005</v>
      </c>
      <c r="G80" s="215" t="s">
        <v>36</v>
      </c>
      <c r="H80" s="60">
        <v>3.21</v>
      </c>
      <c r="I80" s="60">
        <v>21.35</v>
      </c>
      <c r="J80" s="60">
        <v>0.37</v>
      </c>
      <c r="K80" s="60">
        <v>204.39</v>
      </c>
      <c r="L80" s="60">
        <v>40.64</v>
      </c>
      <c r="M80" s="60">
        <v>91.84</v>
      </c>
      <c r="N80" s="60">
        <v>23</v>
      </c>
      <c r="O80" s="60">
        <v>0</v>
      </c>
      <c r="P80" s="60">
        <v>3.47</v>
      </c>
      <c r="Q80" s="60">
        <v>3.89</v>
      </c>
      <c r="R80" s="197"/>
      <c r="S80" s="197"/>
      <c r="T80" s="197"/>
      <c r="U80" s="197"/>
    </row>
    <row r="81" spans="1:26" s="12" customFormat="1" x14ac:dyDescent="0.25">
      <c r="A81" s="200" t="s">
        <v>1280</v>
      </c>
      <c r="B81" s="60">
        <v>2.66</v>
      </c>
      <c r="C81" s="60">
        <v>7.68</v>
      </c>
      <c r="D81" s="60">
        <v>10.34</v>
      </c>
      <c r="E81" s="60">
        <v>4.49</v>
      </c>
      <c r="F81" s="60">
        <v>0.54</v>
      </c>
      <c r="G81" s="215" t="s">
        <v>36</v>
      </c>
      <c r="H81" s="60">
        <v>3.01</v>
      </c>
      <c r="I81" s="60">
        <v>21.03</v>
      </c>
      <c r="J81" s="60">
        <v>0.33</v>
      </c>
      <c r="K81" s="60">
        <v>201.71</v>
      </c>
      <c r="L81" s="60">
        <v>48.36</v>
      </c>
      <c r="M81" s="60">
        <v>96.58</v>
      </c>
      <c r="N81" s="60">
        <v>19.5</v>
      </c>
      <c r="O81" s="60">
        <v>0.2</v>
      </c>
      <c r="P81" s="60">
        <v>3.46</v>
      </c>
      <c r="Q81" s="60">
        <v>4.09</v>
      </c>
      <c r="R81" s="197"/>
      <c r="S81" s="197"/>
      <c r="T81" s="197"/>
      <c r="U81" s="197"/>
    </row>
    <row r="82" spans="1:26" s="12" customFormat="1" x14ac:dyDescent="0.25">
      <c r="A82" s="200" t="s">
        <v>1281</v>
      </c>
      <c r="B82" s="60">
        <v>2.66</v>
      </c>
      <c r="C82" s="60">
        <v>7.8</v>
      </c>
      <c r="D82" s="60">
        <v>10.46</v>
      </c>
      <c r="E82" s="60">
        <v>4.68</v>
      </c>
      <c r="F82" s="60">
        <v>0.24</v>
      </c>
      <c r="G82" s="215" t="s">
        <v>36</v>
      </c>
      <c r="H82" s="60">
        <v>2.5099999999999998</v>
      </c>
      <c r="I82" s="60">
        <v>20.27</v>
      </c>
      <c r="J82" s="60">
        <v>0.32</v>
      </c>
      <c r="K82" s="60">
        <v>194.65</v>
      </c>
      <c r="L82" s="60">
        <v>50.43</v>
      </c>
      <c r="M82" s="60">
        <v>99.03</v>
      </c>
      <c r="N82" s="60">
        <v>16.8</v>
      </c>
      <c r="O82" s="60">
        <v>0</v>
      </c>
      <c r="P82" s="60">
        <v>3.46</v>
      </c>
      <c r="Q82" s="60">
        <v>4.13</v>
      </c>
      <c r="R82" s="197"/>
      <c r="S82" s="197"/>
      <c r="T82" s="197"/>
      <c r="U82" s="197"/>
    </row>
    <row r="83" spans="1:26" s="12" customFormat="1" x14ac:dyDescent="0.25">
      <c r="A83" s="200" t="s">
        <v>1282</v>
      </c>
      <c r="B83" s="60">
        <v>2.9</v>
      </c>
      <c r="C83" s="60">
        <v>7.98</v>
      </c>
      <c r="D83" s="60">
        <v>10.89</v>
      </c>
      <c r="E83" s="60">
        <v>4.93</v>
      </c>
      <c r="F83" s="60">
        <v>0.17</v>
      </c>
      <c r="G83" s="215" t="s">
        <v>36</v>
      </c>
      <c r="H83" s="60">
        <v>2.5099999999999998</v>
      </c>
      <c r="I83" s="60">
        <v>19.100000000000001</v>
      </c>
      <c r="J83" s="60">
        <v>0.64</v>
      </c>
      <c r="K83" s="60">
        <v>172.26</v>
      </c>
      <c r="L83" s="60">
        <v>33.869999999999997</v>
      </c>
      <c r="M83" s="60">
        <v>98.83</v>
      </c>
      <c r="N83" s="60">
        <v>15.6</v>
      </c>
      <c r="O83" s="60">
        <v>0</v>
      </c>
      <c r="P83" s="60">
        <v>3.45</v>
      </c>
      <c r="Q83" s="60">
        <v>4.46</v>
      </c>
      <c r="R83" s="197"/>
      <c r="S83" s="197"/>
      <c r="T83" s="197"/>
      <c r="U83" s="197"/>
    </row>
    <row r="84" spans="1:26" s="12" customFormat="1" x14ac:dyDescent="0.25">
      <c r="A84" s="200" t="s">
        <v>1283</v>
      </c>
      <c r="B84" s="60">
        <v>3.13</v>
      </c>
      <c r="C84" s="60">
        <v>7.99</v>
      </c>
      <c r="D84" s="60">
        <v>11.12</v>
      </c>
      <c r="E84" s="60">
        <v>4.96</v>
      </c>
      <c r="F84" s="60">
        <v>0.15</v>
      </c>
      <c r="G84" s="215" t="s">
        <v>36</v>
      </c>
      <c r="H84" s="60">
        <v>2.5099999999999998</v>
      </c>
      <c r="I84" s="60">
        <v>18.239999999999998</v>
      </c>
      <c r="J84" s="60">
        <v>0.71</v>
      </c>
      <c r="K84" s="60">
        <v>160.94999999999999</v>
      </c>
      <c r="L84" s="60">
        <v>33.340000000000003</v>
      </c>
      <c r="M84" s="60">
        <v>98.91</v>
      </c>
      <c r="N84" s="60">
        <v>15.3</v>
      </c>
      <c r="O84" s="60">
        <v>0</v>
      </c>
      <c r="P84" s="60">
        <v>3.46</v>
      </c>
      <c r="Q84" s="60">
        <v>4.84</v>
      </c>
      <c r="R84" s="197"/>
      <c r="S84" s="197"/>
      <c r="T84" s="197"/>
      <c r="U84" s="197"/>
    </row>
    <row r="85" spans="1:26" s="12" customFormat="1" x14ac:dyDescent="0.25">
      <c r="A85" s="200" t="s">
        <v>1284</v>
      </c>
      <c r="B85" s="60">
        <v>3.37</v>
      </c>
      <c r="C85" s="60">
        <v>8.07</v>
      </c>
      <c r="D85" s="60">
        <v>11.44</v>
      </c>
      <c r="E85" s="60">
        <v>5.33</v>
      </c>
      <c r="F85" s="60">
        <v>0.08</v>
      </c>
      <c r="G85" s="215" t="s">
        <v>36</v>
      </c>
      <c r="H85" s="60">
        <v>2.4700000000000002</v>
      </c>
      <c r="I85" s="60">
        <v>17.45</v>
      </c>
      <c r="J85" s="60">
        <v>0.46</v>
      </c>
      <c r="K85" s="60">
        <v>172.93</v>
      </c>
      <c r="L85" s="60">
        <v>32.590000000000003</v>
      </c>
      <c r="M85" s="60">
        <v>98.87</v>
      </c>
      <c r="N85" s="60">
        <v>15.3</v>
      </c>
      <c r="O85" s="60">
        <v>0</v>
      </c>
      <c r="P85" s="60">
        <v>3.46</v>
      </c>
      <c r="Q85" s="60">
        <v>5.28</v>
      </c>
      <c r="R85" s="197"/>
      <c r="S85" s="197"/>
      <c r="T85" s="197"/>
      <c r="U85" s="197"/>
    </row>
    <row r="86" spans="1:26" s="12" customFormat="1" x14ac:dyDescent="0.25">
      <c r="A86" s="200" t="s">
        <v>1285</v>
      </c>
      <c r="B86" s="60">
        <v>3.64</v>
      </c>
      <c r="C86" s="60">
        <v>7.99</v>
      </c>
      <c r="D86" s="60">
        <v>11.63</v>
      </c>
      <c r="E86" s="60">
        <v>5.93</v>
      </c>
      <c r="F86" s="60">
        <v>0.26</v>
      </c>
      <c r="G86" s="215" t="s">
        <v>36</v>
      </c>
      <c r="H86" s="60">
        <v>2.35</v>
      </c>
      <c r="I86" s="60">
        <v>16.82</v>
      </c>
      <c r="J86" s="60">
        <v>0.18</v>
      </c>
      <c r="K86" s="60">
        <v>220.69</v>
      </c>
      <c r="L86" s="60">
        <v>31.9</v>
      </c>
      <c r="M86" s="60">
        <v>98.9</v>
      </c>
      <c r="N86" s="60">
        <v>15.4</v>
      </c>
      <c r="O86" s="60">
        <v>0</v>
      </c>
      <c r="P86" s="60">
        <v>3.46</v>
      </c>
      <c r="Q86" s="60">
        <v>5.56</v>
      </c>
      <c r="R86" s="197"/>
      <c r="S86" s="197"/>
      <c r="T86" s="197"/>
      <c r="U86" s="197"/>
    </row>
    <row r="87" spans="1:26" s="12" customFormat="1" x14ac:dyDescent="0.25">
      <c r="A87" s="200" t="s">
        <v>1286</v>
      </c>
      <c r="B87" s="60">
        <v>3.84</v>
      </c>
      <c r="C87" s="60">
        <v>7.47</v>
      </c>
      <c r="D87" s="60">
        <v>11.31</v>
      </c>
      <c r="E87" s="60">
        <v>6.1</v>
      </c>
      <c r="F87" s="60">
        <v>0.12</v>
      </c>
      <c r="G87" s="215" t="s">
        <v>36</v>
      </c>
      <c r="H87" s="60">
        <v>2.35</v>
      </c>
      <c r="I87" s="60">
        <v>16.2</v>
      </c>
      <c r="J87" s="60">
        <v>0.14000000000000001</v>
      </c>
      <c r="K87" s="60">
        <v>224.47</v>
      </c>
      <c r="L87" s="60">
        <v>32.020000000000003</v>
      </c>
      <c r="M87" s="60">
        <v>97.56</v>
      </c>
      <c r="N87" s="60">
        <v>15.4</v>
      </c>
      <c r="O87" s="60">
        <v>0</v>
      </c>
      <c r="P87" s="60">
        <v>3.48</v>
      </c>
      <c r="Q87" s="60">
        <v>5.66</v>
      </c>
      <c r="R87" s="197"/>
      <c r="S87" s="197"/>
      <c r="T87" s="197"/>
      <c r="U87" s="197"/>
    </row>
    <row r="88" spans="1:26" s="12" customFormat="1" x14ac:dyDescent="0.25">
      <c r="A88" s="200" t="s">
        <v>1287</v>
      </c>
      <c r="B88" s="60">
        <v>4.04</v>
      </c>
      <c r="C88" s="60">
        <v>7.18</v>
      </c>
      <c r="D88" s="60">
        <v>11.22</v>
      </c>
      <c r="E88" s="60">
        <v>1.99</v>
      </c>
      <c r="F88" s="60">
        <v>0.17</v>
      </c>
      <c r="G88" s="215" t="s">
        <v>36</v>
      </c>
      <c r="H88" s="60">
        <v>2.35</v>
      </c>
      <c r="I88" s="60">
        <v>15.37</v>
      </c>
      <c r="J88" s="60">
        <v>0.31</v>
      </c>
      <c r="K88" s="60">
        <v>216.45</v>
      </c>
      <c r="L88" s="60">
        <v>32.21</v>
      </c>
      <c r="M88" s="60">
        <v>93.18</v>
      </c>
      <c r="N88" s="60">
        <v>15.4</v>
      </c>
      <c r="O88" s="60">
        <v>0</v>
      </c>
      <c r="P88" s="60">
        <v>3.47</v>
      </c>
      <c r="Q88" s="60">
        <v>6.07</v>
      </c>
      <c r="R88" s="197"/>
      <c r="S88" s="197"/>
      <c r="T88" s="197"/>
      <c r="U88" s="197"/>
    </row>
    <row r="89" spans="1:26" s="12" customFormat="1" x14ac:dyDescent="0.25">
      <c r="A89" s="200" t="s">
        <v>1288</v>
      </c>
      <c r="B89" s="60">
        <v>4.1100000000000003</v>
      </c>
      <c r="C89" s="60">
        <v>7.11</v>
      </c>
      <c r="D89" s="60">
        <v>11.22</v>
      </c>
      <c r="E89" s="60">
        <v>3.53</v>
      </c>
      <c r="F89" s="60">
        <v>0.24</v>
      </c>
      <c r="G89" s="215" t="s">
        <v>36</v>
      </c>
      <c r="H89" s="60">
        <v>2.21</v>
      </c>
      <c r="I89" s="60">
        <v>14.07</v>
      </c>
      <c r="J89" s="60">
        <v>0.08</v>
      </c>
      <c r="K89" s="60">
        <v>249</v>
      </c>
      <c r="L89" s="60">
        <v>33.18</v>
      </c>
      <c r="M89" s="60">
        <v>93.89</v>
      </c>
      <c r="N89" s="60">
        <v>15</v>
      </c>
      <c r="O89" s="60">
        <v>0.4</v>
      </c>
      <c r="P89" s="60">
        <v>3.47</v>
      </c>
      <c r="Q89" s="60">
        <v>6.45</v>
      </c>
      <c r="R89" s="197"/>
      <c r="S89" s="197"/>
      <c r="T89" s="197"/>
      <c r="U89" s="197"/>
    </row>
    <row r="90" spans="1:26" s="12" customFormat="1" x14ac:dyDescent="0.25">
      <c r="A90" s="200" t="s">
        <v>1289</v>
      </c>
      <c r="B90" s="60">
        <v>3.95</v>
      </c>
      <c r="C90" s="60">
        <v>7.5</v>
      </c>
      <c r="D90" s="60">
        <v>11.45</v>
      </c>
      <c r="E90" s="60">
        <v>4.34</v>
      </c>
      <c r="F90" s="60">
        <v>0.1</v>
      </c>
      <c r="G90" s="215" t="s">
        <v>36</v>
      </c>
      <c r="H90" s="60">
        <v>1.87</v>
      </c>
      <c r="I90" s="60">
        <v>14.87</v>
      </c>
      <c r="J90" s="60">
        <v>0.2</v>
      </c>
      <c r="K90" s="60">
        <v>210.81</v>
      </c>
      <c r="L90" s="60">
        <v>33.42</v>
      </c>
      <c r="M90" s="60">
        <v>97.28</v>
      </c>
      <c r="N90" s="60">
        <v>15.2</v>
      </c>
      <c r="O90" s="60">
        <v>0.2</v>
      </c>
      <c r="P90" s="60">
        <v>3.48</v>
      </c>
      <c r="Q90" s="60">
        <v>6.59</v>
      </c>
      <c r="R90" s="197"/>
      <c r="S90" s="197"/>
      <c r="T90" s="197"/>
      <c r="U90" s="197"/>
    </row>
    <row r="91" spans="1:26" s="12" customFormat="1" x14ac:dyDescent="0.25">
      <c r="A91" s="200" t="s">
        <v>1290</v>
      </c>
      <c r="B91" s="60">
        <v>3.69</v>
      </c>
      <c r="C91" s="60">
        <v>7.77</v>
      </c>
      <c r="D91" s="60">
        <v>11.46</v>
      </c>
      <c r="E91" s="60">
        <v>4.99</v>
      </c>
      <c r="F91" s="60">
        <v>0.21</v>
      </c>
      <c r="G91" s="215" t="s">
        <v>36</v>
      </c>
      <c r="H91" s="60">
        <v>1.87</v>
      </c>
      <c r="I91" s="60">
        <v>14.31</v>
      </c>
      <c r="J91" s="60">
        <v>0.34</v>
      </c>
      <c r="K91" s="60">
        <v>201.56</v>
      </c>
      <c r="L91" s="60">
        <v>32.69</v>
      </c>
      <c r="M91" s="60">
        <v>99.09</v>
      </c>
      <c r="N91" s="60">
        <v>15.4</v>
      </c>
      <c r="O91" s="60">
        <v>0.8</v>
      </c>
      <c r="P91" s="60">
        <v>3.47</v>
      </c>
      <c r="Q91" s="60">
        <v>6.8</v>
      </c>
      <c r="R91" s="197"/>
      <c r="S91" s="197"/>
      <c r="T91" s="197"/>
      <c r="U91" s="197"/>
    </row>
    <row r="92" spans="1:26" s="12" customFormat="1" x14ac:dyDescent="0.25">
      <c r="A92" s="200" t="s">
        <v>1291</v>
      </c>
      <c r="B92" s="60">
        <v>3.6</v>
      </c>
      <c r="C92" s="60">
        <v>7.84</v>
      </c>
      <c r="D92" s="60">
        <v>11.45</v>
      </c>
      <c r="E92" s="60">
        <v>4.87</v>
      </c>
      <c r="F92" s="60">
        <v>0.25</v>
      </c>
      <c r="G92" s="215" t="s">
        <v>36</v>
      </c>
      <c r="H92" s="60">
        <v>1.87</v>
      </c>
      <c r="I92" s="60">
        <v>13.8</v>
      </c>
      <c r="J92" s="60">
        <v>0.2</v>
      </c>
      <c r="K92" s="60">
        <v>190.76</v>
      </c>
      <c r="L92" s="60">
        <v>32.01</v>
      </c>
      <c r="M92" s="60">
        <v>99.15</v>
      </c>
      <c r="N92" s="60">
        <v>15.4</v>
      </c>
      <c r="O92" s="60">
        <v>0</v>
      </c>
      <c r="P92" s="60">
        <v>3.46</v>
      </c>
      <c r="Q92" s="60">
        <v>7.09</v>
      </c>
      <c r="R92" s="197"/>
      <c r="S92" s="197"/>
      <c r="T92" s="197"/>
      <c r="U92" s="197"/>
    </row>
    <row r="93" spans="1:26" s="12" customFormat="1" x14ac:dyDescent="0.25">
      <c r="A93" s="200" t="s">
        <v>1292</v>
      </c>
      <c r="B93" s="60">
        <v>3.75</v>
      </c>
      <c r="C93" s="60">
        <v>7.76</v>
      </c>
      <c r="D93" s="60">
        <v>11.51</v>
      </c>
      <c r="E93" s="60">
        <v>4.66</v>
      </c>
      <c r="F93" s="60">
        <v>0.41</v>
      </c>
      <c r="G93" s="215" t="s">
        <v>36</v>
      </c>
      <c r="H93" s="60">
        <v>1.81</v>
      </c>
      <c r="I93" s="60">
        <v>13.28</v>
      </c>
      <c r="J93" s="60">
        <v>0.3</v>
      </c>
      <c r="K93" s="60">
        <v>193.84</v>
      </c>
      <c r="L93" s="60">
        <v>32</v>
      </c>
      <c r="M93" s="60">
        <v>99.15</v>
      </c>
      <c r="N93" s="60">
        <v>15.2</v>
      </c>
      <c r="O93" s="60">
        <v>0</v>
      </c>
      <c r="P93" s="60">
        <v>3.46</v>
      </c>
      <c r="Q93" s="60">
        <v>7.41</v>
      </c>
      <c r="R93" s="197"/>
      <c r="S93" s="197"/>
      <c r="T93" s="197"/>
      <c r="U93" s="197"/>
    </row>
    <row r="94" spans="1:26" s="12" customFormat="1" x14ac:dyDescent="0.25">
      <c r="A94" s="200" t="s">
        <v>1293</v>
      </c>
      <c r="B94" s="60">
        <v>4.0599999999999996</v>
      </c>
      <c r="C94" s="60">
        <v>7.65</v>
      </c>
      <c r="D94" s="60">
        <v>11.71</v>
      </c>
      <c r="E94" s="60">
        <v>5.41</v>
      </c>
      <c r="F94" s="60">
        <v>0.52</v>
      </c>
      <c r="G94" s="215" t="s">
        <v>36</v>
      </c>
      <c r="H94" s="60">
        <v>1.66</v>
      </c>
      <c r="I94" s="60">
        <v>12.54</v>
      </c>
      <c r="J94" s="60">
        <v>0.33</v>
      </c>
      <c r="K94" s="60">
        <v>201.26</v>
      </c>
      <c r="L94" s="60">
        <v>32.119999999999997</v>
      </c>
      <c r="M94" s="60">
        <v>99.15</v>
      </c>
      <c r="N94" s="60">
        <v>15</v>
      </c>
      <c r="O94" s="60">
        <v>0</v>
      </c>
      <c r="P94" s="60">
        <v>3.47</v>
      </c>
      <c r="Q94" s="60">
        <v>7.78</v>
      </c>
      <c r="R94" s="197"/>
      <c r="S94" s="197"/>
      <c r="T94" s="197"/>
      <c r="U94" s="197"/>
    </row>
    <row r="95" spans="1:26" s="12" customFormat="1" x14ac:dyDescent="0.25">
      <c r="A95" s="200" t="s">
        <v>1294</v>
      </c>
      <c r="B95" s="60">
        <v>4.18</v>
      </c>
      <c r="C95" s="60">
        <v>7.58</v>
      </c>
      <c r="D95" s="60">
        <v>11.76</v>
      </c>
      <c r="E95" s="60">
        <v>5.52</v>
      </c>
      <c r="F95" s="60">
        <v>0.45</v>
      </c>
      <c r="G95" s="215" t="s">
        <v>36</v>
      </c>
      <c r="H95" s="60">
        <v>1.66</v>
      </c>
      <c r="I95" s="60">
        <v>11.61</v>
      </c>
      <c r="J95" s="60">
        <v>0.39</v>
      </c>
      <c r="K95" s="60">
        <v>211.1</v>
      </c>
      <c r="L95" s="60">
        <v>32.520000000000003</v>
      </c>
      <c r="M95" s="60">
        <v>99.15</v>
      </c>
      <c r="N95" s="60">
        <v>15.3</v>
      </c>
      <c r="O95" s="60">
        <v>0</v>
      </c>
      <c r="P95" s="60">
        <v>3.47</v>
      </c>
      <c r="Q95" s="60">
        <v>8.23</v>
      </c>
      <c r="R95" s="197"/>
      <c r="S95" s="197"/>
      <c r="T95" s="197"/>
      <c r="U95" s="197"/>
    </row>
    <row r="96" spans="1:26" s="12" customFormat="1" x14ac:dyDescent="0.25">
      <c r="A96" s="200" t="s">
        <v>1295</v>
      </c>
      <c r="B96" s="60">
        <v>4.17</v>
      </c>
      <c r="C96" s="60">
        <v>7.68</v>
      </c>
      <c r="D96" s="60">
        <v>11.86</v>
      </c>
      <c r="E96" s="60">
        <v>6.06</v>
      </c>
      <c r="F96" s="60">
        <v>0.42</v>
      </c>
      <c r="G96" s="215" t="s">
        <v>36</v>
      </c>
      <c r="H96" s="60">
        <v>1.66</v>
      </c>
      <c r="I96" s="60">
        <v>12.46</v>
      </c>
      <c r="J96" s="60">
        <v>0.37</v>
      </c>
      <c r="K96" s="60">
        <v>186.14</v>
      </c>
      <c r="L96" s="60">
        <v>32.549999999999997</v>
      </c>
      <c r="M96" s="60">
        <v>99.12</v>
      </c>
      <c r="N96" s="60">
        <v>15.3</v>
      </c>
      <c r="O96" s="60">
        <v>0</v>
      </c>
      <c r="P96" s="60">
        <v>3.46</v>
      </c>
      <c r="Q96" s="60">
        <v>8.15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1296</v>
      </c>
      <c r="B97" s="60">
        <v>4.09</v>
      </c>
      <c r="C97" s="60">
        <v>7.77</v>
      </c>
      <c r="D97" s="60">
        <v>11.86</v>
      </c>
      <c r="E97" s="60">
        <v>5.66</v>
      </c>
      <c r="F97" s="60">
        <v>0.45</v>
      </c>
      <c r="G97" s="215" t="s">
        <v>36</v>
      </c>
      <c r="H97" s="60">
        <v>1.83</v>
      </c>
      <c r="I97" s="60">
        <v>12.16</v>
      </c>
      <c r="J97" s="60">
        <v>0.32</v>
      </c>
      <c r="K97" s="60">
        <v>198.88</v>
      </c>
      <c r="L97" s="60">
        <v>32.950000000000003</v>
      </c>
      <c r="M97" s="60">
        <v>99.11</v>
      </c>
      <c r="N97" s="60">
        <v>15.3</v>
      </c>
      <c r="O97" s="60">
        <v>0</v>
      </c>
      <c r="P97" s="60">
        <v>3.45</v>
      </c>
      <c r="Q97" s="60">
        <v>7.98</v>
      </c>
      <c r="R97" s="197"/>
      <c r="S97" s="197"/>
      <c r="T97" s="197"/>
      <c r="U97" s="197"/>
    </row>
    <row r="98" spans="1:33" s="12" customFormat="1" x14ac:dyDescent="0.25">
      <c r="A98" s="200" t="s">
        <v>1297</v>
      </c>
      <c r="B98" s="60">
        <v>4</v>
      </c>
      <c r="C98" s="60">
        <v>7.74</v>
      </c>
      <c r="D98" s="60">
        <v>11.75</v>
      </c>
      <c r="E98" s="60">
        <v>6.16</v>
      </c>
      <c r="F98" s="60">
        <v>0.38</v>
      </c>
      <c r="G98" s="215" t="s">
        <v>36</v>
      </c>
      <c r="H98" s="60">
        <v>2.2400000000000002</v>
      </c>
      <c r="I98" s="60">
        <v>11.74</v>
      </c>
      <c r="J98" s="60">
        <v>0.23</v>
      </c>
      <c r="K98" s="60">
        <v>214.5</v>
      </c>
      <c r="L98" s="60">
        <v>32.76</v>
      </c>
      <c r="M98" s="60">
        <v>99.12</v>
      </c>
      <c r="N98" s="60">
        <v>15.2</v>
      </c>
      <c r="O98" s="60">
        <v>0.2</v>
      </c>
      <c r="P98" s="60">
        <v>3.46</v>
      </c>
      <c r="Q98" s="60">
        <v>7.79</v>
      </c>
      <c r="R98" s="197"/>
      <c r="S98" s="197"/>
      <c r="T98" s="197"/>
      <c r="U98" s="197"/>
    </row>
    <row r="99" spans="1:33" s="12" customFormat="1" x14ac:dyDescent="0.25">
      <c r="A99" s="200" t="s">
        <v>1298</v>
      </c>
      <c r="B99" s="60">
        <v>3.98</v>
      </c>
      <c r="C99" s="60">
        <v>7.71</v>
      </c>
      <c r="D99" s="60">
        <v>11.69</v>
      </c>
      <c r="E99" s="60">
        <v>6.38</v>
      </c>
      <c r="F99" s="60">
        <v>0.38</v>
      </c>
      <c r="G99" s="215" t="s">
        <v>36</v>
      </c>
      <c r="H99" s="60">
        <v>2.2400000000000002</v>
      </c>
      <c r="I99" s="60">
        <v>11.33</v>
      </c>
      <c r="J99" s="60">
        <v>0.27</v>
      </c>
      <c r="K99" s="60">
        <v>218.7</v>
      </c>
      <c r="L99" s="60">
        <v>32.46</v>
      </c>
      <c r="M99" s="60">
        <v>99.13</v>
      </c>
      <c r="N99" s="60">
        <v>15.1</v>
      </c>
      <c r="O99" s="60">
        <v>0</v>
      </c>
      <c r="P99" s="60">
        <v>3.45</v>
      </c>
      <c r="Q99" s="60">
        <v>7.64</v>
      </c>
      <c r="R99" s="197"/>
      <c r="S99" s="197"/>
      <c r="T99" s="197"/>
      <c r="U99" s="197"/>
    </row>
    <row r="100" spans="1:33" s="12" customFormat="1" x14ac:dyDescent="0.25">
      <c r="A100" s="200" t="s">
        <v>1299</v>
      </c>
      <c r="B100" s="60">
        <v>3.88</v>
      </c>
      <c r="C100" s="60">
        <v>7.62</v>
      </c>
      <c r="D100" s="60">
        <v>11.5</v>
      </c>
      <c r="E100" s="60">
        <v>6.23</v>
      </c>
      <c r="F100" s="60">
        <v>0.46</v>
      </c>
      <c r="G100" s="215" t="s">
        <v>36</v>
      </c>
      <c r="H100" s="60">
        <v>2.2400000000000002</v>
      </c>
      <c r="I100" s="60">
        <v>11.03</v>
      </c>
      <c r="J100" s="60">
        <v>0.17</v>
      </c>
      <c r="K100" s="60">
        <v>205.28</v>
      </c>
      <c r="L100" s="60">
        <v>33.17</v>
      </c>
      <c r="M100" s="60">
        <v>99.14</v>
      </c>
      <c r="N100" s="60">
        <v>15.1</v>
      </c>
      <c r="O100" s="60">
        <v>0.4</v>
      </c>
      <c r="P100" s="60">
        <v>3.46</v>
      </c>
      <c r="Q100" s="60">
        <v>7.86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1300</v>
      </c>
      <c r="B101" s="60">
        <v>3.76</v>
      </c>
      <c r="C101" s="60">
        <v>7.7</v>
      </c>
      <c r="D101" s="60">
        <v>11.46</v>
      </c>
      <c r="E101" s="60">
        <v>6.39</v>
      </c>
      <c r="F101" s="60">
        <v>0.25</v>
      </c>
      <c r="G101" s="215" t="s">
        <v>36</v>
      </c>
      <c r="H101" s="60">
        <v>2.29</v>
      </c>
      <c r="I101" s="60">
        <v>10.76</v>
      </c>
      <c r="J101" s="60">
        <v>0.2</v>
      </c>
      <c r="K101" s="60">
        <v>199.85</v>
      </c>
      <c r="L101" s="60">
        <v>31.88</v>
      </c>
      <c r="M101" s="60">
        <v>99.15</v>
      </c>
      <c r="N101" s="60">
        <v>15.4</v>
      </c>
      <c r="O101" s="60">
        <v>3.4</v>
      </c>
      <c r="P101" s="60">
        <v>3.44</v>
      </c>
      <c r="Q101" s="60">
        <v>7.8</v>
      </c>
      <c r="R101" s="197"/>
      <c r="S101" s="197"/>
      <c r="T101" s="197"/>
      <c r="U101" s="197"/>
    </row>
    <row r="102" spans="1:33" s="12" customFormat="1" x14ac:dyDescent="0.25">
      <c r="A102" s="200" t="s">
        <v>1301</v>
      </c>
      <c r="B102" s="60">
        <v>3.86</v>
      </c>
      <c r="C102" s="60">
        <v>7.3</v>
      </c>
      <c r="D102" s="60">
        <v>11.16</v>
      </c>
      <c r="E102" s="60">
        <v>6.12</v>
      </c>
      <c r="F102" s="60">
        <v>0.21</v>
      </c>
      <c r="G102" s="215" t="s">
        <v>36</v>
      </c>
      <c r="H102" s="60">
        <v>2.42</v>
      </c>
      <c r="I102" s="60">
        <v>10.32</v>
      </c>
      <c r="J102" s="60">
        <v>1.24</v>
      </c>
      <c r="K102" s="60">
        <v>158.74</v>
      </c>
      <c r="L102" s="60">
        <v>32.64</v>
      </c>
      <c r="M102" s="60">
        <v>99.15</v>
      </c>
      <c r="N102" s="60">
        <v>15.5</v>
      </c>
      <c r="O102" s="60">
        <v>0</v>
      </c>
      <c r="P102" s="60">
        <v>3.45</v>
      </c>
      <c r="Q102" s="60">
        <v>7.74</v>
      </c>
      <c r="R102" s="197"/>
      <c r="S102" s="197"/>
      <c r="T102" s="197"/>
      <c r="U102" s="197"/>
    </row>
    <row r="103" spans="1:33" s="12" customFormat="1" x14ac:dyDescent="0.25">
      <c r="A103" s="200" t="s">
        <v>1302</v>
      </c>
      <c r="B103" s="60">
        <v>4.01</v>
      </c>
      <c r="C103" s="60">
        <v>6.97</v>
      </c>
      <c r="D103" s="60">
        <v>10.98</v>
      </c>
      <c r="E103" s="60">
        <v>6.51</v>
      </c>
      <c r="F103" s="60">
        <v>0.16</v>
      </c>
      <c r="G103" s="215" t="s">
        <v>36</v>
      </c>
      <c r="H103" s="60">
        <v>2.42</v>
      </c>
      <c r="I103" s="60">
        <v>9.7899999999999991</v>
      </c>
      <c r="J103" s="60">
        <v>1.25</v>
      </c>
      <c r="K103" s="60">
        <v>156.47999999999999</v>
      </c>
      <c r="L103" s="60">
        <v>32.18</v>
      </c>
      <c r="M103" s="60">
        <v>99.15</v>
      </c>
      <c r="N103" s="60">
        <v>15.4</v>
      </c>
      <c r="O103" s="60">
        <v>0.2</v>
      </c>
      <c r="P103" s="60">
        <v>3.45</v>
      </c>
      <c r="Q103" s="60">
        <v>7.95</v>
      </c>
      <c r="R103" s="197"/>
      <c r="S103" s="197"/>
      <c r="T103" s="197"/>
      <c r="U103" s="197"/>
    </row>
    <row r="104" spans="1:33" s="12" customFormat="1" x14ac:dyDescent="0.25">
      <c r="A104" s="200" t="s">
        <v>1303</v>
      </c>
      <c r="B104" s="60">
        <v>4.1399999999999997</v>
      </c>
      <c r="C104" s="60">
        <v>6.79</v>
      </c>
      <c r="D104" s="60">
        <v>10.93</v>
      </c>
      <c r="E104" s="60">
        <v>1.8</v>
      </c>
      <c r="F104" s="60">
        <v>0.25</v>
      </c>
      <c r="G104" s="215" t="s">
        <v>36</v>
      </c>
      <c r="H104" s="60">
        <v>2.42</v>
      </c>
      <c r="I104" s="60">
        <v>9.67</v>
      </c>
      <c r="J104" s="60">
        <v>1.34</v>
      </c>
      <c r="K104" s="60">
        <v>156.62</v>
      </c>
      <c r="L104" s="60">
        <v>32.049999999999997</v>
      </c>
      <c r="M104" s="60">
        <v>99.15</v>
      </c>
      <c r="N104" s="60">
        <v>15.4</v>
      </c>
      <c r="O104" s="60">
        <v>0.2</v>
      </c>
      <c r="P104" s="60">
        <v>3.44</v>
      </c>
      <c r="Q104" s="60">
        <v>8.27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5" t="s">
        <v>59</v>
      </c>
      <c r="B106" s="67">
        <f>MIN(B9:B104)</f>
        <v>0.35</v>
      </c>
      <c r="C106" s="67">
        <f>MIN(C9:C104)</f>
        <v>1.63</v>
      </c>
      <c r="D106" s="67">
        <f t="shared" ref="D106:Q106" si="0">MIN(D9:D104)</f>
        <v>1.63</v>
      </c>
      <c r="E106" s="67">
        <f t="shared" si="0"/>
        <v>0.01</v>
      </c>
      <c r="F106" s="67">
        <f t="shared" si="0"/>
        <v>0.08</v>
      </c>
      <c r="G106" s="67">
        <f t="shared" si="0"/>
        <v>0</v>
      </c>
      <c r="H106" s="67">
        <f t="shared" si="0"/>
        <v>1.66</v>
      </c>
      <c r="I106" s="67">
        <f t="shared" si="0"/>
        <v>2.38</v>
      </c>
      <c r="J106" s="67">
        <f t="shared" si="0"/>
        <v>0.02</v>
      </c>
      <c r="K106" s="67">
        <f t="shared" si="0"/>
        <v>35.229999999999997</v>
      </c>
      <c r="L106" s="67">
        <f t="shared" si="0"/>
        <v>31.88</v>
      </c>
      <c r="M106" s="67">
        <f t="shared" si="0"/>
        <v>82.62</v>
      </c>
      <c r="N106" s="67">
        <f t="shared" si="0"/>
        <v>15</v>
      </c>
      <c r="O106" s="67">
        <f t="shared" si="0"/>
        <v>0</v>
      </c>
      <c r="P106" s="67">
        <f t="shared" si="0"/>
        <v>3.31</v>
      </c>
      <c r="Q106" s="67">
        <f t="shared" si="0"/>
        <v>1.72</v>
      </c>
      <c r="R106" s="198"/>
      <c r="S106" s="198"/>
      <c r="T106" s="198"/>
      <c r="U106" s="198"/>
    </row>
    <row r="107" spans="1:33" x14ac:dyDescent="0.25">
      <c r="A107" s="65" t="s">
        <v>60</v>
      </c>
      <c r="B107" s="66">
        <f>MAX(B9:B104)</f>
        <v>189.18</v>
      </c>
      <c r="C107" s="66">
        <f t="shared" ref="C107:Q107" si="1">MAX(C9:C104)</f>
        <v>13.3</v>
      </c>
      <c r="D107" s="66">
        <f t="shared" si="1"/>
        <v>196.87</v>
      </c>
      <c r="E107" s="66">
        <f t="shared" si="1"/>
        <v>8.51</v>
      </c>
      <c r="F107" s="66">
        <f t="shared" si="1"/>
        <v>2.75</v>
      </c>
      <c r="G107" s="66">
        <f t="shared" si="1"/>
        <v>0</v>
      </c>
      <c r="H107" s="66">
        <f t="shared" si="1"/>
        <v>6.77</v>
      </c>
      <c r="I107" s="66">
        <f t="shared" si="1"/>
        <v>71.45</v>
      </c>
      <c r="J107" s="66">
        <f t="shared" si="1"/>
        <v>1.34</v>
      </c>
      <c r="K107" s="66">
        <f t="shared" si="1"/>
        <v>330.72</v>
      </c>
      <c r="L107" s="66">
        <f t="shared" si="1"/>
        <v>52.67</v>
      </c>
      <c r="M107" s="66">
        <f t="shared" si="1"/>
        <v>99.15</v>
      </c>
      <c r="N107" s="66">
        <f t="shared" si="1"/>
        <v>729.2</v>
      </c>
      <c r="O107" s="66">
        <f t="shared" si="1"/>
        <v>3.4</v>
      </c>
      <c r="P107" s="66">
        <f t="shared" si="1"/>
        <v>3.52</v>
      </c>
      <c r="Q107" s="66">
        <f t="shared" si="1"/>
        <v>8.27</v>
      </c>
      <c r="R107" s="199"/>
      <c r="S107" s="199"/>
      <c r="T107" s="199"/>
      <c r="U107" s="199"/>
    </row>
    <row r="108" spans="1:33" x14ac:dyDescent="0.25">
      <c r="A108" s="65" t="s">
        <v>61</v>
      </c>
      <c r="B108" s="67">
        <f>AVERAGE(B9:B104)</f>
        <v>9.032</v>
      </c>
      <c r="C108" s="67">
        <f t="shared" ref="C108:Q108" si="2">AVERAGE(C9:C104)</f>
        <v>8.4738541666666656</v>
      </c>
      <c r="D108" s="67">
        <f t="shared" si="2"/>
        <v>17.411770833333332</v>
      </c>
      <c r="E108" s="67">
        <f t="shared" si="2"/>
        <v>4.7481318681318694</v>
      </c>
      <c r="F108" s="67">
        <f t="shared" si="2"/>
        <v>0.61705263157894741</v>
      </c>
      <c r="G108" s="67" t="e">
        <f t="shared" si="2"/>
        <v>#DIV/0!</v>
      </c>
      <c r="H108" s="67">
        <f t="shared" si="2"/>
        <v>3.2981250000000024</v>
      </c>
      <c r="I108" s="67">
        <f t="shared" si="2"/>
        <v>11.453750000000001</v>
      </c>
      <c r="J108" s="67">
        <f t="shared" si="2"/>
        <v>0.36270833333333324</v>
      </c>
      <c r="K108" s="67">
        <f t="shared" si="2"/>
        <v>205.50979166666662</v>
      </c>
      <c r="L108" s="67">
        <f t="shared" si="2"/>
        <v>38.940645161290334</v>
      </c>
      <c r="M108" s="67">
        <f t="shared" si="2"/>
        <v>93.856666666666641</v>
      </c>
      <c r="N108" s="67">
        <f t="shared" si="2"/>
        <v>109.90520833333329</v>
      </c>
      <c r="O108" s="67">
        <f t="shared" si="2"/>
        <v>9.7916666666666666E-2</v>
      </c>
      <c r="P108" s="67">
        <f t="shared" si="2"/>
        <v>3.402708333333333</v>
      </c>
      <c r="Q108" s="67">
        <f t="shared" si="2"/>
        <v>4.4680208333333322</v>
      </c>
      <c r="R108" s="198"/>
      <c r="S108" s="198"/>
      <c r="T108" s="198"/>
      <c r="U108" s="198"/>
    </row>
    <row r="109" spans="1:33" x14ac:dyDescent="0.25">
      <c r="A109" s="65" t="s">
        <v>77</v>
      </c>
      <c r="B109" s="67">
        <f>STDEV(B9:B104)</f>
        <v>30.890977771180609</v>
      </c>
      <c r="C109" s="67">
        <f t="shared" ref="C109:Q109" si="3">STDEV(C9:C104)</f>
        <v>1.8375958949795308</v>
      </c>
      <c r="D109" s="67">
        <f t="shared" si="3"/>
        <v>30.425515988178898</v>
      </c>
      <c r="E109" s="67">
        <f t="shared" si="3"/>
        <v>2.2227135128476041</v>
      </c>
      <c r="F109" s="67">
        <f t="shared" si="3"/>
        <v>0.59417540515748757</v>
      </c>
      <c r="G109" s="67" t="e">
        <f t="shared" si="3"/>
        <v>#DIV/0!</v>
      </c>
      <c r="H109" s="67">
        <f t="shared" si="3"/>
        <v>1.4079819918854295</v>
      </c>
      <c r="I109" s="67">
        <f t="shared" si="3"/>
        <v>13.494958142327002</v>
      </c>
      <c r="J109" s="67">
        <f t="shared" si="3"/>
        <v>0.26545087430006081</v>
      </c>
      <c r="K109" s="67">
        <f t="shared" si="3"/>
        <v>33.655778481849509</v>
      </c>
      <c r="L109" s="67">
        <f t="shared" si="3"/>
        <v>5.4202013051120215</v>
      </c>
      <c r="M109" s="67">
        <f t="shared" si="3"/>
        <v>6.0089536118006395</v>
      </c>
      <c r="N109" s="67">
        <f t="shared" si="3"/>
        <v>151.00656825713995</v>
      </c>
      <c r="O109" s="67">
        <f t="shared" si="3"/>
        <v>0.3704845097029355</v>
      </c>
      <c r="P109" s="67">
        <f t="shared" si="3"/>
        <v>6.843328163319165E-2</v>
      </c>
      <c r="Q109" s="67">
        <f t="shared" si="3"/>
        <v>1.6330769278245865</v>
      </c>
      <c r="R109" s="198"/>
      <c r="S109" s="198"/>
      <c r="T109" s="198"/>
      <c r="U109" s="198"/>
    </row>
    <row r="110" spans="1:33" x14ac:dyDescent="0.25">
      <c r="A110" s="65" t="s">
        <v>62</v>
      </c>
      <c r="B110" s="66">
        <v>96</v>
      </c>
      <c r="C110" s="66">
        <f t="shared" ref="C110:Q110" si="4">COUNT(C9:C104)</f>
        <v>96</v>
      </c>
      <c r="D110" s="66">
        <f t="shared" si="4"/>
        <v>96</v>
      </c>
      <c r="E110" s="66">
        <f>COUNT(E9:E104)+5</f>
        <v>96</v>
      </c>
      <c r="F110" s="66">
        <f>COUNT(F9:F104)+1</f>
        <v>96</v>
      </c>
      <c r="G110" s="66">
        <f>COUNT(G9:G104)+96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93</v>
      </c>
      <c r="M110" s="66">
        <f t="shared" si="4"/>
        <v>96</v>
      </c>
      <c r="N110" s="66">
        <f>COUNT(N9:N104)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9"/>
      <c r="S110" s="199"/>
      <c r="T110" s="199"/>
      <c r="U110" s="199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247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E111" sqref="E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12-08-2022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234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1304</v>
      </c>
      <c r="B9" s="60">
        <v>4.2699999999999996</v>
      </c>
      <c r="C9" s="60">
        <v>6.78</v>
      </c>
      <c r="D9" s="60">
        <v>11.06</v>
      </c>
      <c r="E9" s="60">
        <v>4.2300000000000004</v>
      </c>
      <c r="F9" s="60">
        <v>0.18</v>
      </c>
      <c r="G9" s="215" t="s">
        <v>36</v>
      </c>
      <c r="H9" s="60">
        <v>3.02</v>
      </c>
      <c r="I9" s="60">
        <v>9.8800000000000008</v>
      </c>
      <c r="J9" s="60">
        <v>0.75</v>
      </c>
      <c r="K9" s="60">
        <v>168.14</v>
      </c>
      <c r="L9" s="60">
        <v>31.95</v>
      </c>
      <c r="M9" s="60">
        <v>99.14</v>
      </c>
      <c r="N9" s="60">
        <v>15.6</v>
      </c>
      <c r="O9" s="60">
        <v>0</v>
      </c>
      <c r="P9" s="60">
        <v>3.44</v>
      </c>
      <c r="Q9" s="60">
        <v>8.3800000000000008</v>
      </c>
      <c r="R9" s="197"/>
      <c r="S9" s="197"/>
      <c r="T9" s="197"/>
      <c r="U9" s="197"/>
    </row>
    <row r="10" spans="1:21" s="12" customFormat="1" x14ac:dyDescent="0.25">
      <c r="A10" s="200" t="s">
        <v>1305</v>
      </c>
      <c r="B10" s="60">
        <v>4.38</v>
      </c>
      <c r="C10" s="60">
        <v>6.6</v>
      </c>
      <c r="D10" s="60">
        <v>10.98</v>
      </c>
      <c r="E10" s="60">
        <v>5.49</v>
      </c>
      <c r="F10" s="60">
        <v>0.21</v>
      </c>
      <c r="G10" s="215" t="s">
        <v>36</v>
      </c>
      <c r="H10" s="60">
        <v>4.5</v>
      </c>
      <c r="I10" s="60">
        <v>9.75</v>
      </c>
      <c r="J10" s="60">
        <v>0.41</v>
      </c>
      <c r="K10" s="60">
        <v>184.87</v>
      </c>
      <c r="L10" s="60">
        <v>32</v>
      </c>
      <c r="M10" s="60">
        <v>99.15</v>
      </c>
      <c r="N10" s="60">
        <v>15.7</v>
      </c>
      <c r="O10" s="60">
        <v>0</v>
      </c>
      <c r="P10" s="60">
        <v>3.43</v>
      </c>
      <c r="Q10" s="60">
        <v>8.4499999999999993</v>
      </c>
      <c r="R10" s="197"/>
      <c r="S10" s="197"/>
      <c r="T10" s="197"/>
      <c r="U10" s="197"/>
    </row>
    <row r="11" spans="1:21" s="12" customFormat="1" x14ac:dyDescent="0.25">
      <c r="A11" s="200" t="s">
        <v>1306</v>
      </c>
      <c r="B11" s="60">
        <v>4.4400000000000004</v>
      </c>
      <c r="C11" s="60">
        <v>6.61</v>
      </c>
      <c r="D11" s="60">
        <v>11.06</v>
      </c>
      <c r="E11" s="60">
        <v>6.35</v>
      </c>
      <c r="F11" s="60">
        <v>0.28999999999999998</v>
      </c>
      <c r="G11" s="215" t="s">
        <v>36</v>
      </c>
      <c r="H11" s="60">
        <v>4.5</v>
      </c>
      <c r="I11" s="60">
        <v>9.5</v>
      </c>
      <c r="J11" s="60">
        <v>0.19</v>
      </c>
      <c r="K11" s="60">
        <v>218.42</v>
      </c>
      <c r="L11" s="60">
        <v>32.9</v>
      </c>
      <c r="M11" s="60">
        <v>99.15</v>
      </c>
      <c r="N11" s="60">
        <v>15.6</v>
      </c>
      <c r="O11" s="60">
        <v>0</v>
      </c>
      <c r="P11" s="60">
        <v>3.43</v>
      </c>
      <c r="Q11" s="60">
        <v>8.59</v>
      </c>
      <c r="R11" s="197"/>
      <c r="S11" s="197"/>
      <c r="T11" s="197"/>
      <c r="U11" s="197"/>
    </row>
    <row r="12" spans="1:21" s="12" customFormat="1" x14ac:dyDescent="0.25">
      <c r="A12" s="200" t="s">
        <v>1307</v>
      </c>
      <c r="B12" s="60">
        <v>4.46</v>
      </c>
      <c r="C12" s="60">
        <v>6.45</v>
      </c>
      <c r="D12" s="60">
        <v>10.91</v>
      </c>
      <c r="E12" s="60">
        <v>6.23</v>
      </c>
      <c r="F12" s="60">
        <v>0.47</v>
      </c>
      <c r="G12" s="215" t="s">
        <v>36</v>
      </c>
      <c r="H12" s="60">
        <v>4.5</v>
      </c>
      <c r="I12" s="60">
        <v>8.82</v>
      </c>
      <c r="J12" s="60">
        <v>0.28000000000000003</v>
      </c>
      <c r="K12" s="60">
        <v>200.47</v>
      </c>
      <c r="L12" s="60">
        <v>32.409999999999997</v>
      </c>
      <c r="M12" s="60">
        <v>99.12</v>
      </c>
      <c r="N12" s="60">
        <v>15.7</v>
      </c>
      <c r="O12" s="60">
        <v>0</v>
      </c>
      <c r="P12" s="60">
        <v>3.43</v>
      </c>
      <c r="Q12" s="60">
        <v>8.6300000000000008</v>
      </c>
      <c r="R12" s="197"/>
      <c r="S12" s="197"/>
      <c r="T12" s="197"/>
      <c r="U12" s="197"/>
    </row>
    <row r="13" spans="1:21" s="12" customFormat="1" x14ac:dyDescent="0.25">
      <c r="A13" s="200" t="s">
        <v>1308</v>
      </c>
      <c r="B13" s="60">
        <v>4.3600000000000003</v>
      </c>
      <c r="C13" s="60">
        <v>6.41</v>
      </c>
      <c r="D13" s="60">
        <v>10.77</v>
      </c>
      <c r="E13" s="60">
        <v>6.6</v>
      </c>
      <c r="F13" s="60">
        <v>0.6</v>
      </c>
      <c r="G13" s="215" t="s">
        <v>36</v>
      </c>
      <c r="H13" s="60">
        <v>4.2300000000000004</v>
      </c>
      <c r="I13" s="60">
        <v>8.81</v>
      </c>
      <c r="J13" s="60">
        <v>0.19</v>
      </c>
      <c r="K13" s="60">
        <v>204.79</v>
      </c>
      <c r="L13" s="60">
        <v>33.01</v>
      </c>
      <c r="M13" s="60">
        <v>99.14</v>
      </c>
      <c r="N13" s="60">
        <v>15.5</v>
      </c>
      <c r="O13" s="60">
        <v>0</v>
      </c>
      <c r="P13" s="60">
        <v>3.43</v>
      </c>
      <c r="Q13" s="60">
        <v>8.89</v>
      </c>
      <c r="R13" s="197"/>
      <c r="S13" s="197"/>
      <c r="T13" s="197"/>
      <c r="U13" s="197"/>
    </row>
    <row r="14" spans="1:21" s="12" customFormat="1" x14ac:dyDescent="0.25">
      <c r="A14" s="200" t="s">
        <v>1309</v>
      </c>
      <c r="B14" s="60">
        <v>4.16</v>
      </c>
      <c r="C14" s="60">
        <v>6.63</v>
      </c>
      <c r="D14" s="60">
        <v>10.79</v>
      </c>
      <c r="E14" s="60">
        <v>6.88</v>
      </c>
      <c r="F14" s="60">
        <v>0.39</v>
      </c>
      <c r="G14" s="215" t="s">
        <v>36</v>
      </c>
      <c r="H14" s="60">
        <v>3.56</v>
      </c>
      <c r="I14" s="60">
        <v>8.94</v>
      </c>
      <c r="J14" s="60">
        <v>0.26</v>
      </c>
      <c r="K14" s="60">
        <v>185.25</v>
      </c>
      <c r="L14" s="60">
        <v>33.11</v>
      </c>
      <c r="M14" s="60">
        <v>99.11</v>
      </c>
      <c r="N14" s="60">
        <v>15.5</v>
      </c>
      <c r="O14" s="60">
        <v>0</v>
      </c>
      <c r="P14" s="60">
        <v>3.41</v>
      </c>
      <c r="Q14" s="60">
        <v>8.68</v>
      </c>
      <c r="R14" s="197"/>
      <c r="S14" s="197"/>
      <c r="T14" s="197"/>
      <c r="U14" s="197"/>
    </row>
    <row r="15" spans="1:21" s="12" customFormat="1" x14ac:dyDescent="0.25">
      <c r="A15" s="200" t="s">
        <v>1310</v>
      </c>
      <c r="B15" s="60">
        <v>3.9</v>
      </c>
      <c r="C15" s="60">
        <v>6.77</v>
      </c>
      <c r="D15" s="60">
        <v>10.67</v>
      </c>
      <c r="E15" s="60">
        <v>6.61</v>
      </c>
      <c r="F15" s="60">
        <v>0.49</v>
      </c>
      <c r="G15" s="215" t="s">
        <v>36</v>
      </c>
      <c r="H15" s="60">
        <v>3.56</v>
      </c>
      <c r="I15" s="60">
        <v>8.98</v>
      </c>
      <c r="J15" s="60">
        <v>0.17</v>
      </c>
      <c r="K15" s="60">
        <v>202.31</v>
      </c>
      <c r="L15" s="60">
        <v>32.65</v>
      </c>
      <c r="M15" s="60">
        <v>99.07</v>
      </c>
      <c r="N15" s="60">
        <v>15.8</v>
      </c>
      <c r="O15" s="60">
        <v>0</v>
      </c>
      <c r="P15" s="60">
        <v>3.41</v>
      </c>
      <c r="Q15" s="60">
        <v>8.43</v>
      </c>
      <c r="R15" s="197"/>
      <c r="S15" s="197"/>
      <c r="T15" s="197"/>
      <c r="U15" s="197"/>
    </row>
    <row r="16" spans="1:21" s="12" customFormat="1" x14ac:dyDescent="0.25">
      <c r="A16" s="200" t="s">
        <v>1311</v>
      </c>
      <c r="B16" s="60">
        <v>3.64</v>
      </c>
      <c r="C16" s="60">
        <v>6.87</v>
      </c>
      <c r="D16" s="60">
        <v>10.5</v>
      </c>
      <c r="E16" s="60">
        <v>6.9</v>
      </c>
      <c r="F16" s="60">
        <v>0.43</v>
      </c>
      <c r="G16" s="215" t="s">
        <v>36</v>
      </c>
      <c r="H16" s="60">
        <v>3.56</v>
      </c>
      <c r="I16" s="60">
        <v>8.75</v>
      </c>
      <c r="J16" s="60">
        <v>0.35</v>
      </c>
      <c r="K16" s="60">
        <v>175.4</v>
      </c>
      <c r="L16" s="60">
        <v>32.32</v>
      </c>
      <c r="M16" s="60">
        <v>98.98</v>
      </c>
      <c r="N16" s="60">
        <v>15.8</v>
      </c>
      <c r="O16" s="60">
        <v>0</v>
      </c>
      <c r="P16" s="60">
        <v>3.4</v>
      </c>
      <c r="Q16" s="60">
        <v>8.24</v>
      </c>
      <c r="R16" s="197"/>
      <c r="S16" s="197"/>
      <c r="T16" s="197"/>
      <c r="U16" s="197"/>
    </row>
    <row r="17" spans="1:21" s="12" customFormat="1" x14ac:dyDescent="0.25">
      <c r="A17" s="200" t="s">
        <v>1312</v>
      </c>
      <c r="B17" s="60">
        <v>3.44</v>
      </c>
      <c r="C17" s="60">
        <v>6.97</v>
      </c>
      <c r="D17" s="60">
        <v>10.42</v>
      </c>
      <c r="E17" s="60">
        <v>6.52</v>
      </c>
      <c r="F17" s="60">
        <v>0.44</v>
      </c>
      <c r="G17" s="215" t="s">
        <v>36</v>
      </c>
      <c r="H17" s="60">
        <v>3.32</v>
      </c>
      <c r="I17" s="60">
        <v>8.4700000000000006</v>
      </c>
      <c r="J17" s="60">
        <v>0.45</v>
      </c>
      <c r="K17" s="60">
        <v>167.16</v>
      </c>
      <c r="L17" s="60">
        <v>32.22</v>
      </c>
      <c r="M17" s="60">
        <v>98.93</v>
      </c>
      <c r="N17" s="60">
        <v>15.8</v>
      </c>
      <c r="O17" s="60">
        <v>0</v>
      </c>
      <c r="P17" s="60">
        <v>3.4</v>
      </c>
      <c r="Q17" s="60">
        <v>8.02</v>
      </c>
      <c r="R17" s="197"/>
      <c r="S17" s="197"/>
      <c r="T17" s="197"/>
      <c r="U17" s="197"/>
    </row>
    <row r="18" spans="1:21" s="12" customFormat="1" x14ac:dyDescent="0.25">
      <c r="A18" s="200" t="s">
        <v>1313</v>
      </c>
      <c r="B18" s="60">
        <v>3.28</v>
      </c>
      <c r="C18" s="60">
        <v>7</v>
      </c>
      <c r="D18" s="60">
        <v>10.28</v>
      </c>
      <c r="E18" s="60">
        <v>6.42</v>
      </c>
      <c r="F18" s="60">
        <v>0.39</v>
      </c>
      <c r="G18" s="215" t="s">
        <v>36</v>
      </c>
      <c r="H18" s="60">
        <v>2.72</v>
      </c>
      <c r="I18" s="60">
        <v>8.26</v>
      </c>
      <c r="J18" s="60">
        <v>0.27</v>
      </c>
      <c r="K18" s="60">
        <v>190.19</v>
      </c>
      <c r="L18" s="60">
        <v>32.21</v>
      </c>
      <c r="M18" s="60">
        <v>99.1</v>
      </c>
      <c r="N18" s="60">
        <v>15.6</v>
      </c>
      <c r="O18" s="60">
        <v>0</v>
      </c>
      <c r="P18" s="60">
        <v>3.38</v>
      </c>
      <c r="Q18" s="60">
        <v>7.85</v>
      </c>
      <c r="R18" s="197"/>
      <c r="S18" s="197"/>
      <c r="T18" s="197"/>
      <c r="U18" s="197"/>
    </row>
    <row r="19" spans="1:21" s="12" customFormat="1" x14ac:dyDescent="0.25">
      <c r="A19" s="200" t="s">
        <v>1314</v>
      </c>
      <c r="B19" s="60">
        <v>3.16</v>
      </c>
      <c r="C19" s="60">
        <v>6.97</v>
      </c>
      <c r="D19" s="60">
        <v>10.130000000000001</v>
      </c>
      <c r="E19" s="60">
        <v>6.61</v>
      </c>
      <c r="F19" s="60">
        <v>0.4</v>
      </c>
      <c r="G19" s="215" t="s">
        <v>36</v>
      </c>
      <c r="H19" s="60">
        <v>2.72</v>
      </c>
      <c r="I19" s="60">
        <v>8.1199999999999992</v>
      </c>
      <c r="J19" s="60">
        <v>0.19</v>
      </c>
      <c r="K19" s="60">
        <v>226.47</v>
      </c>
      <c r="L19" s="60">
        <v>32.25</v>
      </c>
      <c r="M19" s="60">
        <v>99.1</v>
      </c>
      <c r="N19" s="60">
        <v>15.7</v>
      </c>
      <c r="O19" s="60">
        <v>0</v>
      </c>
      <c r="P19" s="60">
        <v>3.38</v>
      </c>
      <c r="Q19" s="60">
        <v>7.86</v>
      </c>
      <c r="R19" s="197"/>
      <c r="S19" s="197"/>
      <c r="T19" s="197"/>
      <c r="U19" s="197"/>
    </row>
    <row r="20" spans="1:21" s="12" customFormat="1" x14ac:dyDescent="0.25">
      <c r="A20" s="200" t="s">
        <v>1315</v>
      </c>
      <c r="B20" s="60">
        <v>3.14</v>
      </c>
      <c r="C20" s="60">
        <v>6.89</v>
      </c>
      <c r="D20" s="60">
        <v>10.039999999999999</v>
      </c>
      <c r="E20" s="60">
        <v>6.06</v>
      </c>
      <c r="F20" s="60">
        <v>0.24</v>
      </c>
      <c r="G20" s="215" t="s">
        <v>36</v>
      </c>
      <c r="H20" s="60">
        <v>2.72</v>
      </c>
      <c r="I20" s="60">
        <v>7.84</v>
      </c>
      <c r="J20" s="60">
        <v>0.09</v>
      </c>
      <c r="K20" s="60">
        <v>297.63</v>
      </c>
      <c r="L20" s="60">
        <v>32.24</v>
      </c>
      <c r="M20" s="60">
        <v>99.12</v>
      </c>
      <c r="N20" s="60">
        <v>15.5</v>
      </c>
      <c r="O20" s="60">
        <v>0</v>
      </c>
      <c r="P20" s="60">
        <v>3.38</v>
      </c>
      <c r="Q20" s="60">
        <v>7.75</v>
      </c>
      <c r="R20" s="197"/>
      <c r="S20" s="197"/>
      <c r="T20" s="197"/>
      <c r="U20" s="197"/>
    </row>
    <row r="21" spans="1:21" s="12" customFormat="1" x14ac:dyDescent="0.25">
      <c r="A21" s="200" t="s">
        <v>1316</v>
      </c>
      <c r="B21" s="60">
        <v>3.23</v>
      </c>
      <c r="C21" s="60">
        <v>6.76</v>
      </c>
      <c r="D21" s="60">
        <v>9.99</v>
      </c>
      <c r="E21" s="60">
        <v>6.63</v>
      </c>
      <c r="F21" s="60">
        <v>0.19</v>
      </c>
      <c r="G21" s="215" t="s">
        <v>36</v>
      </c>
      <c r="H21" s="60">
        <v>2.56</v>
      </c>
      <c r="I21" s="60">
        <v>7.38</v>
      </c>
      <c r="J21" s="60">
        <v>0.12</v>
      </c>
      <c r="K21" s="60">
        <v>307.16000000000003</v>
      </c>
      <c r="L21" s="60">
        <v>32.26</v>
      </c>
      <c r="M21" s="60">
        <v>99.13</v>
      </c>
      <c r="N21" s="60">
        <v>15.4</v>
      </c>
      <c r="O21" s="60">
        <v>0</v>
      </c>
      <c r="P21" s="60">
        <v>3.38</v>
      </c>
      <c r="Q21" s="60">
        <v>7.79</v>
      </c>
      <c r="R21" s="197"/>
      <c r="S21" s="197"/>
      <c r="T21" s="197"/>
      <c r="U21" s="197"/>
    </row>
    <row r="22" spans="1:21" s="12" customFormat="1" x14ac:dyDescent="0.25">
      <c r="A22" s="200" t="s">
        <v>1317</v>
      </c>
      <c r="B22" s="60">
        <v>3.39</v>
      </c>
      <c r="C22" s="60">
        <v>6.7</v>
      </c>
      <c r="D22" s="60">
        <v>10.08</v>
      </c>
      <c r="E22" s="60">
        <v>6.73</v>
      </c>
      <c r="F22" s="60">
        <v>0.14000000000000001</v>
      </c>
      <c r="G22" s="215" t="s">
        <v>36</v>
      </c>
      <c r="H22" s="60">
        <v>2.17</v>
      </c>
      <c r="I22" s="60">
        <v>6.69</v>
      </c>
      <c r="J22" s="60">
        <v>0.13</v>
      </c>
      <c r="K22" s="60">
        <v>295.29000000000002</v>
      </c>
      <c r="L22" s="60">
        <v>32.39</v>
      </c>
      <c r="M22" s="60">
        <v>99.15</v>
      </c>
      <c r="N22" s="60">
        <v>15.2</v>
      </c>
      <c r="O22" s="60">
        <v>0.2</v>
      </c>
      <c r="P22" s="60">
        <v>3.37</v>
      </c>
      <c r="Q22" s="60">
        <v>7.84</v>
      </c>
      <c r="R22" s="197"/>
      <c r="S22" s="197"/>
      <c r="T22" s="197"/>
      <c r="U22" s="197"/>
    </row>
    <row r="23" spans="1:21" s="12" customFormat="1" x14ac:dyDescent="0.25">
      <c r="A23" s="200" t="s">
        <v>1318</v>
      </c>
      <c r="B23" s="60">
        <v>3.56</v>
      </c>
      <c r="C23" s="60">
        <v>6.65</v>
      </c>
      <c r="D23" s="60">
        <v>10.199999999999999</v>
      </c>
      <c r="E23" s="60">
        <v>7.03</v>
      </c>
      <c r="F23" s="60">
        <v>0.16</v>
      </c>
      <c r="G23" s="215" t="s">
        <v>36</v>
      </c>
      <c r="H23" s="60">
        <v>2.17</v>
      </c>
      <c r="I23" s="60">
        <v>6.42</v>
      </c>
      <c r="J23" s="60">
        <v>0.04</v>
      </c>
      <c r="K23" s="60">
        <v>252.37</v>
      </c>
      <c r="L23" s="60">
        <v>33.18</v>
      </c>
      <c r="M23" s="60">
        <v>99.15</v>
      </c>
      <c r="N23" s="60">
        <v>15.3</v>
      </c>
      <c r="O23" s="60">
        <v>0</v>
      </c>
      <c r="P23" s="60">
        <v>3.38</v>
      </c>
      <c r="Q23" s="60">
        <v>8.0500000000000007</v>
      </c>
      <c r="R23" s="197"/>
      <c r="S23" s="197"/>
      <c r="T23" s="197"/>
      <c r="U23" s="197"/>
    </row>
    <row r="24" spans="1:21" s="12" customFormat="1" x14ac:dyDescent="0.25">
      <c r="A24" s="200" t="s">
        <v>1319</v>
      </c>
      <c r="B24" s="60">
        <v>3.79</v>
      </c>
      <c r="C24" s="60">
        <v>6.56</v>
      </c>
      <c r="D24" s="60">
        <v>10.35</v>
      </c>
      <c r="E24" s="60">
        <v>2.5099999999999998</v>
      </c>
      <c r="F24" s="60">
        <v>0.18</v>
      </c>
      <c r="G24" s="215" t="s">
        <v>36</v>
      </c>
      <c r="H24" s="60">
        <v>2.17</v>
      </c>
      <c r="I24" s="60">
        <v>6.66</v>
      </c>
      <c r="J24" s="60">
        <v>0.24</v>
      </c>
      <c r="K24" s="60">
        <v>174</v>
      </c>
      <c r="L24" s="60">
        <v>33.159999999999997</v>
      </c>
      <c r="M24" s="60">
        <v>99.15</v>
      </c>
      <c r="N24" s="60">
        <v>15.2</v>
      </c>
      <c r="O24" s="60">
        <v>0</v>
      </c>
      <c r="P24" s="60">
        <v>3.38</v>
      </c>
      <c r="Q24" s="60">
        <v>8.33</v>
      </c>
      <c r="R24" s="197"/>
      <c r="S24" s="197"/>
      <c r="T24" s="197"/>
      <c r="U24" s="197"/>
    </row>
    <row r="25" spans="1:21" s="12" customFormat="1" x14ac:dyDescent="0.25">
      <c r="A25" s="200" t="s">
        <v>1320</v>
      </c>
      <c r="B25" s="60">
        <v>4.05</v>
      </c>
      <c r="C25" s="60">
        <v>6.57</v>
      </c>
      <c r="D25" s="60">
        <v>10.62</v>
      </c>
      <c r="E25" s="60">
        <v>5.48</v>
      </c>
      <c r="F25" s="60">
        <v>0.1</v>
      </c>
      <c r="G25" s="215" t="s">
        <v>36</v>
      </c>
      <c r="H25" s="60">
        <v>2.1</v>
      </c>
      <c r="I25" s="60">
        <v>6.44</v>
      </c>
      <c r="J25" s="60">
        <v>0.56000000000000005</v>
      </c>
      <c r="K25" s="60">
        <v>162.9</v>
      </c>
      <c r="L25" s="60">
        <v>33.04</v>
      </c>
      <c r="M25" s="60">
        <v>99.14</v>
      </c>
      <c r="N25" s="60">
        <v>15</v>
      </c>
      <c r="O25" s="60">
        <v>0</v>
      </c>
      <c r="P25" s="60">
        <v>3.38</v>
      </c>
      <c r="Q25" s="60">
        <v>8.58</v>
      </c>
      <c r="R25" s="197"/>
      <c r="S25" s="197"/>
      <c r="T25" s="197"/>
      <c r="U25" s="197"/>
    </row>
    <row r="26" spans="1:21" s="12" customFormat="1" x14ac:dyDescent="0.25">
      <c r="A26" s="200" t="s">
        <v>1321</v>
      </c>
      <c r="B26" s="60">
        <v>4.34</v>
      </c>
      <c r="C26" s="60">
        <v>6.75</v>
      </c>
      <c r="D26" s="60">
        <v>11.09</v>
      </c>
      <c r="E26" s="60">
        <v>6.78</v>
      </c>
      <c r="F26" s="60">
        <v>0.14000000000000001</v>
      </c>
      <c r="G26" s="215" t="s">
        <v>36</v>
      </c>
      <c r="H26" s="60">
        <v>1.93</v>
      </c>
      <c r="I26" s="60">
        <v>7.13</v>
      </c>
      <c r="J26" s="60">
        <v>0.78</v>
      </c>
      <c r="K26" s="60">
        <v>163.43</v>
      </c>
      <c r="L26" s="60">
        <v>34.65</v>
      </c>
      <c r="M26" s="60">
        <v>99.11</v>
      </c>
      <c r="N26" s="60">
        <v>15.3</v>
      </c>
      <c r="O26" s="60">
        <v>0</v>
      </c>
      <c r="P26" s="60">
        <v>3.37</v>
      </c>
      <c r="Q26" s="60">
        <v>8.56</v>
      </c>
      <c r="R26" s="197"/>
      <c r="S26" s="197"/>
      <c r="T26" s="197"/>
      <c r="U26" s="197"/>
    </row>
    <row r="27" spans="1:21" s="12" customFormat="1" x14ac:dyDescent="0.25">
      <c r="A27" s="200" t="s">
        <v>1322</v>
      </c>
      <c r="B27" s="60">
        <v>4.6399999999999997</v>
      </c>
      <c r="C27" s="60">
        <v>6.73</v>
      </c>
      <c r="D27" s="60">
        <v>11.37</v>
      </c>
      <c r="E27" s="60">
        <v>7.27</v>
      </c>
      <c r="F27" s="60">
        <v>0.7</v>
      </c>
      <c r="G27" s="215" t="s">
        <v>36</v>
      </c>
      <c r="H27" s="60">
        <v>1.93</v>
      </c>
      <c r="I27" s="60">
        <v>6.13</v>
      </c>
      <c r="J27" s="60">
        <v>0.71</v>
      </c>
      <c r="K27" s="60">
        <v>160.4</v>
      </c>
      <c r="L27" s="60">
        <v>36.53</v>
      </c>
      <c r="M27" s="60">
        <v>99.11</v>
      </c>
      <c r="N27" s="60">
        <v>15.4</v>
      </c>
      <c r="O27" s="60">
        <v>0</v>
      </c>
      <c r="P27" s="60">
        <v>3.38</v>
      </c>
      <c r="Q27" s="60">
        <v>8.8699999999999992</v>
      </c>
      <c r="R27" s="197"/>
      <c r="S27" s="197"/>
      <c r="T27" s="197"/>
      <c r="U27" s="197"/>
    </row>
    <row r="28" spans="1:21" s="12" customFormat="1" x14ac:dyDescent="0.25">
      <c r="A28" s="200" t="s">
        <v>1323</v>
      </c>
      <c r="B28" s="60">
        <v>4.68</v>
      </c>
      <c r="C28" s="60">
        <v>6.9</v>
      </c>
      <c r="D28" s="60">
        <v>11.57</v>
      </c>
      <c r="E28" s="60">
        <v>7.23</v>
      </c>
      <c r="F28" s="60">
        <v>0.51</v>
      </c>
      <c r="G28" s="215" t="s">
        <v>36</v>
      </c>
      <c r="H28" s="60">
        <v>1.93</v>
      </c>
      <c r="I28" s="60">
        <v>6.47</v>
      </c>
      <c r="J28" s="60">
        <v>0.39</v>
      </c>
      <c r="K28" s="60">
        <v>165.98</v>
      </c>
      <c r="L28" s="60">
        <v>31.17</v>
      </c>
      <c r="M28" s="60">
        <v>99.11</v>
      </c>
      <c r="N28" s="60">
        <v>15.4</v>
      </c>
      <c r="O28" s="60">
        <v>0</v>
      </c>
      <c r="P28" s="60">
        <v>3.38</v>
      </c>
      <c r="Q28" s="60">
        <v>9.14</v>
      </c>
      <c r="R28" s="197"/>
      <c r="S28" s="197"/>
      <c r="T28" s="197"/>
      <c r="U28" s="197"/>
    </row>
    <row r="29" spans="1:21" s="12" customFormat="1" x14ac:dyDescent="0.25">
      <c r="A29" s="200" t="s">
        <v>1324</v>
      </c>
      <c r="B29" s="60">
        <v>4.59</v>
      </c>
      <c r="C29" s="60">
        <v>7.31</v>
      </c>
      <c r="D29" s="60">
        <v>11.89</v>
      </c>
      <c r="E29" s="60">
        <v>7.14</v>
      </c>
      <c r="F29" s="60">
        <v>0.31</v>
      </c>
      <c r="G29" s="215" t="s">
        <v>36</v>
      </c>
      <c r="H29" s="60">
        <v>1.81</v>
      </c>
      <c r="I29" s="60">
        <v>7.34</v>
      </c>
      <c r="J29" s="60">
        <v>0.19</v>
      </c>
      <c r="K29" s="60">
        <v>198.2</v>
      </c>
      <c r="L29" s="60">
        <v>31.03</v>
      </c>
      <c r="M29" s="60">
        <v>99.09</v>
      </c>
      <c r="N29" s="60">
        <v>15.6</v>
      </c>
      <c r="O29" s="60">
        <v>0</v>
      </c>
      <c r="P29" s="60">
        <v>3.37</v>
      </c>
      <c r="Q29" s="60">
        <v>8.84</v>
      </c>
      <c r="R29" s="197"/>
      <c r="S29" s="197"/>
      <c r="T29" s="197"/>
      <c r="U29" s="197"/>
    </row>
    <row r="30" spans="1:21" s="12" customFormat="1" x14ac:dyDescent="0.25">
      <c r="A30" s="200" t="s">
        <v>1325</v>
      </c>
      <c r="B30" s="60">
        <v>4.53</v>
      </c>
      <c r="C30" s="60">
        <v>7.35</v>
      </c>
      <c r="D30" s="60">
        <v>11.88</v>
      </c>
      <c r="E30" s="60">
        <v>7.09</v>
      </c>
      <c r="F30" s="60">
        <v>0.34</v>
      </c>
      <c r="G30" s="215" t="s">
        <v>36</v>
      </c>
      <c r="H30" s="60">
        <v>1.5</v>
      </c>
      <c r="I30" s="60">
        <v>7.23</v>
      </c>
      <c r="J30" s="60">
        <v>0.19</v>
      </c>
      <c r="K30" s="60">
        <v>219.28</v>
      </c>
      <c r="L30" s="60">
        <v>30.97</v>
      </c>
      <c r="M30" s="60">
        <v>98.95</v>
      </c>
      <c r="N30" s="60">
        <v>15.7</v>
      </c>
      <c r="O30" s="60">
        <v>0</v>
      </c>
      <c r="P30" s="60">
        <v>3.37</v>
      </c>
      <c r="Q30" s="60">
        <v>8.61</v>
      </c>
      <c r="R30" s="197"/>
      <c r="S30" s="197"/>
      <c r="T30" s="197"/>
      <c r="U30" s="197"/>
    </row>
    <row r="31" spans="1:21" s="12" customFormat="1" x14ac:dyDescent="0.25">
      <c r="A31" s="200" t="s">
        <v>1326</v>
      </c>
      <c r="B31" s="60">
        <v>4.38</v>
      </c>
      <c r="C31" s="60">
        <v>7.39</v>
      </c>
      <c r="D31" s="60">
        <v>11.78</v>
      </c>
      <c r="E31" s="60">
        <v>6.86</v>
      </c>
      <c r="F31" s="60">
        <v>0.37</v>
      </c>
      <c r="G31" s="215" t="s">
        <v>36</v>
      </c>
      <c r="H31" s="60">
        <v>1.5</v>
      </c>
      <c r="I31" s="60">
        <v>7.09</v>
      </c>
      <c r="J31" s="60">
        <v>0.21</v>
      </c>
      <c r="K31" s="60">
        <v>197.23</v>
      </c>
      <c r="L31" s="60">
        <v>30.93</v>
      </c>
      <c r="M31" s="60">
        <v>98.65</v>
      </c>
      <c r="N31" s="60">
        <v>17.100000000000001</v>
      </c>
      <c r="O31" s="60">
        <v>0</v>
      </c>
      <c r="P31" s="60">
        <v>3.36</v>
      </c>
      <c r="Q31" s="60">
        <v>8.57</v>
      </c>
      <c r="R31" s="197"/>
      <c r="S31" s="197"/>
      <c r="T31" s="197"/>
      <c r="U31" s="197"/>
    </row>
    <row r="32" spans="1:21" s="12" customFormat="1" x14ac:dyDescent="0.25">
      <c r="A32" s="200" t="s">
        <v>1327</v>
      </c>
      <c r="B32" s="60">
        <v>4.33</v>
      </c>
      <c r="C32" s="60">
        <v>7.57</v>
      </c>
      <c r="D32" s="60">
        <v>11.89</v>
      </c>
      <c r="E32" s="60">
        <v>6.62</v>
      </c>
      <c r="F32" s="60">
        <v>0.34</v>
      </c>
      <c r="G32" s="215" t="s">
        <v>36</v>
      </c>
      <c r="H32" s="60">
        <v>1.5</v>
      </c>
      <c r="I32" s="60">
        <v>6.97</v>
      </c>
      <c r="J32" s="60">
        <v>0.39</v>
      </c>
      <c r="K32" s="60">
        <v>164.1</v>
      </c>
      <c r="L32" s="60">
        <v>30.9</v>
      </c>
      <c r="M32" s="60">
        <v>98.36</v>
      </c>
      <c r="N32" s="60">
        <v>19.8</v>
      </c>
      <c r="O32" s="60">
        <v>0</v>
      </c>
      <c r="P32" s="60">
        <v>3.36</v>
      </c>
      <c r="Q32" s="60">
        <v>8.59</v>
      </c>
      <c r="R32" s="197"/>
      <c r="S32" s="197"/>
      <c r="T32" s="197"/>
      <c r="U32" s="197"/>
    </row>
    <row r="33" spans="1:21" s="12" customFormat="1" x14ac:dyDescent="0.25">
      <c r="A33" s="200" t="s">
        <v>1328</v>
      </c>
      <c r="B33" s="60">
        <v>4.76</v>
      </c>
      <c r="C33" s="60">
        <v>7.95</v>
      </c>
      <c r="D33" s="60">
        <v>12.71</v>
      </c>
      <c r="E33" s="60">
        <v>6.55</v>
      </c>
      <c r="F33" s="60">
        <v>0.38</v>
      </c>
      <c r="G33" s="215" t="s">
        <v>36</v>
      </c>
      <c r="H33" s="60">
        <v>1.53</v>
      </c>
      <c r="I33" s="60">
        <v>6.84</v>
      </c>
      <c r="J33" s="60">
        <v>0.18</v>
      </c>
      <c r="K33" s="60">
        <v>218.71</v>
      </c>
      <c r="L33" s="60">
        <v>30.89</v>
      </c>
      <c r="M33" s="60">
        <v>98.28</v>
      </c>
      <c r="N33" s="60">
        <v>28.8</v>
      </c>
      <c r="O33" s="60">
        <v>0</v>
      </c>
      <c r="P33" s="60">
        <v>3.36</v>
      </c>
      <c r="Q33" s="60">
        <v>8.81</v>
      </c>
      <c r="R33" s="197"/>
      <c r="S33" s="197"/>
      <c r="T33" s="197"/>
      <c r="U33" s="197"/>
    </row>
    <row r="34" spans="1:21" s="12" customFormat="1" x14ac:dyDescent="0.25">
      <c r="A34" s="200" t="s">
        <v>1329</v>
      </c>
      <c r="B34" s="60">
        <v>5.01</v>
      </c>
      <c r="C34" s="60">
        <v>8.0299999999999994</v>
      </c>
      <c r="D34" s="60">
        <v>13.03</v>
      </c>
      <c r="E34" s="60">
        <v>6.48</v>
      </c>
      <c r="F34" s="60">
        <v>0.06</v>
      </c>
      <c r="G34" s="215" t="s">
        <v>36</v>
      </c>
      <c r="H34" s="60">
        <v>1.61</v>
      </c>
      <c r="I34" s="60">
        <v>6.68</v>
      </c>
      <c r="J34" s="60">
        <v>0.15</v>
      </c>
      <c r="K34" s="60">
        <v>242.43</v>
      </c>
      <c r="L34" s="60">
        <v>30.97</v>
      </c>
      <c r="M34" s="60">
        <v>98.26</v>
      </c>
      <c r="N34" s="60">
        <v>51.4</v>
      </c>
      <c r="O34" s="60">
        <v>0</v>
      </c>
      <c r="P34" s="60">
        <v>3.37</v>
      </c>
      <c r="Q34" s="60">
        <v>8.64</v>
      </c>
      <c r="R34" s="197"/>
      <c r="S34" s="197"/>
      <c r="T34" s="197"/>
      <c r="U34" s="197"/>
    </row>
    <row r="35" spans="1:21" s="12" customFormat="1" x14ac:dyDescent="0.25">
      <c r="A35" s="200" t="s">
        <v>1330</v>
      </c>
      <c r="B35" s="60">
        <v>5.16</v>
      </c>
      <c r="C35" s="60">
        <v>8.01</v>
      </c>
      <c r="D35" s="60">
        <v>13.17</v>
      </c>
      <c r="E35" s="60">
        <v>7.22</v>
      </c>
      <c r="F35" s="60">
        <v>0.06</v>
      </c>
      <c r="G35" s="215" t="s">
        <v>36</v>
      </c>
      <c r="H35" s="60">
        <v>1.61</v>
      </c>
      <c r="I35" s="60">
        <v>6.53</v>
      </c>
      <c r="J35" s="60">
        <v>0.17</v>
      </c>
      <c r="K35" s="60">
        <v>252.36</v>
      </c>
      <c r="L35" s="60">
        <v>31.15</v>
      </c>
      <c r="M35" s="60">
        <v>97.5</v>
      </c>
      <c r="N35" s="60">
        <v>76.400000000000006</v>
      </c>
      <c r="O35" s="60">
        <v>0</v>
      </c>
      <c r="P35" s="60">
        <v>3.36</v>
      </c>
      <c r="Q35" s="60">
        <v>8.77</v>
      </c>
      <c r="R35" s="197"/>
      <c r="S35" s="197"/>
      <c r="T35" s="197"/>
      <c r="U35" s="197"/>
    </row>
    <row r="36" spans="1:21" s="12" customFormat="1" x14ac:dyDescent="0.25">
      <c r="A36" s="200" t="s">
        <v>1331</v>
      </c>
      <c r="B36" s="60">
        <v>5.38</v>
      </c>
      <c r="C36" s="60">
        <v>7.95</v>
      </c>
      <c r="D36" s="60">
        <v>13.33</v>
      </c>
      <c r="E36" s="60">
        <v>7.35</v>
      </c>
      <c r="F36" s="60">
        <v>0.2</v>
      </c>
      <c r="G36" s="215" t="s">
        <v>36</v>
      </c>
      <c r="H36" s="60">
        <v>1.61</v>
      </c>
      <c r="I36" s="60">
        <v>6.14</v>
      </c>
      <c r="J36" s="60">
        <v>7.0000000000000007E-2</v>
      </c>
      <c r="K36" s="60">
        <v>293.91000000000003</v>
      </c>
      <c r="L36" s="60">
        <v>31.39</v>
      </c>
      <c r="M36" s="60">
        <v>95.21</v>
      </c>
      <c r="N36" s="60">
        <v>90.4</v>
      </c>
      <c r="O36" s="60">
        <v>0</v>
      </c>
      <c r="P36" s="60">
        <v>3.37</v>
      </c>
      <c r="Q36" s="60">
        <v>8.9700000000000006</v>
      </c>
      <c r="R36" s="197"/>
      <c r="S36" s="197"/>
      <c r="T36" s="197"/>
      <c r="U36" s="197"/>
    </row>
    <row r="37" spans="1:21" s="12" customFormat="1" x14ac:dyDescent="0.25">
      <c r="A37" s="200" t="s">
        <v>1332</v>
      </c>
      <c r="B37" s="60">
        <v>5.52</v>
      </c>
      <c r="C37" s="60">
        <v>8.1</v>
      </c>
      <c r="D37" s="60">
        <v>13.62</v>
      </c>
      <c r="E37" s="60">
        <v>7.11</v>
      </c>
      <c r="F37" s="60">
        <v>0.33</v>
      </c>
      <c r="G37" s="215" t="s">
        <v>36</v>
      </c>
      <c r="H37" s="60">
        <v>1.56</v>
      </c>
      <c r="I37" s="60">
        <v>6.06</v>
      </c>
      <c r="J37" s="60">
        <v>0.12</v>
      </c>
      <c r="K37" s="60">
        <v>300.22000000000003</v>
      </c>
      <c r="L37" s="60">
        <v>31.64</v>
      </c>
      <c r="M37" s="60">
        <v>92.49</v>
      </c>
      <c r="N37" s="60">
        <v>120.9</v>
      </c>
      <c r="O37" s="60">
        <v>0</v>
      </c>
      <c r="P37" s="60">
        <v>3.38</v>
      </c>
      <c r="Q37" s="60">
        <v>9.18</v>
      </c>
      <c r="R37" s="197"/>
      <c r="S37" s="197"/>
      <c r="T37" s="197"/>
      <c r="U37" s="197"/>
    </row>
    <row r="38" spans="1:21" s="12" customFormat="1" x14ac:dyDescent="0.25">
      <c r="A38" s="200" t="s">
        <v>1333</v>
      </c>
      <c r="B38" s="60">
        <v>5.53</v>
      </c>
      <c r="C38" s="60">
        <v>8.49</v>
      </c>
      <c r="D38" s="60">
        <v>14.02</v>
      </c>
      <c r="E38" s="60">
        <v>7.08</v>
      </c>
      <c r="F38" s="60">
        <v>0.28000000000000003</v>
      </c>
      <c r="G38" s="215" t="s">
        <v>36</v>
      </c>
      <c r="H38" s="60">
        <v>1.44</v>
      </c>
      <c r="I38" s="60">
        <v>5.98</v>
      </c>
      <c r="J38" s="60">
        <v>0.04</v>
      </c>
      <c r="K38" s="60">
        <v>321.18</v>
      </c>
      <c r="L38" s="60">
        <v>31.88</v>
      </c>
      <c r="M38" s="60">
        <v>91.24</v>
      </c>
      <c r="N38" s="60">
        <v>132.9</v>
      </c>
      <c r="O38" s="60">
        <v>0</v>
      </c>
      <c r="P38" s="60">
        <v>3.37</v>
      </c>
      <c r="Q38" s="60">
        <v>9.1999999999999993</v>
      </c>
      <c r="R38" s="197"/>
      <c r="S38" s="197"/>
      <c r="T38" s="197"/>
      <c r="U38" s="197"/>
    </row>
    <row r="39" spans="1:21" s="12" customFormat="1" x14ac:dyDescent="0.25">
      <c r="A39" s="200" t="s">
        <v>1334</v>
      </c>
      <c r="B39" s="60">
        <v>5.57</v>
      </c>
      <c r="C39" s="60">
        <v>8.8699999999999992</v>
      </c>
      <c r="D39" s="60">
        <v>14.44</v>
      </c>
      <c r="E39" s="60">
        <v>6.78</v>
      </c>
      <c r="F39" s="60">
        <v>0.25</v>
      </c>
      <c r="G39" s="215" t="s">
        <v>36</v>
      </c>
      <c r="H39" s="60">
        <v>1.44</v>
      </c>
      <c r="I39" s="60">
        <v>5.96</v>
      </c>
      <c r="J39" s="60">
        <v>0.06</v>
      </c>
      <c r="K39" s="60">
        <v>226.4</v>
      </c>
      <c r="L39" s="60">
        <v>32.04</v>
      </c>
      <c r="M39" s="60">
        <v>89.98</v>
      </c>
      <c r="N39" s="60">
        <v>141.1</v>
      </c>
      <c r="O39" s="60">
        <v>0</v>
      </c>
      <c r="P39" s="60">
        <v>3.39</v>
      </c>
      <c r="Q39" s="60">
        <v>9.35</v>
      </c>
      <c r="R39" s="197"/>
      <c r="S39" s="197"/>
      <c r="T39" s="197"/>
      <c r="U39" s="197"/>
    </row>
    <row r="40" spans="1:21" s="12" customFormat="1" x14ac:dyDescent="0.25">
      <c r="A40" s="200" t="s">
        <v>1335</v>
      </c>
      <c r="B40" s="60">
        <v>5.55</v>
      </c>
      <c r="C40" s="60">
        <v>9.33</v>
      </c>
      <c r="D40" s="60">
        <v>14.88</v>
      </c>
      <c r="E40" s="60">
        <v>2.58</v>
      </c>
      <c r="F40" s="60">
        <v>0.28000000000000003</v>
      </c>
      <c r="G40" s="215" t="s">
        <v>36</v>
      </c>
      <c r="H40" s="60">
        <v>1.44</v>
      </c>
      <c r="I40" s="60">
        <v>6.06</v>
      </c>
      <c r="J40" s="60">
        <v>0.13</v>
      </c>
      <c r="K40" s="60">
        <v>185.03</v>
      </c>
      <c r="L40" s="60">
        <v>32.380000000000003</v>
      </c>
      <c r="M40" s="60">
        <v>88.06</v>
      </c>
      <c r="N40" s="60">
        <v>243.2</v>
      </c>
      <c r="O40" s="60">
        <v>0</v>
      </c>
      <c r="P40" s="60">
        <v>3.4</v>
      </c>
      <c r="Q40" s="60">
        <v>9.36</v>
      </c>
      <c r="R40" s="197"/>
      <c r="S40" s="197"/>
      <c r="T40" s="197"/>
      <c r="U40" s="197"/>
    </row>
    <row r="41" spans="1:21" s="12" customFormat="1" x14ac:dyDescent="0.25">
      <c r="A41" s="200" t="s">
        <v>1336</v>
      </c>
      <c r="B41" s="60">
        <v>5.63</v>
      </c>
      <c r="C41" s="60">
        <v>9.67</v>
      </c>
      <c r="D41" s="60">
        <v>15.3</v>
      </c>
      <c r="E41" s="60">
        <v>5.0599999999999996</v>
      </c>
      <c r="F41" s="60">
        <v>0.22</v>
      </c>
      <c r="G41" s="215" t="s">
        <v>36</v>
      </c>
      <c r="H41" s="60">
        <v>1.78</v>
      </c>
      <c r="I41" s="60">
        <v>6.08</v>
      </c>
      <c r="J41" s="60">
        <v>0.09</v>
      </c>
      <c r="K41" s="60">
        <v>287.8</v>
      </c>
      <c r="L41" s="60">
        <v>33.08</v>
      </c>
      <c r="M41" s="60">
        <v>85.36</v>
      </c>
      <c r="N41" s="60">
        <v>381.2</v>
      </c>
      <c r="O41" s="60">
        <v>0</v>
      </c>
      <c r="P41" s="60">
        <v>3.4</v>
      </c>
      <c r="Q41" s="60">
        <v>9.4</v>
      </c>
      <c r="R41" s="197"/>
      <c r="S41" s="197"/>
      <c r="T41" s="197"/>
      <c r="U41" s="197"/>
    </row>
    <row r="42" spans="1:21" s="12" customFormat="1" x14ac:dyDescent="0.25">
      <c r="A42" s="200" t="s">
        <v>1337</v>
      </c>
      <c r="B42" s="60">
        <v>6.14</v>
      </c>
      <c r="C42" s="60">
        <v>9.7899999999999991</v>
      </c>
      <c r="D42" s="60">
        <v>15.93</v>
      </c>
      <c r="E42" s="60">
        <v>5.76</v>
      </c>
      <c r="F42" s="60">
        <v>0.5</v>
      </c>
      <c r="G42" s="215" t="s">
        <v>36</v>
      </c>
      <c r="H42" s="60">
        <v>2.63</v>
      </c>
      <c r="I42" s="60">
        <v>6.01</v>
      </c>
      <c r="J42" s="60">
        <v>0.09</v>
      </c>
      <c r="K42" s="60">
        <v>34.979999999999997</v>
      </c>
      <c r="L42" s="60">
        <v>34.03</v>
      </c>
      <c r="M42" s="60">
        <v>82.45</v>
      </c>
      <c r="N42" s="60">
        <v>571.20000000000005</v>
      </c>
      <c r="O42" s="60">
        <v>0</v>
      </c>
      <c r="P42" s="60">
        <v>3.41</v>
      </c>
      <c r="Q42" s="60">
        <v>9.76</v>
      </c>
      <c r="R42" s="197"/>
      <c r="S42" s="197"/>
      <c r="T42" s="197"/>
      <c r="U42" s="197"/>
    </row>
    <row r="43" spans="1:21" s="12" customFormat="1" x14ac:dyDescent="0.25">
      <c r="A43" s="200" t="s">
        <v>1338</v>
      </c>
      <c r="B43" s="60">
        <v>6.27</v>
      </c>
      <c r="C43" s="60">
        <v>10.23</v>
      </c>
      <c r="D43" s="60">
        <v>16.5</v>
      </c>
      <c r="E43" s="60">
        <v>5.61</v>
      </c>
      <c r="F43" s="60">
        <v>0.5</v>
      </c>
      <c r="G43" s="215" t="s">
        <v>36</v>
      </c>
      <c r="H43" s="60">
        <v>2.63</v>
      </c>
      <c r="I43" s="60">
        <v>5.87</v>
      </c>
      <c r="J43" s="60">
        <v>0.1</v>
      </c>
      <c r="K43" s="60">
        <v>352.67</v>
      </c>
      <c r="L43" s="60">
        <v>34.29</v>
      </c>
      <c r="M43" s="60">
        <v>80.48</v>
      </c>
      <c r="N43" s="60">
        <v>518</v>
      </c>
      <c r="O43" s="60">
        <v>0</v>
      </c>
      <c r="P43" s="60">
        <v>3.42</v>
      </c>
      <c r="Q43" s="60">
        <v>9.75</v>
      </c>
      <c r="R43" s="197"/>
      <c r="S43" s="197"/>
      <c r="T43" s="197"/>
      <c r="U43" s="197"/>
    </row>
    <row r="44" spans="1:21" s="12" customFormat="1" x14ac:dyDescent="0.25">
      <c r="A44" s="200" t="s">
        <v>1339</v>
      </c>
      <c r="B44" s="60">
        <v>5.71</v>
      </c>
      <c r="C44" s="60">
        <v>10.85</v>
      </c>
      <c r="D44" s="60">
        <v>16.559999999999999</v>
      </c>
      <c r="E44" s="60">
        <v>5.72</v>
      </c>
      <c r="F44" s="60">
        <v>0.51</v>
      </c>
      <c r="G44" s="215" t="s">
        <v>36</v>
      </c>
      <c r="H44" s="60">
        <v>2.63</v>
      </c>
      <c r="I44" s="60">
        <v>5.79</v>
      </c>
      <c r="J44" s="60">
        <v>0.05</v>
      </c>
      <c r="K44" s="60">
        <v>19.16</v>
      </c>
      <c r="L44" s="60">
        <v>34.29</v>
      </c>
      <c r="M44" s="60">
        <v>79.849999999999994</v>
      </c>
      <c r="N44" s="60">
        <v>518.29999999999995</v>
      </c>
      <c r="O44" s="60">
        <v>0</v>
      </c>
      <c r="P44" s="60">
        <v>3.42</v>
      </c>
      <c r="Q44" s="60">
        <v>9.2100000000000009</v>
      </c>
      <c r="R44" s="197"/>
      <c r="S44" s="197"/>
      <c r="T44" s="197"/>
      <c r="U44" s="197"/>
    </row>
    <row r="45" spans="1:21" s="12" customFormat="1" x14ac:dyDescent="0.25">
      <c r="A45" s="200" t="s">
        <v>1340</v>
      </c>
      <c r="B45" s="60">
        <v>5.03</v>
      </c>
      <c r="C45" s="60">
        <v>11.4</v>
      </c>
      <c r="D45" s="60">
        <v>16.43</v>
      </c>
      <c r="E45" s="60">
        <v>4.6900000000000004</v>
      </c>
      <c r="F45" s="60">
        <v>0.67</v>
      </c>
      <c r="G45" s="215" t="s">
        <v>36</v>
      </c>
      <c r="H45" s="60">
        <v>2.67</v>
      </c>
      <c r="I45" s="60">
        <v>5.57</v>
      </c>
      <c r="J45" s="60">
        <v>0.13</v>
      </c>
      <c r="K45" s="60">
        <v>5.76</v>
      </c>
      <c r="L45" s="60">
        <v>34.28</v>
      </c>
      <c r="M45" s="60">
        <v>79.08</v>
      </c>
      <c r="N45" s="60">
        <v>562.79999999999995</v>
      </c>
      <c r="O45" s="60">
        <v>0</v>
      </c>
      <c r="P45" s="60">
        <v>3.42</v>
      </c>
      <c r="Q45" s="60">
        <v>8.75</v>
      </c>
      <c r="R45" s="197"/>
      <c r="S45" s="197"/>
      <c r="T45" s="197"/>
      <c r="U45" s="197"/>
    </row>
    <row r="46" spans="1:21" s="12" customFormat="1" x14ac:dyDescent="0.25">
      <c r="A46" s="200" t="s">
        <v>1341</v>
      </c>
      <c r="B46" s="60">
        <v>4.42</v>
      </c>
      <c r="C46" s="60">
        <v>11.61</v>
      </c>
      <c r="D46" s="60">
        <v>16.03</v>
      </c>
      <c r="E46" s="60">
        <v>4.2</v>
      </c>
      <c r="F46" s="60">
        <v>0.84</v>
      </c>
      <c r="G46" s="215" t="s">
        <v>36</v>
      </c>
      <c r="H46" s="60">
        <v>2.75</v>
      </c>
      <c r="I46" s="60">
        <v>5.24</v>
      </c>
      <c r="J46" s="60">
        <v>0.27</v>
      </c>
      <c r="K46" s="60">
        <v>24.26</v>
      </c>
      <c r="L46" s="60">
        <v>35.369999999999997</v>
      </c>
      <c r="M46" s="60">
        <v>75.83</v>
      </c>
      <c r="N46" s="60">
        <v>458.8</v>
      </c>
      <c r="O46" s="60">
        <v>0</v>
      </c>
      <c r="P46" s="60">
        <v>3.41</v>
      </c>
      <c r="Q46" s="60">
        <v>8.2899999999999991</v>
      </c>
      <c r="R46" s="197"/>
      <c r="S46" s="197"/>
      <c r="T46" s="197"/>
      <c r="U46" s="197"/>
    </row>
    <row r="47" spans="1:21" s="12" customFormat="1" x14ac:dyDescent="0.25">
      <c r="A47" s="200" t="s">
        <v>1342</v>
      </c>
      <c r="B47" s="60">
        <v>4.32</v>
      </c>
      <c r="C47" s="60">
        <v>11.68</v>
      </c>
      <c r="D47" s="60">
        <v>16</v>
      </c>
      <c r="E47" s="60">
        <v>3.78</v>
      </c>
      <c r="F47" s="60">
        <v>0.56999999999999995</v>
      </c>
      <c r="G47" s="215" t="s">
        <v>36</v>
      </c>
      <c r="H47" s="60">
        <v>2.75</v>
      </c>
      <c r="I47" s="60">
        <v>4.91</v>
      </c>
      <c r="J47" s="60">
        <v>0.11</v>
      </c>
      <c r="K47" s="60">
        <v>28.36</v>
      </c>
      <c r="L47" s="60">
        <v>35.17</v>
      </c>
      <c r="M47" s="60">
        <v>76.459999999999994</v>
      </c>
      <c r="N47" s="60">
        <v>408.9</v>
      </c>
      <c r="O47" s="60">
        <v>0</v>
      </c>
      <c r="P47" s="60">
        <v>3.43</v>
      </c>
      <c r="Q47" s="60">
        <v>8</v>
      </c>
      <c r="R47" s="197"/>
      <c r="S47" s="197"/>
      <c r="T47" s="197"/>
      <c r="U47" s="197"/>
    </row>
    <row r="48" spans="1:21" s="12" customFormat="1" x14ac:dyDescent="0.25">
      <c r="A48" s="200" t="s">
        <v>1343</v>
      </c>
      <c r="B48" s="60">
        <v>4.3099999999999996</v>
      </c>
      <c r="C48" s="60">
        <v>12.02</v>
      </c>
      <c r="D48" s="60">
        <v>16.34</v>
      </c>
      <c r="E48" s="60">
        <v>4.07</v>
      </c>
      <c r="F48" s="60">
        <v>0.55000000000000004</v>
      </c>
      <c r="G48" s="215" t="s">
        <v>36</v>
      </c>
      <c r="H48" s="60">
        <v>2.75</v>
      </c>
      <c r="I48" s="60">
        <v>4.67</v>
      </c>
      <c r="J48" s="60">
        <v>0.17</v>
      </c>
      <c r="K48" s="60">
        <v>22.56</v>
      </c>
      <c r="L48" s="60">
        <v>34.72</v>
      </c>
      <c r="M48" s="60">
        <v>77.64</v>
      </c>
      <c r="N48" s="60">
        <v>281.39999999999998</v>
      </c>
      <c r="O48" s="60">
        <v>0</v>
      </c>
      <c r="P48" s="60">
        <v>3.44</v>
      </c>
      <c r="Q48" s="60">
        <v>7.99</v>
      </c>
      <c r="R48" s="197"/>
      <c r="S48" s="197"/>
      <c r="T48" s="197"/>
      <c r="U48" s="197"/>
    </row>
    <row r="49" spans="1:21" s="12" customFormat="1" x14ac:dyDescent="0.25">
      <c r="A49" s="200" t="s">
        <v>1344</v>
      </c>
      <c r="B49" s="60">
        <v>4.1100000000000003</v>
      </c>
      <c r="C49" s="60">
        <v>12.47</v>
      </c>
      <c r="D49" s="60">
        <v>16.579999999999998</v>
      </c>
      <c r="E49" s="60">
        <v>3.15</v>
      </c>
      <c r="F49" s="60">
        <v>0.52</v>
      </c>
      <c r="G49" s="215" t="s">
        <v>36</v>
      </c>
      <c r="H49" s="60">
        <v>3.85</v>
      </c>
      <c r="I49" s="60">
        <v>4.55</v>
      </c>
      <c r="J49" s="60">
        <v>0.21</v>
      </c>
      <c r="K49" s="60">
        <v>38.11</v>
      </c>
      <c r="L49" s="60">
        <v>34.409999999999997</v>
      </c>
      <c r="M49" s="60">
        <v>76.67</v>
      </c>
      <c r="N49" s="60">
        <v>280</v>
      </c>
      <c r="O49" s="60">
        <v>0</v>
      </c>
      <c r="P49" s="60">
        <v>3.46</v>
      </c>
      <c r="Q49" s="60">
        <v>7.99</v>
      </c>
      <c r="R49" s="197"/>
      <c r="S49" s="197"/>
      <c r="T49" s="197"/>
      <c r="U49" s="197"/>
    </row>
    <row r="50" spans="1:21" s="12" customFormat="1" x14ac:dyDescent="0.25">
      <c r="A50" s="200" t="s">
        <v>1345</v>
      </c>
      <c r="B50" s="60">
        <v>4.01</v>
      </c>
      <c r="C50" s="60">
        <v>13.42</v>
      </c>
      <c r="D50" s="60">
        <v>17.43</v>
      </c>
      <c r="E50" s="60">
        <v>3.13</v>
      </c>
      <c r="F50" s="60">
        <v>0.56000000000000005</v>
      </c>
      <c r="G50" s="215" t="s">
        <v>36</v>
      </c>
      <c r="H50" s="60">
        <v>6.57</v>
      </c>
      <c r="I50" s="60">
        <v>4.45</v>
      </c>
      <c r="J50" s="60">
        <v>0.23</v>
      </c>
      <c r="K50" s="60">
        <v>34.51</v>
      </c>
      <c r="L50" s="60">
        <v>34.5</v>
      </c>
      <c r="M50" s="60">
        <v>76.83</v>
      </c>
      <c r="N50" s="60">
        <v>362.6</v>
      </c>
      <c r="O50" s="60">
        <v>0</v>
      </c>
      <c r="P50" s="60">
        <v>3.47</v>
      </c>
      <c r="Q50" s="60">
        <v>7.89</v>
      </c>
      <c r="R50" s="197"/>
      <c r="S50" s="197"/>
      <c r="T50" s="197"/>
      <c r="U50" s="197"/>
    </row>
    <row r="51" spans="1:21" s="12" customFormat="1" x14ac:dyDescent="0.25">
      <c r="A51" s="200" t="s">
        <v>1346</v>
      </c>
      <c r="B51" s="60">
        <v>3.72</v>
      </c>
      <c r="C51" s="60">
        <v>14.31</v>
      </c>
      <c r="D51" s="60">
        <v>18.04</v>
      </c>
      <c r="E51" s="60">
        <v>2.33</v>
      </c>
      <c r="F51" s="60">
        <v>1.07</v>
      </c>
      <c r="G51" s="215" t="s">
        <v>36</v>
      </c>
      <c r="H51" s="60">
        <v>6.57</v>
      </c>
      <c r="I51" s="60">
        <v>4.3099999999999996</v>
      </c>
      <c r="J51" s="60">
        <v>0.18</v>
      </c>
      <c r="K51" s="60">
        <v>18.18</v>
      </c>
      <c r="L51" s="60">
        <v>34.979999999999997</v>
      </c>
      <c r="M51" s="60">
        <v>75.760000000000005</v>
      </c>
      <c r="N51" s="60">
        <v>423.1</v>
      </c>
      <c r="O51" s="60">
        <v>0</v>
      </c>
      <c r="P51" s="60">
        <v>3.46</v>
      </c>
      <c r="Q51" s="60">
        <v>7.97</v>
      </c>
      <c r="R51" s="197"/>
      <c r="S51" s="197"/>
      <c r="T51" s="197"/>
      <c r="U51" s="197"/>
    </row>
    <row r="52" spans="1:21" s="12" customFormat="1" x14ac:dyDescent="0.25">
      <c r="A52" s="200" t="s">
        <v>1347</v>
      </c>
      <c r="B52" s="60">
        <v>3.34</v>
      </c>
      <c r="C52" s="60">
        <v>16.149999999999999</v>
      </c>
      <c r="D52" s="60">
        <v>19.489999999999998</v>
      </c>
      <c r="E52" s="60">
        <v>1.56</v>
      </c>
      <c r="F52" s="60">
        <v>1.83</v>
      </c>
      <c r="G52" s="215" t="s">
        <v>36</v>
      </c>
      <c r="H52" s="60">
        <v>6.57</v>
      </c>
      <c r="I52" s="60">
        <v>4.07</v>
      </c>
      <c r="J52" s="60">
        <v>0.17</v>
      </c>
      <c r="K52" s="60">
        <v>44.99</v>
      </c>
      <c r="L52" s="60">
        <v>35.18</v>
      </c>
      <c r="M52" s="60">
        <v>74.7</v>
      </c>
      <c r="N52" s="60">
        <v>462.1</v>
      </c>
      <c r="O52" s="60">
        <v>0</v>
      </c>
      <c r="P52" s="60">
        <v>3.46</v>
      </c>
      <c r="Q52" s="60">
        <v>8.02</v>
      </c>
      <c r="R52" s="197"/>
      <c r="S52" s="197"/>
      <c r="T52" s="197"/>
      <c r="U52" s="197"/>
    </row>
    <row r="53" spans="1:21" s="12" customFormat="1" x14ac:dyDescent="0.25">
      <c r="A53" s="200" t="s">
        <v>1348</v>
      </c>
      <c r="B53" s="60">
        <v>2.82</v>
      </c>
      <c r="C53" s="60">
        <v>17.010000000000002</v>
      </c>
      <c r="D53" s="60">
        <v>19.829999999999998</v>
      </c>
      <c r="E53" s="60">
        <v>1.1399999999999999</v>
      </c>
      <c r="F53" s="60">
        <v>1.82</v>
      </c>
      <c r="G53" s="215" t="s">
        <v>36</v>
      </c>
      <c r="H53" s="60">
        <v>6.06</v>
      </c>
      <c r="I53" s="60">
        <v>3.72</v>
      </c>
      <c r="J53" s="60">
        <v>0.11</v>
      </c>
      <c r="K53" s="60">
        <v>358.82</v>
      </c>
      <c r="L53" s="60">
        <v>35.26</v>
      </c>
      <c r="M53" s="60">
        <v>74.650000000000006</v>
      </c>
      <c r="N53" s="60">
        <v>362</v>
      </c>
      <c r="O53" s="60">
        <v>0</v>
      </c>
      <c r="P53" s="60">
        <v>3.48</v>
      </c>
      <c r="Q53" s="60">
        <v>7.68</v>
      </c>
      <c r="R53" s="197"/>
      <c r="S53" s="197"/>
      <c r="T53" s="197"/>
      <c r="U53" s="197"/>
    </row>
    <row r="54" spans="1:21" s="12" customFormat="1" x14ac:dyDescent="0.25">
      <c r="A54" s="200" t="s">
        <v>1349</v>
      </c>
      <c r="B54" s="60">
        <v>3.87</v>
      </c>
      <c r="C54" s="60">
        <v>19.62</v>
      </c>
      <c r="D54" s="60">
        <v>23.48</v>
      </c>
      <c r="E54" s="60">
        <v>0.32</v>
      </c>
      <c r="F54" s="60">
        <v>3.66</v>
      </c>
      <c r="G54" s="215" t="s">
        <v>36</v>
      </c>
      <c r="H54" s="60">
        <v>4.78</v>
      </c>
      <c r="I54" s="60">
        <v>3.29</v>
      </c>
      <c r="J54" s="60">
        <v>0.1</v>
      </c>
      <c r="K54" s="60">
        <v>67.92</v>
      </c>
      <c r="L54" s="60">
        <v>35.28</v>
      </c>
      <c r="M54" s="60">
        <v>74.010000000000005</v>
      </c>
      <c r="N54" s="60">
        <v>454.3</v>
      </c>
      <c r="O54" s="60">
        <v>0</v>
      </c>
      <c r="P54" s="60">
        <v>3.49</v>
      </c>
      <c r="Q54" s="60">
        <v>8.39</v>
      </c>
      <c r="R54" s="197"/>
      <c r="S54" s="197"/>
      <c r="T54" s="197"/>
      <c r="U54" s="197"/>
    </row>
    <row r="55" spans="1:21" s="12" customFormat="1" x14ac:dyDescent="0.25">
      <c r="A55" s="200" t="s">
        <v>1350</v>
      </c>
      <c r="B55" s="60">
        <v>3.65</v>
      </c>
      <c r="C55" s="60">
        <v>22.43</v>
      </c>
      <c r="D55" s="60">
        <v>26.08</v>
      </c>
      <c r="E55" s="8" t="s">
        <v>34</v>
      </c>
      <c r="F55" s="60">
        <v>3.71</v>
      </c>
      <c r="G55" s="215" t="s">
        <v>36</v>
      </c>
      <c r="H55" s="60">
        <v>4.78</v>
      </c>
      <c r="I55" s="60">
        <v>3.07</v>
      </c>
      <c r="J55" s="60">
        <v>0.14000000000000001</v>
      </c>
      <c r="K55" s="60">
        <v>38.43</v>
      </c>
      <c r="L55" s="60">
        <v>35.49</v>
      </c>
      <c r="M55" s="60">
        <v>73.58</v>
      </c>
      <c r="N55" s="60">
        <v>539.1</v>
      </c>
      <c r="O55" s="60">
        <v>0.2</v>
      </c>
      <c r="P55" s="60">
        <v>3.52</v>
      </c>
      <c r="Q55" s="60">
        <v>8.4600000000000009</v>
      </c>
      <c r="R55" s="197"/>
      <c r="S55" s="197"/>
      <c r="T55" s="197"/>
      <c r="U55" s="197"/>
    </row>
    <row r="56" spans="1:21" s="12" customFormat="1" x14ac:dyDescent="0.25">
      <c r="A56" s="200" t="s">
        <v>1351</v>
      </c>
      <c r="B56" s="60">
        <v>3.36</v>
      </c>
      <c r="C56" s="60">
        <v>21.92</v>
      </c>
      <c r="D56" s="60">
        <v>25.28</v>
      </c>
      <c r="E56" s="60">
        <v>0.11</v>
      </c>
      <c r="F56" s="60">
        <v>2.39</v>
      </c>
      <c r="G56" s="215" t="s">
        <v>36</v>
      </c>
      <c r="H56" s="60">
        <v>4.78</v>
      </c>
      <c r="I56" s="60">
        <v>2.57</v>
      </c>
      <c r="J56" s="60">
        <v>0.11</v>
      </c>
      <c r="K56" s="60">
        <v>19.66</v>
      </c>
      <c r="L56" s="60">
        <v>36.39</v>
      </c>
      <c r="M56" s="60">
        <v>71.45</v>
      </c>
      <c r="N56" s="60">
        <v>737.1</v>
      </c>
      <c r="O56" s="60">
        <v>0</v>
      </c>
      <c r="P56" s="60">
        <v>3.54</v>
      </c>
      <c r="Q56" s="60">
        <v>8.14</v>
      </c>
      <c r="R56" s="197"/>
      <c r="S56" s="197"/>
      <c r="T56" s="197"/>
      <c r="U56" s="197"/>
    </row>
    <row r="57" spans="1:21" s="12" customFormat="1" x14ac:dyDescent="0.25">
      <c r="A57" s="200" t="s">
        <v>1352</v>
      </c>
      <c r="B57" s="60">
        <v>3.6</v>
      </c>
      <c r="C57" s="60">
        <v>19.73</v>
      </c>
      <c r="D57" s="60">
        <v>23.34</v>
      </c>
      <c r="E57" s="60">
        <v>0.15</v>
      </c>
      <c r="F57" s="60">
        <v>1.97</v>
      </c>
      <c r="G57" s="215" t="s">
        <v>36</v>
      </c>
      <c r="H57" s="60">
        <v>5.15</v>
      </c>
      <c r="I57" s="60">
        <v>2.61</v>
      </c>
      <c r="J57" s="60">
        <v>0.05</v>
      </c>
      <c r="K57" s="60">
        <v>57.01</v>
      </c>
      <c r="L57" s="60">
        <v>35.71</v>
      </c>
      <c r="M57" s="60">
        <v>72.38</v>
      </c>
      <c r="N57" s="60">
        <v>332.7</v>
      </c>
      <c r="O57" s="60">
        <v>0</v>
      </c>
      <c r="P57" s="60">
        <v>3.53</v>
      </c>
      <c r="Q57" s="60">
        <v>7.73</v>
      </c>
      <c r="R57" s="197"/>
      <c r="S57" s="197"/>
      <c r="T57" s="197"/>
      <c r="U57" s="197"/>
    </row>
    <row r="58" spans="1:21" s="12" customFormat="1" x14ac:dyDescent="0.25">
      <c r="A58" s="200" t="s">
        <v>1353</v>
      </c>
      <c r="B58" s="60">
        <v>3.45</v>
      </c>
      <c r="C58" s="60">
        <v>18.95</v>
      </c>
      <c r="D58" s="60">
        <v>22.4</v>
      </c>
      <c r="E58" s="60">
        <v>0.62</v>
      </c>
      <c r="F58" s="60">
        <v>3.55</v>
      </c>
      <c r="G58" s="215" t="s">
        <v>36</v>
      </c>
      <c r="H58" s="60">
        <v>6.05</v>
      </c>
      <c r="I58" s="60">
        <v>2.86</v>
      </c>
      <c r="J58" s="60">
        <v>0.17</v>
      </c>
      <c r="K58" s="60">
        <v>51.68</v>
      </c>
      <c r="L58" s="60">
        <v>35.590000000000003</v>
      </c>
      <c r="M58" s="60">
        <v>72.8</v>
      </c>
      <c r="N58" s="60">
        <v>419.3</v>
      </c>
      <c r="O58" s="60">
        <v>0</v>
      </c>
      <c r="P58" s="60">
        <v>3.5</v>
      </c>
      <c r="Q58" s="60">
        <v>7.55</v>
      </c>
      <c r="R58" s="197"/>
      <c r="S58" s="197"/>
      <c r="T58" s="197"/>
      <c r="U58" s="197"/>
    </row>
    <row r="59" spans="1:21" s="12" customFormat="1" x14ac:dyDescent="0.25">
      <c r="A59" s="200" t="s">
        <v>1354</v>
      </c>
      <c r="B59" s="60">
        <v>2.31</v>
      </c>
      <c r="C59" s="60">
        <v>17.89</v>
      </c>
      <c r="D59" s="60">
        <v>20.2</v>
      </c>
      <c r="E59" s="60">
        <v>0.63</v>
      </c>
      <c r="F59" s="60">
        <v>4.0599999999999996</v>
      </c>
      <c r="G59" s="215" t="s">
        <v>36</v>
      </c>
      <c r="H59" s="60">
        <v>6.05</v>
      </c>
      <c r="I59" s="60">
        <v>2.84</v>
      </c>
      <c r="J59" s="60">
        <v>7.0000000000000007E-2</v>
      </c>
      <c r="K59" s="60">
        <v>45.73</v>
      </c>
      <c r="L59" s="60">
        <v>35.5</v>
      </c>
      <c r="M59" s="60">
        <v>73</v>
      </c>
      <c r="N59" s="60">
        <v>435.1</v>
      </c>
      <c r="O59" s="60">
        <v>0</v>
      </c>
      <c r="P59" s="60">
        <v>3.48</v>
      </c>
      <c r="Q59" s="60">
        <v>6.49</v>
      </c>
      <c r="R59" s="197"/>
      <c r="S59" s="197"/>
      <c r="T59" s="197"/>
      <c r="U59" s="197"/>
    </row>
    <row r="60" spans="1:21" s="12" customFormat="1" x14ac:dyDescent="0.25">
      <c r="A60" s="200" t="s">
        <v>1355</v>
      </c>
      <c r="B60" s="60">
        <v>1.63</v>
      </c>
      <c r="C60" s="60">
        <v>15.2</v>
      </c>
      <c r="D60" s="60">
        <v>16.84</v>
      </c>
      <c r="E60" s="60">
        <v>0.06</v>
      </c>
      <c r="F60" s="60">
        <v>2.4500000000000002</v>
      </c>
      <c r="G60" s="215" t="s">
        <v>36</v>
      </c>
      <c r="H60" s="60">
        <v>6.05</v>
      </c>
      <c r="I60" s="60">
        <v>2.58</v>
      </c>
      <c r="J60" s="60">
        <v>0.13</v>
      </c>
      <c r="K60" s="60">
        <v>333.82</v>
      </c>
      <c r="L60" s="60">
        <v>36.47</v>
      </c>
      <c r="M60" s="60">
        <v>69.91</v>
      </c>
      <c r="N60" s="60">
        <v>691</v>
      </c>
      <c r="O60" s="60">
        <v>0</v>
      </c>
      <c r="P60" s="60">
        <v>3.45</v>
      </c>
      <c r="Q60" s="60">
        <v>5.73</v>
      </c>
      <c r="R60" s="197"/>
      <c r="S60" s="197"/>
      <c r="T60" s="197"/>
      <c r="U60" s="197"/>
    </row>
    <row r="61" spans="1:21" s="12" customFormat="1" x14ac:dyDescent="0.25">
      <c r="A61" s="200" t="s">
        <v>1356</v>
      </c>
      <c r="B61" s="60">
        <v>2.17</v>
      </c>
      <c r="C61" s="60">
        <v>13.42</v>
      </c>
      <c r="D61" s="60">
        <v>15.59</v>
      </c>
      <c r="E61" s="60">
        <v>0.21</v>
      </c>
      <c r="F61" s="60">
        <v>1.29</v>
      </c>
      <c r="G61" s="215" t="s">
        <v>36</v>
      </c>
      <c r="H61" s="60">
        <v>6.71</v>
      </c>
      <c r="I61" s="60">
        <v>2.46</v>
      </c>
      <c r="J61" s="60">
        <v>0.21</v>
      </c>
      <c r="K61" s="60">
        <v>27.64</v>
      </c>
      <c r="L61" s="60">
        <v>36.549999999999997</v>
      </c>
      <c r="M61" s="60">
        <v>69.48</v>
      </c>
      <c r="N61" s="60">
        <v>796.7</v>
      </c>
      <c r="O61" s="60">
        <v>0</v>
      </c>
      <c r="P61" s="60">
        <v>3.47</v>
      </c>
      <c r="Q61" s="60">
        <v>5.81</v>
      </c>
      <c r="R61" s="197"/>
      <c r="S61" s="197"/>
      <c r="T61" s="197"/>
      <c r="U61" s="197"/>
    </row>
    <row r="62" spans="1:21" s="12" customFormat="1" x14ac:dyDescent="0.25">
      <c r="A62" s="200" t="s">
        <v>1357</v>
      </c>
      <c r="B62" s="60">
        <v>2.4700000000000002</v>
      </c>
      <c r="C62" s="60">
        <v>12.13</v>
      </c>
      <c r="D62" s="60">
        <v>14.6</v>
      </c>
      <c r="E62" s="60">
        <v>0.38</v>
      </c>
      <c r="F62" s="60">
        <v>0.94</v>
      </c>
      <c r="G62" s="215" t="s">
        <v>36</v>
      </c>
      <c r="H62" s="60">
        <v>8.35</v>
      </c>
      <c r="I62" s="60">
        <v>2.48</v>
      </c>
      <c r="J62" s="60">
        <v>0.1</v>
      </c>
      <c r="K62" s="60">
        <v>52.9</v>
      </c>
      <c r="L62" s="60">
        <v>36.380000000000003</v>
      </c>
      <c r="M62" s="60">
        <v>69.38</v>
      </c>
      <c r="N62" s="60">
        <v>529.4</v>
      </c>
      <c r="O62" s="60">
        <v>0</v>
      </c>
      <c r="P62" s="60">
        <v>3.47</v>
      </c>
      <c r="Q62" s="60">
        <v>5.86</v>
      </c>
      <c r="R62" s="197"/>
      <c r="S62" s="197"/>
      <c r="T62" s="197"/>
      <c r="U62" s="197"/>
    </row>
    <row r="63" spans="1:21" s="12" customFormat="1" x14ac:dyDescent="0.25">
      <c r="A63" s="200" t="s">
        <v>1358</v>
      </c>
      <c r="B63" s="60">
        <v>2.56</v>
      </c>
      <c r="C63" s="60">
        <v>11.12</v>
      </c>
      <c r="D63" s="60">
        <v>13.68</v>
      </c>
      <c r="E63" s="60">
        <v>0.7</v>
      </c>
      <c r="F63" s="60">
        <v>0.76</v>
      </c>
      <c r="G63" s="215" t="s">
        <v>36</v>
      </c>
      <c r="H63" s="60">
        <v>8.35</v>
      </c>
      <c r="I63" s="60">
        <v>2.64</v>
      </c>
      <c r="J63" s="60">
        <v>0.12</v>
      </c>
      <c r="K63" s="60">
        <v>331.36</v>
      </c>
      <c r="L63" s="60">
        <v>37.79</v>
      </c>
      <c r="M63" s="60">
        <v>67.41</v>
      </c>
      <c r="N63" s="60">
        <v>824.2</v>
      </c>
      <c r="O63" s="60">
        <v>0</v>
      </c>
      <c r="P63" s="60">
        <v>3.48</v>
      </c>
      <c r="Q63" s="60">
        <v>5.95</v>
      </c>
      <c r="R63" s="197"/>
      <c r="S63" s="197"/>
      <c r="T63" s="197"/>
      <c r="U63" s="197"/>
    </row>
    <row r="64" spans="1:21" s="12" customFormat="1" x14ac:dyDescent="0.25">
      <c r="A64" s="200" t="s">
        <v>1359</v>
      </c>
      <c r="B64" s="60">
        <v>2.87</v>
      </c>
      <c r="C64" s="60">
        <v>10.58</v>
      </c>
      <c r="D64" s="60">
        <v>13.45</v>
      </c>
      <c r="E64" s="60">
        <v>1.55</v>
      </c>
      <c r="F64" s="60">
        <v>0.91</v>
      </c>
      <c r="G64" s="215" t="s">
        <v>36</v>
      </c>
      <c r="H64" s="60">
        <v>8.35</v>
      </c>
      <c r="I64" s="60">
        <v>2.78</v>
      </c>
      <c r="J64" s="60">
        <v>0.25</v>
      </c>
      <c r="K64" s="60">
        <v>357.89</v>
      </c>
      <c r="L64" s="60">
        <v>38.380000000000003</v>
      </c>
      <c r="M64" s="60">
        <v>65.900000000000006</v>
      </c>
      <c r="N64" s="60">
        <v>954.4</v>
      </c>
      <c r="O64" s="60">
        <v>0</v>
      </c>
      <c r="P64" s="60">
        <v>3.47</v>
      </c>
      <c r="Q64" s="60">
        <v>6.84</v>
      </c>
      <c r="R64" s="197"/>
      <c r="S64" s="197"/>
      <c r="T64" s="197"/>
      <c r="U64" s="197"/>
    </row>
    <row r="65" spans="1:21" s="12" customFormat="1" x14ac:dyDescent="0.25">
      <c r="A65" s="200" t="s">
        <v>1360</v>
      </c>
      <c r="B65" s="60">
        <v>2.88</v>
      </c>
      <c r="C65" s="60">
        <v>10.53</v>
      </c>
      <c r="D65" s="60">
        <v>13.41</v>
      </c>
      <c r="E65" s="60">
        <v>1.58</v>
      </c>
      <c r="F65" s="60">
        <v>0.76</v>
      </c>
      <c r="G65" s="215" t="s">
        <v>36</v>
      </c>
      <c r="H65" s="60">
        <v>10.050000000000001</v>
      </c>
      <c r="I65" s="60">
        <v>2.91</v>
      </c>
      <c r="J65" s="60">
        <v>0.13</v>
      </c>
      <c r="K65" s="60">
        <v>37.58</v>
      </c>
      <c r="L65" s="60">
        <v>38.799999999999997</v>
      </c>
      <c r="M65" s="60">
        <v>64.349999999999994</v>
      </c>
      <c r="N65" s="60">
        <v>842.5</v>
      </c>
      <c r="O65" s="60">
        <v>0</v>
      </c>
      <c r="P65" s="60">
        <v>3.49</v>
      </c>
      <c r="Q65" s="60">
        <v>6.81</v>
      </c>
      <c r="R65" s="197"/>
      <c r="S65" s="197"/>
      <c r="T65" s="197"/>
      <c r="U65" s="197"/>
    </row>
    <row r="66" spans="1:21" s="12" customFormat="1" x14ac:dyDescent="0.25">
      <c r="A66" s="200" t="s">
        <v>1361</v>
      </c>
      <c r="B66" s="60">
        <v>2.62</v>
      </c>
      <c r="C66" s="60">
        <v>10.76</v>
      </c>
      <c r="D66" s="60">
        <v>13.37</v>
      </c>
      <c r="E66" s="60">
        <v>1.49</v>
      </c>
      <c r="F66" s="60">
        <v>1.48</v>
      </c>
      <c r="G66" s="215" t="s">
        <v>36</v>
      </c>
      <c r="H66" s="60">
        <v>14.25</v>
      </c>
      <c r="I66" s="60">
        <v>2.98</v>
      </c>
      <c r="J66" s="60">
        <v>0.02</v>
      </c>
      <c r="K66" s="60">
        <v>313.33</v>
      </c>
      <c r="L66" s="60">
        <v>37.22</v>
      </c>
      <c r="M66" s="60">
        <v>68.290000000000006</v>
      </c>
      <c r="N66" s="60">
        <v>477.9</v>
      </c>
      <c r="O66" s="60">
        <v>0</v>
      </c>
      <c r="P66" s="60">
        <v>3.48</v>
      </c>
      <c r="Q66" s="60">
        <v>7.62</v>
      </c>
      <c r="R66" s="197"/>
      <c r="S66" s="197"/>
      <c r="T66" s="197"/>
      <c r="U66" s="197"/>
    </row>
    <row r="67" spans="1:21" s="12" customFormat="1" x14ac:dyDescent="0.25">
      <c r="A67" s="200" t="s">
        <v>1362</v>
      </c>
      <c r="B67" s="60">
        <v>2.58</v>
      </c>
      <c r="C67" s="60">
        <v>10.69</v>
      </c>
      <c r="D67" s="60">
        <v>13.27</v>
      </c>
      <c r="E67" s="60">
        <v>1.46</v>
      </c>
      <c r="F67" s="60">
        <v>1.01</v>
      </c>
      <c r="G67" s="215" t="s">
        <v>36</v>
      </c>
      <c r="H67" s="60">
        <v>14.25</v>
      </c>
      <c r="I67" s="60">
        <v>3.1</v>
      </c>
      <c r="J67" s="60">
        <v>0.14000000000000001</v>
      </c>
      <c r="K67" s="60">
        <v>13.7</v>
      </c>
      <c r="L67" s="60">
        <v>37.69</v>
      </c>
      <c r="M67" s="60">
        <v>66.67</v>
      </c>
      <c r="N67" s="60">
        <v>591.6</v>
      </c>
      <c r="O67" s="60">
        <v>0</v>
      </c>
      <c r="P67" s="60">
        <v>3.49</v>
      </c>
      <c r="Q67" s="60">
        <v>7.58</v>
      </c>
      <c r="R67" s="197"/>
      <c r="S67" s="197"/>
      <c r="T67" s="197"/>
      <c r="U67" s="197"/>
    </row>
    <row r="68" spans="1:21" s="12" customFormat="1" x14ac:dyDescent="0.25">
      <c r="A68" s="200" t="s">
        <v>1363</v>
      </c>
      <c r="B68" s="60">
        <v>2.76</v>
      </c>
      <c r="C68" s="60">
        <v>11.66</v>
      </c>
      <c r="D68" s="60">
        <v>14.42</v>
      </c>
      <c r="E68" s="60">
        <v>1.56</v>
      </c>
      <c r="F68" s="60">
        <v>1.27</v>
      </c>
      <c r="G68" s="215" t="s">
        <v>36</v>
      </c>
      <c r="H68" s="60">
        <v>14.25</v>
      </c>
      <c r="I68" s="60">
        <v>3.18</v>
      </c>
      <c r="J68" s="60">
        <v>0.2</v>
      </c>
      <c r="K68" s="60">
        <v>42.56</v>
      </c>
      <c r="L68" s="60">
        <v>36.950000000000003</v>
      </c>
      <c r="M68" s="60">
        <v>66.8</v>
      </c>
      <c r="N68" s="60">
        <v>467</v>
      </c>
      <c r="O68" s="60">
        <v>0</v>
      </c>
      <c r="P68" s="60">
        <v>3.49</v>
      </c>
      <c r="Q68" s="60">
        <v>7.71</v>
      </c>
      <c r="R68" s="197"/>
      <c r="S68" s="197"/>
      <c r="T68" s="197"/>
      <c r="U68" s="197"/>
    </row>
    <row r="69" spans="1:21" s="12" customFormat="1" x14ac:dyDescent="0.25">
      <c r="A69" s="200" t="s">
        <v>1364</v>
      </c>
      <c r="B69" s="60">
        <v>3.25</v>
      </c>
      <c r="C69" s="60">
        <v>17.04</v>
      </c>
      <c r="D69" s="60">
        <v>20.28</v>
      </c>
      <c r="E69" s="60">
        <v>1.73</v>
      </c>
      <c r="F69" s="60">
        <v>2.91</v>
      </c>
      <c r="G69" s="215" t="s">
        <v>36</v>
      </c>
      <c r="H69" s="60">
        <v>13.1</v>
      </c>
      <c r="I69" s="60">
        <v>3.27</v>
      </c>
      <c r="J69" s="60">
        <v>0.09</v>
      </c>
      <c r="K69" s="60">
        <v>58.46</v>
      </c>
      <c r="L69" s="60">
        <v>37.68</v>
      </c>
      <c r="M69" s="60">
        <v>66.41</v>
      </c>
      <c r="N69" s="60">
        <v>501.1</v>
      </c>
      <c r="O69" s="60">
        <v>0</v>
      </c>
      <c r="P69" s="60">
        <v>3.58</v>
      </c>
      <c r="Q69" s="60">
        <v>9.76</v>
      </c>
      <c r="R69" s="197"/>
      <c r="S69" s="197"/>
      <c r="T69" s="197"/>
      <c r="U69" s="197"/>
    </row>
    <row r="70" spans="1:21" s="12" customFormat="1" x14ac:dyDescent="0.25">
      <c r="A70" s="200" t="s">
        <v>1365</v>
      </c>
      <c r="B70" s="60">
        <v>3.3</v>
      </c>
      <c r="C70" s="60">
        <v>17.89</v>
      </c>
      <c r="D70" s="60">
        <v>21.19</v>
      </c>
      <c r="E70" s="60">
        <v>1.54</v>
      </c>
      <c r="F70" s="60">
        <v>1.26</v>
      </c>
      <c r="G70" s="215" t="s">
        <v>36</v>
      </c>
      <c r="H70" s="60">
        <v>10.27</v>
      </c>
      <c r="I70" s="60">
        <v>3.69</v>
      </c>
      <c r="J70" s="60">
        <v>0.14000000000000001</v>
      </c>
      <c r="K70" s="60">
        <v>50.8</v>
      </c>
      <c r="L70" s="60">
        <v>37.49</v>
      </c>
      <c r="M70" s="60">
        <v>67.209999999999994</v>
      </c>
      <c r="N70" s="60">
        <v>619.6</v>
      </c>
      <c r="O70" s="60">
        <v>0</v>
      </c>
      <c r="P70" s="60">
        <v>3.6</v>
      </c>
      <c r="Q70" s="60">
        <v>9.84</v>
      </c>
      <c r="R70" s="197"/>
      <c r="S70" s="197"/>
      <c r="T70" s="197"/>
      <c r="U70" s="197"/>
    </row>
    <row r="71" spans="1:21" s="12" customFormat="1" x14ac:dyDescent="0.25">
      <c r="A71" s="200" t="s">
        <v>1366</v>
      </c>
      <c r="B71" s="60">
        <v>3.24</v>
      </c>
      <c r="C71" s="60">
        <v>17.22</v>
      </c>
      <c r="D71" s="60">
        <v>20.46</v>
      </c>
      <c r="E71" s="60">
        <v>1.9</v>
      </c>
      <c r="F71" s="60">
        <v>3.67</v>
      </c>
      <c r="G71" s="215" t="s">
        <v>36</v>
      </c>
      <c r="H71" s="60">
        <v>10.27</v>
      </c>
      <c r="I71" s="60">
        <v>4.4000000000000004</v>
      </c>
      <c r="J71" s="60">
        <v>0.1</v>
      </c>
      <c r="K71" s="60">
        <v>63.82</v>
      </c>
      <c r="L71" s="60">
        <v>37.11</v>
      </c>
      <c r="M71" s="60">
        <v>68.02</v>
      </c>
      <c r="N71" s="60">
        <v>309.7</v>
      </c>
      <c r="O71" s="60">
        <v>0</v>
      </c>
      <c r="P71" s="60">
        <v>3.56</v>
      </c>
      <c r="Q71" s="60">
        <v>9.1300000000000008</v>
      </c>
      <c r="R71" s="197"/>
      <c r="S71" s="197"/>
      <c r="T71" s="197"/>
      <c r="U71" s="197"/>
    </row>
    <row r="72" spans="1:21" s="12" customFormat="1" x14ac:dyDescent="0.25">
      <c r="A72" s="200" t="s">
        <v>1367</v>
      </c>
      <c r="B72" s="60">
        <v>2.2400000000000002</v>
      </c>
      <c r="C72" s="60">
        <v>16.73</v>
      </c>
      <c r="D72" s="60">
        <v>18.97</v>
      </c>
      <c r="E72" s="60">
        <v>0.28000000000000003</v>
      </c>
      <c r="F72" s="60">
        <v>2.67</v>
      </c>
      <c r="G72" s="215" t="s">
        <v>36</v>
      </c>
      <c r="H72" s="60">
        <v>10.27</v>
      </c>
      <c r="I72" s="60">
        <v>4.4800000000000004</v>
      </c>
      <c r="J72" s="60">
        <v>0.11</v>
      </c>
      <c r="K72" s="60">
        <v>200.58</v>
      </c>
      <c r="L72" s="60">
        <v>36.65</v>
      </c>
      <c r="M72" s="60">
        <v>70.05</v>
      </c>
      <c r="N72" s="60">
        <v>285.5</v>
      </c>
      <c r="O72" s="60">
        <v>0</v>
      </c>
      <c r="P72" s="60">
        <v>3.52</v>
      </c>
      <c r="Q72" s="60">
        <v>9.59</v>
      </c>
      <c r="R72" s="197"/>
      <c r="S72" s="197"/>
      <c r="T72" s="197"/>
      <c r="U72" s="197"/>
    </row>
    <row r="73" spans="1:21" s="12" customFormat="1" x14ac:dyDescent="0.25">
      <c r="A73" s="200" t="s">
        <v>1368</v>
      </c>
      <c r="B73" s="60">
        <v>2.4700000000000002</v>
      </c>
      <c r="C73" s="60">
        <v>14.13</v>
      </c>
      <c r="D73" s="60">
        <v>16.600000000000001</v>
      </c>
      <c r="E73" s="60">
        <v>0.9</v>
      </c>
      <c r="F73" s="60">
        <v>0.74</v>
      </c>
      <c r="G73" s="215" t="s">
        <v>36</v>
      </c>
      <c r="H73" s="60">
        <v>10.77</v>
      </c>
      <c r="I73" s="60">
        <v>4.03</v>
      </c>
      <c r="J73" s="60">
        <v>0.05</v>
      </c>
      <c r="K73" s="60">
        <v>85.55</v>
      </c>
      <c r="L73" s="60">
        <v>36.68</v>
      </c>
      <c r="M73" s="60">
        <v>70.05</v>
      </c>
      <c r="N73" s="60">
        <v>303.3</v>
      </c>
      <c r="O73" s="60">
        <v>0</v>
      </c>
      <c r="P73" s="60">
        <v>3.53</v>
      </c>
      <c r="Q73" s="60">
        <v>9.4499999999999993</v>
      </c>
      <c r="R73" s="197"/>
      <c r="S73" s="197"/>
      <c r="T73" s="197"/>
      <c r="U73" s="197"/>
    </row>
    <row r="74" spans="1:21" s="12" customFormat="1" x14ac:dyDescent="0.25">
      <c r="A74" s="200" t="s">
        <v>1369</v>
      </c>
      <c r="B74" s="60">
        <v>3.1</v>
      </c>
      <c r="C74" s="60">
        <v>12.23</v>
      </c>
      <c r="D74" s="60">
        <v>15.33</v>
      </c>
      <c r="E74" s="60">
        <v>1.33</v>
      </c>
      <c r="F74" s="60">
        <v>0.6</v>
      </c>
      <c r="G74" s="215" t="s">
        <v>36</v>
      </c>
      <c r="H74" s="60">
        <v>12.01</v>
      </c>
      <c r="I74" s="60">
        <v>3.75</v>
      </c>
      <c r="J74" s="60">
        <v>7.0000000000000007E-2</v>
      </c>
      <c r="K74" s="60">
        <v>234.26</v>
      </c>
      <c r="L74" s="60">
        <v>36.51</v>
      </c>
      <c r="M74" s="60">
        <v>70.23</v>
      </c>
      <c r="N74" s="60">
        <v>226.1</v>
      </c>
      <c r="O74" s="60">
        <v>0</v>
      </c>
      <c r="P74" s="60">
        <v>3.52</v>
      </c>
      <c r="Q74" s="60">
        <v>8.9499999999999993</v>
      </c>
      <c r="R74" s="197"/>
      <c r="S74" s="197"/>
      <c r="T74" s="197"/>
      <c r="U74" s="197"/>
    </row>
    <row r="75" spans="1:21" s="12" customFormat="1" x14ac:dyDescent="0.25">
      <c r="A75" s="200" t="s">
        <v>1370</v>
      </c>
      <c r="B75" s="60">
        <v>3.29</v>
      </c>
      <c r="C75" s="60">
        <v>10.88</v>
      </c>
      <c r="D75" s="60">
        <v>14.17</v>
      </c>
      <c r="E75" s="60">
        <v>1.59</v>
      </c>
      <c r="F75" s="60">
        <v>0.51</v>
      </c>
      <c r="G75" s="215" t="s">
        <v>36</v>
      </c>
      <c r="H75" s="60">
        <v>12.01</v>
      </c>
      <c r="I75" s="60">
        <v>3.75</v>
      </c>
      <c r="J75" s="60">
        <v>0.13</v>
      </c>
      <c r="K75" s="60">
        <v>202.77</v>
      </c>
      <c r="L75" s="60">
        <v>36.24</v>
      </c>
      <c r="M75" s="60">
        <v>72.180000000000007</v>
      </c>
      <c r="N75" s="60">
        <v>189.1</v>
      </c>
      <c r="O75" s="60">
        <v>0</v>
      </c>
      <c r="P75" s="60">
        <v>3.52</v>
      </c>
      <c r="Q75" s="60">
        <v>8.91</v>
      </c>
      <c r="R75" s="197"/>
      <c r="S75" s="197"/>
      <c r="T75" s="197"/>
      <c r="U75" s="197"/>
    </row>
    <row r="76" spans="1:21" s="12" customFormat="1" x14ac:dyDescent="0.25">
      <c r="A76" s="200" t="s">
        <v>1371</v>
      </c>
      <c r="B76" s="60">
        <v>3.35</v>
      </c>
      <c r="C76" s="60">
        <v>9.75</v>
      </c>
      <c r="D76" s="60">
        <v>13.11</v>
      </c>
      <c r="E76" s="60">
        <v>2.2000000000000002</v>
      </c>
      <c r="F76" s="60">
        <v>0.83</v>
      </c>
      <c r="G76" s="215" t="s">
        <v>36</v>
      </c>
      <c r="H76" s="60">
        <v>12.01</v>
      </c>
      <c r="I76" s="60">
        <v>3.71</v>
      </c>
      <c r="J76" s="60">
        <v>0.21</v>
      </c>
      <c r="K76" s="60">
        <v>186.47</v>
      </c>
      <c r="L76" s="60">
        <v>36.11</v>
      </c>
      <c r="M76" s="60">
        <v>73.41</v>
      </c>
      <c r="N76" s="60">
        <v>138.19999999999999</v>
      </c>
      <c r="O76" s="60">
        <v>0</v>
      </c>
      <c r="P76" s="60">
        <v>3.52</v>
      </c>
      <c r="Q76" s="60">
        <v>8.99</v>
      </c>
      <c r="R76" s="197"/>
      <c r="S76" s="197"/>
      <c r="T76" s="197"/>
      <c r="U76" s="197"/>
    </row>
    <row r="77" spans="1:21" s="12" customFormat="1" x14ac:dyDescent="0.25">
      <c r="A77" s="200" t="s">
        <v>1372</v>
      </c>
      <c r="B77" s="60">
        <v>3.37</v>
      </c>
      <c r="C77" s="60">
        <v>9.08</v>
      </c>
      <c r="D77" s="60">
        <v>12.45</v>
      </c>
      <c r="E77" s="60">
        <v>2.36</v>
      </c>
      <c r="F77" s="60">
        <v>0.3</v>
      </c>
      <c r="G77" s="215" t="s">
        <v>36</v>
      </c>
      <c r="H77" s="60">
        <v>11.98</v>
      </c>
      <c r="I77" s="60">
        <v>3.72</v>
      </c>
      <c r="J77" s="60">
        <v>0.14000000000000001</v>
      </c>
      <c r="K77" s="60">
        <v>223.17</v>
      </c>
      <c r="L77" s="60">
        <v>36.07</v>
      </c>
      <c r="M77" s="60">
        <v>73.53</v>
      </c>
      <c r="N77" s="60">
        <v>117.8</v>
      </c>
      <c r="O77" s="60">
        <v>1</v>
      </c>
      <c r="P77" s="60">
        <v>3.54</v>
      </c>
      <c r="Q77" s="60">
        <v>8.73</v>
      </c>
      <c r="R77" s="197"/>
      <c r="S77" s="197"/>
      <c r="T77" s="197"/>
      <c r="U77" s="197"/>
    </row>
    <row r="78" spans="1:21" s="12" customFormat="1" x14ac:dyDescent="0.25">
      <c r="A78" s="200" t="s">
        <v>1373</v>
      </c>
      <c r="B78" s="60">
        <v>3.48</v>
      </c>
      <c r="C78" s="60">
        <v>8.6999999999999993</v>
      </c>
      <c r="D78" s="60">
        <v>12.19</v>
      </c>
      <c r="E78" s="60">
        <v>3.02</v>
      </c>
      <c r="F78" s="60">
        <v>0.78</v>
      </c>
      <c r="G78" s="215" t="s">
        <v>36</v>
      </c>
      <c r="H78" s="60">
        <v>11.93</v>
      </c>
      <c r="I78" s="60">
        <v>3.76</v>
      </c>
      <c r="J78" s="60">
        <v>0.08</v>
      </c>
      <c r="K78" s="60">
        <v>190.85</v>
      </c>
      <c r="L78" s="60">
        <v>35.94</v>
      </c>
      <c r="M78" s="60">
        <v>74.19</v>
      </c>
      <c r="N78" s="60">
        <v>92.8</v>
      </c>
      <c r="O78" s="60">
        <v>0</v>
      </c>
      <c r="P78" s="60">
        <v>3.53</v>
      </c>
      <c r="Q78" s="60">
        <v>9.31</v>
      </c>
      <c r="R78" s="197"/>
      <c r="S78" s="197"/>
      <c r="T78" s="197"/>
      <c r="U78" s="197"/>
    </row>
    <row r="79" spans="1:21" s="12" customFormat="1" x14ac:dyDescent="0.25">
      <c r="A79" s="200" t="s">
        <v>1374</v>
      </c>
      <c r="B79" s="60">
        <v>3.58</v>
      </c>
      <c r="C79" s="60">
        <v>8.58</v>
      </c>
      <c r="D79" s="60">
        <v>12.16</v>
      </c>
      <c r="E79" s="60">
        <v>2.59</v>
      </c>
      <c r="F79" s="60">
        <v>0.28000000000000003</v>
      </c>
      <c r="G79" s="215" t="s">
        <v>36</v>
      </c>
      <c r="H79" s="60">
        <v>11.93</v>
      </c>
      <c r="I79" s="60">
        <v>3.81</v>
      </c>
      <c r="J79" s="60">
        <v>0.08</v>
      </c>
      <c r="K79" s="60">
        <v>221.05</v>
      </c>
      <c r="L79" s="60">
        <v>35.86</v>
      </c>
      <c r="M79" s="60">
        <v>75.040000000000006</v>
      </c>
      <c r="N79" s="60">
        <v>82.2</v>
      </c>
      <c r="O79" s="60">
        <v>1.4</v>
      </c>
      <c r="P79" s="60">
        <v>3.54</v>
      </c>
      <c r="Q79" s="60">
        <v>9.11</v>
      </c>
      <c r="R79" s="197"/>
      <c r="S79" s="197"/>
      <c r="T79" s="197"/>
      <c r="U79" s="197"/>
    </row>
    <row r="80" spans="1:21" s="12" customFormat="1" x14ac:dyDescent="0.25">
      <c r="A80" s="200" t="s">
        <v>1375</v>
      </c>
      <c r="B80" s="60">
        <v>4.16</v>
      </c>
      <c r="C80" s="60">
        <v>10.65</v>
      </c>
      <c r="D80" s="60">
        <v>14.81</v>
      </c>
      <c r="E80" s="60">
        <v>2.68</v>
      </c>
      <c r="F80" s="60">
        <v>1.1499999999999999</v>
      </c>
      <c r="G80" s="215" t="s">
        <v>36</v>
      </c>
      <c r="H80" s="60">
        <v>11.93</v>
      </c>
      <c r="I80" s="60">
        <v>3.79</v>
      </c>
      <c r="J80" s="60">
        <v>0.05</v>
      </c>
      <c r="K80" s="60">
        <v>36.340000000000003</v>
      </c>
      <c r="L80" s="60">
        <v>35.92</v>
      </c>
      <c r="M80" s="60">
        <v>75.2</v>
      </c>
      <c r="N80" s="60">
        <v>74.5</v>
      </c>
      <c r="O80" s="60">
        <v>0</v>
      </c>
      <c r="P80" s="60">
        <v>3.56</v>
      </c>
      <c r="Q80" s="60">
        <v>10.44</v>
      </c>
      <c r="R80" s="197"/>
      <c r="S80" s="197"/>
      <c r="T80" s="197"/>
      <c r="U80" s="197"/>
    </row>
    <row r="81" spans="1:26" s="12" customFormat="1" x14ac:dyDescent="0.25">
      <c r="A81" s="200" t="s">
        <v>1376</v>
      </c>
      <c r="B81" s="60">
        <v>4.12</v>
      </c>
      <c r="C81" s="60">
        <v>13.43</v>
      </c>
      <c r="D81" s="60">
        <v>17.55</v>
      </c>
      <c r="E81" s="60">
        <v>2.5299999999999998</v>
      </c>
      <c r="F81" s="60">
        <v>1</v>
      </c>
      <c r="G81" s="215" t="s">
        <v>36</v>
      </c>
      <c r="H81" s="60">
        <v>12.01</v>
      </c>
      <c r="I81" s="60">
        <v>3.87</v>
      </c>
      <c r="J81" s="60">
        <v>0.09</v>
      </c>
      <c r="K81" s="60">
        <v>219.23</v>
      </c>
      <c r="L81" s="60">
        <v>35.76</v>
      </c>
      <c r="M81" s="60">
        <v>77.27</v>
      </c>
      <c r="N81" s="60">
        <v>55.1</v>
      </c>
      <c r="O81" s="60">
        <v>0</v>
      </c>
      <c r="P81" s="60">
        <v>3.59</v>
      </c>
      <c r="Q81" s="60">
        <v>11.08</v>
      </c>
      <c r="R81" s="197"/>
      <c r="S81" s="197"/>
      <c r="T81" s="197"/>
      <c r="U81" s="197"/>
    </row>
    <row r="82" spans="1:26" s="12" customFormat="1" x14ac:dyDescent="0.25">
      <c r="A82" s="200" t="s">
        <v>1377</v>
      </c>
      <c r="B82" s="60">
        <v>3.13</v>
      </c>
      <c r="C82" s="60">
        <v>15.48</v>
      </c>
      <c r="D82" s="60">
        <v>18.61</v>
      </c>
      <c r="E82" s="60">
        <v>2.4900000000000002</v>
      </c>
      <c r="F82" s="60">
        <v>1.64</v>
      </c>
      <c r="G82" s="215" t="s">
        <v>36</v>
      </c>
      <c r="H82" s="60">
        <v>12.22</v>
      </c>
      <c r="I82" s="60">
        <v>3.75</v>
      </c>
      <c r="J82" s="60">
        <v>0.25</v>
      </c>
      <c r="K82" s="60">
        <v>214.83</v>
      </c>
      <c r="L82" s="60">
        <v>35.49</v>
      </c>
      <c r="M82" s="60">
        <v>77.239999999999995</v>
      </c>
      <c r="N82" s="60">
        <v>29.6</v>
      </c>
      <c r="O82" s="60">
        <v>0</v>
      </c>
      <c r="P82" s="60">
        <v>3.54</v>
      </c>
      <c r="Q82" s="60">
        <v>10.37</v>
      </c>
      <c r="R82" s="197"/>
      <c r="S82" s="197"/>
      <c r="T82" s="197"/>
      <c r="U82" s="197"/>
    </row>
    <row r="83" spans="1:26" s="12" customFormat="1" x14ac:dyDescent="0.25">
      <c r="A83" s="200" t="s">
        <v>1378</v>
      </c>
      <c r="B83" s="60">
        <v>1.43</v>
      </c>
      <c r="C83" s="60">
        <v>16.510000000000002</v>
      </c>
      <c r="D83" s="60">
        <v>17.940000000000001</v>
      </c>
      <c r="E83" s="60">
        <v>1.89</v>
      </c>
      <c r="F83" s="60">
        <v>5.13</v>
      </c>
      <c r="G83" s="215" t="s">
        <v>36</v>
      </c>
      <c r="H83" s="60">
        <v>12.22</v>
      </c>
      <c r="I83" s="60">
        <v>3.68</v>
      </c>
      <c r="J83" s="60">
        <v>0.08</v>
      </c>
      <c r="K83" s="60">
        <v>261.08</v>
      </c>
      <c r="L83" s="60">
        <v>35.340000000000003</v>
      </c>
      <c r="M83" s="60">
        <v>76.7</v>
      </c>
      <c r="N83" s="60">
        <v>18.3</v>
      </c>
      <c r="O83" s="60">
        <v>0</v>
      </c>
      <c r="P83" s="60">
        <v>3.48</v>
      </c>
      <c r="Q83" s="60">
        <v>10.130000000000001</v>
      </c>
      <c r="R83" s="197"/>
      <c r="S83" s="197"/>
      <c r="T83" s="197"/>
      <c r="U83" s="197"/>
    </row>
    <row r="84" spans="1:26" s="12" customFormat="1" x14ac:dyDescent="0.25">
      <c r="A84" s="200" t="s">
        <v>1379</v>
      </c>
      <c r="B84" s="60">
        <v>0.53</v>
      </c>
      <c r="C84" s="60">
        <v>17.309999999999999</v>
      </c>
      <c r="D84" s="60">
        <v>17.84</v>
      </c>
      <c r="E84" s="60">
        <v>0.92</v>
      </c>
      <c r="F84" s="60">
        <v>3.93</v>
      </c>
      <c r="G84" s="215" t="s">
        <v>36</v>
      </c>
      <c r="H84" s="60">
        <v>12.22</v>
      </c>
      <c r="I84" s="60">
        <v>3.26</v>
      </c>
      <c r="J84" s="60">
        <v>7.0000000000000007E-2</v>
      </c>
      <c r="K84" s="60">
        <v>284.57</v>
      </c>
      <c r="L84" s="60">
        <v>35.17</v>
      </c>
      <c r="M84" s="60">
        <v>77.64</v>
      </c>
      <c r="N84" s="60">
        <v>15.4</v>
      </c>
      <c r="O84" s="60">
        <v>0</v>
      </c>
      <c r="P84" s="60">
        <v>3.51</v>
      </c>
      <c r="Q84" s="60">
        <v>9.4</v>
      </c>
      <c r="R84" s="197"/>
      <c r="S84" s="197"/>
      <c r="T84" s="197"/>
      <c r="U84" s="197"/>
    </row>
    <row r="85" spans="1:26" s="12" customFormat="1" x14ac:dyDescent="0.25">
      <c r="A85" s="200" t="s">
        <v>1380</v>
      </c>
      <c r="B85" s="60">
        <v>0.61</v>
      </c>
      <c r="C85" s="60">
        <v>15.62</v>
      </c>
      <c r="D85" s="60">
        <v>16.23</v>
      </c>
      <c r="E85" s="60">
        <v>0.88</v>
      </c>
      <c r="F85" s="60">
        <v>1.26</v>
      </c>
      <c r="G85" s="215" t="s">
        <v>36</v>
      </c>
      <c r="H85" s="60">
        <v>11.28</v>
      </c>
      <c r="I85" s="60">
        <v>2.69</v>
      </c>
      <c r="J85" s="60">
        <v>0.21</v>
      </c>
      <c r="K85" s="60">
        <v>199.22</v>
      </c>
      <c r="L85" s="60">
        <v>35.04</v>
      </c>
      <c r="M85" s="60">
        <v>78.63</v>
      </c>
      <c r="N85" s="60">
        <v>15.4</v>
      </c>
      <c r="O85" s="60">
        <v>0</v>
      </c>
      <c r="P85" s="60">
        <v>3.54</v>
      </c>
      <c r="Q85" s="60">
        <v>8.91</v>
      </c>
      <c r="R85" s="197"/>
      <c r="S85" s="197"/>
      <c r="T85" s="197"/>
      <c r="U85" s="197"/>
    </row>
    <row r="86" spans="1:26" s="12" customFormat="1" x14ac:dyDescent="0.25">
      <c r="A86" s="200" t="s">
        <v>1381</v>
      </c>
      <c r="B86" s="60">
        <v>1.1000000000000001</v>
      </c>
      <c r="C86" s="60">
        <v>13.73</v>
      </c>
      <c r="D86" s="60">
        <v>14.83</v>
      </c>
      <c r="E86" s="60">
        <v>1.39</v>
      </c>
      <c r="F86" s="60">
        <v>1.1000000000000001</v>
      </c>
      <c r="G86" s="215" t="s">
        <v>36</v>
      </c>
      <c r="H86" s="60">
        <v>8.98</v>
      </c>
      <c r="I86" s="60">
        <v>2.76</v>
      </c>
      <c r="J86" s="60">
        <v>0.3</v>
      </c>
      <c r="K86" s="60">
        <v>205.83</v>
      </c>
      <c r="L86" s="60">
        <v>34.909999999999997</v>
      </c>
      <c r="M86" s="60">
        <v>79.55</v>
      </c>
      <c r="N86" s="60">
        <v>15.3</v>
      </c>
      <c r="O86" s="60">
        <v>0</v>
      </c>
      <c r="P86" s="60">
        <v>3.54</v>
      </c>
      <c r="Q86" s="60">
        <v>10.62</v>
      </c>
      <c r="R86" s="197"/>
      <c r="S86" s="197"/>
      <c r="T86" s="197"/>
      <c r="U86" s="197"/>
    </row>
    <row r="87" spans="1:26" s="12" customFormat="1" x14ac:dyDescent="0.25">
      <c r="A87" s="200" t="s">
        <v>1382</v>
      </c>
      <c r="B87" s="60">
        <v>1.49</v>
      </c>
      <c r="C87" s="60">
        <v>12.07</v>
      </c>
      <c r="D87" s="60">
        <v>13.57</v>
      </c>
      <c r="E87" s="60">
        <v>1.93</v>
      </c>
      <c r="F87" s="60">
        <v>0.62</v>
      </c>
      <c r="G87" s="215" t="s">
        <v>36</v>
      </c>
      <c r="H87" s="60">
        <v>8.98</v>
      </c>
      <c r="I87" s="60">
        <v>3.01</v>
      </c>
      <c r="J87" s="60">
        <v>0.23</v>
      </c>
      <c r="K87" s="60">
        <v>216.82</v>
      </c>
      <c r="L87" s="60">
        <v>34.82</v>
      </c>
      <c r="M87" s="60">
        <v>80.14</v>
      </c>
      <c r="N87" s="60">
        <v>15.2</v>
      </c>
      <c r="O87" s="60">
        <v>0</v>
      </c>
      <c r="P87" s="60">
        <v>3.55</v>
      </c>
      <c r="Q87" s="60">
        <v>10.66</v>
      </c>
      <c r="R87" s="197"/>
      <c r="S87" s="197"/>
      <c r="T87" s="197"/>
      <c r="U87" s="197"/>
    </row>
    <row r="88" spans="1:26" s="12" customFormat="1" x14ac:dyDescent="0.25">
      <c r="A88" s="200" t="s">
        <v>1383</v>
      </c>
      <c r="B88" s="60">
        <v>1.84</v>
      </c>
      <c r="C88" s="60">
        <v>10.61</v>
      </c>
      <c r="D88" s="60">
        <v>12.45</v>
      </c>
      <c r="E88" s="60">
        <v>0.1</v>
      </c>
      <c r="F88" s="60">
        <v>0.64</v>
      </c>
      <c r="G88" s="215" t="s">
        <v>36</v>
      </c>
      <c r="H88" s="60">
        <v>8.98</v>
      </c>
      <c r="I88" s="60">
        <v>3.13</v>
      </c>
      <c r="J88" s="60">
        <v>0.08</v>
      </c>
      <c r="K88" s="60">
        <v>204.44</v>
      </c>
      <c r="L88" s="60">
        <v>34.75</v>
      </c>
      <c r="M88" s="60">
        <v>79.959999999999994</v>
      </c>
      <c r="N88" s="60">
        <v>15.1</v>
      </c>
      <c r="O88" s="60">
        <v>0</v>
      </c>
      <c r="P88" s="60">
        <v>3.54</v>
      </c>
      <c r="Q88" s="60">
        <v>11.74</v>
      </c>
      <c r="R88" s="197"/>
      <c r="S88" s="197"/>
      <c r="T88" s="197"/>
      <c r="U88" s="197"/>
    </row>
    <row r="89" spans="1:26" s="12" customFormat="1" x14ac:dyDescent="0.25">
      <c r="A89" s="200" t="s">
        <v>1384</v>
      </c>
      <c r="B89" s="60">
        <v>2.2799999999999998</v>
      </c>
      <c r="C89" s="60">
        <v>9.9700000000000006</v>
      </c>
      <c r="D89" s="60">
        <v>12.25</v>
      </c>
      <c r="E89" s="60">
        <v>1.41</v>
      </c>
      <c r="F89" s="60">
        <v>0.68</v>
      </c>
      <c r="G89" s="215" t="s">
        <v>36</v>
      </c>
      <c r="H89" s="60">
        <v>8.84</v>
      </c>
      <c r="I89" s="60">
        <v>3.29</v>
      </c>
      <c r="J89" s="60">
        <v>0.09</v>
      </c>
      <c r="K89" s="60">
        <v>253.49</v>
      </c>
      <c r="L89" s="60">
        <v>34.75</v>
      </c>
      <c r="M89" s="60">
        <v>79.84</v>
      </c>
      <c r="N89" s="60">
        <v>15</v>
      </c>
      <c r="O89" s="60">
        <v>0</v>
      </c>
      <c r="P89" s="60">
        <v>3.55</v>
      </c>
      <c r="Q89" s="60">
        <v>11.64</v>
      </c>
      <c r="R89" s="197"/>
      <c r="S89" s="197"/>
      <c r="T89" s="197"/>
      <c r="U89" s="197"/>
    </row>
    <row r="90" spans="1:26" s="12" customFormat="1" x14ac:dyDescent="0.25">
      <c r="A90" s="200" t="s">
        <v>1385</v>
      </c>
      <c r="B90" s="60">
        <v>2.94</v>
      </c>
      <c r="C90" s="60">
        <v>9.81</v>
      </c>
      <c r="D90" s="60">
        <v>12.75</v>
      </c>
      <c r="E90" s="60">
        <v>2.61</v>
      </c>
      <c r="F90" s="60">
        <v>0.52</v>
      </c>
      <c r="G90" s="215" t="s">
        <v>36</v>
      </c>
      <c r="H90" s="60">
        <v>8.49</v>
      </c>
      <c r="I90" s="60">
        <v>3.34</v>
      </c>
      <c r="J90" s="60">
        <v>0.1</v>
      </c>
      <c r="K90" s="60">
        <v>228.36</v>
      </c>
      <c r="L90" s="60">
        <v>34.71</v>
      </c>
      <c r="M90" s="60">
        <v>79.91</v>
      </c>
      <c r="N90" s="60">
        <v>15</v>
      </c>
      <c r="O90" s="60">
        <v>0</v>
      </c>
      <c r="P90" s="60">
        <v>3.59</v>
      </c>
      <c r="Q90" s="60">
        <v>11.98</v>
      </c>
      <c r="R90" s="197"/>
      <c r="S90" s="197"/>
      <c r="T90" s="197"/>
      <c r="U90" s="197"/>
    </row>
    <row r="91" spans="1:26" s="12" customFormat="1" x14ac:dyDescent="0.25">
      <c r="A91" s="200" t="s">
        <v>1386</v>
      </c>
      <c r="B91" s="60">
        <v>3.4</v>
      </c>
      <c r="C91" s="60">
        <v>9.74</v>
      </c>
      <c r="D91" s="60">
        <v>13.14</v>
      </c>
      <c r="E91" s="60">
        <v>2.5099999999999998</v>
      </c>
      <c r="F91" s="60">
        <v>0.69</v>
      </c>
      <c r="G91" s="215" t="s">
        <v>36</v>
      </c>
      <c r="H91" s="60">
        <v>8.49</v>
      </c>
      <c r="I91" s="60">
        <v>3.47</v>
      </c>
      <c r="J91" s="60">
        <v>0.26</v>
      </c>
      <c r="K91" s="60">
        <v>234.86</v>
      </c>
      <c r="L91" s="60">
        <v>34.54</v>
      </c>
      <c r="M91" s="60">
        <v>81.12</v>
      </c>
      <c r="N91" s="60">
        <v>15.1</v>
      </c>
      <c r="O91" s="60">
        <v>0</v>
      </c>
      <c r="P91" s="60">
        <v>3.59</v>
      </c>
      <c r="Q91" s="60">
        <v>12.98</v>
      </c>
      <c r="R91" s="197"/>
      <c r="S91" s="197"/>
      <c r="T91" s="197"/>
      <c r="U91" s="197"/>
    </row>
    <row r="92" spans="1:26" s="12" customFormat="1" x14ac:dyDescent="0.25">
      <c r="A92" s="200" t="s">
        <v>1387</v>
      </c>
      <c r="B92" s="60">
        <v>3.75</v>
      </c>
      <c r="C92" s="60">
        <v>8.99</v>
      </c>
      <c r="D92" s="60">
        <v>12.74</v>
      </c>
      <c r="E92" s="60">
        <v>3.36</v>
      </c>
      <c r="F92" s="60">
        <v>0.39</v>
      </c>
      <c r="G92" s="215" t="s">
        <v>36</v>
      </c>
      <c r="H92" s="60">
        <v>8.49</v>
      </c>
      <c r="I92" s="60">
        <v>3.63</v>
      </c>
      <c r="J92" s="60">
        <v>7.0000000000000007E-2</v>
      </c>
      <c r="K92" s="60">
        <v>272.72000000000003</v>
      </c>
      <c r="L92" s="60">
        <v>34.520000000000003</v>
      </c>
      <c r="M92" s="60">
        <v>81.290000000000006</v>
      </c>
      <c r="N92" s="60">
        <v>15</v>
      </c>
      <c r="O92" s="60">
        <v>0</v>
      </c>
      <c r="P92" s="60">
        <v>3.61</v>
      </c>
      <c r="Q92" s="60">
        <v>12.71</v>
      </c>
      <c r="R92" s="197"/>
      <c r="S92" s="197"/>
      <c r="T92" s="197"/>
      <c r="U92" s="197"/>
    </row>
    <row r="93" spans="1:26" s="12" customFormat="1" x14ac:dyDescent="0.25">
      <c r="A93" s="200" t="s">
        <v>1388</v>
      </c>
      <c r="B93" s="60">
        <v>3.85</v>
      </c>
      <c r="C93" s="60">
        <v>8.14</v>
      </c>
      <c r="D93" s="60">
        <v>11.99</v>
      </c>
      <c r="E93" s="60">
        <v>3.44</v>
      </c>
      <c r="F93" s="60">
        <v>0.3</v>
      </c>
      <c r="G93" s="215" t="s">
        <v>36</v>
      </c>
      <c r="H93" s="60">
        <v>8.23</v>
      </c>
      <c r="I93" s="60">
        <v>3.69</v>
      </c>
      <c r="J93" s="60">
        <v>0.11</v>
      </c>
      <c r="K93" s="60">
        <v>231.5</v>
      </c>
      <c r="L93" s="60">
        <v>34.450000000000003</v>
      </c>
      <c r="M93" s="60">
        <v>81.92</v>
      </c>
      <c r="N93" s="60">
        <v>15.1</v>
      </c>
      <c r="O93" s="60">
        <v>0</v>
      </c>
      <c r="P93" s="60">
        <v>3.62</v>
      </c>
      <c r="Q93" s="60">
        <v>12.72</v>
      </c>
      <c r="R93" s="197"/>
      <c r="S93" s="197"/>
      <c r="T93" s="197"/>
      <c r="U93" s="197"/>
    </row>
    <row r="94" spans="1:26" s="12" customFormat="1" x14ac:dyDescent="0.25">
      <c r="A94" s="200" t="s">
        <v>1389</v>
      </c>
      <c r="B94" s="60">
        <v>4.17</v>
      </c>
      <c r="C94" s="60">
        <v>7.73</v>
      </c>
      <c r="D94" s="60">
        <v>11.89</v>
      </c>
      <c r="E94" s="60">
        <v>3.89</v>
      </c>
      <c r="F94" s="60">
        <v>0.45</v>
      </c>
      <c r="G94" s="215" t="s">
        <v>36</v>
      </c>
      <c r="H94" s="60">
        <v>7.58</v>
      </c>
      <c r="I94" s="60">
        <v>3.79</v>
      </c>
      <c r="J94" s="60">
        <v>0.15</v>
      </c>
      <c r="K94" s="60">
        <v>233.35</v>
      </c>
      <c r="L94" s="60">
        <v>34.33</v>
      </c>
      <c r="M94" s="60">
        <v>82.98</v>
      </c>
      <c r="N94" s="60">
        <v>15</v>
      </c>
      <c r="O94" s="60">
        <v>0</v>
      </c>
      <c r="P94" s="60">
        <v>3.62</v>
      </c>
      <c r="Q94" s="60">
        <v>12.42</v>
      </c>
      <c r="R94" s="197"/>
      <c r="S94" s="197"/>
      <c r="T94" s="197"/>
      <c r="U94" s="197"/>
    </row>
    <row r="95" spans="1:26" s="12" customFormat="1" x14ac:dyDescent="0.25">
      <c r="A95" s="200" t="s">
        <v>1390</v>
      </c>
      <c r="B95" s="60">
        <v>4.51</v>
      </c>
      <c r="C95" s="60">
        <v>7.4</v>
      </c>
      <c r="D95" s="60">
        <v>11.91</v>
      </c>
      <c r="E95" s="60">
        <v>4.5599999999999996</v>
      </c>
      <c r="F95" s="60">
        <v>0.28000000000000003</v>
      </c>
      <c r="G95" s="215" t="s">
        <v>36</v>
      </c>
      <c r="H95" s="60">
        <v>7.58</v>
      </c>
      <c r="I95" s="60">
        <v>3.85</v>
      </c>
      <c r="J95" s="60">
        <v>0.03</v>
      </c>
      <c r="K95" s="60">
        <v>256.26</v>
      </c>
      <c r="L95" s="60">
        <v>34.22</v>
      </c>
      <c r="M95" s="60">
        <v>83.89</v>
      </c>
      <c r="N95" s="60">
        <v>15</v>
      </c>
      <c r="O95" s="60">
        <v>0</v>
      </c>
      <c r="P95" s="60">
        <v>3.62</v>
      </c>
      <c r="Q95" s="60">
        <v>12.12</v>
      </c>
      <c r="R95" s="197"/>
      <c r="S95" s="197"/>
      <c r="T95" s="197"/>
      <c r="U95" s="197"/>
    </row>
    <row r="96" spans="1:26" s="12" customFormat="1" x14ac:dyDescent="0.25">
      <c r="A96" s="200" t="s">
        <v>1391</v>
      </c>
      <c r="B96" s="60">
        <v>4.9800000000000004</v>
      </c>
      <c r="C96" s="60">
        <v>7.01</v>
      </c>
      <c r="D96" s="60">
        <v>11.99</v>
      </c>
      <c r="E96" s="60">
        <v>4.33</v>
      </c>
      <c r="F96" s="60">
        <v>0.44</v>
      </c>
      <c r="G96" s="215" t="s">
        <v>36</v>
      </c>
      <c r="H96" s="60">
        <v>7.58</v>
      </c>
      <c r="I96" s="60">
        <v>3.89</v>
      </c>
      <c r="J96" s="60">
        <v>0.05</v>
      </c>
      <c r="K96" s="60">
        <v>246.66</v>
      </c>
      <c r="L96" s="60">
        <v>34.17</v>
      </c>
      <c r="M96" s="60">
        <v>83.66</v>
      </c>
      <c r="N96" s="60">
        <v>15</v>
      </c>
      <c r="O96" s="60">
        <v>0</v>
      </c>
      <c r="P96" s="60">
        <v>3.64</v>
      </c>
      <c r="Q96" s="60">
        <v>13.01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1392</v>
      </c>
      <c r="B97" s="60">
        <v>5.36</v>
      </c>
      <c r="C97" s="60">
        <v>7.03</v>
      </c>
      <c r="D97" s="60">
        <v>12.4</v>
      </c>
      <c r="E97" s="60">
        <v>4.8499999999999996</v>
      </c>
      <c r="F97" s="60">
        <v>0.2</v>
      </c>
      <c r="G97" s="215" t="s">
        <v>36</v>
      </c>
      <c r="H97" s="60">
        <v>7.86</v>
      </c>
      <c r="I97" s="60">
        <v>3.67</v>
      </c>
      <c r="J97" s="60">
        <v>0.04</v>
      </c>
      <c r="K97" s="60">
        <v>263.35000000000002</v>
      </c>
      <c r="L97" s="60">
        <v>34.229999999999997</v>
      </c>
      <c r="M97" s="60">
        <v>83.92</v>
      </c>
      <c r="N97" s="60">
        <v>15.1</v>
      </c>
      <c r="O97" s="60">
        <v>0</v>
      </c>
      <c r="P97" s="60">
        <v>3.64</v>
      </c>
      <c r="Q97" s="60">
        <v>12.58</v>
      </c>
      <c r="R97" s="197"/>
      <c r="S97" s="197"/>
      <c r="T97" s="197"/>
      <c r="U97" s="197"/>
    </row>
    <row r="98" spans="1:33" s="12" customFormat="1" x14ac:dyDescent="0.25">
      <c r="A98" s="200" t="s">
        <v>1393</v>
      </c>
      <c r="B98" s="60">
        <v>5.66</v>
      </c>
      <c r="C98" s="60">
        <v>6.86</v>
      </c>
      <c r="D98" s="60">
        <v>12.52</v>
      </c>
      <c r="E98" s="60">
        <v>4.8099999999999996</v>
      </c>
      <c r="F98" s="60">
        <v>0.11</v>
      </c>
      <c r="G98" s="215" t="s">
        <v>36</v>
      </c>
      <c r="H98" s="60">
        <v>8.5299999999999994</v>
      </c>
      <c r="I98" s="60">
        <v>4.04</v>
      </c>
      <c r="J98" s="60">
        <v>0.13</v>
      </c>
      <c r="K98" s="60">
        <v>233.03</v>
      </c>
      <c r="L98" s="60">
        <v>34.17</v>
      </c>
      <c r="M98" s="60">
        <v>83.82</v>
      </c>
      <c r="N98" s="60">
        <v>15.1</v>
      </c>
      <c r="O98" s="60">
        <v>0</v>
      </c>
      <c r="P98" s="60">
        <v>3.65</v>
      </c>
      <c r="Q98" s="60">
        <v>12.18</v>
      </c>
      <c r="R98" s="197"/>
      <c r="S98" s="197"/>
      <c r="T98" s="197"/>
      <c r="U98" s="197"/>
    </row>
    <row r="99" spans="1:33" s="12" customFormat="1" x14ac:dyDescent="0.25">
      <c r="A99" s="200" t="s">
        <v>1394</v>
      </c>
      <c r="B99" s="60">
        <v>5.97</v>
      </c>
      <c r="C99" s="60">
        <v>6.88</v>
      </c>
      <c r="D99" s="60">
        <v>12.86</v>
      </c>
      <c r="E99" s="60">
        <v>5.0599999999999996</v>
      </c>
      <c r="F99" s="60">
        <v>0.6</v>
      </c>
      <c r="G99" s="215" t="s">
        <v>36</v>
      </c>
      <c r="H99" s="60">
        <v>8.5299999999999994</v>
      </c>
      <c r="I99" s="60">
        <v>4.0999999999999996</v>
      </c>
      <c r="J99" s="60">
        <v>0.12</v>
      </c>
      <c r="K99" s="60">
        <v>220.66</v>
      </c>
      <c r="L99" s="60">
        <v>34.18</v>
      </c>
      <c r="M99" s="60">
        <v>84.07</v>
      </c>
      <c r="N99" s="60">
        <v>15.1</v>
      </c>
      <c r="O99" s="60">
        <v>0</v>
      </c>
      <c r="P99" s="60">
        <v>3.63</v>
      </c>
      <c r="Q99" s="60">
        <v>12.68</v>
      </c>
      <c r="R99" s="197"/>
      <c r="S99" s="197"/>
      <c r="T99" s="197"/>
      <c r="U99" s="197"/>
    </row>
    <row r="100" spans="1:33" s="12" customFormat="1" x14ac:dyDescent="0.25">
      <c r="A100" s="200" t="s">
        <v>1395</v>
      </c>
      <c r="B100" s="60">
        <v>6.07</v>
      </c>
      <c r="C100" s="60">
        <v>7.71</v>
      </c>
      <c r="D100" s="60">
        <v>13.78</v>
      </c>
      <c r="E100" s="60">
        <v>5.19</v>
      </c>
      <c r="F100" s="60">
        <v>0.54</v>
      </c>
      <c r="G100" s="215" t="s">
        <v>36</v>
      </c>
      <c r="H100" s="60">
        <v>8.5299999999999994</v>
      </c>
      <c r="I100" s="60">
        <v>4.1399999999999997</v>
      </c>
      <c r="J100" s="60">
        <v>7.0000000000000007E-2</v>
      </c>
      <c r="K100" s="60">
        <v>239.23</v>
      </c>
      <c r="L100" s="60">
        <v>34.18</v>
      </c>
      <c r="M100" s="60">
        <v>83.82</v>
      </c>
      <c r="N100" s="60">
        <v>15.2</v>
      </c>
      <c r="O100" s="60">
        <v>0</v>
      </c>
      <c r="P100" s="60">
        <v>3.63</v>
      </c>
      <c r="Q100" s="60">
        <v>12.83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1396</v>
      </c>
      <c r="B101" s="60">
        <v>5.92</v>
      </c>
      <c r="C101" s="60">
        <v>7.88</v>
      </c>
      <c r="D101" s="60">
        <v>13.8</v>
      </c>
      <c r="E101" s="60">
        <v>5.59</v>
      </c>
      <c r="F101" s="60">
        <v>0.51</v>
      </c>
      <c r="G101" s="215" t="s">
        <v>36</v>
      </c>
      <c r="H101" s="60">
        <v>8.99</v>
      </c>
      <c r="I101" s="60">
        <v>4.0999999999999996</v>
      </c>
      <c r="J101" s="60">
        <v>0.14000000000000001</v>
      </c>
      <c r="K101" s="60">
        <v>211.49</v>
      </c>
      <c r="L101" s="60">
        <v>34.29</v>
      </c>
      <c r="M101" s="60">
        <v>83.79</v>
      </c>
      <c r="N101" s="60">
        <v>15.3</v>
      </c>
      <c r="O101" s="60">
        <v>0</v>
      </c>
      <c r="P101" s="60">
        <v>3.62</v>
      </c>
      <c r="Q101" s="60">
        <v>13.43</v>
      </c>
      <c r="R101" s="197"/>
      <c r="S101" s="197"/>
      <c r="T101" s="197"/>
      <c r="U101" s="197"/>
    </row>
    <row r="102" spans="1:33" s="12" customFormat="1" x14ac:dyDescent="0.25">
      <c r="A102" s="200" t="s">
        <v>1397</v>
      </c>
      <c r="B102" s="60">
        <v>5.65</v>
      </c>
      <c r="C102" s="60">
        <v>8.27</v>
      </c>
      <c r="D102" s="60">
        <v>13.91</v>
      </c>
      <c r="E102" s="60">
        <v>5.42</v>
      </c>
      <c r="F102" s="60">
        <v>0.55000000000000004</v>
      </c>
      <c r="G102" s="215" t="s">
        <v>36</v>
      </c>
      <c r="H102" s="60">
        <v>10.15</v>
      </c>
      <c r="I102" s="60">
        <v>4.3499999999999996</v>
      </c>
      <c r="J102" s="60">
        <v>0.1</v>
      </c>
      <c r="K102" s="60">
        <v>201.55</v>
      </c>
      <c r="L102" s="60">
        <v>34.08</v>
      </c>
      <c r="M102" s="60">
        <v>85.16</v>
      </c>
      <c r="N102" s="60">
        <v>15.2</v>
      </c>
      <c r="O102" s="60">
        <v>0</v>
      </c>
      <c r="P102" s="60">
        <v>3.6</v>
      </c>
      <c r="Q102" s="60">
        <v>12.93</v>
      </c>
      <c r="R102" s="197"/>
      <c r="S102" s="197"/>
      <c r="T102" s="197"/>
      <c r="U102" s="197"/>
    </row>
    <row r="103" spans="1:33" s="12" customFormat="1" x14ac:dyDescent="0.25">
      <c r="A103" s="200" t="s">
        <v>1398</v>
      </c>
      <c r="B103" s="60">
        <v>5.33</v>
      </c>
      <c r="C103" s="60">
        <v>8.42</v>
      </c>
      <c r="D103" s="60">
        <v>13.75</v>
      </c>
      <c r="E103" s="60">
        <v>5.65</v>
      </c>
      <c r="F103" s="60">
        <v>0.39</v>
      </c>
      <c r="G103" s="215" t="s">
        <v>36</v>
      </c>
      <c r="H103" s="60">
        <v>10.15</v>
      </c>
      <c r="I103" s="60">
        <v>4.28</v>
      </c>
      <c r="J103" s="60">
        <v>0.04</v>
      </c>
      <c r="K103" s="60">
        <v>343.99</v>
      </c>
      <c r="L103" s="60">
        <v>33.479999999999997</v>
      </c>
      <c r="M103" s="60">
        <v>90.38</v>
      </c>
      <c r="N103" s="60">
        <v>15</v>
      </c>
      <c r="O103" s="60">
        <v>0.2</v>
      </c>
      <c r="P103" s="60">
        <v>3.6</v>
      </c>
      <c r="Q103" s="60">
        <v>12.71</v>
      </c>
      <c r="R103" s="197"/>
      <c r="S103" s="197"/>
      <c r="T103" s="197"/>
      <c r="U103" s="197"/>
    </row>
    <row r="104" spans="1:33" s="12" customFormat="1" x14ac:dyDescent="0.25">
      <c r="A104" s="200" t="s">
        <v>1399</v>
      </c>
      <c r="B104" s="60">
        <v>5.27</v>
      </c>
      <c r="C104" s="60">
        <v>8.59</v>
      </c>
      <c r="D104" s="60">
        <v>13.86</v>
      </c>
      <c r="E104" s="60">
        <v>1.7</v>
      </c>
      <c r="F104" s="60">
        <v>0.57999999999999996</v>
      </c>
      <c r="G104" s="215" t="s">
        <v>36</v>
      </c>
      <c r="H104" s="60">
        <v>10.15</v>
      </c>
      <c r="I104" s="60">
        <v>4.2</v>
      </c>
      <c r="J104" s="60">
        <v>0.16</v>
      </c>
      <c r="K104" s="60">
        <v>239.89</v>
      </c>
      <c r="L104" s="60">
        <v>33.07</v>
      </c>
      <c r="M104" s="60">
        <v>92.68</v>
      </c>
      <c r="N104" s="60">
        <v>15</v>
      </c>
      <c r="O104" s="60">
        <v>0.2</v>
      </c>
      <c r="P104" s="60">
        <v>3.58</v>
      </c>
      <c r="Q104" s="60">
        <v>13.04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5" t="s">
        <v>59</v>
      </c>
      <c r="B106" s="67">
        <f>MIN(B9:B104)</f>
        <v>0.53</v>
      </c>
      <c r="C106" s="67">
        <f>MIN(C9:C104)</f>
        <v>6.41</v>
      </c>
      <c r="D106" s="67">
        <f t="shared" ref="D106:Q106" si="0">MIN(D9:D104)</f>
        <v>9.99</v>
      </c>
      <c r="E106" s="67">
        <f t="shared" si="0"/>
        <v>0.06</v>
      </c>
      <c r="F106" s="67">
        <f t="shared" si="0"/>
        <v>0.06</v>
      </c>
      <c r="G106" s="67">
        <f t="shared" si="0"/>
        <v>0</v>
      </c>
      <c r="H106" s="67">
        <f t="shared" si="0"/>
        <v>1.44</v>
      </c>
      <c r="I106" s="67">
        <f t="shared" si="0"/>
        <v>2.46</v>
      </c>
      <c r="J106" s="67">
        <f t="shared" si="0"/>
        <v>0.02</v>
      </c>
      <c r="K106" s="67">
        <f t="shared" si="0"/>
        <v>5.76</v>
      </c>
      <c r="L106" s="67">
        <f t="shared" si="0"/>
        <v>30.89</v>
      </c>
      <c r="M106" s="67">
        <f t="shared" si="0"/>
        <v>64.349999999999994</v>
      </c>
      <c r="N106" s="67">
        <f t="shared" si="0"/>
        <v>15</v>
      </c>
      <c r="O106" s="67">
        <f t="shared" si="0"/>
        <v>0</v>
      </c>
      <c r="P106" s="67">
        <f t="shared" si="0"/>
        <v>3.36</v>
      </c>
      <c r="Q106" s="67">
        <f t="shared" si="0"/>
        <v>5.73</v>
      </c>
      <c r="R106" s="198"/>
      <c r="S106" s="198"/>
      <c r="T106" s="198"/>
      <c r="U106" s="198"/>
    </row>
    <row r="107" spans="1:33" x14ac:dyDescent="0.25">
      <c r="A107" s="65" t="s">
        <v>60</v>
      </c>
      <c r="B107" s="66">
        <f>MAX(B9:B104)</f>
        <v>6.27</v>
      </c>
      <c r="C107" s="66">
        <f t="shared" ref="C107:Q107" si="1">MAX(C9:C104)</f>
        <v>22.43</v>
      </c>
      <c r="D107" s="66">
        <f t="shared" si="1"/>
        <v>26.08</v>
      </c>
      <c r="E107" s="66">
        <f t="shared" si="1"/>
        <v>7.35</v>
      </c>
      <c r="F107" s="66">
        <f t="shared" si="1"/>
        <v>5.13</v>
      </c>
      <c r="G107" s="66">
        <f t="shared" si="1"/>
        <v>0</v>
      </c>
      <c r="H107" s="66">
        <f t="shared" si="1"/>
        <v>14.25</v>
      </c>
      <c r="I107" s="66">
        <f t="shared" si="1"/>
        <v>9.8800000000000008</v>
      </c>
      <c r="J107" s="66">
        <f t="shared" si="1"/>
        <v>0.78</v>
      </c>
      <c r="K107" s="66">
        <f t="shared" si="1"/>
        <v>358.82</v>
      </c>
      <c r="L107" s="66">
        <f t="shared" si="1"/>
        <v>38.799999999999997</v>
      </c>
      <c r="M107" s="66">
        <f t="shared" si="1"/>
        <v>99.15</v>
      </c>
      <c r="N107" s="66">
        <f t="shared" si="1"/>
        <v>954.4</v>
      </c>
      <c r="O107" s="66">
        <f t="shared" si="1"/>
        <v>1.4</v>
      </c>
      <c r="P107" s="66">
        <f t="shared" si="1"/>
        <v>3.65</v>
      </c>
      <c r="Q107" s="66">
        <f t="shared" si="1"/>
        <v>13.43</v>
      </c>
      <c r="R107" s="199"/>
      <c r="S107" s="199"/>
      <c r="T107" s="199"/>
      <c r="U107" s="199"/>
    </row>
    <row r="108" spans="1:33" x14ac:dyDescent="0.25">
      <c r="A108" s="65" t="s">
        <v>61</v>
      </c>
      <c r="B108" s="67">
        <f>AVERAGE(B9:B104)</f>
        <v>3.8481250000000014</v>
      </c>
      <c r="C108" s="67">
        <f t="shared" ref="C108:Q108" si="2">AVERAGE(C9:C104)</f>
        <v>10.585729166666669</v>
      </c>
      <c r="D108" s="67">
        <f t="shared" si="2"/>
        <v>14.434062500000001</v>
      </c>
      <c r="E108" s="67">
        <f t="shared" si="2"/>
        <v>3.82178947368421</v>
      </c>
      <c r="F108" s="67">
        <f t="shared" si="2"/>
        <v>0.92156250000000017</v>
      </c>
      <c r="G108" s="67" t="e">
        <f t="shared" si="2"/>
        <v>#DIV/0!</v>
      </c>
      <c r="H108" s="67">
        <f t="shared" si="2"/>
        <v>6.3996874999999998</v>
      </c>
      <c r="I108" s="67">
        <f t="shared" si="2"/>
        <v>5.0005208333333346</v>
      </c>
      <c r="J108" s="67">
        <f t="shared" si="2"/>
        <v>0.17229166666666676</v>
      </c>
      <c r="K108" s="67">
        <f t="shared" si="2"/>
        <v>181.80812499999999</v>
      </c>
      <c r="L108" s="67">
        <f t="shared" si="2"/>
        <v>34.359166666666667</v>
      </c>
      <c r="M108" s="67">
        <f t="shared" si="2"/>
        <v>83.482291666666654</v>
      </c>
      <c r="N108" s="67">
        <f t="shared" si="2"/>
        <v>201.10937499999989</v>
      </c>
      <c r="O108" s="67">
        <f t="shared" si="2"/>
        <v>3.3333333333333333E-2</v>
      </c>
      <c r="P108" s="67">
        <f t="shared" si="2"/>
        <v>3.4794791666666676</v>
      </c>
      <c r="Q108" s="67">
        <f t="shared" si="2"/>
        <v>9.2528124999999992</v>
      </c>
      <c r="R108" s="198"/>
      <c r="S108" s="198"/>
      <c r="T108" s="198"/>
      <c r="U108" s="198"/>
    </row>
    <row r="109" spans="1:33" x14ac:dyDescent="0.25">
      <c r="A109" s="65" t="s">
        <v>77</v>
      </c>
      <c r="B109" s="67">
        <f>STDEV(B9:B104)</f>
        <v>1.2591754298579225</v>
      </c>
      <c r="C109" s="67">
        <f t="shared" ref="C109:Q109" si="3">STDEV(C9:C104)</f>
        <v>4.0252562506965877</v>
      </c>
      <c r="D109" s="67">
        <f t="shared" si="3"/>
        <v>3.5867157174994806</v>
      </c>
      <c r="E109" s="67">
        <f t="shared" si="3"/>
        <v>2.4028050889809403</v>
      </c>
      <c r="F109" s="67">
        <f t="shared" si="3"/>
        <v>1.0348539974569511</v>
      </c>
      <c r="G109" s="67" t="e">
        <f t="shared" si="3"/>
        <v>#DIV/0!</v>
      </c>
      <c r="H109" s="67">
        <f t="shared" si="3"/>
        <v>3.9328325009162497</v>
      </c>
      <c r="I109" s="67">
        <f t="shared" si="3"/>
        <v>2.0053750770270833</v>
      </c>
      <c r="J109" s="67">
        <f t="shared" si="3"/>
        <v>0.14204135177487942</v>
      </c>
      <c r="K109" s="67">
        <f t="shared" si="3"/>
        <v>98.59650142520006</v>
      </c>
      <c r="L109" s="67">
        <f t="shared" si="3"/>
        <v>1.9418524344534995</v>
      </c>
      <c r="M109" s="67">
        <f t="shared" si="3"/>
        <v>11.495069375873429</v>
      </c>
      <c r="N109" s="67">
        <f t="shared" si="3"/>
        <v>247.66377126135097</v>
      </c>
      <c r="O109" s="67">
        <f t="shared" si="3"/>
        <v>0.17809912477498038</v>
      </c>
      <c r="P109" s="67">
        <f t="shared" si="3"/>
        <v>8.6418440912947314E-2</v>
      </c>
      <c r="Q109" s="67">
        <f t="shared" si="3"/>
        <v>1.8377765187570401</v>
      </c>
      <c r="R109" s="198"/>
      <c r="S109" s="198"/>
      <c r="T109" s="198"/>
      <c r="U109" s="198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>COUNT(E9:E104)+1</f>
        <v>96</v>
      </c>
      <c r="F110" s="66">
        <f t="shared" si="4"/>
        <v>96</v>
      </c>
      <c r="G110" s="66">
        <f>COUNT(G9:G104)+96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9"/>
      <c r="S110" s="199"/>
      <c r="T110" s="199"/>
      <c r="U110" s="199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247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110" sqref="D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13-08-2022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234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1400</v>
      </c>
      <c r="B9" s="60">
        <v>5.17</v>
      </c>
      <c r="C9" s="60">
        <v>8.56</v>
      </c>
      <c r="D9" s="60">
        <v>13.73</v>
      </c>
      <c r="E9" s="60">
        <v>3.85</v>
      </c>
      <c r="F9" s="60">
        <v>0.7</v>
      </c>
      <c r="G9" s="215" t="s">
        <v>36</v>
      </c>
      <c r="H9" s="60">
        <v>9.42</v>
      </c>
      <c r="I9" s="60">
        <v>4.18</v>
      </c>
      <c r="J9" s="60">
        <v>0.13</v>
      </c>
      <c r="K9" s="60">
        <v>233.63</v>
      </c>
      <c r="L9" s="60">
        <v>32.92</v>
      </c>
      <c r="M9" s="60">
        <v>95.94</v>
      </c>
      <c r="N9" s="60">
        <v>15</v>
      </c>
      <c r="O9" s="60">
        <v>0</v>
      </c>
      <c r="P9" s="60">
        <v>3.56</v>
      </c>
      <c r="Q9" s="60">
        <v>13.15</v>
      </c>
      <c r="R9" s="197"/>
      <c r="S9" s="197"/>
      <c r="T9" s="197"/>
      <c r="U9" s="197"/>
    </row>
    <row r="10" spans="1:21" s="12" customFormat="1" x14ac:dyDescent="0.25">
      <c r="A10" s="200" t="s">
        <v>1401</v>
      </c>
      <c r="B10" s="60">
        <v>4.8899999999999997</v>
      </c>
      <c r="C10" s="60">
        <v>8.42</v>
      </c>
      <c r="D10" s="60">
        <v>13.32</v>
      </c>
      <c r="E10" s="60">
        <v>4.37</v>
      </c>
      <c r="F10" s="60">
        <v>0.45</v>
      </c>
      <c r="G10" s="215" t="s">
        <v>36</v>
      </c>
      <c r="H10" s="60">
        <v>7.63</v>
      </c>
      <c r="I10" s="60">
        <v>4.05</v>
      </c>
      <c r="J10" s="60">
        <v>0.16</v>
      </c>
      <c r="K10" s="60">
        <v>226.74</v>
      </c>
      <c r="L10" s="60">
        <v>32.86</v>
      </c>
      <c r="M10" s="60">
        <v>95.8</v>
      </c>
      <c r="N10" s="60">
        <v>15</v>
      </c>
      <c r="O10" s="60">
        <v>0.2</v>
      </c>
      <c r="P10" s="60">
        <v>3.56</v>
      </c>
      <c r="Q10" s="60">
        <v>12.35</v>
      </c>
      <c r="R10" s="197"/>
      <c r="S10" s="197"/>
      <c r="T10" s="197"/>
      <c r="U10" s="197"/>
    </row>
    <row r="11" spans="1:21" s="12" customFormat="1" x14ac:dyDescent="0.25">
      <c r="A11" s="200" t="s">
        <v>1402</v>
      </c>
      <c r="B11" s="60">
        <v>4.7</v>
      </c>
      <c r="C11" s="60">
        <v>7.35</v>
      </c>
      <c r="D11" s="60">
        <v>12.05</v>
      </c>
      <c r="E11" s="60">
        <v>4.58</v>
      </c>
      <c r="F11" s="60">
        <v>0.55000000000000004</v>
      </c>
      <c r="G11" s="215" t="s">
        <v>36</v>
      </c>
      <c r="H11" s="60">
        <v>7.63</v>
      </c>
      <c r="I11" s="60">
        <v>3.95</v>
      </c>
      <c r="J11" s="60">
        <v>0.05</v>
      </c>
      <c r="K11" s="60">
        <v>265.01</v>
      </c>
      <c r="L11" s="60">
        <v>32.78</v>
      </c>
      <c r="M11" s="60">
        <v>96.8</v>
      </c>
      <c r="N11" s="60">
        <v>15</v>
      </c>
      <c r="O11" s="60">
        <v>0.2</v>
      </c>
      <c r="P11" s="60">
        <v>3.53</v>
      </c>
      <c r="Q11" s="60">
        <v>12.48</v>
      </c>
      <c r="R11" s="197"/>
      <c r="S11" s="197"/>
      <c r="T11" s="197"/>
      <c r="U11" s="197"/>
    </row>
    <row r="12" spans="1:21" s="12" customFormat="1" x14ac:dyDescent="0.25">
      <c r="A12" s="200" t="s">
        <v>1403</v>
      </c>
      <c r="B12" s="60">
        <v>4.6900000000000004</v>
      </c>
      <c r="C12" s="60">
        <v>6.7</v>
      </c>
      <c r="D12" s="60">
        <v>11.39</v>
      </c>
      <c r="E12" s="60">
        <v>5.2</v>
      </c>
      <c r="F12" s="60">
        <v>0.16</v>
      </c>
      <c r="G12" s="215" t="s">
        <v>36</v>
      </c>
      <c r="H12" s="60">
        <v>7.63</v>
      </c>
      <c r="I12" s="60">
        <v>3.81</v>
      </c>
      <c r="J12" s="60">
        <v>7.0000000000000007E-2</v>
      </c>
      <c r="K12" s="60">
        <v>216.62</v>
      </c>
      <c r="L12" s="60">
        <v>32.74</v>
      </c>
      <c r="M12" s="60">
        <v>97.16</v>
      </c>
      <c r="N12" s="60">
        <v>15</v>
      </c>
      <c r="O12" s="60">
        <v>0.2</v>
      </c>
      <c r="P12" s="60">
        <v>3.53</v>
      </c>
      <c r="Q12" s="60">
        <v>12.21</v>
      </c>
      <c r="R12" s="197"/>
      <c r="S12" s="197"/>
      <c r="T12" s="197"/>
      <c r="U12" s="197"/>
    </row>
    <row r="13" spans="1:21" s="12" customFormat="1" x14ac:dyDescent="0.25">
      <c r="A13" s="200" t="s">
        <v>1404</v>
      </c>
      <c r="B13" s="60">
        <v>4.66</v>
      </c>
      <c r="C13" s="60">
        <v>6.41</v>
      </c>
      <c r="D13" s="60">
        <v>11.07</v>
      </c>
      <c r="E13" s="60">
        <v>5.0999999999999996</v>
      </c>
      <c r="F13" s="60">
        <v>0.27</v>
      </c>
      <c r="G13" s="215" t="s">
        <v>36</v>
      </c>
      <c r="H13" s="60">
        <v>7.13</v>
      </c>
      <c r="I13" s="60">
        <v>3.37</v>
      </c>
      <c r="J13" s="60">
        <v>0.01</v>
      </c>
      <c r="K13" s="60">
        <v>76.44</v>
      </c>
      <c r="L13" s="60">
        <v>32.78</v>
      </c>
      <c r="M13" s="60">
        <v>97.34</v>
      </c>
      <c r="N13" s="60">
        <v>15</v>
      </c>
      <c r="O13" s="60">
        <v>0</v>
      </c>
      <c r="P13" s="60">
        <v>3.53</v>
      </c>
      <c r="Q13" s="60">
        <v>11.93</v>
      </c>
      <c r="R13" s="197"/>
      <c r="S13" s="197"/>
      <c r="T13" s="197"/>
      <c r="U13" s="197"/>
    </row>
    <row r="14" spans="1:21" s="12" customFormat="1" x14ac:dyDescent="0.25">
      <c r="A14" s="200" t="s">
        <v>1405</v>
      </c>
      <c r="B14" s="60">
        <v>4.58</v>
      </c>
      <c r="C14" s="60">
        <v>6.13</v>
      </c>
      <c r="D14" s="60">
        <v>10.71</v>
      </c>
      <c r="E14" s="60">
        <v>5.72</v>
      </c>
      <c r="F14" s="60">
        <v>0.49</v>
      </c>
      <c r="G14" s="215" t="s">
        <v>36</v>
      </c>
      <c r="H14" s="60">
        <v>5.9</v>
      </c>
      <c r="I14" s="60">
        <v>3.53</v>
      </c>
      <c r="J14" s="60">
        <v>0.08</v>
      </c>
      <c r="K14" s="60">
        <v>202.44</v>
      </c>
      <c r="L14" s="60">
        <v>32.700000000000003</v>
      </c>
      <c r="M14" s="60">
        <v>98.15</v>
      </c>
      <c r="N14" s="60">
        <v>15</v>
      </c>
      <c r="O14" s="60">
        <v>0</v>
      </c>
      <c r="P14" s="60">
        <v>3.52</v>
      </c>
      <c r="Q14" s="60">
        <v>11.88</v>
      </c>
      <c r="R14" s="197"/>
      <c r="S14" s="197"/>
      <c r="T14" s="197"/>
      <c r="U14" s="197"/>
    </row>
    <row r="15" spans="1:21" s="12" customFormat="1" x14ac:dyDescent="0.25">
      <c r="A15" s="200" t="s">
        <v>1406</v>
      </c>
      <c r="B15" s="60">
        <v>4.58</v>
      </c>
      <c r="C15" s="60">
        <v>5.92</v>
      </c>
      <c r="D15" s="60">
        <v>10.5</v>
      </c>
      <c r="E15" s="60">
        <v>5.85</v>
      </c>
      <c r="F15" s="60">
        <v>1</v>
      </c>
      <c r="G15" s="215" t="s">
        <v>36</v>
      </c>
      <c r="H15" s="60">
        <v>5.9</v>
      </c>
      <c r="I15" s="60">
        <v>3.81</v>
      </c>
      <c r="J15" s="60">
        <v>0.08</v>
      </c>
      <c r="K15" s="60">
        <v>220.17</v>
      </c>
      <c r="L15" s="60">
        <v>32.82</v>
      </c>
      <c r="M15" s="60">
        <v>97.55</v>
      </c>
      <c r="N15" s="60">
        <v>15.2</v>
      </c>
      <c r="O15" s="60">
        <v>0</v>
      </c>
      <c r="P15" s="60">
        <v>3.5</v>
      </c>
      <c r="Q15" s="60">
        <v>11.69</v>
      </c>
      <c r="R15" s="197"/>
      <c r="S15" s="197"/>
      <c r="T15" s="197"/>
      <c r="U15" s="197"/>
    </row>
    <row r="16" spans="1:21" s="12" customFormat="1" x14ac:dyDescent="0.25">
      <c r="A16" s="200" t="s">
        <v>1407</v>
      </c>
      <c r="B16" s="60">
        <v>4.53</v>
      </c>
      <c r="C16" s="60">
        <v>5.95</v>
      </c>
      <c r="D16" s="60">
        <v>10.48</v>
      </c>
      <c r="E16" s="60">
        <v>6.2</v>
      </c>
      <c r="F16" s="60">
        <v>0.6</v>
      </c>
      <c r="G16" s="215" t="s">
        <v>36</v>
      </c>
      <c r="H16" s="60">
        <v>5.9</v>
      </c>
      <c r="I16" s="60">
        <v>3.66</v>
      </c>
      <c r="J16" s="60">
        <v>0.06</v>
      </c>
      <c r="K16" s="60">
        <v>111.64</v>
      </c>
      <c r="L16" s="60">
        <v>33.08</v>
      </c>
      <c r="M16" s="60">
        <v>95.83</v>
      </c>
      <c r="N16" s="60">
        <v>15.1</v>
      </c>
      <c r="O16" s="60">
        <v>0.2</v>
      </c>
      <c r="P16" s="60">
        <v>3.5</v>
      </c>
      <c r="Q16" s="60">
        <v>11.42</v>
      </c>
      <c r="R16" s="197"/>
      <c r="S16" s="197"/>
      <c r="T16" s="197"/>
      <c r="U16" s="197"/>
    </row>
    <row r="17" spans="1:21" s="12" customFormat="1" x14ac:dyDescent="0.25">
      <c r="A17" s="200" t="s">
        <v>1408</v>
      </c>
      <c r="B17" s="60">
        <v>4.2699999999999996</v>
      </c>
      <c r="C17" s="60">
        <v>6.02</v>
      </c>
      <c r="D17" s="60">
        <v>10.29</v>
      </c>
      <c r="E17" s="60">
        <v>5.98</v>
      </c>
      <c r="F17" s="60">
        <v>0.22</v>
      </c>
      <c r="G17" s="215" t="s">
        <v>36</v>
      </c>
      <c r="H17" s="60">
        <v>5.47</v>
      </c>
      <c r="I17" s="60">
        <v>3.32</v>
      </c>
      <c r="J17" s="60">
        <v>0.05</v>
      </c>
      <c r="K17" s="60">
        <v>48.77</v>
      </c>
      <c r="L17" s="60">
        <v>33.090000000000003</v>
      </c>
      <c r="M17" s="60">
        <v>93.28</v>
      </c>
      <c r="N17" s="60">
        <v>15</v>
      </c>
      <c r="O17" s="60">
        <v>0</v>
      </c>
      <c r="P17" s="60">
        <v>3.5</v>
      </c>
      <c r="Q17" s="60">
        <v>11.52</v>
      </c>
      <c r="R17" s="197"/>
      <c r="S17" s="197"/>
      <c r="T17" s="197"/>
      <c r="U17" s="197"/>
    </row>
    <row r="18" spans="1:21" s="12" customFormat="1" x14ac:dyDescent="0.25">
      <c r="A18" s="200" t="s">
        <v>1409</v>
      </c>
      <c r="B18" s="60">
        <v>3.84</v>
      </c>
      <c r="C18" s="60">
        <v>6.75</v>
      </c>
      <c r="D18" s="60">
        <v>10.59</v>
      </c>
      <c r="E18" s="60">
        <v>5.89</v>
      </c>
      <c r="F18" s="60">
        <v>0.52</v>
      </c>
      <c r="G18" s="215" t="s">
        <v>36</v>
      </c>
      <c r="H18" s="60">
        <v>4.42</v>
      </c>
      <c r="I18" s="60">
        <v>3.99</v>
      </c>
      <c r="J18" s="60">
        <v>7.0000000000000007E-2</v>
      </c>
      <c r="K18" s="60">
        <v>38.700000000000003</v>
      </c>
      <c r="L18" s="60">
        <v>33.020000000000003</v>
      </c>
      <c r="M18" s="60">
        <v>93.12</v>
      </c>
      <c r="N18" s="60">
        <v>14.9</v>
      </c>
      <c r="O18" s="60">
        <v>0</v>
      </c>
      <c r="P18" s="60">
        <v>3.48</v>
      </c>
      <c r="Q18" s="60">
        <v>11.17</v>
      </c>
      <c r="R18" s="197"/>
      <c r="S18" s="197"/>
      <c r="T18" s="197"/>
      <c r="U18" s="197"/>
    </row>
    <row r="19" spans="1:21" s="12" customFormat="1" x14ac:dyDescent="0.25">
      <c r="A19" s="200" t="s">
        <v>1410</v>
      </c>
      <c r="B19" s="60">
        <v>3.35</v>
      </c>
      <c r="C19" s="60">
        <v>6.94</v>
      </c>
      <c r="D19" s="60">
        <v>10.29</v>
      </c>
      <c r="E19" s="60">
        <v>5.91</v>
      </c>
      <c r="F19" s="60">
        <v>0.79</v>
      </c>
      <c r="G19" s="215" t="s">
        <v>36</v>
      </c>
      <c r="H19" s="60">
        <v>4.42</v>
      </c>
      <c r="I19" s="60">
        <v>3.94</v>
      </c>
      <c r="J19" s="60">
        <v>0.14000000000000001</v>
      </c>
      <c r="K19" s="60">
        <v>54.06</v>
      </c>
      <c r="L19" s="60">
        <v>32.909999999999997</v>
      </c>
      <c r="M19" s="60">
        <v>93.27</v>
      </c>
      <c r="N19" s="60">
        <v>14.9</v>
      </c>
      <c r="O19" s="60">
        <v>0</v>
      </c>
      <c r="P19" s="60">
        <v>3.47</v>
      </c>
      <c r="Q19" s="60">
        <v>11.58</v>
      </c>
      <c r="R19" s="197"/>
      <c r="S19" s="197"/>
      <c r="T19" s="197"/>
      <c r="U19" s="197"/>
    </row>
    <row r="20" spans="1:21" s="12" customFormat="1" x14ac:dyDescent="0.25">
      <c r="A20" s="200" t="s">
        <v>1411</v>
      </c>
      <c r="B20" s="60">
        <v>2.88</v>
      </c>
      <c r="C20" s="60">
        <v>7.09</v>
      </c>
      <c r="D20" s="60">
        <v>9.9700000000000006</v>
      </c>
      <c r="E20" s="60">
        <v>5.63</v>
      </c>
      <c r="F20" s="60">
        <v>0.76</v>
      </c>
      <c r="G20" s="215" t="s">
        <v>36</v>
      </c>
      <c r="H20" s="60">
        <v>4.42</v>
      </c>
      <c r="I20" s="60">
        <v>3.88</v>
      </c>
      <c r="J20" s="60">
        <v>0.11</v>
      </c>
      <c r="K20" s="60">
        <v>61.69</v>
      </c>
      <c r="L20" s="60">
        <v>32.96</v>
      </c>
      <c r="M20" s="60">
        <v>93.38</v>
      </c>
      <c r="N20" s="60">
        <v>14.9</v>
      </c>
      <c r="O20" s="60">
        <v>0</v>
      </c>
      <c r="P20" s="60">
        <v>3.45</v>
      </c>
      <c r="Q20" s="60">
        <v>11.19</v>
      </c>
      <c r="R20" s="197"/>
      <c r="S20" s="197"/>
      <c r="T20" s="197"/>
      <c r="U20" s="197"/>
    </row>
    <row r="21" spans="1:21" s="12" customFormat="1" x14ac:dyDescent="0.25">
      <c r="A21" s="200" t="s">
        <v>1412</v>
      </c>
      <c r="B21" s="60">
        <v>2.5099999999999998</v>
      </c>
      <c r="C21" s="60">
        <v>7.17</v>
      </c>
      <c r="D21" s="60">
        <v>9.68</v>
      </c>
      <c r="E21" s="60">
        <v>5.38</v>
      </c>
      <c r="F21" s="60">
        <v>0.57999999999999996</v>
      </c>
      <c r="G21" s="215" t="s">
        <v>36</v>
      </c>
      <c r="H21" s="60">
        <v>4.18</v>
      </c>
      <c r="I21" s="60">
        <v>3.74</v>
      </c>
      <c r="J21" s="60">
        <v>0.03</v>
      </c>
      <c r="K21" s="60">
        <v>8.91</v>
      </c>
      <c r="L21" s="60">
        <v>32.85</v>
      </c>
      <c r="M21" s="60">
        <v>93.92</v>
      </c>
      <c r="N21" s="60">
        <v>15</v>
      </c>
      <c r="O21" s="60">
        <v>0.2</v>
      </c>
      <c r="P21" s="60">
        <v>3.43</v>
      </c>
      <c r="Q21" s="60">
        <v>10.66</v>
      </c>
      <c r="R21" s="197"/>
      <c r="S21" s="197"/>
      <c r="T21" s="197"/>
      <c r="U21" s="197"/>
    </row>
    <row r="22" spans="1:21" s="12" customFormat="1" x14ac:dyDescent="0.25">
      <c r="A22" s="200" t="s">
        <v>1413</v>
      </c>
      <c r="B22" s="60">
        <v>2.1800000000000002</v>
      </c>
      <c r="C22" s="60">
        <v>7.07</v>
      </c>
      <c r="D22" s="60">
        <v>9.24</v>
      </c>
      <c r="E22" s="60">
        <v>5.51</v>
      </c>
      <c r="F22" s="60">
        <v>0.51</v>
      </c>
      <c r="G22" s="215" t="s">
        <v>36</v>
      </c>
      <c r="H22" s="60">
        <v>3.59</v>
      </c>
      <c r="I22" s="60">
        <v>3.62</v>
      </c>
      <c r="J22" s="60">
        <v>0.14000000000000001</v>
      </c>
      <c r="K22" s="60">
        <v>50.95</v>
      </c>
      <c r="L22" s="60">
        <v>32.92</v>
      </c>
      <c r="M22" s="60">
        <v>91.25</v>
      </c>
      <c r="N22" s="60">
        <v>15</v>
      </c>
      <c r="O22" s="60">
        <v>0</v>
      </c>
      <c r="P22" s="60">
        <v>3.42</v>
      </c>
      <c r="Q22" s="60">
        <v>10.11</v>
      </c>
      <c r="R22" s="197"/>
      <c r="S22" s="197"/>
      <c r="T22" s="197"/>
      <c r="U22" s="197"/>
    </row>
    <row r="23" spans="1:21" s="12" customFormat="1" x14ac:dyDescent="0.25">
      <c r="A23" s="200" t="s">
        <v>1414</v>
      </c>
      <c r="B23" s="60">
        <v>1.77</v>
      </c>
      <c r="C23" s="60">
        <v>7.09</v>
      </c>
      <c r="D23" s="60">
        <v>8.86</v>
      </c>
      <c r="E23" s="60">
        <v>5.59</v>
      </c>
      <c r="F23" s="60">
        <v>0.87</v>
      </c>
      <c r="G23" s="215" t="s">
        <v>36</v>
      </c>
      <c r="H23" s="60">
        <v>3.59</v>
      </c>
      <c r="I23" s="60">
        <v>3.48</v>
      </c>
      <c r="J23" s="60">
        <v>0.08</v>
      </c>
      <c r="K23" s="60">
        <v>70.42</v>
      </c>
      <c r="L23" s="60">
        <v>32.82</v>
      </c>
      <c r="M23" s="60">
        <v>91.6</v>
      </c>
      <c r="N23" s="60">
        <v>14.9</v>
      </c>
      <c r="O23" s="60">
        <v>0</v>
      </c>
      <c r="P23" s="60">
        <v>3.4</v>
      </c>
      <c r="Q23" s="60">
        <v>9.84</v>
      </c>
      <c r="R23" s="197"/>
      <c r="S23" s="197"/>
      <c r="T23" s="197"/>
      <c r="U23" s="197"/>
    </row>
    <row r="24" spans="1:21" s="12" customFormat="1" x14ac:dyDescent="0.25">
      <c r="A24" s="200" t="s">
        <v>1415</v>
      </c>
      <c r="B24" s="60">
        <v>1.55</v>
      </c>
      <c r="C24" s="60">
        <v>7.23</v>
      </c>
      <c r="D24" s="60">
        <v>8.7799999999999994</v>
      </c>
      <c r="E24" s="60">
        <v>1.87</v>
      </c>
      <c r="F24" s="60">
        <v>0.43</v>
      </c>
      <c r="G24" s="215" t="s">
        <v>36</v>
      </c>
      <c r="H24" s="60">
        <v>3.59</v>
      </c>
      <c r="I24" s="60">
        <v>3.4</v>
      </c>
      <c r="J24" s="60">
        <v>0.01</v>
      </c>
      <c r="K24" s="60">
        <v>25.96</v>
      </c>
      <c r="L24" s="60">
        <v>32.72</v>
      </c>
      <c r="M24" s="60">
        <v>92.61</v>
      </c>
      <c r="N24" s="60">
        <v>14.8</v>
      </c>
      <c r="O24" s="60">
        <v>0</v>
      </c>
      <c r="P24" s="60">
        <v>3.39</v>
      </c>
      <c r="Q24" s="60">
        <v>9.4700000000000006</v>
      </c>
      <c r="R24" s="197"/>
      <c r="S24" s="197"/>
      <c r="T24" s="197"/>
      <c r="U24" s="197"/>
    </row>
    <row r="25" spans="1:21" s="12" customFormat="1" x14ac:dyDescent="0.25">
      <c r="A25" s="200" t="s">
        <v>1416</v>
      </c>
      <c r="B25" s="60">
        <v>1.42</v>
      </c>
      <c r="C25" s="60">
        <v>6.61</v>
      </c>
      <c r="D25" s="60">
        <v>8.0299999999999994</v>
      </c>
      <c r="E25" s="60">
        <v>4.1900000000000004</v>
      </c>
      <c r="F25" s="60">
        <v>0.36</v>
      </c>
      <c r="G25" s="215" t="s">
        <v>36</v>
      </c>
      <c r="H25" s="60">
        <v>3.34</v>
      </c>
      <c r="I25" s="60">
        <v>3.22</v>
      </c>
      <c r="J25" s="60">
        <v>0.12</v>
      </c>
      <c r="K25" s="60">
        <v>67.87</v>
      </c>
      <c r="L25" s="60">
        <v>32.799999999999997</v>
      </c>
      <c r="M25" s="60">
        <v>92.86</v>
      </c>
      <c r="N25" s="60">
        <v>14.7</v>
      </c>
      <c r="O25" s="60">
        <v>0.2</v>
      </c>
      <c r="P25" s="60">
        <v>3.38</v>
      </c>
      <c r="Q25" s="60">
        <v>9.2899999999999991</v>
      </c>
      <c r="R25" s="197"/>
      <c r="S25" s="197"/>
      <c r="T25" s="197"/>
      <c r="U25" s="197"/>
    </row>
    <row r="26" spans="1:21" s="12" customFormat="1" x14ac:dyDescent="0.25">
      <c r="A26" s="200" t="s">
        <v>1417</v>
      </c>
      <c r="B26" s="60">
        <v>1.35</v>
      </c>
      <c r="C26" s="60">
        <v>6.31</v>
      </c>
      <c r="D26" s="60">
        <v>7.66</v>
      </c>
      <c r="E26" s="60">
        <v>4.67</v>
      </c>
      <c r="F26" s="60">
        <v>0.47</v>
      </c>
      <c r="G26" s="215" t="s">
        <v>36</v>
      </c>
      <c r="H26" s="60">
        <v>2.71</v>
      </c>
      <c r="I26" s="60">
        <v>3.2</v>
      </c>
      <c r="J26" s="60">
        <v>0.13</v>
      </c>
      <c r="K26" s="60">
        <v>63.86</v>
      </c>
      <c r="L26" s="60">
        <v>32.799999999999997</v>
      </c>
      <c r="M26" s="60">
        <v>94.42</v>
      </c>
      <c r="N26" s="60">
        <v>14.7</v>
      </c>
      <c r="O26" s="60">
        <v>0</v>
      </c>
      <c r="P26" s="60">
        <v>3.37</v>
      </c>
      <c r="Q26" s="60">
        <v>8.59</v>
      </c>
      <c r="R26" s="197"/>
      <c r="S26" s="197"/>
      <c r="T26" s="197"/>
      <c r="U26" s="197"/>
    </row>
    <row r="27" spans="1:21" s="12" customFormat="1" x14ac:dyDescent="0.25">
      <c r="A27" s="200" t="s">
        <v>1418</v>
      </c>
      <c r="B27" s="60">
        <v>1.32</v>
      </c>
      <c r="C27" s="60">
        <v>6.4</v>
      </c>
      <c r="D27" s="60">
        <v>7.72</v>
      </c>
      <c r="E27" s="60">
        <v>4.79</v>
      </c>
      <c r="F27" s="60">
        <v>0.63</v>
      </c>
      <c r="G27" s="215" t="s">
        <v>36</v>
      </c>
      <c r="H27" s="60">
        <v>2.71</v>
      </c>
      <c r="I27" s="60">
        <v>3.12</v>
      </c>
      <c r="J27" s="60">
        <v>0.19</v>
      </c>
      <c r="K27" s="60">
        <v>71.599999999999994</v>
      </c>
      <c r="L27" s="60">
        <v>32.909999999999997</v>
      </c>
      <c r="M27" s="60">
        <v>94.28</v>
      </c>
      <c r="N27" s="60">
        <v>14.8</v>
      </c>
      <c r="O27" s="60">
        <v>0.2</v>
      </c>
      <c r="P27" s="60">
        <v>3.35</v>
      </c>
      <c r="Q27" s="60">
        <v>8.44</v>
      </c>
      <c r="R27" s="197"/>
      <c r="S27" s="197"/>
      <c r="T27" s="197"/>
      <c r="U27" s="197"/>
    </row>
    <row r="28" spans="1:21" s="12" customFormat="1" x14ac:dyDescent="0.25">
      <c r="A28" s="200" t="s">
        <v>1419</v>
      </c>
      <c r="B28" s="60">
        <v>1.32</v>
      </c>
      <c r="C28" s="60">
        <v>6.66</v>
      </c>
      <c r="D28" s="60">
        <v>7.98</v>
      </c>
      <c r="E28" s="60">
        <v>4.5599999999999996</v>
      </c>
      <c r="F28" s="60">
        <v>0.56999999999999995</v>
      </c>
      <c r="G28" s="215" t="s">
        <v>36</v>
      </c>
      <c r="H28" s="60">
        <v>2.71</v>
      </c>
      <c r="I28" s="60">
        <v>3.05</v>
      </c>
      <c r="J28" s="60">
        <v>0.22</v>
      </c>
      <c r="K28" s="60">
        <v>57.23</v>
      </c>
      <c r="L28" s="60">
        <v>32.909999999999997</v>
      </c>
      <c r="M28" s="60">
        <v>95.62</v>
      </c>
      <c r="N28" s="60">
        <v>14.9</v>
      </c>
      <c r="O28" s="60">
        <v>0.2</v>
      </c>
      <c r="P28" s="60">
        <v>3.34</v>
      </c>
      <c r="Q28" s="60">
        <v>8.52</v>
      </c>
      <c r="R28" s="197"/>
      <c r="S28" s="197"/>
      <c r="T28" s="197"/>
      <c r="U28" s="197"/>
    </row>
    <row r="29" spans="1:21" s="12" customFormat="1" x14ac:dyDescent="0.25">
      <c r="A29" s="200" t="s">
        <v>1420</v>
      </c>
      <c r="B29" s="60">
        <v>1.42</v>
      </c>
      <c r="C29" s="60">
        <v>7.18</v>
      </c>
      <c r="D29" s="60">
        <v>8.6</v>
      </c>
      <c r="E29" s="60">
        <v>4.26</v>
      </c>
      <c r="F29" s="60">
        <v>0.26</v>
      </c>
      <c r="G29" s="215" t="s">
        <v>36</v>
      </c>
      <c r="H29" s="60">
        <v>2.92</v>
      </c>
      <c r="I29" s="60">
        <v>3.01</v>
      </c>
      <c r="J29" s="60">
        <v>0.16</v>
      </c>
      <c r="K29" s="60">
        <v>21.73</v>
      </c>
      <c r="L29" s="60">
        <v>32.79</v>
      </c>
      <c r="M29" s="60">
        <v>98.09</v>
      </c>
      <c r="N29" s="60">
        <v>15</v>
      </c>
      <c r="O29" s="60">
        <v>0</v>
      </c>
      <c r="P29" s="60">
        <v>3.35</v>
      </c>
      <c r="Q29" s="60">
        <v>8.6199999999999992</v>
      </c>
      <c r="R29" s="197"/>
      <c r="S29" s="197"/>
      <c r="T29" s="197"/>
      <c r="U29" s="197"/>
    </row>
    <row r="30" spans="1:21" s="12" customFormat="1" x14ac:dyDescent="0.25">
      <c r="A30" s="200" t="s">
        <v>1421</v>
      </c>
      <c r="B30" s="60">
        <v>1.65</v>
      </c>
      <c r="C30" s="60">
        <v>7.33</v>
      </c>
      <c r="D30" s="60">
        <v>8.98</v>
      </c>
      <c r="E30" s="60">
        <v>4.8</v>
      </c>
      <c r="F30" s="60">
        <v>0.28000000000000003</v>
      </c>
      <c r="G30" s="215" t="s">
        <v>36</v>
      </c>
      <c r="H30" s="60">
        <v>3.42</v>
      </c>
      <c r="I30" s="60">
        <v>3.05</v>
      </c>
      <c r="J30" s="60">
        <v>0.2</v>
      </c>
      <c r="K30" s="60">
        <v>8.01</v>
      </c>
      <c r="L30" s="60">
        <v>33.07</v>
      </c>
      <c r="M30" s="60">
        <v>98.57</v>
      </c>
      <c r="N30" s="60">
        <v>15.2</v>
      </c>
      <c r="O30" s="60">
        <v>0.4</v>
      </c>
      <c r="P30" s="60">
        <v>3.38</v>
      </c>
      <c r="Q30" s="60">
        <v>8.81</v>
      </c>
      <c r="R30" s="197"/>
      <c r="S30" s="197"/>
      <c r="T30" s="197"/>
      <c r="U30" s="197"/>
    </row>
    <row r="31" spans="1:21" s="12" customFormat="1" x14ac:dyDescent="0.25">
      <c r="A31" s="200" t="s">
        <v>1422</v>
      </c>
      <c r="B31" s="60">
        <v>1.84</v>
      </c>
      <c r="C31" s="60">
        <v>7.43</v>
      </c>
      <c r="D31" s="60">
        <v>9.27</v>
      </c>
      <c r="E31" s="60">
        <v>4.93</v>
      </c>
      <c r="F31" s="60">
        <v>0.39</v>
      </c>
      <c r="G31" s="215" t="s">
        <v>36</v>
      </c>
      <c r="H31" s="60">
        <v>3.42</v>
      </c>
      <c r="I31" s="60">
        <v>3.26</v>
      </c>
      <c r="J31" s="60">
        <v>0.28999999999999998</v>
      </c>
      <c r="K31" s="60">
        <v>333.04</v>
      </c>
      <c r="L31" s="60">
        <v>33.28</v>
      </c>
      <c r="M31" s="60">
        <v>99.02</v>
      </c>
      <c r="N31" s="60">
        <v>15.7</v>
      </c>
      <c r="O31" s="60">
        <v>0.4</v>
      </c>
      <c r="P31" s="60">
        <v>3.38</v>
      </c>
      <c r="Q31" s="60">
        <v>8.86</v>
      </c>
      <c r="R31" s="197"/>
      <c r="S31" s="197"/>
      <c r="T31" s="197"/>
      <c r="U31" s="197"/>
    </row>
    <row r="32" spans="1:21" s="12" customFormat="1" x14ac:dyDescent="0.25">
      <c r="A32" s="200" t="s">
        <v>1423</v>
      </c>
      <c r="B32" s="60">
        <v>2.04</v>
      </c>
      <c r="C32" s="60">
        <v>7.42</v>
      </c>
      <c r="D32" s="60">
        <v>9.4600000000000009</v>
      </c>
      <c r="E32" s="60">
        <v>5.0199999999999996</v>
      </c>
      <c r="F32" s="60">
        <v>0.63</v>
      </c>
      <c r="G32" s="215" t="s">
        <v>36</v>
      </c>
      <c r="H32" s="60">
        <v>3.42</v>
      </c>
      <c r="I32" s="60">
        <v>3.59</v>
      </c>
      <c r="J32" s="60">
        <v>0.18</v>
      </c>
      <c r="K32" s="60">
        <v>3.87</v>
      </c>
      <c r="L32" s="60">
        <v>36.630000000000003</v>
      </c>
      <c r="M32" s="60">
        <v>99.13</v>
      </c>
      <c r="N32" s="60">
        <v>20.6</v>
      </c>
      <c r="O32" s="60">
        <v>0.8</v>
      </c>
      <c r="P32" s="60">
        <v>3.37</v>
      </c>
      <c r="Q32" s="60">
        <v>9.11</v>
      </c>
      <c r="R32" s="197"/>
      <c r="S32" s="197"/>
      <c r="T32" s="197"/>
      <c r="U32" s="197"/>
    </row>
    <row r="33" spans="1:21" s="12" customFormat="1" x14ac:dyDescent="0.25">
      <c r="A33" s="200" t="s">
        <v>1424</v>
      </c>
      <c r="B33" s="60">
        <v>2.34</v>
      </c>
      <c r="C33" s="60">
        <v>8.3800000000000008</v>
      </c>
      <c r="D33" s="60">
        <v>10.72</v>
      </c>
      <c r="E33" s="60">
        <v>5.0999999999999996</v>
      </c>
      <c r="F33" s="60">
        <v>0.5</v>
      </c>
      <c r="G33" s="215" t="s">
        <v>36</v>
      </c>
      <c r="H33" s="60">
        <v>3.24</v>
      </c>
      <c r="I33" s="60">
        <v>3.71</v>
      </c>
      <c r="J33" s="60">
        <v>0.25</v>
      </c>
      <c r="K33" s="60">
        <v>355.57</v>
      </c>
      <c r="L33" s="60">
        <v>39.96</v>
      </c>
      <c r="M33" s="60">
        <v>99.13</v>
      </c>
      <c r="N33" s="60">
        <v>33</v>
      </c>
      <c r="O33" s="60">
        <v>0.4</v>
      </c>
      <c r="P33" s="60">
        <v>3.38</v>
      </c>
      <c r="Q33" s="60">
        <v>9.83</v>
      </c>
      <c r="R33" s="197"/>
      <c r="S33" s="197"/>
      <c r="T33" s="197"/>
      <c r="U33" s="197"/>
    </row>
    <row r="34" spans="1:21" s="12" customFormat="1" x14ac:dyDescent="0.25">
      <c r="A34" s="200" t="s">
        <v>1425</v>
      </c>
      <c r="B34" s="60">
        <v>2.63</v>
      </c>
      <c r="C34" s="60">
        <v>8.52</v>
      </c>
      <c r="D34" s="60">
        <v>11.14</v>
      </c>
      <c r="E34" s="60">
        <v>4.93</v>
      </c>
      <c r="F34" s="60">
        <v>0.38</v>
      </c>
      <c r="G34" s="215" t="s">
        <v>36</v>
      </c>
      <c r="H34" s="60">
        <v>2.81</v>
      </c>
      <c r="I34" s="60">
        <v>3.67</v>
      </c>
      <c r="J34" s="60">
        <v>0.35</v>
      </c>
      <c r="K34" s="60">
        <v>342.68</v>
      </c>
      <c r="L34" s="60">
        <v>37.42</v>
      </c>
      <c r="M34" s="60">
        <v>99.11</v>
      </c>
      <c r="N34" s="60">
        <v>46.6</v>
      </c>
      <c r="O34" s="60">
        <v>0.4</v>
      </c>
      <c r="P34" s="60">
        <v>3.38</v>
      </c>
      <c r="Q34" s="60">
        <v>9.74</v>
      </c>
      <c r="R34" s="197"/>
      <c r="S34" s="197"/>
      <c r="T34" s="197"/>
      <c r="U34" s="197"/>
    </row>
    <row r="35" spans="1:21" s="12" customFormat="1" x14ac:dyDescent="0.25">
      <c r="A35" s="200" t="s">
        <v>1426</v>
      </c>
      <c r="B35" s="60">
        <v>2.84</v>
      </c>
      <c r="C35" s="60">
        <v>8.6300000000000008</v>
      </c>
      <c r="D35" s="60">
        <v>11.48</v>
      </c>
      <c r="E35" s="60">
        <v>4.6100000000000003</v>
      </c>
      <c r="F35" s="60">
        <v>0.4</v>
      </c>
      <c r="G35" s="215" t="s">
        <v>36</v>
      </c>
      <c r="H35" s="60">
        <v>2.81</v>
      </c>
      <c r="I35" s="60">
        <v>3.63</v>
      </c>
      <c r="J35" s="60">
        <v>0.27</v>
      </c>
      <c r="K35" s="60">
        <v>10.43</v>
      </c>
      <c r="L35" s="60">
        <v>36.49</v>
      </c>
      <c r="M35" s="60">
        <v>99.12</v>
      </c>
      <c r="N35" s="60">
        <v>48.5</v>
      </c>
      <c r="O35" s="60">
        <v>0</v>
      </c>
      <c r="P35" s="60">
        <v>3.38</v>
      </c>
      <c r="Q35" s="60">
        <v>9.73</v>
      </c>
      <c r="R35" s="197"/>
      <c r="S35" s="197"/>
      <c r="T35" s="197"/>
      <c r="U35" s="197"/>
    </row>
    <row r="36" spans="1:21" s="12" customFormat="1" x14ac:dyDescent="0.25">
      <c r="A36" s="200" t="s">
        <v>1427</v>
      </c>
      <c r="B36" s="60">
        <v>3.12</v>
      </c>
      <c r="C36" s="60">
        <v>8.64</v>
      </c>
      <c r="D36" s="60">
        <v>11.75</v>
      </c>
      <c r="E36" s="60">
        <v>4.5999999999999996</v>
      </c>
      <c r="F36" s="60">
        <v>0.47</v>
      </c>
      <c r="G36" s="215" t="s">
        <v>36</v>
      </c>
      <c r="H36" s="60">
        <v>2.81</v>
      </c>
      <c r="I36" s="60">
        <v>3.53</v>
      </c>
      <c r="J36" s="60">
        <v>0.44</v>
      </c>
      <c r="K36" s="60">
        <v>327.93</v>
      </c>
      <c r="L36" s="60">
        <v>34.46</v>
      </c>
      <c r="M36" s="60">
        <v>99.04</v>
      </c>
      <c r="N36" s="60">
        <v>32</v>
      </c>
      <c r="O36" s="60">
        <v>0.4</v>
      </c>
      <c r="P36" s="60">
        <v>3.37</v>
      </c>
      <c r="Q36" s="60">
        <v>9.93</v>
      </c>
      <c r="R36" s="197"/>
      <c r="S36" s="197"/>
      <c r="T36" s="197"/>
      <c r="U36" s="197"/>
    </row>
    <row r="37" spans="1:21" s="12" customFormat="1" x14ac:dyDescent="0.25">
      <c r="A37" s="200" t="s">
        <v>1428</v>
      </c>
      <c r="B37" s="60">
        <v>3.52</v>
      </c>
      <c r="C37" s="60">
        <v>8.9600000000000009</v>
      </c>
      <c r="D37" s="60">
        <v>12.48</v>
      </c>
      <c r="E37" s="60">
        <v>4.6900000000000004</v>
      </c>
      <c r="F37" s="60">
        <v>0.26</v>
      </c>
      <c r="G37" s="215" t="s">
        <v>36</v>
      </c>
      <c r="H37" s="60">
        <v>2.71</v>
      </c>
      <c r="I37" s="60">
        <v>3.51</v>
      </c>
      <c r="J37" s="60">
        <v>0.22</v>
      </c>
      <c r="K37" s="60">
        <v>352.8</v>
      </c>
      <c r="L37" s="60">
        <v>34.200000000000003</v>
      </c>
      <c r="M37" s="60">
        <v>99.14</v>
      </c>
      <c r="N37" s="60">
        <v>52.9</v>
      </c>
      <c r="O37" s="60">
        <v>0.2</v>
      </c>
      <c r="P37" s="60">
        <v>3.38</v>
      </c>
      <c r="Q37" s="60">
        <v>9.9</v>
      </c>
      <c r="R37" s="197"/>
      <c r="S37" s="197"/>
      <c r="T37" s="197"/>
      <c r="U37" s="197"/>
    </row>
    <row r="38" spans="1:21" s="12" customFormat="1" x14ac:dyDescent="0.25">
      <c r="A38" s="200" t="s">
        <v>1429</v>
      </c>
      <c r="B38" s="60">
        <v>4.43</v>
      </c>
      <c r="C38" s="60">
        <v>9.35</v>
      </c>
      <c r="D38" s="60">
        <v>13.78</v>
      </c>
      <c r="E38" s="60">
        <v>4.45</v>
      </c>
      <c r="F38" s="60">
        <v>0.18</v>
      </c>
      <c r="G38" s="215" t="s">
        <v>36</v>
      </c>
      <c r="H38" s="60">
        <v>2.48</v>
      </c>
      <c r="I38" s="60">
        <v>3.46</v>
      </c>
      <c r="J38" s="60">
        <v>0.32</v>
      </c>
      <c r="K38" s="60">
        <v>329.05</v>
      </c>
      <c r="L38" s="60">
        <v>34.700000000000003</v>
      </c>
      <c r="M38" s="60">
        <v>99.15</v>
      </c>
      <c r="N38" s="60">
        <v>57.9</v>
      </c>
      <c r="O38" s="60">
        <v>0.4</v>
      </c>
      <c r="P38" s="60">
        <v>3.4</v>
      </c>
      <c r="Q38" s="60">
        <v>10.210000000000001</v>
      </c>
      <c r="R38" s="197"/>
      <c r="S38" s="197"/>
      <c r="T38" s="197"/>
      <c r="U38" s="197"/>
    </row>
    <row r="39" spans="1:21" s="12" customFormat="1" x14ac:dyDescent="0.25">
      <c r="A39" s="200" t="s">
        <v>1430</v>
      </c>
      <c r="B39" s="60">
        <v>5.14</v>
      </c>
      <c r="C39" s="60">
        <v>9.3699999999999992</v>
      </c>
      <c r="D39" s="60">
        <v>14.51</v>
      </c>
      <c r="E39" s="60">
        <v>4.9000000000000004</v>
      </c>
      <c r="F39" s="60">
        <v>0.37</v>
      </c>
      <c r="G39" s="215" t="s">
        <v>36</v>
      </c>
      <c r="H39" s="60">
        <v>2.48</v>
      </c>
      <c r="I39" s="60">
        <v>3.48</v>
      </c>
      <c r="J39" s="60">
        <v>0.23</v>
      </c>
      <c r="K39" s="60">
        <v>6.37</v>
      </c>
      <c r="L39" s="60">
        <v>34.58</v>
      </c>
      <c r="M39" s="60">
        <v>99.13</v>
      </c>
      <c r="N39" s="60">
        <v>48.9</v>
      </c>
      <c r="O39" s="60">
        <v>0.2</v>
      </c>
      <c r="P39" s="60">
        <v>3.44</v>
      </c>
      <c r="Q39" s="60">
        <v>10.71</v>
      </c>
      <c r="R39" s="197"/>
      <c r="S39" s="197"/>
      <c r="T39" s="197"/>
      <c r="U39" s="197"/>
    </row>
    <row r="40" spans="1:21" s="12" customFormat="1" x14ac:dyDescent="0.25">
      <c r="A40" s="200" t="s">
        <v>1431</v>
      </c>
      <c r="B40" s="60">
        <v>5.69</v>
      </c>
      <c r="C40" s="60">
        <v>9.11</v>
      </c>
      <c r="D40" s="60">
        <v>14.8</v>
      </c>
      <c r="E40" s="60">
        <v>1.38</v>
      </c>
      <c r="F40" s="60">
        <v>0.13</v>
      </c>
      <c r="G40" s="215" t="s">
        <v>36</v>
      </c>
      <c r="H40" s="60">
        <v>2.48</v>
      </c>
      <c r="I40" s="60">
        <v>3.48</v>
      </c>
      <c r="J40" s="60">
        <v>0.11</v>
      </c>
      <c r="K40" s="60">
        <v>16.940000000000001</v>
      </c>
      <c r="L40" s="60">
        <v>34.86</v>
      </c>
      <c r="M40" s="60">
        <v>99.13</v>
      </c>
      <c r="N40" s="60">
        <v>46.6</v>
      </c>
      <c r="O40" s="60">
        <v>0</v>
      </c>
      <c r="P40" s="60">
        <v>3.48</v>
      </c>
      <c r="Q40" s="60">
        <v>10.57</v>
      </c>
      <c r="R40" s="197"/>
      <c r="S40" s="197"/>
      <c r="T40" s="197"/>
      <c r="U40" s="197"/>
    </row>
    <row r="41" spans="1:21" s="12" customFormat="1" x14ac:dyDescent="0.25">
      <c r="A41" s="200" t="s">
        <v>1432</v>
      </c>
      <c r="B41" s="60">
        <v>6.6</v>
      </c>
      <c r="C41" s="60">
        <v>9.17</v>
      </c>
      <c r="D41" s="60">
        <v>15.77</v>
      </c>
      <c r="E41" s="60">
        <v>3.19</v>
      </c>
      <c r="F41" s="60">
        <v>0.23</v>
      </c>
      <c r="G41" s="215" t="s">
        <v>36</v>
      </c>
      <c r="H41" s="60">
        <v>2.35</v>
      </c>
      <c r="I41" s="60">
        <v>3.5</v>
      </c>
      <c r="J41" s="60">
        <v>0.12</v>
      </c>
      <c r="K41" s="60">
        <v>3.14</v>
      </c>
      <c r="L41" s="60">
        <v>35.299999999999997</v>
      </c>
      <c r="M41" s="60">
        <v>99.12</v>
      </c>
      <c r="N41" s="60">
        <v>51.6</v>
      </c>
      <c r="O41" s="60">
        <v>0</v>
      </c>
      <c r="P41" s="60">
        <v>3.51</v>
      </c>
      <c r="Q41" s="60">
        <v>10.98</v>
      </c>
      <c r="R41" s="197"/>
      <c r="S41" s="197"/>
      <c r="T41" s="197"/>
      <c r="U41" s="197"/>
    </row>
    <row r="42" spans="1:21" s="12" customFormat="1" x14ac:dyDescent="0.25">
      <c r="A42" s="200" t="s">
        <v>1433</v>
      </c>
      <c r="B42" s="60">
        <v>7.95</v>
      </c>
      <c r="C42" s="60">
        <v>9.27</v>
      </c>
      <c r="D42" s="60">
        <v>17.22</v>
      </c>
      <c r="E42" s="60">
        <v>3.9</v>
      </c>
      <c r="F42" s="60">
        <v>0.17</v>
      </c>
      <c r="G42" s="215" t="s">
        <v>36</v>
      </c>
      <c r="H42" s="60">
        <v>2.0299999999999998</v>
      </c>
      <c r="I42" s="60">
        <v>3.71</v>
      </c>
      <c r="J42" s="60">
        <v>0.06</v>
      </c>
      <c r="K42" s="60">
        <v>19.07</v>
      </c>
      <c r="L42" s="60">
        <v>39.56</v>
      </c>
      <c r="M42" s="60">
        <v>99.12</v>
      </c>
      <c r="N42" s="60">
        <v>56.3</v>
      </c>
      <c r="O42" s="60">
        <v>0</v>
      </c>
      <c r="P42" s="60">
        <v>3.56</v>
      </c>
      <c r="Q42" s="60">
        <v>11.39</v>
      </c>
      <c r="R42" s="197"/>
      <c r="S42" s="197"/>
      <c r="T42" s="197"/>
      <c r="U42" s="197"/>
    </row>
    <row r="43" spans="1:21" s="12" customFormat="1" x14ac:dyDescent="0.25">
      <c r="A43" s="200" t="s">
        <v>1434</v>
      </c>
      <c r="B43" s="60">
        <v>9.36</v>
      </c>
      <c r="C43" s="60">
        <v>9.31</v>
      </c>
      <c r="D43" s="60">
        <v>18.670000000000002</v>
      </c>
      <c r="E43" s="60">
        <v>4.66</v>
      </c>
      <c r="F43" s="60">
        <v>0.13</v>
      </c>
      <c r="G43" s="215" t="s">
        <v>36</v>
      </c>
      <c r="H43" s="60">
        <v>2.0299999999999998</v>
      </c>
      <c r="I43" s="60">
        <v>4.0999999999999996</v>
      </c>
      <c r="J43" s="60">
        <v>0.12</v>
      </c>
      <c r="K43" s="60">
        <v>2.38</v>
      </c>
      <c r="L43" s="60">
        <v>38.340000000000003</v>
      </c>
      <c r="M43" s="60">
        <v>98.93</v>
      </c>
      <c r="N43" s="60">
        <v>69.2</v>
      </c>
      <c r="O43" s="60">
        <v>0</v>
      </c>
      <c r="P43" s="60">
        <v>3.61</v>
      </c>
      <c r="Q43" s="60">
        <v>11.95</v>
      </c>
      <c r="R43" s="197"/>
      <c r="S43" s="197"/>
      <c r="T43" s="197"/>
      <c r="U43" s="197"/>
    </row>
    <row r="44" spans="1:21" s="12" customFormat="1" x14ac:dyDescent="0.25">
      <c r="A44" s="200" t="s">
        <v>1435</v>
      </c>
      <c r="B44" s="60">
        <v>10.6</v>
      </c>
      <c r="C44" s="60">
        <v>9.27</v>
      </c>
      <c r="D44" s="60">
        <v>19.87</v>
      </c>
      <c r="E44" s="60">
        <v>4.92</v>
      </c>
      <c r="F44" s="60">
        <v>0.23</v>
      </c>
      <c r="G44" s="215" t="s">
        <v>36</v>
      </c>
      <c r="H44" s="60">
        <v>2.0299999999999998</v>
      </c>
      <c r="I44" s="60">
        <v>5</v>
      </c>
      <c r="J44" s="60">
        <v>0.24</v>
      </c>
      <c r="K44" s="60">
        <v>334.74</v>
      </c>
      <c r="L44" s="60">
        <v>33.729999999999997</v>
      </c>
      <c r="M44" s="60">
        <v>97.85</v>
      </c>
      <c r="N44" s="60">
        <v>107.1</v>
      </c>
      <c r="O44" s="60">
        <v>0</v>
      </c>
      <c r="P44" s="60">
        <v>3.67</v>
      </c>
      <c r="Q44" s="60">
        <v>12.66</v>
      </c>
      <c r="R44" s="197"/>
      <c r="S44" s="197"/>
      <c r="T44" s="197"/>
      <c r="U44" s="197"/>
    </row>
    <row r="45" spans="1:21" s="12" customFormat="1" x14ac:dyDescent="0.25">
      <c r="A45" s="200" t="s">
        <v>1436</v>
      </c>
      <c r="B45" s="60">
        <v>11.36</v>
      </c>
      <c r="C45" s="60">
        <v>9.57</v>
      </c>
      <c r="D45" s="60">
        <v>20.94</v>
      </c>
      <c r="E45" s="60">
        <v>5.39</v>
      </c>
      <c r="F45" s="60">
        <v>0.69</v>
      </c>
      <c r="G45" s="215" t="s">
        <v>36</v>
      </c>
      <c r="H45" s="60">
        <v>3.09</v>
      </c>
      <c r="I45" s="60">
        <v>5.43</v>
      </c>
      <c r="J45" s="60">
        <v>0.25</v>
      </c>
      <c r="K45" s="60">
        <v>348.47</v>
      </c>
      <c r="L45" s="60">
        <v>33.74</v>
      </c>
      <c r="M45" s="60">
        <v>93.77</v>
      </c>
      <c r="N45" s="60">
        <v>153</v>
      </c>
      <c r="O45" s="60">
        <v>0</v>
      </c>
      <c r="P45" s="60">
        <v>3.73</v>
      </c>
      <c r="Q45" s="60">
        <v>13.09</v>
      </c>
      <c r="R45" s="197"/>
      <c r="S45" s="197"/>
      <c r="T45" s="197"/>
      <c r="U45" s="197"/>
    </row>
    <row r="46" spans="1:21" s="12" customFormat="1" x14ac:dyDescent="0.25">
      <c r="A46" s="200" t="s">
        <v>1437</v>
      </c>
      <c r="B46" s="60">
        <v>11.31</v>
      </c>
      <c r="C46" s="60">
        <v>10.37</v>
      </c>
      <c r="D46" s="60">
        <v>21.68</v>
      </c>
      <c r="E46" s="60">
        <v>4.5999999999999996</v>
      </c>
      <c r="F46" s="60">
        <v>0.22</v>
      </c>
      <c r="G46" s="215" t="s">
        <v>36</v>
      </c>
      <c r="H46" s="60">
        <v>5.68</v>
      </c>
      <c r="I46" s="60">
        <v>5.91</v>
      </c>
      <c r="J46" s="60">
        <v>0.22</v>
      </c>
      <c r="K46" s="60">
        <v>8.1300000000000008</v>
      </c>
      <c r="L46" s="60">
        <v>33.729999999999997</v>
      </c>
      <c r="M46" s="60">
        <v>92.66</v>
      </c>
      <c r="N46" s="60">
        <v>119.6</v>
      </c>
      <c r="O46" s="60">
        <v>0</v>
      </c>
      <c r="P46" s="60">
        <v>3.73</v>
      </c>
      <c r="Q46" s="60">
        <v>12.9</v>
      </c>
      <c r="R46" s="197"/>
      <c r="S46" s="197"/>
      <c r="T46" s="197"/>
      <c r="U46" s="197"/>
    </row>
    <row r="47" spans="1:21" s="12" customFormat="1" x14ac:dyDescent="0.25">
      <c r="A47" s="200" t="s">
        <v>1438</v>
      </c>
      <c r="B47" s="60">
        <v>11.09</v>
      </c>
      <c r="C47" s="60">
        <v>10.89</v>
      </c>
      <c r="D47" s="60">
        <v>21.98</v>
      </c>
      <c r="E47" s="60">
        <v>4.93</v>
      </c>
      <c r="F47" s="60">
        <v>0.47</v>
      </c>
      <c r="G47" s="215" t="s">
        <v>36</v>
      </c>
      <c r="H47" s="60">
        <v>5.68</v>
      </c>
      <c r="I47" s="60">
        <v>6.17</v>
      </c>
      <c r="J47" s="60">
        <v>0.2</v>
      </c>
      <c r="K47" s="60">
        <v>0.02</v>
      </c>
      <c r="L47" s="60">
        <v>33.92</v>
      </c>
      <c r="M47" s="60">
        <v>92.66</v>
      </c>
      <c r="N47" s="60">
        <v>134.69999999999999</v>
      </c>
      <c r="O47" s="60">
        <v>0</v>
      </c>
      <c r="P47" s="60">
        <v>3.73</v>
      </c>
      <c r="Q47" s="60">
        <v>13.13</v>
      </c>
      <c r="R47" s="197"/>
      <c r="S47" s="197"/>
      <c r="T47" s="197"/>
      <c r="U47" s="197"/>
    </row>
    <row r="48" spans="1:21" s="12" customFormat="1" x14ac:dyDescent="0.25">
      <c r="A48" s="200" t="s">
        <v>1439</v>
      </c>
      <c r="B48" s="60">
        <v>11.61</v>
      </c>
      <c r="C48" s="60">
        <v>11.2</v>
      </c>
      <c r="D48" s="60">
        <v>22.8</v>
      </c>
      <c r="E48" s="60">
        <v>4.6399999999999997</v>
      </c>
      <c r="F48" s="60">
        <v>0.33</v>
      </c>
      <c r="G48" s="215" t="s">
        <v>36</v>
      </c>
      <c r="H48" s="60">
        <v>5.68</v>
      </c>
      <c r="I48" s="60">
        <v>6.13</v>
      </c>
      <c r="J48" s="60">
        <v>0.19</v>
      </c>
      <c r="K48" s="60">
        <v>16.91</v>
      </c>
      <c r="L48" s="60">
        <v>34.1</v>
      </c>
      <c r="M48" s="60">
        <v>91.6</v>
      </c>
      <c r="N48" s="60">
        <v>179.3</v>
      </c>
      <c r="O48" s="60">
        <v>0</v>
      </c>
      <c r="P48" s="60">
        <v>3.74</v>
      </c>
      <c r="Q48" s="60">
        <v>13.45</v>
      </c>
      <c r="R48" s="197"/>
      <c r="S48" s="197"/>
      <c r="T48" s="197"/>
      <c r="U48" s="197"/>
    </row>
    <row r="49" spans="1:21" s="12" customFormat="1" x14ac:dyDescent="0.25">
      <c r="A49" s="200" t="s">
        <v>1440</v>
      </c>
      <c r="B49" s="60">
        <v>12.15</v>
      </c>
      <c r="C49" s="60">
        <v>11.66</v>
      </c>
      <c r="D49" s="60">
        <v>23.8</v>
      </c>
      <c r="E49" s="60">
        <v>4.9000000000000004</v>
      </c>
      <c r="F49" s="60">
        <v>0.28999999999999998</v>
      </c>
      <c r="G49" s="215" t="s">
        <v>36</v>
      </c>
      <c r="H49" s="60">
        <v>6.32</v>
      </c>
      <c r="I49" s="60">
        <v>5.94</v>
      </c>
      <c r="J49" s="60">
        <v>0.15</v>
      </c>
      <c r="K49" s="60">
        <v>350.08</v>
      </c>
      <c r="L49" s="60">
        <v>34.450000000000003</v>
      </c>
      <c r="M49" s="60">
        <v>90.11</v>
      </c>
      <c r="N49" s="60">
        <v>287.5</v>
      </c>
      <c r="O49" s="60">
        <v>0</v>
      </c>
      <c r="P49" s="60">
        <v>3.76</v>
      </c>
      <c r="Q49" s="60">
        <v>13.69</v>
      </c>
      <c r="R49" s="197"/>
      <c r="S49" s="197"/>
      <c r="T49" s="197"/>
      <c r="U49" s="197"/>
    </row>
    <row r="50" spans="1:21" s="12" customFormat="1" x14ac:dyDescent="0.25">
      <c r="A50" s="200" t="s">
        <v>1441</v>
      </c>
      <c r="B50" s="60">
        <v>12.59</v>
      </c>
      <c r="C50" s="60">
        <v>12.11</v>
      </c>
      <c r="D50" s="60">
        <v>24.69</v>
      </c>
      <c r="E50" s="60">
        <v>4.6100000000000003</v>
      </c>
      <c r="F50" s="60">
        <v>0.08</v>
      </c>
      <c r="G50" s="215" t="s">
        <v>36</v>
      </c>
      <c r="H50" s="60">
        <v>7.88</v>
      </c>
      <c r="I50" s="60">
        <v>5.85</v>
      </c>
      <c r="J50" s="60">
        <v>0.18</v>
      </c>
      <c r="K50" s="60">
        <v>18.190000000000001</v>
      </c>
      <c r="L50" s="60">
        <v>34.82</v>
      </c>
      <c r="M50" s="60">
        <v>87.56</v>
      </c>
      <c r="N50" s="60">
        <v>282.8</v>
      </c>
      <c r="O50" s="60">
        <v>0</v>
      </c>
      <c r="P50" s="60">
        <v>3.78</v>
      </c>
      <c r="Q50" s="60">
        <v>13.63</v>
      </c>
      <c r="R50" s="197"/>
      <c r="S50" s="197"/>
      <c r="T50" s="197"/>
      <c r="U50" s="197"/>
    </row>
    <row r="51" spans="1:21" s="12" customFormat="1" x14ac:dyDescent="0.25">
      <c r="A51" s="200" t="s">
        <v>1442</v>
      </c>
      <c r="B51" s="60">
        <v>12.41</v>
      </c>
      <c r="C51" s="60">
        <v>12.44</v>
      </c>
      <c r="D51" s="60">
        <v>24.85</v>
      </c>
      <c r="E51" s="60">
        <v>4.0999999999999996</v>
      </c>
      <c r="F51" s="60">
        <v>0.3</v>
      </c>
      <c r="G51" s="215" t="s">
        <v>36</v>
      </c>
      <c r="H51" s="60">
        <v>7.88</v>
      </c>
      <c r="I51" s="60">
        <v>5.79</v>
      </c>
      <c r="J51" s="60">
        <v>0.11</v>
      </c>
      <c r="K51" s="60">
        <v>11.92</v>
      </c>
      <c r="L51" s="60">
        <v>34.630000000000003</v>
      </c>
      <c r="M51" s="60">
        <v>88.3</v>
      </c>
      <c r="N51" s="60">
        <v>231.6</v>
      </c>
      <c r="O51" s="60">
        <v>0</v>
      </c>
      <c r="P51" s="60">
        <v>3.77</v>
      </c>
      <c r="Q51" s="60">
        <v>13.76</v>
      </c>
      <c r="R51" s="197"/>
      <c r="S51" s="197"/>
      <c r="T51" s="197"/>
      <c r="U51" s="197"/>
    </row>
    <row r="52" spans="1:21" s="12" customFormat="1" x14ac:dyDescent="0.25">
      <c r="A52" s="200" t="s">
        <v>1443</v>
      </c>
      <c r="B52" s="60">
        <v>12.33</v>
      </c>
      <c r="C52" s="60">
        <v>13.02</v>
      </c>
      <c r="D52" s="60">
        <v>25.34</v>
      </c>
      <c r="E52" s="60">
        <v>3.87</v>
      </c>
      <c r="F52" s="60">
        <v>0.27</v>
      </c>
      <c r="G52" s="215" t="s">
        <v>36</v>
      </c>
      <c r="H52" s="60">
        <v>7.88</v>
      </c>
      <c r="I52" s="60">
        <v>5.78</v>
      </c>
      <c r="J52" s="60">
        <v>0.09</v>
      </c>
      <c r="K52" s="60">
        <v>61.34</v>
      </c>
      <c r="L52" s="60">
        <v>34.549999999999997</v>
      </c>
      <c r="M52" s="60">
        <v>88.54</v>
      </c>
      <c r="N52" s="60">
        <v>252.7</v>
      </c>
      <c r="O52" s="60">
        <v>0</v>
      </c>
      <c r="P52" s="60">
        <v>3.8</v>
      </c>
      <c r="Q52" s="60">
        <v>13.66</v>
      </c>
      <c r="R52" s="197"/>
      <c r="S52" s="197"/>
      <c r="T52" s="197"/>
      <c r="U52" s="197"/>
    </row>
    <row r="53" spans="1:21" s="12" customFormat="1" x14ac:dyDescent="0.25">
      <c r="A53" s="200" t="s">
        <v>1444</v>
      </c>
      <c r="B53" s="60">
        <v>12.42</v>
      </c>
      <c r="C53" s="60">
        <v>13.32</v>
      </c>
      <c r="D53" s="60">
        <v>25.74</v>
      </c>
      <c r="E53" s="60">
        <v>4.47</v>
      </c>
      <c r="F53" s="60">
        <v>0.13</v>
      </c>
      <c r="G53" s="215" t="s">
        <v>36</v>
      </c>
      <c r="H53" s="60">
        <v>7.94</v>
      </c>
      <c r="I53" s="60">
        <v>5.66</v>
      </c>
      <c r="J53" s="60">
        <v>0.18</v>
      </c>
      <c r="K53" s="60">
        <v>40.94</v>
      </c>
      <c r="L53" s="60">
        <v>35.03</v>
      </c>
      <c r="M53" s="60">
        <v>86.31</v>
      </c>
      <c r="N53" s="60">
        <v>283</v>
      </c>
      <c r="O53" s="60">
        <v>0</v>
      </c>
      <c r="P53" s="60">
        <v>3.82</v>
      </c>
      <c r="Q53" s="60">
        <v>13.61</v>
      </c>
      <c r="R53" s="197"/>
      <c r="S53" s="197"/>
      <c r="T53" s="197"/>
      <c r="U53" s="197"/>
    </row>
    <row r="54" spans="1:21" s="12" customFormat="1" x14ac:dyDescent="0.25">
      <c r="A54" s="200" t="s">
        <v>1445</v>
      </c>
      <c r="B54" s="60">
        <v>12.64</v>
      </c>
      <c r="C54" s="60">
        <v>13.39</v>
      </c>
      <c r="D54" s="60">
        <v>26.03</v>
      </c>
      <c r="E54" s="60">
        <v>4.43</v>
      </c>
      <c r="F54" s="60">
        <v>0.19</v>
      </c>
      <c r="G54" s="215" t="s">
        <v>36</v>
      </c>
      <c r="H54" s="60">
        <v>8.07</v>
      </c>
      <c r="I54" s="60">
        <v>5.76</v>
      </c>
      <c r="J54" s="60">
        <v>0.21</v>
      </c>
      <c r="K54" s="60">
        <v>15.67</v>
      </c>
      <c r="L54" s="60">
        <v>35.31</v>
      </c>
      <c r="M54" s="60">
        <v>85.95</v>
      </c>
      <c r="N54" s="60">
        <v>241.2</v>
      </c>
      <c r="O54" s="60">
        <v>0</v>
      </c>
      <c r="P54" s="60">
        <v>3.84</v>
      </c>
      <c r="Q54" s="60">
        <v>13.82</v>
      </c>
      <c r="R54" s="197"/>
      <c r="S54" s="197"/>
      <c r="T54" s="197"/>
      <c r="U54" s="197"/>
    </row>
    <row r="55" spans="1:21" s="12" customFormat="1" x14ac:dyDescent="0.25">
      <c r="A55" s="200" t="s">
        <v>1446</v>
      </c>
      <c r="B55" s="60">
        <v>12.84</v>
      </c>
      <c r="C55" s="60">
        <v>13.3</v>
      </c>
      <c r="D55" s="60">
        <v>26.14</v>
      </c>
      <c r="E55" s="60">
        <v>3.9</v>
      </c>
      <c r="F55" s="60">
        <v>0.28000000000000003</v>
      </c>
      <c r="G55" s="215" t="s">
        <v>36</v>
      </c>
      <c r="H55" s="60">
        <v>8.07</v>
      </c>
      <c r="I55" s="60">
        <v>5.88</v>
      </c>
      <c r="J55" s="60">
        <v>0.19</v>
      </c>
      <c r="K55" s="60">
        <v>347.41</v>
      </c>
      <c r="L55" s="60">
        <v>35.200000000000003</v>
      </c>
      <c r="M55" s="60">
        <v>85</v>
      </c>
      <c r="N55" s="60">
        <v>199.6</v>
      </c>
      <c r="O55" s="60">
        <v>0</v>
      </c>
      <c r="P55" s="60">
        <v>3.86</v>
      </c>
      <c r="Q55" s="60">
        <v>13.72</v>
      </c>
      <c r="R55" s="197"/>
      <c r="S55" s="197"/>
      <c r="T55" s="197"/>
      <c r="U55" s="197"/>
    </row>
    <row r="56" spans="1:21" s="12" customFormat="1" x14ac:dyDescent="0.25">
      <c r="A56" s="200" t="s">
        <v>1447</v>
      </c>
      <c r="B56" s="60">
        <v>12.83</v>
      </c>
      <c r="C56" s="60">
        <v>13.75</v>
      </c>
      <c r="D56" s="60">
        <v>26.57</v>
      </c>
      <c r="E56" s="60">
        <v>1.94</v>
      </c>
      <c r="F56" s="60">
        <v>0.28000000000000003</v>
      </c>
      <c r="G56" s="215" t="s">
        <v>36</v>
      </c>
      <c r="H56" s="60">
        <v>8.07</v>
      </c>
      <c r="I56" s="60">
        <v>5.95</v>
      </c>
      <c r="J56" s="60">
        <v>0.26</v>
      </c>
      <c r="K56" s="60">
        <v>354.7</v>
      </c>
      <c r="L56" s="60">
        <v>35.67</v>
      </c>
      <c r="M56" s="60">
        <v>82.29</v>
      </c>
      <c r="N56" s="60">
        <v>249.6</v>
      </c>
      <c r="O56" s="60">
        <v>0</v>
      </c>
      <c r="P56" s="60">
        <v>3.87</v>
      </c>
      <c r="Q56" s="60">
        <v>13.56</v>
      </c>
      <c r="R56" s="197"/>
      <c r="S56" s="197"/>
      <c r="T56" s="197"/>
      <c r="U56" s="197"/>
    </row>
    <row r="57" spans="1:21" s="12" customFormat="1" x14ac:dyDescent="0.25">
      <c r="A57" s="200" t="s">
        <v>1448</v>
      </c>
      <c r="B57" s="60">
        <v>12.5</v>
      </c>
      <c r="C57" s="60">
        <v>14.28</v>
      </c>
      <c r="D57" s="60">
        <v>26.78</v>
      </c>
      <c r="E57" s="60">
        <v>3.79</v>
      </c>
      <c r="F57" s="60">
        <v>0.24</v>
      </c>
      <c r="G57" s="215" t="s">
        <v>36</v>
      </c>
      <c r="H57" s="60">
        <v>10.44</v>
      </c>
      <c r="I57" s="60">
        <v>5.98</v>
      </c>
      <c r="J57" s="60">
        <v>0.2</v>
      </c>
      <c r="K57" s="60">
        <v>347.14</v>
      </c>
      <c r="L57" s="60">
        <v>35.5</v>
      </c>
      <c r="M57" s="60">
        <v>82.68</v>
      </c>
      <c r="N57" s="60">
        <v>161.19999999999999</v>
      </c>
      <c r="O57" s="60">
        <v>0</v>
      </c>
      <c r="P57" s="60">
        <v>3.86</v>
      </c>
      <c r="Q57" s="60">
        <v>13.5</v>
      </c>
      <c r="R57" s="197"/>
      <c r="S57" s="197"/>
      <c r="T57" s="197"/>
      <c r="U57" s="197"/>
    </row>
    <row r="58" spans="1:21" s="12" customFormat="1" x14ac:dyDescent="0.25">
      <c r="A58" s="200" t="s">
        <v>1449</v>
      </c>
      <c r="B58" s="60">
        <v>12.22</v>
      </c>
      <c r="C58" s="60">
        <v>14.54</v>
      </c>
      <c r="D58" s="60">
        <v>26.76</v>
      </c>
      <c r="E58" s="60">
        <v>4.6500000000000004</v>
      </c>
      <c r="F58" s="60">
        <v>0.23</v>
      </c>
      <c r="G58" s="215" t="s">
        <v>36</v>
      </c>
      <c r="H58" s="60">
        <v>16.29</v>
      </c>
      <c r="I58" s="60">
        <v>6.02</v>
      </c>
      <c r="J58" s="60">
        <v>0.18</v>
      </c>
      <c r="K58" s="60">
        <v>46.17</v>
      </c>
      <c r="L58" s="60">
        <v>35.42</v>
      </c>
      <c r="M58" s="60">
        <v>82.35</v>
      </c>
      <c r="N58" s="60">
        <v>296.89999999999998</v>
      </c>
      <c r="O58" s="60">
        <v>0</v>
      </c>
      <c r="P58" s="60">
        <v>3.85</v>
      </c>
      <c r="Q58" s="60">
        <v>13.49</v>
      </c>
      <c r="R58" s="197"/>
      <c r="S58" s="197"/>
      <c r="T58" s="197"/>
      <c r="U58" s="197"/>
    </row>
    <row r="59" spans="1:21" s="12" customFormat="1" x14ac:dyDescent="0.25">
      <c r="A59" s="200" t="s">
        <v>1450</v>
      </c>
      <c r="B59" s="60">
        <v>11.62</v>
      </c>
      <c r="C59" s="60">
        <v>15.08</v>
      </c>
      <c r="D59" s="60">
        <v>26.7</v>
      </c>
      <c r="E59" s="60">
        <v>4.49</v>
      </c>
      <c r="F59" s="60">
        <v>0.53</v>
      </c>
      <c r="G59" s="215" t="s">
        <v>36</v>
      </c>
      <c r="H59" s="60">
        <v>16.29</v>
      </c>
      <c r="I59" s="60">
        <v>5.93</v>
      </c>
      <c r="J59" s="60">
        <v>0.19</v>
      </c>
      <c r="K59" s="60">
        <v>338.48</v>
      </c>
      <c r="L59" s="60">
        <v>36.01</v>
      </c>
      <c r="M59" s="60">
        <v>80.709999999999994</v>
      </c>
      <c r="N59" s="60">
        <v>241.9</v>
      </c>
      <c r="O59" s="60">
        <v>0</v>
      </c>
      <c r="P59" s="60">
        <v>3.84</v>
      </c>
      <c r="Q59" s="60">
        <v>13.38</v>
      </c>
      <c r="R59" s="197"/>
      <c r="S59" s="197"/>
      <c r="T59" s="197"/>
      <c r="U59" s="197"/>
    </row>
    <row r="60" spans="1:21" s="12" customFormat="1" x14ac:dyDescent="0.25">
      <c r="A60" s="200" t="s">
        <v>1451</v>
      </c>
      <c r="B60" s="60">
        <v>10.95</v>
      </c>
      <c r="C60" s="60">
        <v>15.32</v>
      </c>
      <c r="D60" s="60">
        <v>26.27</v>
      </c>
      <c r="E60" s="60">
        <v>5.34</v>
      </c>
      <c r="F60" s="60">
        <v>0.37</v>
      </c>
      <c r="G60" s="215" t="s">
        <v>36</v>
      </c>
      <c r="H60" s="60">
        <v>16.29</v>
      </c>
      <c r="I60" s="60">
        <v>5.81</v>
      </c>
      <c r="J60" s="60">
        <v>0.14000000000000001</v>
      </c>
      <c r="K60" s="60">
        <v>25.75</v>
      </c>
      <c r="L60" s="60">
        <v>35.75</v>
      </c>
      <c r="M60" s="60">
        <v>81.17</v>
      </c>
      <c r="N60" s="60">
        <v>208.8</v>
      </c>
      <c r="O60" s="60">
        <v>0</v>
      </c>
      <c r="P60" s="60">
        <v>3.84</v>
      </c>
      <c r="Q60" s="60">
        <v>12.97</v>
      </c>
      <c r="R60" s="197"/>
      <c r="S60" s="197"/>
      <c r="T60" s="197"/>
      <c r="U60" s="197"/>
    </row>
    <row r="61" spans="1:21" s="12" customFormat="1" x14ac:dyDescent="0.25">
      <c r="A61" s="200" t="s">
        <v>1452</v>
      </c>
      <c r="B61" s="60">
        <v>10.29</v>
      </c>
      <c r="C61" s="60">
        <v>15.58</v>
      </c>
      <c r="D61" s="60">
        <v>25.87</v>
      </c>
      <c r="E61" s="60">
        <v>5.49</v>
      </c>
      <c r="F61" s="60">
        <v>0.44</v>
      </c>
      <c r="G61" s="215" t="s">
        <v>36</v>
      </c>
      <c r="H61" s="60">
        <v>15.05</v>
      </c>
      <c r="I61" s="60">
        <v>5.7</v>
      </c>
      <c r="J61" s="60">
        <v>0.25</v>
      </c>
      <c r="K61" s="60">
        <v>357.15</v>
      </c>
      <c r="L61" s="60">
        <v>35.19</v>
      </c>
      <c r="M61" s="60">
        <v>83.84</v>
      </c>
      <c r="N61" s="60">
        <v>195.5</v>
      </c>
      <c r="O61" s="60">
        <v>0.2</v>
      </c>
      <c r="P61" s="60">
        <v>3.83</v>
      </c>
      <c r="Q61" s="60">
        <v>13</v>
      </c>
      <c r="R61" s="197"/>
      <c r="S61" s="197"/>
      <c r="T61" s="197"/>
      <c r="U61" s="197"/>
    </row>
    <row r="62" spans="1:21" s="12" customFormat="1" x14ac:dyDescent="0.25">
      <c r="A62" s="200" t="s">
        <v>1453</v>
      </c>
      <c r="B62" s="60">
        <v>9.9499999999999993</v>
      </c>
      <c r="C62" s="60">
        <v>15.78</v>
      </c>
      <c r="D62" s="60">
        <v>25.73</v>
      </c>
      <c r="E62" s="60">
        <v>4.8099999999999996</v>
      </c>
      <c r="F62" s="60">
        <v>0.42</v>
      </c>
      <c r="G62" s="215" t="s">
        <v>36</v>
      </c>
      <c r="H62" s="60">
        <v>11.99</v>
      </c>
      <c r="I62" s="60">
        <v>5.62</v>
      </c>
      <c r="J62" s="60">
        <v>0.2</v>
      </c>
      <c r="K62" s="60">
        <v>357.82</v>
      </c>
      <c r="L62" s="60">
        <v>35.19</v>
      </c>
      <c r="M62" s="60">
        <v>84.55</v>
      </c>
      <c r="N62" s="60">
        <v>204.1</v>
      </c>
      <c r="O62" s="60">
        <v>0</v>
      </c>
      <c r="P62" s="60">
        <v>3.82</v>
      </c>
      <c r="Q62" s="60">
        <v>12.61</v>
      </c>
      <c r="R62" s="197"/>
      <c r="S62" s="197"/>
      <c r="T62" s="197"/>
      <c r="U62" s="197"/>
    </row>
    <row r="63" spans="1:21" s="12" customFormat="1" x14ac:dyDescent="0.25">
      <c r="A63" s="200" t="s">
        <v>1454</v>
      </c>
      <c r="B63" s="60">
        <v>9.8800000000000008</v>
      </c>
      <c r="C63" s="60">
        <v>15.48</v>
      </c>
      <c r="D63" s="60">
        <v>25.36</v>
      </c>
      <c r="E63" s="60">
        <v>4.71</v>
      </c>
      <c r="F63" s="60">
        <v>0.49</v>
      </c>
      <c r="G63" s="215" t="s">
        <v>36</v>
      </c>
      <c r="H63" s="60">
        <v>11.99</v>
      </c>
      <c r="I63" s="60">
        <v>5.43</v>
      </c>
      <c r="J63" s="60">
        <v>0.15</v>
      </c>
      <c r="K63" s="60">
        <v>37.42</v>
      </c>
      <c r="L63" s="60">
        <v>34.65</v>
      </c>
      <c r="M63" s="60">
        <v>86.06</v>
      </c>
      <c r="N63" s="60">
        <v>143.1</v>
      </c>
      <c r="O63" s="60">
        <v>0</v>
      </c>
      <c r="P63" s="60">
        <v>3.82</v>
      </c>
      <c r="Q63" s="60">
        <v>13.01</v>
      </c>
      <c r="R63" s="197"/>
      <c r="S63" s="197"/>
      <c r="T63" s="197"/>
      <c r="U63" s="197"/>
    </row>
    <row r="64" spans="1:21" s="12" customFormat="1" x14ac:dyDescent="0.25">
      <c r="A64" s="200" t="s">
        <v>1455</v>
      </c>
      <c r="B64" s="60">
        <v>9.58</v>
      </c>
      <c r="C64" s="60">
        <v>15.5</v>
      </c>
      <c r="D64" s="60">
        <v>25.08</v>
      </c>
      <c r="E64" s="60">
        <v>4.78</v>
      </c>
      <c r="F64" s="60">
        <v>0.4</v>
      </c>
      <c r="G64" s="215" t="s">
        <v>36</v>
      </c>
      <c r="H64" s="60">
        <v>11.99</v>
      </c>
      <c r="I64" s="60">
        <v>5.36</v>
      </c>
      <c r="J64" s="60">
        <v>0.09</v>
      </c>
      <c r="K64" s="60">
        <v>24.72</v>
      </c>
      <c r="L64" s="60">
        <v>34.56</v>
      </c>
      <c r="M64" s="60">
        <v>86.49</v>
      </c>
      <c r="N64" s="60">
        <v>190.1</v>
      </c>
      <c r="O64" s="60">
        <v>0</v>
      </c>
      <c r="P64" s="60">
        <v>3.81</v>
      </c>
      <c r="Q64" s="60">
        <v>12.59</v>
      </c>
      <c r="R64" s="197"/>
      <c r="S64" s="197"/>
      <c r="T64" s="197"/>
      <c r="U64" s="197"/>
    </row>
    <row r="65" spans="1:21" s="12" customFormat="1" x14ac:dyDescent="0.25">
      <c r="A65" s="200" t="s">
        <v>1456</v>
      </c>
      <c r="B65" s="60">
        <v>9.17</v>
      </c>
      <c r="C65" s="60">
        <v>15.43</v>
      </c>
      <c r="D65" s="60">
        <v>24.6</v>
      </c>
      <c r="E65" s="60">
        <v>5.34</v>
      </c>
      <c r="F65" s="60">
        <v>0.23</v>
      </c>
      <c r="G65" s="215" t="s">
        <v>36</v>
      </c>
      <c r="H65" s="60">
        <v>12.46</v>
      </c>
      <c r="I65" s="60">
        <v>5.44</v>
      </c>
      <c r="J65" s="60">
        <v>0.17</v>
      </c>
      <c r="K65" s="60">
        <v>43.47</v>
      </c>
      <c r="L65" s="60">
        <v>34.86</v>
      </c>
      <c r="M65" s="60">
        <v>85.11</v>
      </c>
      <c r="N65" s="60">
        <v>192.9</v>
      </c>
      <c r="O65" s="60">
        <v>0</v>
      </c>
      <c r="P65" s="60">
        <v>3.81</v>
      </c>
      <c r="Q65" s="60">
        <v>12.33</v>
      </c>
      <c r="R65" s="197"/>
      <c r="S65" s="197"/>
      <c r="T65" s="197"/>
      <c r="U65" s="197"/>
    </row>
    <row r="66" spans="1:21" s="12" customFormat="1" x14ac:dyDescent="0.25">
      <c r="A66" s="200" t="s">
        <v>1457</v>
      </c>
      <c r="B66" s="60">
        <v>8.9700000000000006</v>
      </c>
      <c r="C66" s="60">
        <v>15.52</v>
      </c>
      <c r="D66" s="60">
        <v>24.49</v>
      </c>
      <c r="E66" s="60">
        <v>5.0999999999999996</v>
      </c>
      <c r="F66" s="60">
        <v>0.33</v>
      </c>
      <c r="G66" s="215" t="s">
        <v>36</v>
      </c>
      <c r="H66" s="60">
        <v>13.64</v>
      </c>
      <c r="I66" s="60">
        <v>5.46</v>
      </c>
      <c r="J66" s="60">
        <v>0.13</v>
      </c>
      <c r="K66" s="60">
        <v>31.92</v>
      </c>
      <c r="L66" s="60">
        <v>34.520000000000003</v>
      </c>
      <c r="M66" s="60">
        <v>87.37</v>
      </c>
      <c r="N66" s="60">
        <v>71.8</v>
      </c>
      <c r="O66" s="60">
        <v>0.2</v>
      </c>
      <c r="P66" s="60">
        <v>3.8</v>
      </c>
      <c r="Q66" s="60">
        <v>12.2</v>
      </c>
      <c r="R66" s="197"/>
      <c r="S66" s="197"/>
      <c r="T66" s="197"/>
      <c r="U66" s="197"/>
    </row>
    <row r="67" spans="1:21" s="12" customFormat="1" x14ac:dyDescent="0.25">
      <c r="A67" s="200" t="s">
        <v>1458</v>
      </c>
      <c r="B67" s="60">
        <v>9.0399999999999991</v>
      </c>
      <c r="C67" s="60">
        <v>15.66</v>
      </c>
      <c r="D67" s="60">
        <v>24.7</v>
      </c>
      <c r="E67" s="60">
        <v>5.08</v>
      </c>
      <c r="F67" s="60">
        <v>0.34</v>
      </c>
      <c r="G67" s="215" t="s">
        <v>36</v>
      </c>
      <c r="H67" s="60">
        <v>13.64</v>
      </c>
      <c r="I67" s="60">
        <v>5.46</v>
      </c>
      <c r="J67" s="60">
        <v>0.22</v>
      </c>
      <c r="K67" s="60">
        <v>36.85</v>
      </c>
      <c r="L67" s="60">
        <v>33.81</v>
      </c>
      <c r="M67" s="60">
        <v>91.36</v>
      </c>
      <c r="N67" s="60">
        <v>101.3</v>
      </c>
      <c r="O67" s="60">
        <v>0.8</v>
      </c>
      <c r="P67" s="60">
        <v>3.8</v>
      </c>
      <c r="Q67" s="60">
        <v>12.13</v>
      </c>
      <c r="R67" s="197"/>
      <c r="S67" s="197"/>
      <c r="T67" s="197"/>
      <c r="U67" s="197"/>
    </row>
    <row r="68" spans="1:21" s="12" customFormat="1" x14ac:dyDescent="0.25">
      <c r="A68" s="200" t="s">
        <v>1459</v>
      </c>
      <c r="B68" s="60">
        <v>9.77</v>
      </c>
      <c r="C68" s="60">
        <v>15.63</v>
      </c>
      <c r="D68" s="60">
        <v>25.4</v>
      </c>
      <c r="E68" s="60">
        <v>4.47</v>
      </c>
      <c r="F68" s="60">
        <v>0.35</v>
      </c>
      <c r="G68" s="215" t="s">
        <v>36</v>
      </c>
      <c r="H68" s="60">
        <v>13.64</v>
      </c>
      <c r="I68" s="60">
        <v>5.41</v>
      </c>
      <c r="J68" s="60">
        <v>0.14000000000000001</v>
      </c>
      <c r="K68" s="60">
        <v>2.5499999999999998</v>
      </c>
      <c r="L68" s="60">
        <v>33.35</v>
      </c>
      <c r="M68" s="60">
        <v>96.07</v>
      </c>
      <c r="N68" s="60">
        <v>82.7</v>
      </c>
      <c r="O68" s="60">
        <v>0.8</v>
      </c>
      <c r="P68" s="60">
        <v>3.81</v>
      </c>
      <c r="Q68" s="60">
        <v>12.46</v>
      </c>
      <c r="R68" s="197"/>
      <c r="S68" s="197"/>
      <c r="T68" s="197"/>
      <c r="U68" s="197"/>
    </row>
    <row r="69" spans="1:21" s="12" customFormat="1" x14ac:dyDescent="0.25">
      <c r="A69" s="200" t="s">
        <v>1460</v>
      </c>
      <c r="B69" s="60">
        <v>10.4</v>
      </c>
      <c r="C69" s="60">
        <v>15.03</v>
      </c>
      <c r="D69" s="60">
        <v>25.43</v>
      </c>
      <c r="E69" s="60">
        <v>4.3600000000000003</v>
      </c>
      <c r="F69" s="60">
        <v>0.27</v>
      </c>
      <c r="G69" s="215" t="s">
        <v>36</v>
      </c>
      <c r="H69" s="60">
        <v>13.46</v>
      </c>
      <c r="I69" s="60">
        <v>5.48</v>
      </c>
      <c r="J69" s="60">
        <v>0.12</v>
      </c>
      <c r="K69" s="60">
        <v>65.180000000000007</v>
      </c>
      <c r="L69" s="60">
        <v>33.07</v>
      </c>
      <c r="M69" s="60">
        <v>98.06</v>
      </c>
      <c r="N69" s="60">
        <v>58.5</v>
      </c>
      <c r="O69" s="60">
        <v>0.6</v>
      </c>
      <c r="P69" s="60">
        <v>3.82</v>
      </c>
      <c r="Q69" s="60">
        <v>12.44</v>
      </c>
      <c r="R69" s="197"/>
      <c r="S69" s="197"/>
      <c r="T69" s="197"/>
      <c r="U69" s="197"/>
    </row>
    <row r="70" spans="1:21" s="12" customFormat="1" x14ac:dyDescent="0.25">
      <c r="A70" s="200" t="s">
        <v>1461</v>
      </c>
      <c r="B70" s="60">
        <v>10.64</v>
      </c>
      <c r="C70" s="60">
        <v>15.18</v>
      </c>
      <c r="D70" s="60">
        <v>25.82</v>
      </c>
      <c r="E70" s="60">
        <v>4.3899999999999997</v>
      </c>
      <c r="F70" s="60">
        <v>0.18</v>
      </c>
      <c r="G70" s="215" t="s">
        <v>36</v>
      </c>
      <c r="H70" s="60">
        <v>13.01</v>
      </c>
      <c r="I70" s="60">
        <v>5.59</v>
      </c>
      <c r="J70" s="60">
        <v>0.02</v>
      </c>
      <c r="K70" s="60">
        <v>259.49</v>
      </c>
      <c r="L70" s="60">
        <v>32.54</v>
      </c>
      <c r="M70" s="60">
        <v>99.11</v>
      </c>
      <c r="N70" s="60">
        <v>35.5</v>
      </c>
      <c r="O70" s="60">
        <v>1</v>
      </c>
      <c r="P70" s="60">
        <v>3.86</v>
      </c>
      <c r="Q70" s="60">
        <v>12.19</v>
      </c>
      <c r="R70" s="197"/>
      <c r="S70" s="197"/>
      <c r="T70" s="197"/>
      <c r="U70" s="197"/>
    </row>
    <row r="71" spans="1:21" s="12" customFormat="1" x14ac:dyDescent="0.25">
      <c r="A71" s="200" t="s">
        <v>1462</v>
      </c>
      <c r="B71" s="60">
        <v>10.39</v>
      </c>
      <c r="C71" s="60">
        <v>15.17</v>
      </c>
      <c r="D71" s="60">
        <v>25.55</v>
      </c>
      <c r="E71" s="60">
        <v>4.9000000000000004</v>
      </c>
      <c r="F71" s="60">
        <v>0.32</v>
      </c>
      <c r="G71" s="215" t="s">
        <v>36</v>
      </c>
      <c r="H71" s="60">
        <v>13.01</v>
      </c>
      <c r="I71" s="60">
        <v>5.75</v>
      </c>
      <c r="J71" s="60">
        <v>0.03</v>
      </c>
      <c r="K71" s="60">
        <v>235.07</v>
      </c>
      <c r="L71" s="60">
        <v>32.380000000000003</v>
      </c>
      <c r="M71" s="60">
        <v>99.15</v>
      </c>
      <c r="N71" s="60">
        <v>33.5</v>
      </c>
      <c r="O71" s="60">
        <v>1</v>
      </c>
      <c r="P71" s="60">
        <v>3.9</v>
      </c>
      <c r="Q71" s="60">
        <v>12.07</v>
      </c>
      <c r="R71" s="197"/>
      <c r="S71" s="197"/>
      <c r="T71" s="197"/>
      <c r="U71" s="197"/>
    </row>
    <row r="72" spans="1:21" s="12" customFormat="1" x14ac:dyDescent="0.25">
      <c r="A72" s="200" t="s">
        <v>1463</v>
      </c>
      <c r="B72" s="60">
        <v>10.28</v>
      </c>
      <c r="C72" s="60">
        <v>14.51</v>
      </c>
      <c r="D72" s="60">
        <v>24.79</v>
      </c>
      <c r="E72" s="60">
        <v>1.97</v>
      </c>
      <c r="F72" s="60">
        <v>0.35</v>
      </c>
      <c r="G72" s="215" t="s">
        <v>36</v>
      </c>
      <c r="H72" s="60">
        <v>13.01</v>
      </c>
      <c r="I72" s="60">
        <v>6.05</v>
      </c>
      <c r="J72" s="60">
        <v>0.01</v>
      </c>
      <c r="K72" s="60">
        <v>79.22</v>
      </c>
      <c r="L72" s="60">
        <v>32.479999999999997</v>
      </c>
      <c r="M72" s="60">
        <v>99.15</v>
      </c>
      <c r="N72" s="60">
        <v>29.7</v>
      </c>
      <c r="O72" s="60">
        <v>1</v>
      </c>
      <c r="P72" s="60">
        <v>3.89</v>
      </c>
      <c r="Q72" s="60">
        <v>12.01</v>
      </c>
      <c r="R72" s="197"/>
      <c r="S72" s="197"/>
      <c r="T72" s="197"/>
      <c r="U72" s="197"/>
    </row>
    <row r="73" spans="1:21" s="12" customFormat="1" x14ac:dyDescent="0.25">
      <c r="A73" s="200" t="s">
        <v>1464</v>
      </c>
      <c r="B73" s="60">
        <v>10.199999999999999</v>
      </c>
      <c r="C73" s="60">
        <v>14.35</v>
      </c>
      <c r="D73" s="60">
        <v>24.55</v>
      </c>
      <c r="E73" s="60">
        <v>4.08</v>
      </c>
      <c r="F73" s="60">
        <v>0.13</v>
      </c>
      <c r="G73" s="215" t="s">
        <v>36</v>
      </c>
      <c r="H73" s="60">
        <v>12.88</v>
      </c>
      <c r="I73" s="60">
        <v>6.19</v>
      </c>
      <c r="J73" s="60">
        <v>0.06</v>
      </c>
      <c r="K73" s="60">
        <v>192.59</v>
      </c>
      <c r="L73" s="60">
        <v>32.4</v>
      </c>
      <c r="M73" s="60">
        <v>99.15</v>
      </c>
      <c r="N73" s="60">
        <v>36.799999999999997</v>
      </c>
      <c r="O73" s="60">
        <v>1.6</v>
      </c>
      <c r="P73" s="60">
        <v>3.88</v>
      </c>
      <c r="Q73" s="60">
        <v>11.97</v>
      </c>
      <c r="R73" s="197"/>
      <c r="S73" s="197"/>
      <c r="T73" s="197"/>
      <c r="U73" s="197"/>
    </row>
    <row r="74" spans="1:21" s="12" customFormat="1" x14ac:dyDescent="0.25">
      <c r="A74" s="200" t="s">
        <v>1465</v>
      </c>
      <c r="B74" s="60">
        <v>10.17</v>
      </c>
      <c r="C74" s="60">
        <v>13.69</v>
      </c>
      <c r="D74" s="60">
        <v>23.86</v>
      </c>
      <c r="E74" s="60">
        <v>5.05</v>
      </c>
      <c r="F74" s="60">
        <v>0.19</v>
      </c>
      <c r="G74" s="215" t="s">
        <v>36</v>
      </c>
      <c r="H74" s="60">
        <v>12.55</v>
      </c>
      <c r="I74" s="60">
        <v>6.24</v>
      </c>
      <c r="J74" s="60">
        <v>0.06</v>
      </c>
      <c r="K74" s="60">
        <v>215.64</v>
      </c>
      <c r="L74" s="60">
        <v>32.479999999999997</v>
      </c>
      <c r="M74" s="60">
        <v>99.15</v>
      </c>
      <c r="N74" s="60">
        <v>38.4</v>
      </c>
      <c r="O74" s="60">
        <v>1</v>
      </c>
      <c r="P74" s="60">
        <v>3.87</v>
      </c>
      <c r="Q74" s="60">
        <v>11.6</v>
      </c>
      <c r="R74" s="197"/>
      <c r="S74" s="197"/>
      <c r="T74" s="197"/>
      <c r="U74" s="197"/>
    </row>
    <row r="75" spans="1:21" s="12" customFormat="1" x14ac:dyDescent="0.25">
      <c r="A75" s="200" t="s">
        <v>1466</v>
      </c>
      <c r="B75" s="60">
        <v>10.33</v>
      </c>
      <c r="C75" s="60">
        <v>13.24</v>
      </c>
      <c r="D75" s="60">
        <v>23.57</v>
      </c>
      <c r="E75" s="60">
        <v>5.5</v>
      </c>
      <c r="F75" s="60">
        <v>0.21</v>
      </c>
      <c r="G75" s="215" t="s">
        <v>36</v>
      </c>
      <c r="H75" s="60">
        <v>12.55</v>
      </c>
      <c r="I75" s="60">
        <v>6.05</v>
      </c>
      <c r="J75" s="60">
        <v>0.12</v>
      </c>
      <c r="K75" s="60">
        <v>16.149999999999999</v>
      </c>
      <c r="L75" s="60">
        <v>32.53</v>
      </c>
      <c r="M75" s="60">
        <v>99.15</v>
      </c>
      <c r="N75" s="60">
        <v>45.5</v>
      </c>
      <c r="O75" s="60">
        <v>0.6</v>
      </c>
      <c r="P75" s="60">
        <v>3.86</v>
      </c>
      <c r="Q75" s="60">
        <v>11.63</v>
      </c>
      <c r="R75" s="197"/>
      <c r="S75" s="197"/>
      <c r="T75" s="197"/>
      <c r="U75" s="197"/>
    </row>
    <row r="76" spans="1:21" s="12" customFormat="1" x14ac:dyDescent="0.25">
      <c r="A76" s="200" t="s">
        <v>1467</v>
      </c>
      <c r="B76" s="60">
        <v>10.58</v>
      </c>
      <c r="C76" s="60">
        <v>13.45</v>
      </c>
      <c r="D76" s="60">
        <v>24.03</v>
      </c>
      <c r="E76" s="60">
        <v>5.79</v>
      </c>
      <c r="F76" s="60">
        <v>0.15</v>
      </c>
      <c r="G76" s="215" t="s">
        <v>36</v>
      </c>
      <c r="H76" s="60">
        <v>12.55</v>
      </c>
      <c r="I76" s="60">
        <v>5.64</v>
      </c>
      <c r="J76" s="60">
        <v>0.16</v>
      </c>
      <c r="K76" s="60">
        <v>9</v>
      </c>
      <c r="L76" s="60">
        <v>32.729999999999997</v>
      </c>
      <c r="M76" s="60">
        <v>99.15</v>
      </c>
      <c r="N76" s="60">
        <v>48.6</v>
      </c>
      <c r="O76" s="60">
        <v>0.4</v>
      </c>
      <c r="P76" s="60">
        <v>3.87</v>
      </c>
      <c r="Q76" s="60">
        <v>11.79</v>
      </c>
      <c r="R76" s="197"/>
      <c r="S76" s="197"/>
      <c r="T76" s="197"/>
      <c r="U76" s="197"/>
    </row>
    <row r="77" spans="1:21" s="12" customFormat="1" x14ac:dyDescent="0.25">
      <c r="A77" s="200" t="s">
        <v>1468</v>
      </c>
      <c r="B77" s="60">
        <v>10.85</v>
      </c>
      <c r="C77" s="60">
        <v>13.26</v>
      </c>
      <c r="D77" s="60">
        <v>24.11</v>
      </c>
      <c r="E77" s="60">
        <v>5.65</v>
      </c>
      <c r="F77" s="60">
        <v>0.51</v>
      </c>
      <c r="G77" s="215" t="s">
        <v>36</v>
      </c>
      <c r="H77" s="60">
        <v>13.47</v>
      </c>
      <c r="I77" s="60">
        <v>6.09</v>
      </c>
      <c r="J77" s="60">
        <v>0.03</v>
      </c>
      <c r="K77" s="60">
        <v>56.18</v>
      </c>
      <c r="L77" s="60">
        <v>32.700000000000003</v>
      </c>
      <c r="M77" s="60">
        <v>99.15</v>
      </c>
      <c r="N77" s="60">
        <v>33.200000000000003</v>
      </c>
      <c r="O77" s="60">
        <v>1.6</v>
      </c>
      <c r="P77" s="60">
        <v>3.87</v>
      </c>
      <c r="Q77" s="60">
        <v>12.33</v>
      </c>
      <c r="R77" s="197"/>
      <c r="S77" s="197"/>
      <c r="T77" s="197"/>
      <c r="U77" s="197"/>
    </row>
    <row r="78" spans="1:21" s="12" customFormat="1" x14ac:dyDescent="0.25">
      <c r="A78" s="200" t="s">
        <v>1469</v>
      </c>
      <c r="B78" s="60">
        <v>10.99</v>
      </c>
      <c r="C78" s="60">
        <v>13.41</v>
      </c>
      <c r="D78" s="60">
        <v>24.39</v>
      </c>
      <c r="E78" s="60">
        <v>6.06</v>
      </c>
      <c r="F78" s="60">
        <v>0.36</v>
      </c>
      <c r="G78" s="215" t="s">
        <v>36</v>
      </c>
      <c r="H78" s="60">
        <v>15.74</v>
      </c>
      <c r="I78" s="60">
        <v>6.12</v>
      </c>
      <c r="J78" s="60">
        <v>0.23</v>
      </c>
      <c r="K78" s="60">
        <v>230.77</v>
      </c>
      <c r="L78" s="60">
        <v>32.49</v>
      </c>
      <c r="M78" s="60">
        <v>99.15</v>
      </c>
      <c r="N78" s="60">
        <v>31.3</v>
      </c>
      <c r="O78" s="60">
        <v>0.2</v>
      </c>
      <c r="P78" s="60">
        <v>3.86</v>
      </c>
      <c r="Q78" s="60">
        <v>12.34</v>
      </c>
      <c r="R78" s="197"/>
      <c r="S78" s="197"/>
      <c r="T78" s="197"/>
      <c r="U78" s="197"/>
    </row>
    <row r="79" spans="1:21" s="12" customFormat="1" x14ac:dyDescent="0.25">
      <c r="A79" s="200" t="s">
        <v>1470</v>
      </c>
      <c r="B79" s="60">
        <v>10.43</v>
      </c>
      <c r="C79" s="60">
        <v>13.12</v>
      </c>
      <c r="D79" s="60">
        <v>23.55</v>
      </c>
      <c r="E79" s="60">
        <v>5.62</v>
      </c>
      <c r="F79" s="60">
        <v>0.21</v>
      </c>
      <c r="G79" s="215" t="s">
        <v>36</v>
      </c>
      <c r="H79" s="60">
        <v>15.74</v>
      </c>
      <c r="I79" s="60">
        <v>6.04</v>
      </c>
      <c r="J79" s="60">
        <v>0.2</v>
      </c>
      <c r="K79" s="60">
        <v>199.64</v>
      </c>
      <c r="L79" s="60">
        <v>32.46</v>
      </c>
      <c r="M79" s="60">
        <v>99.15</v>
      </c>
      <c r="N79" s="60">
        <v>30.4</v>
      </c>
      <c r="O79" s="60">
        <v>0</v>
      </c>
      <c r="P79" s="60">
        <v>3.83</v>
      </c>
      <c r="Q79" s="60">
        <v>11.81</v>
      </c>
      <c r="R79" s="197"/>
      <c r="S79" s="197"/>
      <c r="T79" s="197"/>
      <c r="U79" s="197"/>
    </row>
    <row r="80" spans="1:21" s="12" customFormat="1" x14ac:dyDescent="0.25">
      <c r="A80" s="200" t="s">
        <v>1471</v>
      </c>
      <c r="B80" s="60">
        <v>9.75</v>
      </c>
      <c r="C80" s="60">
        <v>12.52</v>
      </c>
      <c r="D80" s="60">
        <v>22.27</v>
      </c>
      <c r="E80" s="60">
        <v>5.9</v>
      </c>
      <c r="F80" s="60">
        <v>0.41</v>
      </c>
      <c r="G80" s="215" t="s">
        <v>36</v>
      </c>
      <c r="H80" s="60">
        <v>15.74</v>
      </c>
      <c r="I80" s="60">
        <v>5.95</v>
      </c>
      <c r="J80" s="60">
        <v>0.39</v>
      </c>
      <c r="K80" s="60">
        <v>169.07</v>
      </c>
      <c r="L80" s="60">
        <v>32.57</v>
      </c>
      <c r="M80" s="60">
        <v>99.15</v>
      </c>
      <c r="N80" s="60">
        <v>26.7</v>
      </c>
      <c r="O80" s="60">
        <v>0.2</v>
      </c>
      <c r="P80" s="60">
        <v>3.81</v>
      </c>
      <c r="Q80" s="60">
        <v>11.5</v>
      </c>
      <c r="R80" s="197"/>
      <c r="S80" s="197"/>
      <c r="T80" s="197"/>
      <c r="U80" s="197"/>
    </row>
    <row r="81" spans="1:26" s="12" customFormat="1" x14ac:dyDescent="0.25">
      <c r="A81" s="200" t="s">
        <v>1472</v>
      </c>
      <c r="B81" s="60">
        <v>9.3000000000000007</v>
      </c>
      <c r="C81" s="60">
        <v>12.5</v>
      </c>
      <c r="D81" s="60">
        <v>21.8</v>
      </c>
      <c r="E81" s="60">
        <v>5.63</v>
      </c>
      <c r="F81" s="60">
        <v>0.27</v>
      </c>
      <c r="G81" s="215" t="s">
        <v>36</v>
      </c>
      <c r="H81" s="60">
        <v>15.01</v>
      </c>
      <c r="I81" s="60">
        <v>5.8</v>
      </c>
      <c r="J81" s="60">
        <v>0.28000000000000003</v>
      </c>
      <c r="K81" s="60">
        <v>227.96</v>
      </c>
      <c r="L81" s="60">
        <v>32.61</v>
      </c>
      <c r="M81" s="60">
        <v>99.15</v>
      </c>
      <c r="N81" s="60">
        <v>19.7</v>
      </c>
      <c r="O81" s="60">
        <v>0.2</v>
      </c>
      <c r="P81" s="60">
        <v>3.79</v>
      </c>
      <c r="Q81" s="60">
        <v>11.1</v>
      </c>
      <c r="R81" s="197"/>
      <c r="S81" s="197"/>
      <c r="T81" s="197"/>
      <c r="U81" s="197"/>
    </row>
    <row r="82" spans="1:26" s="12" customFormat="1" x14ac:dyDescent="0.25">
      <c r="A82" s="200" t="s">
        <v>1473</v>
      </c>
      <c r="B82" s="60">
        <v>9.34</v>
      </c>
      <c r="C82" s="60">
        <v>12.42</v>
      </c>
      <c r="D82" s="60">
        <v>21.76</v>
      </c>
      <c r="E82" s="60">
        <v>6.19</v>
      </c>
      <c r="F82" s="60">
        <v>0.19</v>
      </c>
      <c r="G82" s="215" t="s">
        <v>36</v>
      </c>
      <c r="H82" s="60">
        <v>13.21</v>
      </c>
      <c r="I82" s="60">
        <v>5.65</v>
      </c>
      <c r="J82" s="60">
        <v>0.17</v>
      </c>
      <c r="K82" s="60">
        <v>217.58</v>
      </c>
      <c r="L82" s="60">
        <v>32.6</v>
      </c>
      <c r="M82" s="60">
        <v>99.15</v>
      </c>
      <c r="N82" s="60">
        <v>16.100000000000001</v>
      </c>
      <c r="O82" s="60">
        <v>0.4</v>
      </c>
      <c r="P82" s="60">
        <v>3.78</v>
      </c>
      <c r="Q82" s="60">
        <v>10.87</v>
      </c>
      <c r="R82" s="197"/>
      <c r="S82" s="197"/>
      <c r="T82" s="197"/>
      <c r="U82" s="197"/>
    </row>
    <row r="83" spans="1:26" s="12" customFormat="1" x14ac:dyDescent="0.25">
      <c r="A83" s="200" t="s">
        <v>1474</v>
      </c>
      <c r="B83" s="60">
        <v>9.52</v>
      </c>
      <c r="C83" s="60">
        <v>11.92</v>
      </c>
      <c r="D83" s="60">
        <v>21.44</v>
      </c>
      <c r="E83" s="60">
        <v>5.63</v>
      </c>
      <c r="F83" s="60">
        <v>0.25</v>
      </c>
      <c r="G83" s="215" t="s">
        <v>36</v>
      </c>
      <c r="H83" s="60">
        <v>13.21</v>
      </c>
      <c r="I83" s="60">
        <v>5.64</v>
      </c>
      <c r="J83" s="60">
        <v>0.22</v>
      </c>
      <c r="K83" s="60">
        <v>217.06</v>
      </c>
      <c r="L83" s="60">
        <v>32.6</v>
      </c>
      <c r="M83" s="60">
        <v>99.15</v>
      </c>
      <c r="N83" s="60">
        <v>15.5</v>
      </c>
      <c r="O83" s="60">
        <v>0.2</v>
      </c>
      <c r="P83" s="60">
        <v>3.77</v>
      </c>
      <c r="Q83" s="60">
        <v>10.86</v>
      </c>
      <c r="R83" s="197"/>
      <c r="S83" s="197"/>
      <c r="T83" s="197"/>
      <c r="U83" s="197"/>
    </row>
    <row r="84" spans="1:26" s="12" customFormat="1" x14ac:dyDescent="0.25">
      <c r="A84" s="200" t="s">
        <v>1475</v>
      </c>
      <c r="B84" s="60">
        <v>9.2899999999999991</v>
      </c>
      <c r="C84" s="60">
        <v>11.36</v>
      </c>
      <c r="D84" s="60">
        <v>20.65</v>
      </c>
      <c r="E84" s="60">
        <v>5.91</v>
      </c>
      <c r="F84" s="60">
        <v>0.15</v>
      </c>
      <c r="G84" s="215" t="s">
        <v>36</v>
      </c>
      <c r="H84" s="60">
        <v>13.21</v>
      </c>
      <c r="I84" s="60">
        <v>5.62</v>
      </c>
      <c r="J84" s="60">
        <v>0.12</v>
      </c>
      <c r="K84" s="60">
        <v>234.95</v>
      </c>
      <c r="L84" s="60">
        <v>32.58</v>
      </c>
      <c r="M84" s="60">
        <v>99.15</v>
      </c>
      <c r="N84" s="60">
        <v>15.2</v>
      </c>
      <c r="O84" s="60">
        <v>0</v>
      </c>
      <c r="P84" s="60">
        <v>3.76</v>
      </c>
      <c r="Q84" s="60">
        <v>10.64</v>
      </c>
      <c r="R84" s="197"/>
      <c r="S84" s="197"/>
      <c r="T84" s="197"/>
      <c r="U84" s="197"/>
    </row>
    <row r="85" spans="1:26" s="12" customFormat="1" x14ac:dyDescent="0.25">
      <c r="A85" s="200" t="s">
        <v>1476</v>
      </c>
      <c r="B85" s="60">
        <v>9.19</v>
      </c>
      <c r="C85" s="60">
        <v>10.92</v>
      </c>
      <c r="D85" s="60">
        <v>20.11</v>
      </c>
      <c r="E85" s="60">
        <v>6.72</v>
      </c>
      <c r="F85" s="60">
        <v>0.24</v>
      </c>
      <c r="G85" s="215" t="s">
        <v>36</v>
      </c>
      <c r="H85" s="60">
        <v>12.14</v>
      </c>
      <c r="I85" s="60">
        <v>5.48</v>
      </c>
      <c r="J85" s="60">
        <v>0.09</v>
      </c>
      <c r="K85" s="60">
        <v>258.87</v>
      </c>
      <c r="L85" s="60">
        <v>32.630000000000003</v>
      </c>
      <c r="M85" s="60">
        <v>99.15</v>
      </c>
      <c r="N85" s="60">
        <v>15</v>
      </c>
      <c r="O85" s="60">
        <v>0.2</v>
      </c>
      <c r="P85" s="60">
        <v>3.75</v>
      </c>
      <c r="Q85" s="60">
        <v>10.45</v>
      </c>
      <c r="R85" s="197"/>
      <c r="S85" s="197"/>
      <c r="T85" s="197"/>
      <c r="U85" s="197"/>
    </row>
    <row r="86" spans="1:26" s="12" customFormat="1" x14ac:dyDescent="0.25">
      <c r="A86" s="200" t="s">
        <v>1477</v>
      </c>
      <c r="B86" s="60">
        <v>9.25</v>
      </c>
      <c r="C86" s="60">
        <v>10.55</v>
      </c>
      <c r="D86" s="60">
        <v>19.8</v>
      </c>
      <c r="E86" s="60">
        <v>6.41</v>
      </c>
      <c r="F86" s="60">
        <v>0.32</v>
      </c>
      <c r="G86" s="215" t="s">
        <v>36</v>
      </c>
      <c r="H86" s="60">
        <v>9.5299999999999994</v>
      </c>
      <c r="I86" s="60">
        <v>5.34</v>
      </c>
      <c r="J86" s="60">
        <v>7.0000000000000007E-2</v>
      </c>
      <c r="K86" s="60">
        <v>207.89</v>
      </c>
      <c r="L86" s="60">
        <v>32.69</v>
      </c>
      <c r="M86" s="60">
        <v>99.15</v>
      </c>
      <c r="N86" s="60">
        <v>15</v>
      </c>
      <c r="O86" s="60">
        <v>0.2</v>
      </c>
      <c r="P86" s="60">
        <v>3.75</v>
      </c>
      <c r="Q86" s="60">
        <v>10.3</v>
      </c>
      <c r="R86" s="197"/>
      <c r="S86" s="197"/>
      <c r="T86" s="197"/>
      <c r="U86" s="197"/>
    </row>
    <row r="87" spans="1:26" s="12" customFormat="1" x14ac:dyDescent="0.25">
      <c r="A87" s="200" t="s">
        <v>1478</v>
      </c>
      <c r="B87" s="60">
        <v>9.3800000000000008</v>
      </c>
      <c r="C87" s="60">
        <v>10.43</v>
      </c>
      <c r="D87" s="60">
        <v>19.809999999999999</v>
      </c>
      <c r="E87" s="60">
        <v>7.19</v>
      </c>
      <c r="F87" s="60">
        <v>0.31</v>
      </c>
      <c r="G87" s="215" t="s">
        <v>36</v>
      </c>
      <c r="H87" s="60">
        <v>9.5299999999999994</v>
      </c>
      <c r="I87" s="60">
        <v>5.13</v>
      </c>
      <c r="J87" s="60">
        <v>0.24</v>
      </c>
      <c r="K87" s="60">
        <v>171.63</v>
      </c>
      <c r="L87" s="60">
        <v>32.74</v>
      </c>
      <c r="M87" s="60">
        <v>99.15</v>
      </c>
      <c r="N87" s="60">
        <v>15.1</v>
      </c>
      <c r="O87" s="60">
        <v>0</v>
      </c>
      <c r="P87" s="60">
        <v>3.76</v>
      </c>
      <c r="Q87" s="60">
        <v>10.4</v>
      </c>
      <c r="R87" s="197"/>
      <c r="S87" s="197"/>
      <c r="T87" s="197"/>
      <c r="U87" s="197"/>
    </row>
    <row r="88" spans="1:26" s="12" customFormat="1" x14ac:dyDescent="0.25">
      <c r="A88" s="200" t="s">
        <v>1479</v>
      </c>
      <c r="B88" s="60">
        <v>9.4700000000000006</v>
      </c>
      <c r="C88" s="60">
        <v>10.27</v>
      </c>
      <c r="D88" s="60">
        <v>19.739999999999998</v>
      </c>
      <c r="E88" s="60">
        <v>1.94</v>
      </c>
      <c r="F88" s="60">
        <v>0.46</v>
      </c>
      <c r="G88" s="215" t="s">
        <v>36</v>
      </c>
      <c r="H88" s="60">
        <v>9.5299999999999994</v>
      </c>
      <c r="I88" s="60">
        <v>5.33</v>
      </c>
      <c r="J88" s="60">
        <v>0.16</v>
      </c>
      <c r="K88" s="60">
        <v>223.8</v>
      </c>
      <c r="L88" s="60">
        <v>32.78</v>
      </c>
      <c r="M88" s="60">
        <v>99.15</v>
      </c>
      <c r="N88" s="60">
        <v>15.2</v>
      </c>
      <c r="O88" s="60">
        <v>0</v>
      </c>
      <c r="P88" s="60">
        <v>3.75</v>
      </c>
      <c r="Q88" s="60">
        <v>10.48</v>
      </c>
      <c r="R88" s="197"/>
      <c r="S88" s="197"/>
      <c r="T88" s="197"/>
      <c r="U88" s="197"/>
    </row>
    <row r="89" spans="1:26" s="12" customFormat="1" x14ac:dyDescent="0.25">
      <c r="A89" s="200" t="s">
        <v>1480</v>
      </c>
      <c r="B89" s="60">
        <v>9.56</v>
      </c>
      <c r="C89" s="60">
        <v>10.050000000000001</v>
      </c>
      <c r="D89" s="60">
        <v>19.61</v>
      </c>
      <c r="E89" s="60">
        <v>4.58</v>
      </c>
      <c r="F89" s="60">
        <v>0.23</v>
      </c>
      <c r="G89" s="215" t="s">
        <v>36</v>
      </c>
      <c r="H89" s="60">
        <v>9.43</v>
      </c>
      <c r="I89" s="60">
        <v>5.37</v>
      </c>
      <c r="J89" s="60">
        <v>7.0000000000000007E-2</v>
      </c>
      <c r="K89" s="60">
        <v>314.79000000000002</v>
      </c>
      <c r="L89" s="60">
        <v>32.81</v>
      </c>
      <c r="M89" s="60">
        <v>99.15</v>
      </c>
      <c r="N89" s="60">
        <v>15.3</v>
      </c>
      <c r="O89" s="60">
        <v>0.2</v>
      </c>
      <c r="P89" s="60">
        <v>3.76</v>
      </c>
      <c r="Q89" s="60">
        <v>10.46</v>
      </c>
      <c r="R89" s="197"/>
      <c r="S89" s="197"/>
      <c r="T89" s="197"/>
      <c r="U89" s="197"/>
    </row>
    <row r="90" spans="1:26" s="12" customFormat="1" x14ac:dyDescent="0.25">
      <c r="A90" s="200" t="s">
        <v>1481</v>
      </c>
      <c r="B90" s="60">
        <v>9.51</v>
      </c>
      <c r="C90" s="60">
        <v>10.1</v>
      </c>
      <c r="D90" s="60">
        <v>19.61</v>
      </c>
      <c r="E90" s="60">
        <v>5.65</v>
      </c>
      <c r="F90" s="60">
        <v>0.18</v>
      </c>
      <c r="G90" s="215" t="s">
        <v>36</v>
      </c>
      <c r="H90" s="60">
        <v>9.17</v>
      </c>
      <c r="I90" s="60">
        <v>5.51</v>
      </c>
      <c r="J90" s="60">
        <v>0.04</v>
      </c>
      <c r="K90" s="60">
        <v>206.76</v>
      </c>
      <c r="L90" s="60">
        <v>32.840000000000003</v>
      </c>
      <c r="M90" s="60">
        <v>99.15</v>
      </c>
      <c r="N90" s="60">
        <v>15.3</v>
      </c>
      <c r="O90" s="60">
        <v>0.6</v>
      </c>
      <c r="P90" s="60">
        <v>3.76</v>
      </c>
      <c r="Q90" s="60">
        <v>10.32</v>
      </c>
      <c r="R90" s="197"/>
      <c r="S90" s="197"/>
      <c r="T90" s="197"/>
      <c r="U90" s="197"/>
    </row>
    <row r="91" spans="1:26" s="12" customFormat="1" x14ac:dyDescent="0.25">
      <c r="A91" s="200" t="s">
        <v>1482</v>
      </c>
      <c r="B91" s="60">
        <v>9.65</v>
      </c>
      <c r="C91" s="60">
        <v>10.48</v>
      </c>
      <c r="D91" s="60">
        <v>20.14</v>
      </c>
      <c r="E91" s="60">
        <v>6.04</v>
      </c>
      <c r="F91" s="60">
        <v>0.34</v>
      </c>
      <c r="G91" s="215" t="s">
        <v>36</v>
      </c>
      <c r="H91" s="60">
        <v>9.17</v>
      </c>
      <c r="I91" s="60">
        <v>5.61</v>
      </c>
      <c r="J91" s="60">
        <v>0.13</v>
      </c>
      <c r="K91" s="60">
        <v>350.47</v>
      </c>
      <c r="L91" s="60">
        <v>32.89</v>
      </c>
      <c r="M91" s="60">
        <v>99.15</v>
      </c>
      <c r="N91" s="60">
        <v>15.2</v>
      </c>
      <c r="O91" s="60">
        <v>0.6</v>
      </c>
      <c r="P91" s="60">
        <v>3.76</v>
      </c>
      <c r="Q91" s="60">
        <v>10.55</v>
      </c>
      <c r="R91" s="197"/>
      <c r="S91" s="197"/>
      <c r="T91" s="197"/>
      <c r="U91" s="197"/>
    </row>
    <row r="92" spans="1:26" s="12" customFormat="1" x14ac:dyDescent="0.25">
      <c r="A92" s="200" t="s">
        <v>1483</v>
      </c>
      <c r="B92" s="60">
        <v>10.15</v>
      </c>
      <c r="C92" s="60">
        <v>10.69</v>
      </c>
      <c r="D92" s="60">
        <v>20.84</v>
      </c>
      <c r="E92" s="60">
        <v>6.19</v>
      </c>
      <c r="F92" s="60">
        <v>0.21</v>
      </c>
      <c r="G92" s="215" t="s">
        <v>36</v>
      </c>
      <c r="H92" s="60">
        <v>9.17</v>
      </c>
      <c r="I92" s="60">
        <v>5.66</v>
      </c>
      <c r="J92" s="60">
        <v>0.05</v>
      </c>
      <c r="K92" s="60">
        <v>227.26</v>
      </c>
      <c r="L92" s="60">
        <v>32.880000000000003</v>
      </c>
      <c r="M92" s="60">
        <v>99.15</v>
      </c>
      <c r="N92" s="60">
        <v>15.3</v>
      </c>
      <c r="O92" s="60">
        <v>0.6</v>
      </c>
      <c r="P92" s="60">
        <v>3.78</v>
      </c>
      <c r="Q92" s="60">
        <v>11.13</v>
      </c>
      <c r="R92" s="197"/>
      <c r="S92" s="197"/>
      <c r="T92" s="197"/>
      <c r="U92" s="197"/>
    </row>
    <row r="93" spans="1:26" s="12" customFormat="1" x14ac:dyDescent="0.25">
      <c r="A93" s="200" t="s">
        <v>1484</v>
      </c>
      <c r="B93" s="60">
        <v>10.11</v>
      </c>
      <c r="C93" s="60">
        <v>10.85</v>
      </c>
      <c r="D93" s="60">
        <v>20.97</v>
      </c>
      <c r="E93" s="60">
        <v>6.01</v>
      </c>
      <c r="F93" s="60">
        <v>0.35</v>
      </c>
      <c r="G93" s="215" t="s">
        <v>36</v>
      </c>
      <c r="H93" s="60">
        <v>8.6999999999999993</v>
      </c>
      <c r="I93" s="60">
        <v>5.68</v>
      </c>
      <c r="J93" s="60">
        <v>0.28999999999999998</v>
      </c>
      <c r="K93" s="60">
        <v>203.91</v>
      </c>
      <c r="L93" s="60">
        <v>32.840000000000003</v>
      </c>
      <c r="M93" s="60">
        <v>99.15</v>
      </c>
      <c r="N93" s="60">
        <v>15.3</v>
      </c>
      <c r="O93" s="60">
        <v>1.2</v>
      </c>
      <c r="P93" s="60">
        <v>3.76</v>
      </c>
      <c r="Q93" s="60">
        <v>11.16</v>
      </c>
      <c r="R93" s="197"/>
      <c r="S93" s="197"/>
      <c r="T93" s="197"/>
      <c r="U93" s="197"/>
    </row>
    <row r="94" spans="1:26" s="12" customFormat="1" x14ac:dyDescent="0.25">
      <c r="A94" s="200" t="s">
        <v>1485</v>
      </c>
      <c r="B94" s="60">
        <v>9.77</v>
      </c>
      <c r="C94" s="60">
        <v>11.07</v>
      </c>
      <c r="D94" s="60">
        <v>20.84</v>
      </c>
      <c r="E94" s="60">
        <v>6.05</v>
      </c>
      <c r="F94" s="60">
        <v>0.19</v>
      </c>
      <c r="G94" s="215" t="s">
        <v>36</v>
      </c>
      <c r="H94" s="60">
        <v>7.54</v>
      </c>
      <c r="I94" s="60">
        <v>5.63</v>
      </c>
      <c r="J94" s="60">
        <v>0.13</v>
      </c>
      <c r="K94" s="60">
        <v>213.9</v>
      </c>
      <c r="L94" s="60">
        <v>32.799999999999997</v>
      </c>
      <c r="M94" s="60">
        <v>99.15</v>
      </c>
      <c r="N94" s="60">
        <v>15.4</v>
      </c>
      <c r="O94" s="60">
        <v>0.8</v>
      </c>
      <c r="P94" s="60">
        <v>3.75</v>
      </c>
      <c r="Q94" s="60">
        <v>10.78</v>
      </c>
      <c r="R94" s="197"/>
      <c r="S94" s="197"/>
      <c r="T94" s="197"/>
      <c r="U94" s="197"/>
    </row>
    <row r="95" spans="1:26" s="12" customFormat="1" x14ac:dyDescent="0.25">
      <c r="A95" s="200" t="s">
        <v>1486</v>
      </c>
      <c r="B95" s="60">
        <v>9.4600000000000009</v>
      </c>
      <c r="C95" s="60">
        <v>10.58</v>
      </c>
      <c r="D95" s="60">
        <v>20.04</v>
      </c>
      <c r="E95" s="60">
        <v>5.95</v>
      </c>
      <c r="F95" s="60">
        <v>0.45</v>
      </c>
      <c r="G95" s="215" t="s">
        <v>36</v>
      </c>
      <c r="H95" s="60">
        <v>7.54</v>
      </c>
      <c r="I95" s="60">
        <v>5.56</v>
      </c>
      <c r="J95" s="60">
        <v>0.02</v>
      </c>
      <c r="K95" s="60">
        <v>102.7</v>
      </c>
      <c r="L95" s="60">
        <v>32.840000000000003</v>
      </c>
      <c r="M95" s="60">
        <v>99.15</v>
      </c>
      <c r="N95" s="60">
        <v>15.3</v>
      </c>
      <c r="O95" s="60">
        <v>1</v>
      </c>
      <c r="P95" s="60">
        <v>3.74</v>
      </c>
      <c r="Q95" s="60">
        <v>10.74</v>
      </c>
      <c r="R95" s="197"/>
      <c r="S95" s="197"/>
      <c r="T95" s="197"/>
      <c r="U95" s="197"/>
    </row>
    <row r="96" spans="1:26" s="12" customFormat="1" x14ac:dyDescent="0.25">
      <c r="A96" s="200" t="s">
        <v>1487</v>
      </c>
      <c r="B96" s="60">
        <v>9.6300000000000008</v>
      </c>
      <c r="C96" s="60">
        <v>10.84</v>
      </c>
      <c r="D96" s="60">
        <v>20.47</v>
      </c>
      <c r="E96" s="60">
        <v>6.44</v>
      </c>
      <c r="F96" s="60">
        <v>0.28000000000000003</v>
      </c>
      <c r="G96" s="215" t="s">
        <v>36</v>
      </c>
      <c r="H96" s="60">
        <v>7.54</v>
      </c>
      <c r="I96" s="60">
        <v>5.54</v>
      </c>
      <c r="J96" s="60">
        <v>0.12</v>
      </c>
      <c r="K96" s="60">
        <v>58.74</v>
      </c>
      <c r="L96" s="60">
        <v>32.880000000000003</v>
      </c>
      <c r="M96" s="60">
        <v>99.15</v>
      </c>
      <c r="N96" s="60">
        <v>15.4</v>
      </c>
      <c r="O96" s="60">
        <v>0.6</v>
      </c>
      <c r="P96" s="60">
        <v>3.72</v>
      </c>
      <c r="Q96" s="60">
        <v>10.59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1488</v>
      </c>
      <c r="B97" s="60">
        <v>9.8800000000000008</v>
      </c>
      <c r="C97" s="60">
        <v>11.01</v>
      </c>
      <c r="D97" s="60">
        <v>20.89</v>
      </c>
      <c r="E97" s="60">
        <v>5.83</v>
      </c>
      <c r="F97" s="60">
        <v>0.33</v>
      </c>
      <c r="G97" s="215" t="s">
        <v>36</v>
      </c>
      <c r="H97" s="60">
        <v>8.32</v>
      </c>
      <c r="I97" s="60">
        <v>5.4</v>
      </c>
      <c r="J97" s="60">
        <v>0.45</v>
      </c>
      <c r="K97" s="60">
        <v>173.16</v>
      </c>
      <c r="L97" s="60">
        <v>32.83</v>
      </c>
      <c r="M97" s="60">
        <v>99.15</v>
      </c>
      <c r="N97" s="60">
        <v>15.5</v>
      </c>
      <c r="O97" s="60">
        <v>1.2</v>
      </c>
      <c r="P97" s="60">
        <v>3.71</v>
      </c>
      <c r="Q97" s="60">
        <v>10.62</v>
      </c>
      <c r="R97" s="197"/>
      <c r="S97" s="197"/>
      <c r="T97" s="197"/>
      <c r="U97" s="197"/>
    </row>
    <row r="98" spans="1:33" s="12" customFormat="1" x14ac:dyDescent="0.25">
      <c r="A98" s="200" t="s">
        <v>1489</v>
      </c>
      <c r="B98" s="60">
        <v>9.64</v>
      </c>
      <c r="C98" s="60">
        <v>10.61</v>
      </c>
      <c r="D98" s="60">
        <v>20.25</v>
      </c>
      <c r="E98" s="60">
        <v>6.15</v>
      </c>
      <c r="F98" s="60">
        <v>0.28000000000000003</v>
      </c>
      <c r="G98" s="215" t="s">
        <v>36</v>
      </c>
      <c r="H98" s="60">
        <v>10.23</v>
      </c>
      <c r="I98" s="60">
        <v>5.33</v>
      </c>
      <c r="J98" s="60">
        <v>0.4</v>
      </c>
      <c r="K98" s="60">
        <v>200.68</v>
      </c>
      <c r="L98" s="60">
        <v>32.78</v>
      </c>
      <c r="M98" s="60">
        <v>99.15</v>
      </c>
      <c r="N98" s="60">
        <v>15.4</v>
      </c>
      <c r="O98" s="60">
        <v>1.2</v>
      </c>
      <c r="P98" s="60">
        <v>3.7</v>
      </c>
      <c r="Q98" s="60">
        <v>10.25</v>
      </c>
      <c r="R98" s="197"/>
      <c r="S98" s="197"/>
      <c r="T98" s="197"/>
      <c r="U98" s="197"/>
    </row>
    <row r="99" spans="1:33" s="12" customFormat="1" x14ac:dyDescent="0.25">
      <c r="A99" s="200" t="s">
        <v>1490</v>
      </c>
      <c r="B99" s="60">
        <v>9.33</v>
      </c>
      <c r="C99" s="60">
        <v>10.16</v>
      </c>
      <c r="D99" s="60">
        <v>19.489999999999998</v>
      </c>
      <c r="E99" s="60">
        <v>6.44</v>
      </c>
      <c r="F99" s="60">
        <v>0.31</v>
      </c>
      <c r="G99" s="215" t="s">
        <v>36</v>
      </c>
      <c r="H99" s="60">
        <v>10.23</v>
      </c>
      <c r="I99" s="60">
        <v>5.23</v>
      </c>
      <c r="J99" s="60">
        <v>0.32</v>
      </c>
      <c r="K99" s="60">
        <v>201.49</v>
      </c>
      <c r="L99" s="60">
        <v>32.78</v>
      </c>
      <c r="M99" s="60">
        <v>99.15</v>
      </c>
      <c r="N99" s="60">
        <v>15.5</v>
      </c>
      <c r="O99" s="60">
        <v>0.6</v>
      </c>
      <c r="P99" s="60">
        <v>3.69</v>
      </c>
      <c r="Q99" s="60">
        <v>9.86</v>
      </c>
      <c r="R99" s="197"/>
      <c r="S99" s="197"/>
      <c r="T99" s="197"/>
      <c r="U99" s="197"/>
    </row>
    <row r="100" spans="1:33" s="12" customFormat="1" x14ac:dyDescent="0.25">
      <c r="A100" s="200" t="s">
        <v>1491</v>
      </c>
      <c r="B100" s="60">
        <v>8.68</v>
      </c>
      <c r="C100" s="60">
        <v>10.15</v>
      </c>
      <c r="D100" s="60">
        <v>18.829999999999998</v>
      </c>
      <c r="E100" s="60">
        <v>6.36</v>
      </c>
      <c r="F100" s="60">
        <v>0.6</v>
      </c>
      <c r="G100" s="215" t="s">
        <v>36</v>
      </c>
      <c r="H100" s="60">
        <v>10.23</v>
      </c>
      <c r="I100" s="60">
        <v>4.92</v>
      </c>
      <c r="J100" s="60">
        <v>0.03</v>
      </c>
      <c r="K100" s="60">
        <v>234.95</v>
      </c>
      <c r="L100" s="60">
        <v>32.81</v>
      </c>
      <c r="M100" s="60">
        <v>99.15</v>
      </c>
      <c r="N100" s="60">
        <v>15.4</v>
      </c>
      <c r="O100" s="60">
        <v>0.4</v>
      </c>
      <c r="P100" s="60">
        <v>3.66</v>
      </c>
      <c r="Q100" s="60">
        <v>9.5299999999999994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1492</v>
      </c>
      <c r="B101" s="60">
        <v>7.94</v>
      </c>
      <c r="C101" s="60">
        <v>10.52</v>
      </c>
      <c r="D101" s="60">
        <v>18.46</v>
      </c>
      <c r="E101" s="60">
        <v>5.58</v>
      </c>
      <c r="F101" s="60">
        <v>0.49</v>
      </c>
      <c r="G101" s="215" t="s">
        <v>36</v>
      </c>
      <c r="H101" s="60">
        <v>9.56</v>
      </c>
      <c r="I101" s="60">
        <v>5.04</v>
      </c>
      <c r="J101" s="60">
        <v>0.14000000000000001</v>
      </c>
      <c r="K101" s="60">
        <v>24.61</v>
      </c>
      <c r="L101" s="60">
        <v>32.86</v>
      </c>
      <c r="M101" s="60">
        <v>99.15</v>
      </c>
      <c r="N101" s="60">
        <v>15.2</v>
      </c>
      <c r="O101" s="60">
        <v>0.2</v>
      </c>
      <c r="P101" s="60">
        <v>3.65</v>
      </c>
      <c r="Q101" s="60">
        <v>9.34</v>
      </c>
      <c r="R101" s="197"/>
      <c r="S101" s="197"/>
      <c r="T101" s="197"/>
      <c r="U101" s="197"/>
    </row>
    <row r="102" spans="1:33" s="12" customFormat="1" x14ac:dyDescent="0.25">
      <c r="A102" s="200" t="s">
        <v>1493</v>
      </c>
      <c r="B102" s="60">
        <v>7.48</v>
      </c>
      <c r="C102" s="60">
        <v>10.82</v>
      </c>
      <c r="D102" s="60">
        <v>18.3</v>
      </c>
      <c r="E102" s="60">
        <v>5.69</v>
      </c>
      <c r="F102" s="60">
        <v>0.49</v>
      </c>
      <c r="G102" s="215" t="s">
        <v>36</v>
      </c>
      <c r="H102" s="60">
        <v>7.9</v>
      </c>
      <c r="I102" s="60">
        <v>5.07</v>
      </c>
      <c r="J102" s="60">
        <v>0.18</v>
      </c>
      <c r="K102" s="60">
        <v>20.96</v>
      </c>
      <c r="L102" s="60">
        <v>32.950000000000003</v>
      </c>
      <c r="M102" s="60">
        <v>99.15</v>
      </c>
      <c r="N102" s="60">
        <v>15.3</v>
      </c>
      <c r="O102" s="60">
        <v>0.2</v>
      </c>
      <c r="P102" s="60">
        <v>3.64</v>
      </c>
      <c r="Q102" s="60">
        <v>9.1199999999999992</v>
      </c>
      <c r="R102" s="197"/>
      <c r="S102" s="197"/>
      <c r="T102" s="197"/>
      <c r="U102" s="197"/>
    </row>
    <row r="103" spans="1:33" s="12" customFormat="1" x14ac:dyDescent="0.25">
      <c r="A103" s="200" t="s">
        <v>1494</v>
      </c>
      <c r="B103" s="60">
        <v>7.19</v>
      </c>
      <c r="C103" s="60">
        <v>10.86</v>
      </c>
      <c r="D103" s="60">
        <v>18.05</v>
      </c>
      <c r="E103" s="60">
        <v>5.77</v>
      </c>
      <c r="F103" s="60">
        <v>0.15</v>
      </c>
      <c r="G103" s="215" t="s">
        <v>36</v>
      </c>
      <c r="H103" s="60">
        <v>7.9</v>
      </c>
      <c r="I103" s="60">
        <v>4.91</v>
      </c>
      <c r="J103" s="60">
        <v>0.13</v>
      </c>
      <c r="K103" s="60">
        <v>14.14</v>
      </c>
      <c r="L103" s="60">
        <v>33.1</v>
      </c>
      <c r="M103" s="60">
        <v>99.15</v>
      </c>
      <c r="N103" s="60">
        <v>15.3</v>
      </c>
      <c r="O103" s="60">
        <v>0</v>
      </c>
      <c r="P103" s="60">
        <v>3.62</v>
      </c>
      <c r="Q103" s="60">
        <v>9.0299999999999994</v>
      </c>
      <c r="R103" s="197"/>
      <c r="S103" s="197"/>
      <c r="T103" s="197"/>
      <c r="U103" s="197"/>
    </row>
    <row r="104" spans="1:33" s="12" customFormat="1" x14ac:dyDescent="0.25">
      <c r="A104" s="200" t="s">
        <v>1495</v>
      </c>
      <c r="B104" s="60">
        <v>7.09</v>
      </c>
      <c r="C104" s="60">
        <v>10.67</v>
      </c>
      <c r="D104" s="60">
        <v>17.760000000000002</v>
      </c>
      <c r="E104" s="60">
        <v>2.78</v>
      </c>
      <c r="F104" s="60">
        <v>0.21</v>
      </c>
      <c r="G104" s="215" t="s">
        <v>36</v>
      </c>
      <c r="H104" s="60">
        <v>7.9</v>
      </c>
      <c r="I104" s="60">
        <v>4.83</v>
      </c>
      <c r="J104" s="60">
        <v>0.22</v>
      </c>
      <c r="K104" s="60">
        <v>338.54</v>
      </c>
      <c r="L104" s="60">
        <v>33.21</v>
      </c>
      <c r="M104" s="60">
        <v>99.15</v>
      </c>
      <c r="N104" s="60">
        <v>15.3</v>
      </c>
      <c r="O104" s="60">
        <v>0.2</v>
      </c>
      <c r="P104" s="60">
        <v>3.62</v>
      </c>
      <c r="Q104" s="60">
        <v>9.0399999999999991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5" t="s">
        <v>59</v>
      </c>
      <c r="B106" s="67">
        <f>MIN(B9:B104)</f>
        <v>1.32</v>
      </c>
      <c r="C106" s="67">
        <f>MIN(C9:C104)</f>
        <v>5.92</v>
      </c>
      <c r="D106" s="67">
        <f t="shared" ref="D106:Q106" si="0">MIN(D9:D104)</f>
        <v>7.66</v>
      </c>
      <c r="E106" s="67">
        <f t="shared" si="0"/>
        <v>1.38</v>
      </c>
      <c r="F106" s="67">
        <f t="shared" si="0"/>
        <v>0.08</v>
      </c>
      <c r="G106" s="67">
        <f t="shared" si="0"/>
        <v>0</v>
      </c>
      <c r="H106" s="67">
        <f t="shared" si="0"/>
        <v>2.0299999999999998</v>
      </c>
      <c r="I106" s="67">
        <f t="shared" si="0"/>
        <v>3.01</v>
      </c>
      <c r="J106" s="67">
        <f t="shared" si="0"/>
        <v>0.01</v>
      </c>
      <c r="K106" s="67">
        <f t="shared" si="0"/>
        <v>0.02</v>
      </c>
      <c r="L106" s="67">
        <f t="shared" si="0"/>
        <v>32.380000000000003</v>
      </c>
      <c r="M106" s="67">
        <f t="shared" si="0"/>
        <v>80.709999999999994</v>
      </c>
      <c r="N106" s="67">
        <f t="shared" si="0"/>
        <v>14.7</v>
      </c>
      <c r="O106" s="67">
        <f t="shared" si="0"/>
        <v>0</v>
      </c>
      <c r="P106" s="67">
        <f t="shared" si="0"/>
        <v>3.34</v>
      </c>
      <c r="Q106" s="67">
        <f t="shared" si="0"/>
        <v>8.44</v>
      </c>
      <c r="R106" s="198"/>
      <c r="S106" s="198"/>
      <c r="T106" s="198"/>
      <c r="U106" s="198"/>
    </row>
    <row r="107" spans="1:33" x14ac:dyDescent="0.25">
      <c r="A107" s="65" t="s">
        <v>60</v>
      </c>
      <c r="B107" s="66">
        <f>MAX(B9:B104)</f>
        <v>12.84</v>
      </c>
      <c r="C107" s="66">
        <f t="shared" ref="C107:Q107" si="1">MAX(C9:C104)</f>
        <v>15.78</v>
      </c>
      <c r="D107" s="66">
        <f t="shared" si="1"/>
        <v>26.78</v>
      </c>
      <c r="E107" s="66">
        <f t="shared" si="1"/>
        <v>7.19</v>
      </c>
      <c r="F107" s="66">
        <f t="shared" si="1"/>
        <v>1</v>
      </c>
      <c r="G107" s="66">
        <f t="shared" si="1"/>
        <v>0</v>
      </c>
      <c r="H107" s="66">
        <f t="shared" si="1"/>
        <v>16.29</v>
      </c>
      <c r="I107" s="66">
        <f t="shared" si="1"/>
        <v>6.24</v>
      </c>
      <c r="J107" s="66">
        <f t="shared" si="1"/>
        <v>0.45</v>
      </c>
      <c r="K107" s="66">
        <f t="shared" si="1"/>
        <v>357.82</v>
      </c>
      <c r="L107" s="66">
        <f t="shared" si="1"/>
        <v>39.96</v>
      </c>
      <c r="M107" s="66">
        <f t="shared" si="1"/>
        <v>99.15</v>
      </c>
      <c r="N107" s="66">
        <f t="shared" si="1"/>
        <v>296.89999999999998</v>
      </c>
      <c r="O107" s="66">
        <f t="shared" si="1"/>
        <v>1.6</v>
      </c>
      <c r="P107" s="66">
        <f t="shared" si="1"/>
        <v>3.9</v>
      </c>
      <c r="Q107" s="66">
        <f t="shared" si="1"/>
        <v>13.82</v>
      </c>
      <c r="R107" s="199"/>
      <c r="S107" s="199"/>
      <c r="T107" s="199"/>
      <c r="U107" s="199"/>
    </row>
    <row r="108" spans="1:33" x14ac:dyDescent="0.25">
      <c r="A108" s="65" t="s">
        <v>61</v>
      </c>
      <c r="B108" s="67">
        <f>AVERAGE(B9:B104)</f>
        <v>7.8236458333333339</v>
      </c>
      <c r="C108" s="67">
        <f t="shared" ref="C108:Q108" si="2">AVERAGE(C9:C104)</f>
        <v>10.726041666666665</v>
      </c>
      <c r="D108" s="67">
        <f t="shared" si="2"/>
        <v>18.549166666666661</v>
      </c>
      <c r="E108" s="67">
        <f t="shared" si="2"/>
        <v>4.9730208333333321</v>
      </c>
      <c r="F108" s="67">
        <f t="shared" si="2"/>
        <v>0.35843750000000013</v>
      </c>
      <c r="G108" s="67" t="e">
        <f t="shared" si="2"/>
        <v>#DIV/0!</v>
      </c>
      <c r="H108" s="67">
        <f t="shared" si="2"/>
        <v>8.2426041666666645</v>
      </c>
      <c r="I108" s="67">
        <f t="shared" si="2"/>
        <v>4.8786458333333327</v>
      </c>
      <c r="J108" s="67">
        <f t="shared" si="2"/>
        <v>0.15916666666666668</v>
      </c>
      <c r="K108" s="67">
        <f t="shared" si="2"/>
        <v>148.3175</v>
      </c>
      <c r="L108" s="67">
        <f t="shared" si="2"/>
        <v>33.738333333333344</v>
      </c>
      <c r="M108" s="67">
        <f t="shared" si="2"/>
        <v>95.184791666666527</v>
      </c>
      <c r="N108" s="67">
        <f t="shared" si="2"/>
        <v>68.136458333333323</v>
      </c>
      <c r="O108" s="67">
        <f t="shared" si="2"/>
        <v>0.28333333333333327</v>
      </c>
      <c r="P108" s="67">
        <f t="shared" si="2"/>
        <v>3.6595833333333334</v>
      </c>
      <c r="Q108" s="67">
        <f t="shared" si="2"/>
        <v>11.327916666666667</v>
      </c>
      <c r="R108" s="198"/>
      <c r="S108" s="198"/>
      <c r="T108" s="198"/>
      <c r="U108" s="198"/>
    </row>
    <row r="109" spans="1:33" x14ac:dyDescent="0.25">
      <c r="A109" s="65" t="s">
        <v>77</v>
      </c>
      <c r="B109" s="67">
        <f>STDEV(B9:B104)</f>
        <v>3.583198253777927</v>
      </c>
      <c r="C109" s="67">
        <f t="shared" ref="C109:Q109" si="3">STDEV(C9:C104)</f>
        <v>2.9618225111777683</v>
      </c>
      <c r="D109" s="67">
        <f t="shared" si="3"/>
        <v>6.2222965242013357</v>
      </c>
      <c r="E109" s="67">
        <f t="shared" si="3"/>
        <v>1.0849711320842355</v>
      </c>
      <c r="F109" s="67">
        <f t="shared" si="3"/>
        <v>0.17682776708007802</v>
      </c>
      <c r="G109" s="67" t="e">
        <f t="shared" si="3"/>
        <v>#DIV/0!</v>
      </c>
      <c r="H109" s="67">
        <f t="shared" si="3"/>
        <v>4.2709324126290769</v>
      </c>
      <c r="I109" s="67">
        <f t="shared" si="3"/>
        <v>1.0483637574727855</v>
      </c>
      <c r="J109" s="67">
        <f t="shared" si="3"/>
        <v>9.5858082235274103E-2</v>
      </c>
      <c r="K109" s="67">
        <f t="shared" si="3"/>
        <v>125.37001857659085</v>
      </c>
      <c r="L109" s="67">
        <f t="shared" si="3"/>
        <v>1.5238688068042072</v>
      </c>
      <c r="M109" s="67">
        <f t="shared" si="3"/>
        <v>5.440980751214596</v>
      </c>
      <c r="N109" s="67">
        <f t="shared" si="3"/>
        <v>82.305708850782835</v>
      </c>
      <c r="O109" s="67">
        <f t="shared" si="3"/>
        <v>0.38570964445365036</v>
      </c>
      <c r="P109" s="67">
        <f t="shared" si="3"/>
        <v>0.17811833243907607</v>
      </c>
      <c r="Q109" s="67">
        <f t="shared" si="3"/>
        <v>1.4881050590152123</v>
      </c>
      <c r="R109" s="198"/>
      <c r="S109" s="198"/>
      <c r="T109" s="198"/>
      <c r="U109" s="198"/>
    </row>
    <row r="110" spans="1:33" x14ac:dyDescent="0.25">
      <c r="A110" s="65" t="s">
        <v>62</v>
      </c>
      <c r="B110" s="66"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COUNT(G9:G104)+96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9"/>
      <c r="S110" s="199"/>
      <c r="T110" s="199"/>
      <c r="U110" s="199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218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1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14-08-2022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234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1496</v>
      </c>
      <c r="B9" s="60">
        <v>6.91</v>
      </c>
      <c r="C9" s="60">
        <v>10.34</v>
      </c>
      <c r="D9" s="60">
        <v>17.25</v>
      </c>
      <c r="E9" s="60">
        <v>5.1100000000000003</v>
      </c>
      <c r="F9" s="60">
        <v>0.51</v>
      </c>
      <c r="G9" s="215" t="s">
        <v>36</v>
      </c>
      <c r="H9" s="60">
        <v>7.27</v>
      </c>
      <c r="I9" s="60">
        <v>4.7699999999999996</v>
      </c>
      <c r="J9" s="60">
        <v>0.18</v>
      </c>
      <c r="K9" s="60">
        <v>31.74</v>
      </c>
      <c r="L9" s="60">
        <v>33.42</v>
      </c>
      <c r="M9" s="60">
        <v>99.15</v>
      </c>
      <c r="N9" s="60">
        <v>15.3</v>
      </c>
      <c r="O9" s="60">
        <v>0</v>
      </c>
      <c r="P9" s="60">
        <v>3.62</v>
      </c>
      <c r="Q9" s="60">
        <v>8.98</v>
      </c>
      <c r="R9" s="197"/>
      <c r="S9" s="197"/>
      <c r="T9" s="197"/>
      <c r="U9" s="197"/>
    </row>
    <row r="10" spans="1:21" s="12" customFormat="1" x14ac:dyDescent="0.25">
      <c r="A10" s="200" t="s">
        <v>1497</v>
      </c>
      <c r="B10" s="60">
        <v>6.58</v>
      </c>
      <c r="C10" s="60">
        <v>10.42</v>
      </c>
      <c r="D10" s="60">
        <v>17</v>
      </c>
      <c r="E10" s="60">
        <v>6.13</v>
      </c>
      <c r="F10" s="60">
        <v>0.36</v>
      </c>
      <c r="G10" s="215" t="s">
        <v>36</v>
      </c>
      <c r="H10" s="60">
        <v>5.71</v>
      </c>
      <c r="I10" s="60">
        <v>4.72</v>
      </c>
      <c r="J10" s="60">
        <v>0.28999999999999998</v>
      </c>
      <c r="K10" s="60">
        <v>323.98</v>
      </c>
      <c r="L10" s="60">
        <v>33.53</v>
      </c>
      <c r="M10" s="60">
        <v>99.15</v>
      </c>
      <c r="N10" s="60">
        <v>15.3</v>
      </c>
      <c r="O10" s="60">
        <v>0</v>
      </c>
      <c r="P10" s="60">
        <v>3.64</v>
      </c>
      <c r="Q10" s="60">
        <v>8.92</v>
      </c>
      <c r="R10" s="197"/>
      <c r="S10" s="197"/>
      <c r="T10" s="197"/>
      <c r="U10" s="197"/>
    </row>
    <row r="11" spans="1:21" s="12" customFormat="1" x14ac:dyDescent="0.25">
      <c r="A11" s="200" t="s">
        <v>1498</v>
      </c>
      <c r="B11" s="60">
        <v>6.25</v>
      </c>
      <c r="C11" s="60">
        <v>10.66</v>
      </c>
      <c r="D11" s="60">
        <v>16.899999999999999</v>
      </c>
      <c r="E11" s="60">
        <v>6.92</v>
      </c>
      <c r="F11" s="60">
        <v>0.24</v>
      </c>
      <c r="G11" s="215" t="s">
        <v>36</v>
      </c>
      <c r="H11" s="60">
        <v>5.71</v>
      </c>
      <c r="I11" s="60">
        <v>4.74</v>
      </c>
      <c r="J11" s="60">
        <v>0.22</v>
      </c>
      <c r="K11" s="60">
        <v>341.29</v>
      </c>
      <c r="L11" s="60">
        <v>33.729999999999997</v>
      </c>
      <c r="M11" s="60">
        <v>99.15</v>
      </c>
      <c r="N11" s="60">
        <v>15.3</v>
      </c>
      <c r="O11" s="60">
        <v>0</v>
      </c>
      <c r="P11" s="60">
        <v>3.73</v>
      </c>
      <c r="Q11" s="60">
        <v>8.84</v>
      </c>
      <c r="R11" s="197"/>
      <c r="S11" s="197"/>
      <c r="T11" s="197"/>
      <c r="U11" s="197"/>
    </row>
    <row r="12" spans="1:21" s="12" customFormat="1" x14ac:dyDescent="0.25">
      <c r="A12" s="200" t="s">
        <v>1499</v>
      </c>
      <c r="B12" s="60">
        <v>5.92</v>
      </c>
      <c r="C12" s="60">
        <v>10.7</v>
      </c>
      <c r="D12" s="60">
        <v>16.62</v>
      </c>
      <c r="E12" s="60">
        <v>6.2</v>
      </c>
      <c r="F12" s="60">
        <v>0.28999999999999998</v>
      </c>
      <c r="G12" s="215" t="s">
        <v>36</v>
      </c>
      <c r="H12" s="60">
        <v>5.71</v>
      </c>
      <c r="I12" s="60">
        <v>5.0199999999999996</v>
      </c>
      <c r="J12" s="60">
        <v>0.25</v>
      </c>
      <c r="K12" s="60">
        <v>342.78</v>
      </c>
      <c r="L12" s="60">
        <v>36.44</v>
      </c>
      <c r="M12" s="60">
        <v>99.15</v>
      </c>
      <c r="N12" s="60">
        <v>15.3</v>
      </c>
      <c r="O12" s="60">
        <v>0</v>
      </c>
      <c r="P12" s="60">
        <v>3.82</v>
      </c>
      <c r="Q12" s="60">
        <v>8.9499999999999993</v>
      </c>
      <c r="R12" s="197"/>
      <c r="S12" s="197"/>
      <c r="T12" s="197"/>
      <c r="U12" s="197"/>
    </row>
    <row r="13" spans="1:21" s="12" customFormat="1" x14ac:dyDescent="0.25">
      <c r="A13" s="200" t="s">
        <v>1500</v>
      </c>
      <c r="B13" s="60">
        <v>5.5</v>
      </c>
      <c r="C13" s="60">
        <v>10.81</v>
      </c>
      <c r="D13" s="60">
        <v>16.309999999999999</v>
      </c>
      <c r="E13" s="60">
        <v>6.11</v>
      </c>
      <c r="F13" s="60">
        <v>0.44</v>
      </c>
      <c r="G13" s="215" t="s">
        <v>36</v>
      </c>
      <c r="H13" s="60">
        <v>5.24</v>
      </c>
      <c r="I13" s="60">
        <v>5.67</v>
      </c>
      <c r="J13" s="60">
        <v>0.31</v>
      </c>
      <c r="K13" s="60">
        <v>341.86</v>
      </c>
      <c r="L13" s="60">
        <v>39.07</v>
      </c>
      <c r="M13" s="60">
        <v>99.15</v>
      </c>
      <c r="N13" s="60">
        <v>15.3</v>
      </c>
      <c r="O13" s="60">
        <v>0</v>
      </c>
      <c r="P13" s="60">
        <v>3.81</v>
      </c>
      <c r="Q13" s="60">
        <v>8.48</v>
      </c>
      <c r="R13" s="197"/>
      <c r="S13" s="197"/>
      <c r="T13" s="197"/>
      <c r="U13" s="197"/>
    </row>
    <row r="14" spans="1:21" s="12" customFormat="1" x14ac:dyDescent="0.25">
      <c r="A14" s="200" t="s">
        <v>1501</v>
      </c>
      <c r="B14" s="60">
        <v>5</v>
      </c>
      <c r="C14" s="60">
        <v>10.82</v>
      </c>
      <c r="D14" s="60">
        <v>15.82</v>
      </c>
      <c r="E14" s="60">
        <v>5.98</v>
      </c>
      <c r="F14" s="60">
        <v>0.24</v>
      </c>
      <c r="G14" s="215" t="s">
        <v>36</v>
      </c>
      <c r="H14" s="60">
        <v>4.0599999999999996</v>
      </c>
      <c r="I14" s="60">
        <v>6.23</v>
      </c>
      <c r="J14" s="60">
        <v>0.34</v>
      </c>
      <c r="K14" s="60">
        <v>337.31</v>
      </c>
      <c r="L14" s="60">
        <v>29.85</v>
      </c>
      <c r="M14" s="60">
        <v>99.15</v>
      </c>
      <c r="N14" s="60">
        <v>15.3</v>
      </c>
      <c r="O14" s="60">
        <v>0</v>
      </c>
      <c r="P14" s="60">
        <v>3.77</v>
      </c>
      <c r="Q14" s="60">
        <v>8.02</v>
      </c>
      <c r="R14" s="197"/>
      <c r="S14" s="197"/>
      <c r="T14" s="197"/>
      <c r="U14" s="197"/>
    </row>
    <row r="15" spans="1:21" s="12" customFormat="1" x14ac:dyDescent="0.25">
      <c r="A15" s="200" t="s">
        <v>1502</v>
      </c>
      <c r="B15" s="60">
        <v>4.4400000000000004</v>
      </c>
      <c r="C15" s="60">
        <v>10.36</v>
      </c>
      <c r="D15" s="60">
        <v>14.79</v>
      </c>
      <c r="E15" s="60">
        <v>5.75</v>
      </c>
      <c r="F15" s="60">
        <v>0.49</v>
      </c>
      <c r="G15" s="215" t="s">
        <v>36</v>
      </c>
      <c r="H15" s="60">
        <v>4.0599999999999996</v>
      </c>
      <c r="I15" s="60">
        <v>6.2</v>
      </c>
      <c r="J15" s="60">
        <v>0.36</v>
      </c>
      <c r="K15" s="60">
        <v>327.45999999999998</v>
      </c>
      <c r="L15" s="60">
        <v>29.41</v>
      </c>
      <c r="M15" s="60">
        <v>99.15</v>
      </c>
      <c r="N15" s="60">
        <v>15.3</v>
      </c>
      <c r="O15" s="60">
        <v>0.4</v>
      </c>
      <c r="P15" s="60">
        <v>3.73</v>
      </c>
      <c r="Q15" s="60">
        <v>7.9</v>
      </c>
      <c r="R15" s="197"/>
      <c r="S15" s="197"/>
      <c r="T15" s="197"/>
      <c r="U15" s="197"/>
    </row>
    <row r="16" spans="1:21" s="12" customFormat="1" x14ac:dyDescent="0.25">
      <c r="A16" s="200" t="s">
        <v>1503</v>
      </c>
      <c r="B16" s="60">
        <v>4.03</v>
      </c>
      <c r="C16" s="60">
        <v>10.41</v>
      </c>
      <c r="D16" s="60">
        <v>14.44</v>
      </c>
      <c r="E16" s="60">
        <v>5.82</v>
      </c>
      <c r="F16" s="60">
        <v>0.28999999999999998</v>
      </c>
      <c r="G16" s="215" t="s">
        <v>36</v>
      </c>
      <c r="H16" s="60">
        <v>4.0599999999999996</v>
      </c>
      <c r="I16" s="60">
        <v>5.9</v>
      </c>
      <c r="J16" s="60">
        <v>0.3</v>
      </c>
      <c r="K16" s="60">
        <v>334.34</v>
      </c>
      <c r="L16" s="60">
        <v>29.55</v>
      </c>
      <c r="M16" s="60">
        <v>99.15</v>
      </c>
      <c r="N16" s="60">
        <v>15.4</v>
      </c>
      <c r="O16" s="60">
        <v>0.2</v>
      </c>
      <c r="P16" s="60">
        <v>3.7</v>
      </c>
      <c r="Q16" s="60">
        <v>7.55</v>
      </c>
      <c r="R16" s="197"/>
      <c r="S16" s="197"/>
      <c r="T16" s="197"/>
      <c r="U16" s="197"/>
    </row>
    <row r="17" spans="1:21" s="12" customFormat="1" x14ac:dyDescent="0.25">
      <c r="A17" s="200" t="s">
        <v>1504</v>
      </c>
      <c r="B17" s="60">
        <v>3.82</v>
      </c>
      <c r="C17" s="60">
        <v>10.3</v>
      </c>
      <c r="D17" s="60">
        <v>14.12</v>
      </c>
      <c r="E17" s="60">
        <v>6.07</v>
      </c>
      <c r="F17" s="60">
        <v>0.16</v>
      </c>
      <c r="G17" s="215" t="s">
        <v>36</v>
      </c>
      <c r="H17" s="60">
        <v>3.83</v>
      </c>
      <c r="I17" s="60">
        <v>5.6</v>
      </c>
      <c r="J17" s="60">
        <v>0.35</v>
      </c>
      <c r="K17" s="60">
        <v>333.47</v>
      </c>
      <c r="L17" s="60">
        <v>33.11</v>
      </c>
      <c r="M17" s="60">
        <v>99.15</v>
      </c>
      <c r="N17" s="60">
        <v>15.4</v>
      </c>
      <c r="O17" s="60">
        <v>0.2</v>
      </c>
      <c r="P17" s="60">
        <v>3.68</v>
      </c>
      <c r="Q17" s="60">
        <v>7.5</v>
      </c>
      <c r="R17" s="197"/>
      <c r="S17" s="197"/>
      <c r="T17" s="197"/>
      <c r="U17" s="197"/>
    </row>
    <row r="18" spans="1:21" s="12" customFormat="1" x14ac:dyDescent="0.25">
      <c r="A18" s="200" t="s">
        <v>1505</v>
      </c>
      <c r="B18" s="60">
        <v>3.7</v>
      </c>
      <c r="C18" s="60">
        <v>10.39</v>
      </c>
      <c r="D18" s="60">
        <v>14.09</v>
      </c>
      <c r="E18" s="60">
        <v>6.11</v>
      </c>
      <c r="F18" s="60">
        <v>7.0000000000000007E-2</v>
      </c>
      <c r="G18" s="215" t="s">
        <v>36</v>
      </c>
      <c r="H18" s="60">
        <v>3.25</v>
      </c>
      <c r="I18" s="60">
        <v>5.46</v>
      </c>
      <c r="J18" s="60">
        <v>0.4</v>
      </c>
      <c r="K18" s="60">
        <v>321.89999999999998</v>
      </c>
      <c r="L18" s="60">
        <v>35.1</v>
      </c>
      <c r="M18" s="60">
        <v>99.15</v>
      </c>
      <c r="N18" s="60">
        <v>15.4</v>
      </c>
      <c r="O18" s="60">
        <v>0.2</v>
      </c>
      <c r="P18" s="60">
        <v>3.66</v>
      </c>
      <c r="Q18" s="60">
        <v>7.3</v>
      </c>
      <c r="R18" s="197"/>
      <c r="S18" s="197"/>
      <c r="T18" s="197"/>
      <c r="U18" s="197"/>
    </row>
    <row r="19" spans="1:21" s="12" customFormat="1" x14ac:dyDescent="0.25">
      <c r="A19" s="200" t="s">
        <v>1506</v>
      </c>
      <c r="B19" s="60">
        <v>3.59</v>
      </c>
      <c r="C19" s="60">
        <v>10.24</v>
      </c>
      <c r="D19" s="60">
        <v>13.83</v>
      </c>
      <c r="E19" s="60">
        <v>6.24</v>
      </c>
      <c r="F19" s="60">
        <v>0.16</v>
      </c>
      <c r="G19" s="215" t="s">
        <v>36</v>
      </c>
      <c r="H19" s="60">
        <v>3.25</v>
      </c>
      <c r="I19" s="60">
        <v>5.38</v>
      </c>
      <c r="J19" s="60">
        <v>0.24</v>
      </c>
      <c r="K19" s="60">
        <v>349.93</v>
      </c>
      <c r="L19" s="60">
        <v>31.25</v>
      </c>
      <c r="M19" s="60">
        <v>99.15</v>
      </c>
      <c r="N19" s="60">
        <v>15.3</v>
      </c>
      <c r="O19" s="60">
        <v>0.2</v>
      </c>
      <c r="P19" s="60">
        <v>3.65</v>
      </c>
      <c r="Q19" s="60">
        <v>7.35</v>
      </c>
      <c r="R19" s="197"/>
      <c r="S19" s="197"/>
      <c r="T19" s="197"/>
      <c r="U19" s="197"/>
    </row>
    <row r="20" spans="1:21" s="12" customFormat="1" x14ac:dyDescent="0.25">
      <c r="A20" s="200" t="s">
        <v>1507</v>
      </c>
      <c r="B20" s="60">
        <v>3.43</v>
      </c>
      <c r="C20" s="60">
        <v>10.53</v>
      </c>
      <c r="D20" s="60">
        <v>13.96</v>
      </c>
      <c r="E20" s="60">
        <v>6.56</v>
      </c>
      <c r="F20" s="60">
        <v>0.93</v>
      </c>
      <c r="G20" s="215" t="s">
        <v>36</v>
      </c>
      <c r="H20" s="60">
        <v>3.25</v>
      </c>
      <c r="I20" s="60">
        <v>5.29</v>
      </c>
      <c r="J20" s="60">
        <v>0.28999999999999998</v>
      </c>
      <c r="K20" s="60">
        <v>344.13</v>
      </c>
      <c r="L20" s="60">
        <v>31.06</v>
      </c>
      <c r="M20" s="60">
        <v>99.15</v>
      </c>
      <c r="N20" s="60">
        <v>15.4</v>
      </c>
      <c r="O20" s="60">
        <v>0.2</v>
      </c>
      <c r="P20" s="60">
        <v>3.61</v>
      </c>
      <c r="Q20" s="60">
        <v>7.21</v>
      </c>
      <c r="R20" s="197"/>
      <c r="S20" s="197"/>
      <c r="T20" s="197"/>
      <c r="U20" s="197"/>
    </row>
    <row r="21" spans="1:21" s="12" customFormat="1" x14ac:dyDescent="0.25">
      <c r="A21" s="200" t="s">
        <v>1508</v>
      </c>
      <c r="B21" s="60">
        <v>3.3</v>
      </c>
      <c r="C21" s="60">
        <v>10.58</v>
      </c>
      <c r="D21" s="60">
        <v>13.89</v>
      </c>
      <c r="E21" s="60">
        <v>6.61</v>
      </c>
      <c r="F21" s="60">
        <v>0.28999999999999998</v>
      </c>
      <c r="G21" s="215" t="s">
        <v>36</v>
      </c>
      <c r="H21" s="60">
        <v>4.8499999999999996</v>
      </c>
      <c r="I21" s="60">
        <v>5.23</v>
      </c>
      <c r="J21" s="60">
        <v>0.21</v>
      </c>
      <c r="K21" s="60">
        <v>18.989999999999998</v>
      </c>
      <c r="L21" s="60">
        <v>30.97</v>
      </c>
      <c r="M21" s="60">
        <v>99.15</v>
      </c>
      <c r="N21" s="60">
        <v>15.3</v>
      </c>
      <c r="O21" s="60">
        <v>0.2</v>
      </c>
      <c r="P21" s="60">
        <v>3.6</v>
      </c>
      <c r="Q21" s="60">
        <v>7.09</v>
      </c>
      <c r="R21" s="197"/>
      <c r="S21" s="197"/>
      <c r="T21" s="197"/>
      <c r="U21" s="197"/>
    </row>
    <row r="22" spans="1:21" s="12" customFormat="1" x14ac:dyDescent="0.25">
      <c r="A22" s="200" t="s">
        <v>1509</v>
      </c>
      <c r="B22" s="60">
        <v>3.17</v>
      </c>
      <c r="C22" s="60">
        <v>10.51</v>
      </c>
      <c r="D22" s="60">
        <v>13.67</v>
      </c>
      <c r="E22" s="60">
        <v>5.89</v>
      </c>
      <c r="F22" s="60">
        <v>0.15</v>
      </c>
      <c r="G22" s="215" t="s">
        <v>36</v>
      </c>
      <c r="H22" s="60">
        <v>8.7799999999999994</v>
      </c>
      <c r="I22" s="60">
        <v>5.2</v>
      </c>
      <c r="J22" s="60">
        <v>0.3</v>
      </c>
      <c r="K22" s="60">
        <v>321.33999999999997</v>
      </c>
      <c r="L22" s="60">
        <v>30.87</v>
      </c>
      <c r="M22" s="60">
        <v>99.15</v>
      </c>
      <c r="N22" s="60">
        <v>15.4</v>
      </c>
      <c r="O22" s="60">
        <v>0</v>
      </c>
      <c r="P22" s="60">
        <v>3.6</v>
      </c>
      <c r="Q22" s="60">
        <v>6.87</v>
      </c>
      <c r="R22" s="197"/>
      <c r="S22" s="197"/>
      <c r="T22" s="197"/>
      <c r="U22" s="197"/>
    </row>
    <row r="23" spans="1:21" s="12" customFormat="1" x14ac:dyDescent="0.25">
      <c r="A23" s="200" t="s">
        <v>1510</v>
      </c>
      <c r="B23" s="60">
        <v>3.02</v>
      </c>
      <c r="C23" s="60">
        <v>9.85</v>
      </c>
      <c r="D23" s="60">
        <v>12.88</v>
      </c>
      <c r="E23" s="60">
        <v>6.15</v>
      </c>
      <c r="F23" s="60">
        <v>0.65</v>
      </c>
      <c r="G23" s="215" t="s">
        <v>36</v>
      </c>
      <c r="H23" s="60">
        <v>8.7799999999999994</v>
      </c>
      <c r="I23" s="60">
        <v>5.16</v>
      </c>
      <c r="J23" s="60">
        <v>0.24</v>
      </c>
      <c r="K23" s="60">
        <v>350.12</v>
      </c>
      <c r="L23" s="60">
        <v>30.83</v>
      </c>
      <c r="M23" s="60">
        <v>99.15</v>
      </c>
      <c r="N23" s="60">
        <v>15.3</v>
      </c>
      <c r="O23" s="60">
        <v>0.2</v>
      </c>
      <c r="P23" s="60">
        <v>3.57</v>
      </c>
      <c r="Q23" s="60">
        <v>6.69</v>
      </c>
      <c r="R23" s="197"/>
      <c r="S23" s="197"/>
      <c r="T23" s="197"/>
      <c r="U23" s="197"/>
    </row>
    <row r="24" spans="1:21" s="12" customFormat="1" x14ac:dyDescent="0.25">
      <c r="A24" s="200" t="s">
        <v>1511</v>
      </c>
      <c r="B24" s="60">
        <v>2.84</v>
      </c>
      <c r="C24" s="60">
        <v>9.25</v>
      </c>
      <c r="D24" s="60">
        <v>12.09</v>
      </c>
      <c r="E24" s="60">
        <v>1.87</v>
      </c>
      <c r="F24" s="60">
        <v>0.4</v>
      </c>
      <c r="G24" s="215" t="s">
        <v>36</v>
      </c>
      <c r="H24" s="60">
        <v>8.7799999999999994</v>
      </c>
      <c r="I24" s="60">
        <v>5.1100000000000003</v>
      </c>
      <c r="J24" s="60">
        <v>0.18</v>
      </c>
      <c r="K24" s="60">
        <v>359.04</v>
      </c>
      <c r="L24" s="60">
        <v>30.76</v>
      </c>
      <c r="M24" s="60">
        <v>99.15</v>
      </c>
      <c r="N24" s="60">
        <v>15.3</v>
      </c>
      <c r="O24" s="60">
        <v>0.2</v>
      </c>
      <c r="P24" s="60">
        <v>3.56</v>
      </c>
      <c r="Q24" s="60">
        <v>6.56</v>
      </c>
      <c r="R24" s="197"/>
      <c r="S24" s="197"/>
      <c r="T24" s="197"/>
      <c r="U24" s="197"/>
    </row>
    <row r="25" spans="1:21" s="12" customFormat="1" x14ac:dyDescent="0.25">
      <c r="A25" s="200" t="s">
        <v>1512</v>
      </c>
      <c r="B25" s="60">
        <v>2.66</v>
      </c>
      <c r="C25" s="60">
        <v>8.98</v>
      </c>
      <c r="D25" s="60">
        <v>11.65</v>
      </c>
      <c r="E25" s="60">
        <v>4.17</v>
      </c>
      <c r="F25" s="60">
        <v>0.51</v>
      </c>
      <c r="G25" s="215" t="s">
        <v>36</v>
      </c>
      <c r="H25" s="60">
        <v>8.25</v>
      </c>
      <c r="I25" s="60">
        <v>4.96</v>
      </c>
      <c r="J25" s="60">
        <v>0.22</v>
      </c>
      <c r="K25" s="60">
        <v>349.13</v>
      </c>
      <c r="L25" s="60">
        <v>30.73</v>
      </c>
      <c r="M25" s="60">
        <v>99.15</v>
      </c>
      <c r="N25" s="60">
        <v>15.3</v>
      </c>
      <c r="O25" s="60">
        <v>0</v>
      </c>
      <c r="P25" s="60">
        <v>3.54</v>
      </c>
      <c r="Q25" s="60">
        <v>6.41</v>
      </c>
      <c r="R25" s="197"/>
      <c r="S25" s="197"/>
      <c r="T25" s="197"/>
      <c r="U25" s="197"/>
    </row>
    <row r="26" spans="1:21" s="12" customFormat="1" x14ac:dyDescent="0.25">
      <c r="A26" s="200" t="s">
        <v>1513</v>
      </c>
      <c r="B26" s="60">
        <v>2.71</v>
      </c>
      <c r="C26" s="60">
        <v>8.94</v>
      </c>
      <c r="D26" s="60">
        <v>11.65</v>
      </c>
      <c r="E26" s="60">
        <v>5.6</v>
      </c>
      <c r="F26" s="60">
        <v>0.38</v>
      </c>
      <c r="G26" s="215" t="s">
        <v>36</v>
      </c>
      <c r="H26" s="60">
        <v>6.97</v>
      </c>
      <c r="I26" s="60">
        <v>4.87</v>
      </c>
      <c r="J26" s="60">
        <v>0.2</v>
      </c>
      <c r="K26" s="60">
        <v>355.45</v>
      </c>
      <c r="L26" s="60">
        <v>30.67</v>
      </c>
      <c r="M26" s="60">
        <v>99.15</v>
      </c>
      <c r="N26" s="60">
        <v>15.3</v>
      </c>
      <c r="O26" s="60">
        <v>0.2</v>
      </c>
      <c r="P26" s="60">
        <v>3.54</v>
      </c>
      <c r="Q26" s="60">
        <v>6.27</v>
      </c>
      <c r="R26" s="197"/>
      <c r="S26" s="197"/>
      <c r="T26" s="197"/>
      <c r="U26" s="197"/>
    </row>
    <row r="27" spans="1:21" s="12" customFormat="1" x14ac:dyDescent="0.25">
      <c r="A27" s="200" t="s">
        <v>1514</v>
      </c>
      <c r="B27" s="60">
        <v>2.7</v>
      </c>
      <c r="C27" s="60">
        <v>8.89</v>
      </c>
      <c r="D27" s="60">
        <v>11.59</v>
      </c>
      <c r="E27" s="60">
        <v>5.92</v>
      </c>
      <c r="F27" s="60">
        <v>0.56000000000000005</v>
      </c>
      <c r="G27" s="215" t="s">
        <v>36</v>
      </c>
      <c r="H27" s="60">
        <v>6.97</v>
      </c>
      <c r="I27" s="60">
        <v>4.79</v>
      </c>
      <c r="J27" s="60">
        <v>0.2</v>
      </c>
      <c r="K27" s="60">
        <v>350.84</v>
      </c>
      <c r="L27" s="60">
        <v>30.65</v>
      </c>
      <c r="M27" s="60">
        <v>99.15</v>
      </c>
      <c r="N27" s="60">
        <v>15.3</v>
      </c>
      <c r="O27" s="60">
        <v>0</v>
      </c>
      <c r="P27" s="60">
        <v>3.52</v>
      </c>
      <c r="Q27" s="60">
        <v>6.4</v>
      </c>
      <c r="R27" s="197"/>
      <c r="S27" s="197"/>
      <c r="T27" s="197"/>
      <c r="U27" s="197"/>
    </row>
    <row r="28" spans="1:21" s="12" customFormat="1" x14ac:dyDescent="0.25">
      <c r="A28" s="200" t="s">
        <v>1515</v>
      </c>
      <c r="B28" s="60">
        <v>2.92</v>
      </c>
      <c r="C28" s="60">
        <v>9.19</v>
      </c>
      <c r="D28" s="60">
        <v>12.1</v>
      </c>
      <c r="E28" s="60">
        <v>5.59</v>
      </c>
      <c r="F28" s="60">
        <v>0.05</v>
      </c>
      <c r="G28" s="215" t="s">
        <v>36</v>
      </c>
      <c r="H28" s="60">
        <v>6.97</v>
      </c>
      <c r="I28" s="60">
        <v>4.72</v>
      </c>
      <c r="J28" s="60">
        <v>0.22</v>
      </c>
      <c r="K28" s="60">
        <v>6.18</v>
      </c>
      <c r="L28" s="60">
        <v>30.62</v>
      </c>
      <c r="M28" s="60">
        <v>99.15</v>
      </c>
      <c r="N28" s="60">
        <v>15.4</v>
      </c>
      <c r="O28" s="60">
        <v>0.2</v>
      </c>
      <c r="P28" s="60">
        <v>3.51</v>
      </c>
      <c r="Q28" s="60">
        <v>6.46</v>
      </c>
      <c r="R28" s="197"/>
      <c r="S28" s="197"/>
      <c r="T28" s="197"/>
      <c r="U28" s="197"/>
    </row>
    <row r="29" spans="1:21" s="12" customFormat="1" x14ac:dyDescent="0.25">
      <c r="A29" s="200" t="s">
        <v>1516</v>
      </c>
      <c r="B29" s="60">
        <v>3.09</v>
      </c>
      <c r="C29" s="60">
        <v>9.6</v>
      </c>
      <c r="D29" s="60">
        <v>12.68</v>
      </c>
      <c r="E29" s="60">
        <v>5.5</v>
      </c>
      <c r="F29" s="60">
        <v>0.1</v>
      </c>
      <c r="G29" s="215" t="s">
        <v>36</v>
      </c>
      <c r="H29" s="60">
        <v>6.51</v>
      </c>
      <c r="I29" s="60">
        <v>4.6100000000000003</v>
      </c>
      <c r="J29" s="60">
        <v>0.22</v>
      </c>
      <c r="K29" s="60">
        <v>351.42</v>
      </c>
      <c r="L29" s="60">
        <v>30.55</v>
      </c>
      <c r="M29" s="60">
        <v>99.15</v>
      </c>
      <c r="N29" s="60">
        <v>15.4</v>
      </c>
      <c r="O29" s="60">
        <v>0</v>
      </c>
      <c r="P29" s="60">
        <v>3.5</v>
      </c>
      <c r="Q29" s="60">
        <v>6.51</v>
      </c>
      <c r="R29" s="197"/>
      <c r="S29" s="197"/>
      <c r="T29" s="197"/>
      <c r="U29" s="197"/>
    </row>
    <row r="30" spans="1:21" s="12" customFormat="1" x14ac:dyDescent="0.25">
      <c r="A30" s="200" t="s">
        <v>1517</v>
      </c>
      <c r="B30" s="60">
        <v>3.21</v>
      </c>
      <c r="C30" s="60">
        <v>9.7899999999999991</v>
      </c>
      <c r="D30" s="60">
        <v>13</v>
      </c>
      <c r="E30" s="60">
        <v>5.28</v>
      </c>
      <c r="F30" s="60">
        <v>0.31</v>
      </c>
      <c r="G30" s="215" t="s">
        <v>36</v>
      </c>
      <c r="H30" s="60">
        <v>5.4</v>
      </c>
      <c r="I30" s="60">
        <v>4.5999999999999996</v>
      </c>
      <c r="J30" s="60">
        <v>0.28999999999999998</v>
      </c>
      <c r="K30" s="60">
        <v>334.36</v>
      </c>
      <c r="L30" s="60">
        <v>30.53</v>
      </c>
      <c r="M30" s="60">
        <v>99.15</v>
      </c>
      <c r="N30" s="60">
        <v>15.4</v>
      </c>
      <c r="O30" s="60">
        <v>0</v>
      </c>
      <c r="P30" s="60">
        <v>3.5</v>
      </c>
      <c r="Q30" s="60">
        <v>6.46</v>
      </c>
      <c r="R30" s="197"/>
      <c r="S30" s="197"/>
      <c r="T30" s="197"/>
      <c r="U30" s="197"/>
    </row>
    <row r="31" spans="1:21" s="12" customFormat="1" x14ac:dyDescent="0.25">
      <c r="A31" s="200" t="s">
        <v>1518</v>
      </c>
      <c r="B31" s="60">
        <v>3.52</v>
      </c>
      <c r="C31" s="60">
        <v>9.4700000000000006</v>
      </c>
      <c r="D31" s="60">
        <v>12.98</v>
      </c>
      <c r="E31" s="60">
        <v>5.72</v>
      </c>
      <c r="F31" s="60">
        <v>0.88</v>
      </c>
      <c r="G31" s="215" t="s">
        <v>36</v>
      </c>
      <c r="H31" s="60">
        <v>5.4</v>
      </c>
      <c r="I31" s="60">
        <v>4.59</v>
      </c>
      <c r="J31" s="60">
        <v>0.27</v>
      </c>
      <c r="K31" s="60">
        <v>335.56</v>
      </c>
      <c r="L31" s="60">
        <v>30.53</v>
      </c>
      <c r="M31" s="60">
        <v>99.15</v>
      </c>
      <c r="N31" s="60">
        <v>15.7</v>
      </c>
      <c r="O31" s="60">
        <v>0</v>
      </c>
      <c r="P31" s="60">
        <v>3.49</v>
      </c>
      <c r="Q31" s="60">
        <v>6.78</v>
      </c>
      <c r="R31" s="197"/>
      <c r="S31" s="197"/>
      <c r="T31" s="197"/>
      <c r="U31" s="197"/>
    </row>
    <row r="32" spans="1:21" s="12" customFormat="1" x14ac:dyDescent="0.25">
      <c r="A32" s="200" t="s">
        <v>1519</v>
      </c>
      <c r="B32" s="60">
        <v>3.98</v>
      </c>
      <c r="C32" s="60">
        <v>9.58</v>
      </c>
      <c r="D32" s="60">
        <v>13.56</v>
      </c>
      <c r="E32" s="60">
        <v>6.23</v>
      </c>
      <c r="F32" s="60">
        <v>0.41</v>
      </c>
      <c r="G32" s="215" t="s">
        <v>36</v>
      </c>
      <c r="H32" s="60">
        <v>5.4</v>
      </c>
      <c r="I32" s="60">
        <v>4.57</v>
      </c>
      <c r="J32" s="60">
        <v>0.36</v>
      </c>
      <c r="K32" s="60">
        <v>323.91000000000003</v>
      </c>
      <c r="L32" s="60">
        <v>30.47</v>
      </c>
      <c r="M32" s="60">
        <v>99.15</v>
      </c>
      <c r="N32" s="60">
        <v>17.100000000000001</v>
      </c>
      <c r="O32" s="60">
        <v>0.2</v>
      </c>
      <c r="P32" s="60">
        <v>3.48</v>
      </c>
      <c r="Q32" s="60">
        <v>6.98</v>
      </c>
      <c r="R32" s="197"/>
      <c r="S32" s="197"/>
      <c r="T32" s="197"/>
      <c r="U32" s="197"/>
    </row>
    <row r="33" spans="1:21" s="12" customFormat="1" x14ac:dyDescent="0.25">
      <c r="A33" s="200" t="s">
        <v>1520</v>
      </c>
      <c r="B33" s="60">
        <v>4.32</v>
      </c>
      <c r="C33" s="60">
        <v>9.59</v>
      </c>
      <c r="D33" s="60">
        <v>13.9</v>
      </c>
      <c r="E33" s="60">
        <v>6.25</v>
      </c>
      <c r="F33" s="60">
        <v>0.26</v>
      </c>
      <c r="G33" s="215" t="s">
        <v>36</v>
      </c>
      <c r="H33" s="60">
        <v>6.36</v>
      </c>
      <c r="I33" s="60">
        <v>4.5</v>
      </c>
      <c r="J33" s="60">
        <v>0.35</v>
      </c>
      <c r="K33" s="60">
        <v>326.3</v>
      </c>
      <c r="L33" s="60">
        <v>30.41</v>
      </c>
      <c r="M33" s="60">
        <v>99.15</v>
      </c>
      <c r="N33" s="60">
        <v>20.7</v>
      </c>
      <c r="O33" s="60">
        <v>0.2</v>
      </c>
      <c r="P33" s="60">
        <v>3.48</v>
      </c>
      <c r="Q33" s="60">
        <v>6.99</v>
      </c>
      <c r="R33" s="197"/>
      <c r="S33" s="197"/>
      <c r="T33" s="197"/>
      <c r="U33" s="197"/>
    </row>
    <row r="34" spans="1:21" s="12" customFormat="1" x14ac:dyDescent="0.25">
      <c r="A34" s="200" t="s">
        <v>1521</v>
      </c>
      <c r="B34" s="60">
        <v>4.41</v>
      </c>
      <c r="C34" s="60">
        <v>9.6300000000000008</v>
      </c>
      <c r="D34" s="60">
        <v>14.03</v>
      </c>
      <c r="E34" s="60">
        <v>6.15</v>
      </c>
      <c r="F34" s="60">
        <v>0.5</v>
      </c>
      <c r="G34" s="215" t="s">
        <v>36</v>
      </c>
      <c r="H34" s="60">
        <v>8.7100000000000009</v>
      </c>
      <c r="I34" s="60">
        <v>4.5</v>
      </c>
      <c r="J34" s="60">
        <v>0.31</v>
      </c>
      <c r="K34" s="60">
        <v>340.62</v>
      </c>
      <c r="L34" s="60">
        <v>30.35</v>
      </c>
      <c r="M34" s="60">
        <v>99.11</v>
      </c>
      <c r="N34" s="60">
        <v>24.5</v>
      </c>
      <c r="O34" s="60">
        <v>0</v>
      </c>
      <c r="P34" s="60">
        <v>3.47</v>
      </c>
      <c r="Q34" s="60">
        <v>6.9</v>
      </c>
      <c r="R34" s="197"/>
      <c r="S34" s="197"/>
      <c r="T34" s="197"/>
      <c r="U34" s="197"/>
    </row>
    <row r="35" spans="1:21" s="12" customFormat="1" x14ac:dyDescent="0.25">
      <c r="A35" s="200" t="s">
        <v>1522</v>
      </c>
      <c r="B35" s="60">
        <v>4.34</v>
      </c>
      <c r="C35" s="60">
        <v>9.9</v>
      </c>
      <c r="D35" s="60">
        <v>14.23</v>
      </c>
      <c r="E35" s="60">
        <v>5.62</v>
      </c>
      <c r="F35" s="60">
        <v>0.44</v>
      </c>
      <c r="G35" s="215" t="s">
        <v>36</v>
      </c>
      <c r="H35" s="60">
        <v>8.7100000000000009</v>
      </c>
      <c r="I35" s="60">
        <v>4.5</v>
      </c>
      <c r="J35" s="60">
        <v>0.4</v>
      </c>
      <c r="K35" s="60">
        <v>324.47000000000003</v>
      </c>
      <c r="L35" s="60">
        <v>30.26</v>
      </c>
      <c r="M35" s="60">
        <v>99.13</v>
      </c>
      <c r="N35" s="60">
        <v>27</v>
      </c>
      <c r="O35" s="60">
        <v>0</v>
      </c>
      <c r="P35" s="60">
        <v>3.46</v>
      </c>
      <c r="Q35" s="60">
        <v>6.85</v>
      </c>
      <c r="R35" s="197"/>
      <c r="S35" s="197"/>
      <c r="T35" s="197"/>
      <c r="U35" s="197"/>
    </row>
    <row r="36" spans="1:21" s="12" customFormat="1" x14ac:dyDescent="0.25">
      <c r="A36" s="200" t="s">
        <v>1523</v>
      </c>
      <c r="B36" s="60">
        <v>4.22</v>
      </c>
      <c r="C36" s="60">
        <v>10.130000000000001</v>
      </c>
      <c r="D36" s="60">
        <v>14.35</v>
      </c>
      <c r="E36" s="60">
        <v>6.27</v>
      </c>
      <c r="F36" s="60">
        <v>0.24</v>
      </c>
      <c r="G36" s="215" t="s">
        <v>36</v>
      </c>
      <c r="H36" s="60">
        <v>8.7100000000000009</v>
      </c>
      <c r="I36" s="60">
        <v>4.37</v>
      </c>
      <c r="J36" s="60">
        <v>0.23</v>
      </c>
      <c r="K36" s="60">
        <v>354.51</v>
      </c>
      <c r="L36" s="60">
        <v>30.19</v>
      </c>
      <c r="M36" s="60">
        <v>99.11</v>
      </c>
      <c r="N36" s="60">
        <v>32.6</v>
      </c>
      <c r="O36" s="60">
        <v>0</v>
      </c>
      <c r="P36" s="60">
        <v>3.46</v>
      </c>
      <c r="Q36" s="60">
        <v>6.88</v>
      </c>
      <c r="R36" s="197"/>
      <c r="S36" s="197"/>
      <c r="T36" s="197"/>
      <c r="U36" s="197"/>
    </row>
    <row r="37" spans="1:21" s="12" customFormat="1" x14ac:dyDescent="0.25">
      <c r="A37" s="200" t="s">
        <v>1524</v>
      </c>
      <c r="B37" s="60">
        <v>3.97</v>
      </c>
      <c r="C37" s="60">
        <v>10.74</v>
      </c>
      <c r="D37" s="60">
        <v>14.71</v>
      </c>
      <c r="E37" s="60">
        <v>6.15</v>
      </c>
      <c r="F37" s="60">
        <v>0.62</v>
      </c>
      <c r="G37" s="215" t="s">
        <v>36</v>
      </c>
      <c r="H37" s="60">
        <v>8.14</v>
      </c>
      <c r="I37" s="60">
        <v>4.34</v>
      </c>
      <c r="J37" s="60">
        <v>0.25</v>
      </c>
      <c r="K37" s="60">
        <v>351.91</v>
      </c>
      <c r="L37" s="60">
        <v>30.18</v>
      </c>
      <c r="M37" s="60">
        <v>99.08</v>
      </c>
      <c r="N37" s="60">
        <v>40.299999999999997</v>
      </c>
      <c r="O37" s="60">
        <v>0</v>
      </c>
      <c r="P37" s="60">
        <v>3.46</v>
      </c>
      <c r="Q37" s="60">
        <v>6.89</v>
      </c>
      <c r="R37" s="197"/>
      <c r="S37" s="197"/>
      <c r="T37" s="197"/>
      <c r="U37" s="197"/>
    </row>
    <row r="38" spans="1:21" s="12" customFormat="1" x14ac:dyDescent="0.25">
      <c r="A38" s="200" t="s">
        <v>1525</v>
      </c>
      <c r="B38" s="60">
        <v>3.91</v>
      </c>
      <c r="C38" s="60">
        <v>11.32</v>
      </c>
      <c r="D38" s="60">
        <v>15.22</v>
      </c>
      <c r="E38" s="60">
        <v>6.68</v>
      </c>
      <c r="F38" s="60">
        <v>0.11</v>
      </c>
      <c r="G38" s="215" t="s">
        <v>36</v>
      </c>
      <c r="H38" s="60">
        <v>6.73</v>
      </c>
      <c r="I38" s="60">
        <v>4.2699999999999996</v>
      </c>
      <c r="J38" s="60">
        <v>0.27</v>
      </c>
      <c r="K38" s="60">
        <v>355.34</v>
      </c>
      <c r="L38" s="60">
        <v>30.1</v>
      </c>
      <c r="M38" s="60">
        <v>98.89</v>
      </c>
      <c r="N38" s="60">
        <v>39.299999999999997</v>
      </c>
      <c r="O38" s="60">
        <v>0</v>
      </c>
      <c r="P38" s="60">
        <v>3.47</v>
      </c>
      <c r="Q38" s="60">
        <v>6.79</v>
      </c>
      <c r="R38" s="197"/>
      <c r="S38" s="197"/>
      <c r="T38" s="197"/>
      <c r="U38" s="197"/>
    </row>
    <row r="39" spans="1:21" s="12" customFormat="1" x14ac:dyDescent="0.25">
      <c r="A39" s="200" t="s">
        <v>1526</v>
      </c>
      <c r="B39" s="60">
        <v>3.67</v>
      </c>
      <c r="C39" s="60">
        <v>11.01</v>
      </c>
      <c r="D39" s="60">
        <v>14.68</v>
      </c>
      <c r="E39" s="60">
        <v>6.02</v>
      </c>
      <c r="F39" s="8" t="s">
        <v>34</v>
      </c>
      <c r="G39" s="215" t="s">
        <v>36</v>
      </c>
      <c r="H39" s="60">
        <v>6.73</v>
      </c>
      <c r="I39" s="60">
        <v>4.21</v>
      </c>
      <c r="J39" s="60">
        <v>0.27</v>
      </c>
      <c r="K39" s="60">
        <v>346.97</v>
      </c>
      <c r="L39" s="60">
        <v>30.02</v>
      </c>
      <c r="M39" s="60">
        <v>98.78</v>
      </c>
      <c r="N39" s="60">
        <v>40</v>
      </c>
      <c r="O39" s="60">
        <v>0.2</v>
      </c>
      <c r="P39" s="60">
        <v>3.46</v>
      </c>
      <c r="Q39" s="60">
        <v>6.98</v>
      </c>
      <c r="R39" s="197"/>
      <c r="S39" s="197"/>
      <c r="T39" s="197"/>
      <c r="U39" s="197"/>
    </row>
    <row r="40" spans="1:21" s="12" customFormat="1" x14ac:dyDescent="0.25">
      <c r="A40" s="200" t="s">
        <v>1527</v>
      </c>
      <c r="B40" s="60">
        <v>3.93</v>
      </c>
      <c r="C40" s="60">
        <v>11.48</v>
      </c>
      <c r="D40" s="60">
        <v>15.42</v>
      </c>
      <c r="E40" s="60">
        <v>2.2599999999999998</v>
      </c>
      <c r="F40" s="60">
        <v>0.41</v>
      </c>
      <c r="G40" s="215" t="s">
        <v>36</v>
      </c>
      <c r="H40" s="60">
        <v>6.73</v>
      </c>
      <c r="I40" s="60">
        <v>4.2</v>
      </c>
      <c r="J40" s="60">
        <v>0.18</v>
      </c>
      <c r="K40" s="60">
        <v>27.37</v>
      </c>
      <c r="L40" s="60">
        <v>29.97</v>
      </c>
      <c r="M40" s="60">
        <v>98.96</v>
      </c>
      <c r="N40" s="60">
        <v>41</v>
      </c>
      <c r="O40" s="60">
        <v>0.2</v>
      </c>
      <c r="P40" s="60">
        <v>3.48</v>
      </c>
      <c r="Q40" s="60">
        <v>7.16</v>
      </c>
      <c r="R40" s="197"/>
      <c r="S40" s="197"/>
      <c r="T40" s="197"/>
      <c r="U40" s="197"/>
    </row>
    <row r="41" spans="1:21" s="12" customFormat="1" x14ac:dyDescent="0.25">
      <c r="A41" s="200" t="s">
        <v>1528</v>
      </c>
      <c r="B41" s="60">
        <v>4.47</v>
      </c>
      <c r="C41" s="60">
        <v>12.18</v>
      </c>
      <c r="D41" s="60">
        <v>16.64</v>
      </c>
      <c r="E41" s="60">
        <v>4.49</v>
      </c>
      <c r="F41" s="60">
        <v>0.44</v>
      </c>
      <c r="G41" s="215" t="s">
        <v>36</v>
      </c>
      <c r="H41" s="60">
        <v>7.33</v>
      </c>
      <c r="I41" s="60">
        <v>4.0999999999999996</v>
      </c>
      <c r="J41" s="60">
        <v>0.17</v>
      </c>
      <c r="K41" s="60">
        <v>33.200000000000003</v>
      </c>
      <c r="L41" s="60">
        <v>29.9</v>
      </c>
      <c r="M41" s="60">
        <v>99.05</v>
      </c>
      <c r="N41" s="60">
        <v>45.6</v>
      </c>
      <c r="O41" s="60">
        <v>0.2</v>
      </c>
      <c r="P41" s="60">
        <v>3.49</v>
      </c>
      <c r="Q41" s="60">
        <v>7.53</v>
      </c>
      <c r="R41" s="197"/>
      <c r="S41" s="197"/>
      <c r="T41" s="197"/>
      <c r="U41" s="197"/>
    </row>
    <row r="42" spans="1:21" s="12" customFormat="1" x14ac:dyDescent="0.25">
      <c r="A42" s="200" t="s">
        <v>1529</v>
      </c>
      <c r="B42" s="60">
        <v>4.91</v>
      </c>
      <c r="C42" s="60">
        <v>12.79</v>
      </c>
      <c r="D42" s="60">
        <v>17.7</v>
      </c>
      <c r="E42" s="60">
        <v>4.8600000000000003</v>
      </c>
      <c r="F42" s="60">
        <v>0.15</v>
      </c>
      <c r="G42" s="215" t="s">
        <v>36</v>
      </c>
      <c r="H42" s="60">
        <v>8.83</v>
      </c>
      <c r="I42" s="60">
        <v>4.1399999999999997</v>
      </c>
      <c r="J42" s="60">
        <v>0.21</v>
      </c>
      <c r="K42" s="60">
        <v>346.9</v>
      </c>
      <c r="L42" s="60">
        <v>29.93</v>
      </c>
      <c r="M42" s="60">
        <v>99.1</v>
      </c>
      <c r="N42" s="60">
        <v>59.5</v>
      </c>
      <c r="O42" s="60">
        <v>0.2</v>
      </c>
      <c r="P42" s="60">
        <v>3.49</v>
      </c>
      <c r="Q42" s="60">
        <v>7.61</v>
      </c>
      <c r="R42" s="197"/>
      <c r="S42" s="197"/>
      <c r="T42" s="197"/>
      <c r="U42" s="197"/>
    </row>
    <row r="43" spans="1:21" s="12" customFormat="1" x14ac:dyDescent="0.25">
      <c r="A43" s="200" t="s">
        <v>1530</v>
      </c>
      <c r="B43" s="60">
        <v>5.31</v>
      </c>
      <c r="C43" s="60">
        <v>12.93</v>
      </c>
      <c r="D43" s="60">
        <v>18.239999999999998</v>
      </c>
      <c r="E43" s="60">
        <v>4.78</v>
      </c>
      <c r="F43" s="60">
        <v>0.13</v>
      </c>
      <c r="G43" s="215" t="s">
        <v>36</v>
      </c>
      <c r="H43" s="60">
        <v>8.83</v>
      </c>
      <c r="I43" s="60">
        <v>4.18</v>
      </c>
      <c r="J43" s="60">
        <v>0.21</v>
      </c>
      <c r="K43" s="60">
        <v>25.59</v>
      </c>
      <c r="L43" s="60">
        <v>30.01</v>
      </c>
      <c r="M43" s="60">
        <v>99.1</v>
      </c>
      <c r="N43" s="60">
        <v>76.7</v>
      </c>
      <c r="O43" s="60">
        <v>0.2</v>
      </c>
      <c r="P43" s="60">
        <v>3.5</v>
      </c>
      <c r="Q43" s="60">
        <v>7.77</v>
      </c>
      <c r="R43" s="197"/>
      <c r="S43" s="197"/>
      <c r="T43" s="197"/>
      <c r="U43" s="197"/>
    </row>
    <row r="44" spans="1:21" s="12" customFormat="1" x14ac:dyDescent="0.25">
      <c r="A44" s="200" t="s">
        <v>1531</v>
      </c>
      <c r="B44" s="60">
        <v>5.77</v>
      </c>
      <c r="C44" s="60">
        <v>13</v>
      </c>
      <c r="D44" s="60">
        <v>18.760000000000002</v>
      </c>
      <c r="E44" s="60">
        <v>4.6399999999999997</v>
      </c>
      <c r="F44" s="60">
        <v>0.36</v>
      </c>
      <c r="G44" s="215" t="s">
        <v>36</v>
      </c>
      <c r="H44" s="60">
        <v>8.83</v>
      </c>
      <c r="I44" s="60">
        <v>4.18</v>
      </c>
      <c r="J44" s="60">
        <v>0.22</v>
      </c>
      <c r="K44" s="60">
        <v>6.4</v>
      </c>
      <c r="L44" s="60">
        <v>30.1</v>
      </c>
      <c r="M44" s="60">
        <v>99.08</v>
      </c>
      <c r="N44" s="60">
        <v>84.1</v>
      </c>
      <c r="O44" s="60">
        <v>0.2</v>
      </c>
      <c r="P44" s="60">
        <v>3.51</v>
      </c>
      <c r="Q44" s="60">
        <v>7.93</v>
      </c>
      <c r="R44" s="197"/>
      <c r="S44" s="197"/>
      <c r="T44" s="197"/>
      <c r="U44" s="197"/>
    </row>
    <row r="45" spans="1:21" s="12" customFormat="1" x14ac:dyDescent="0.25">
      <c r="A45" s="200" t="s">
        <v>1532</v>
      </c>
      <c r="B45" s="60">
        <v>6.15</v>
      </c>
      <c r="C45" s="60">
        <v>12.91</v>
      </c>
      <c r="D45" s="60">
        <v>19.059999999999999</v>
      </c>
      <c r="E45" s="60">
        <v>5.35</v>
      </c>
      <c r="F45" s="60">
        <v>0.28999999999999998</v>
      </c>
      <c r="G45" s="215" t="s">
        <v>36</v>
      </c>
      <c r="H45" s="60">
        <v>8.75</v>
      </c>
      <c r="I45" s="60">
        <v>4.1500000000000004</v>
      </c>
      <c r="J45" s="60">
        <v>0.19</v>
      </c>
      <c r="K45" s="60">
        <v>355.4</v>
      </c>
      <c r="L45" s="60">
        <v>30.21</v>
      </c>
      <c r="M45" s="60">
        <v>99.11</v>
      </c>
      <c r="N45" s="60">
        <v>95</v>
      </c>
      <c r="O45" s="60">
        <v>0</v>
      </c>
      <c r="P45" s="60">
        <v>3.52</v>
      </c>
      <c r="Q45" s="60">
        <v>8.02</v>
      </c>
      <c r="R45" s="197"/>
      <c r="S45" s="197"/>
      <c r="T45" s="197"/>
      <c r="U45" s="197"/>
    </row>
    <row r="46" spans="1:21" s="12" customFormat="1" x14ac:dyDescent="0.25">
      <c r="A46" s="200" t="s">
        <v>1533</v>
      </c>
      <c r="B46" s="60">
        <v>6.61</v>
      </c>
      <c r="C46" s="60">
        <v>13.12</v>
      </c>
      <c r="D46" s="60">
        <v>19.73</v>
      </c>
      <c r="E46" s="60">
        <v>4.8899999999999997</v>
      </c>
      <c r="F46" s="60">
        <v>0.18</v>
      </c>
      <c r="G46" s="215" t="s">
        <v>36</v>
      </c>
      <c r="H46" s="60">
        <v>8.56</v>
      </c>
      <c r="I46" s="60">
        <v>4.18</v>
      </c>
      <c r="J46" s="60">
        <v>0.2</v>
      </c>
      <c r="K46" s="60">
        <v>4.8499999999999996</v>
      </c>
      <c r="L46" s="60">
        <v>30.38</v>
      </c>
      <c r="M46" s="60">
        <v>99.03</v>
      </c>
      <c r="N46" s="60">
        <v>117.8</v>
      </c>
      <c r="O46" s="60">
        <v>0.2</v>
      </c>
      <c r="P46" s="60">
        <v>3.52</v>
      </c>
      <c r="Q46" s="60">
        <v>8.11</v>
      </c>
      <c r="R46" s="197"/>
      <c r="S46" s="197"/>
      <c r="T46" s="197"/>
      <c r="U46" s="197"/>
    </row>
    <row r="47" spans="1:21" s="12" customFormat="1" x14ac:dyDescent="0.25">
      <c r="A47" s="200" t="s">
        <v>1534</v>
      </c>
      <c r="B47" s="60">
        <v>7.19</v>
      </c>
      <c r="C47" s="60">
        <v>13.32</v>
      </c>
      <c r="D47" s="60">
        <v>20.51</v>
      </c>
      <c r="E47" s="60">
        <v>5.07</v>
      </c>
      <c r="F47" s="60">
        <v>0.14000000000000001</v>
      </c>
      <c r="G47" s="215" t="s">
        <v>36</v>
      </c>
      <c r="H47" s="60">
        <v>8.56</v>
      </c>
      <c r="I47" s="60">
        <v>4.1900000000000004</v>
      </c>
      <c r="J47" s="60">
        <v>0.25</v>
      </c>
      <c r="K47" s="60">
        <v>344.51</v>
      </c>
      <c r="L47" s="60">
        <v>30.59</v>
      </c>
      <c r="M47" s="60">
        <v>98.89</v>
      </c>
      <c r="N47" s="60">
        <v>139.69999999999999</v>
      </c>
      <c r="O47" s="60">
        <v>0</v>
      </c>
      <c r="P47" s="60">
        <v>3.54</v>
      </c>
      <c r="Q47" s="60">
        <v>8.3800000000000008</v>
      </c>
      <c r="R47" s="197"/>
      <c r="S47" s="197"/>
      <c r="T47" s="197"/>
      <c r="U47" s="197"/>
    </row>
    <row r="48" spans="1:21" s="12" customFormat="1" x14ac:dyDescent="0.25">
      <c r="A48" s="200" t="s">
        <v>1535</v>
      </c>
      <c r="B48" s="60">
        <v>8</v>
      </c>
      <c r="C48" s="60">
        <v>13.67</v>
      </c>
      <c r="D48" s="60">
        <v>21.67</v>
      </c>
      <c r="E48" s="60">
        <v>5.3</v>
      </c>
      <c r="F48" s="60">
        <v>0.27</v>
      </c>
      <c r="G48" s="215" t="s">
        <v>36</v>
      </c>
      <c r="H48" s="60">
        <v>8.56</v>
      </c>
      <c r="I48" s="60">
        <v>4.24</v>
      </c>
      <c r="J48" s="60">
        <v>0.16</v>
      </c>
      <c r="K48" s="60">
        <v>346.35</v>
      </c>
      <c r="L48" s="60">
        <v>30.77</v>
      </c>
      <c r="M48" s="60">
        <v>98.23</v>
      </c>
      <c r="N48" s="60">
        <v>118</v>
      </c>
      <c r="O48" s="60">
        <v>0</v>
      </c>
      <c r="P48" s="60">
        <v>3.56</v>
      </c>
      <c r="Q48" s="60">
        <v>8.69</v>
      </c>
      <c r="R48" s="197"/>
      <c r="S48" s="197"/>
      <c r="T48" s="197"/>
      <c r="U48" s="197"/>
    </row>
    <row r="49" spans="1:21" s="12" customFormat="1" x14ac:dyDescent="0.25">
      <c r="A49" s="200" t="s">
        <v>1536</v>
      </c>
      <c r="B49" s="60">
        <v>8.33</v>
      </c>
      <c r="C49" s="60">
        <v>14.11</v>
      </c>
      <c r="D49" s="60">
        <v>22.44</v>
      </c>
      <c r="E49" s="60">
        <v>4.82</v>
      </c>
      <c r="F49" s="60">
        <v>0.14000000000000001</v>
      </c>
      <c r="G49" s="215" t="s">
        <v>36</v>
      </c>
      <c r="H49" s="60">
        <v>7.91</v>
      </c>
      <c r="I49" s="60">
        <v>4.28</v>
      </c>
      <c r="J49" s="60">
        <v>0.22</v>
      </c>
      <c r="K49" s="60">
        <v>23.55</v>
      </c>
      <c r="L49" s="60">
        <v>30.81</v>
      </c>
      <c r="M49" s="60">
        <v>98.14</v>
      </c>
      <c r="N49" s="60">
        <v>106.2</v>
      </c>
      <c r="O49" s="60">
        <v>0.2</v>
      </c>
      <c r="P49" s="60">
        <v>3.6</v>
      </c>
      <c r="Q49" s="60">
        <v>8.85</v>
      </c>
      <c r="R49" s="197"/>
      <c r="S49" s="197"/>
      <c r="T49" s="197"/>
      <c r="U49" s="197"/>
    </row>
    <row r="50" spans="1:21" s="12" customFormat="1" x14ac:dyDescent="0.25">
      <c r="A50" s="200" t="s">
        <v>1537</v>
      </c>
      <c r="B50" s="60">
        <v>9.0500000000000007</v>
      </c>
      <c r="C50" s="60">
        <v>14.48</v>
      </c>
      <c r="D50" s="60">
        <v>23.53</v>
      </c>
      <c r="E50" s="60">
        <v>4.55</v>
      </c>
      <c r="F50" s="60">
        <v>0.25</v>
      </c>
      <c r="G50" s="215" t="s">
        <v>36</v>
      </c>
      <c r="H50" s="60">
        <v>6.31</v>
      </c>
      <c r="I50" s="60">
        <v>4.3099999999999996</v>
      </c>
      <c r="J50" s="60">
        <v>0.18</v>
      </c>
      <c r="K50" s="60">
        <v>24.9</v>
      </c>
      <c r="L50" s="60">
        <v>30.92</v>
      </c>
      <c r="M50" s="60">
        <v>97.21</v>
      </c>
      <c r="N50" s="60">
        <v>136.9</v>
      </c>
      <c r="O50" s="60">
        <v>0</v>
      </c>
      <c r="P50" s="60">
        <v>3.63</v>
      </c>
      <c r="Q50" s="60">
        <v>9.14</v>
      </c>
      <c r="R50" s="197"/>
      <c r="S50" s="197"/>
      <c r="T50" s="197"/>
      <c r="U50" s="197"/>
    </row>
    <row r="51" spans="1:21" s="12" customFormat="1" x14ac:dyDescent="0.25">
      <c r="A51" s="200" t="s">
        <v>1538</v>
      </c>
      <c r="B51" s="60">
        <v>9.5</v>
      </c>
      <c r="C51" s="60">
        <v>14.95</v>
      </c>
      <c r="D51" s="60">
        <v>24.45</v>
      </c>
      <c r="E51" s="60">
        <v>4.76</v>
      </c>
      <c r="F51" s="60">
        <v>0.3</v>
      </c>
      <c r="G51" s="215" t="s">
        <v>36</v>
      </c>
      <c r="H51" s="60">
        <v>6.31</v>
      </c>
      <c r="I51" s="60">
        <v>4.45</v>
      </c>
      <c r="J51" s="60">
        <v>0.26</v>
      </c>
      <c r="K51" s="60">
        <v>335.79</v>
      </c>
      <c r="L51" s="60">
        <v>30.85</v>
      </c>
      <c r="M51" s="60">
        <v>97.91</v>
      </c>
      <c r="N51" s="60">
        <v>81.8</v>
      </c>
      <c r="O51" s="60">
        <v>0</v>
      </c>
      <c r="P51" s="60">
        <v>3.64</v>
      </c>
      <c r="Q51" s="60">
        <v>9.4499999999999993</v>
      </c>
      <c r="R51" s="197"/>
      <c r="S51" s="197"/>
      <c r="T51" s="197"/>
      <c r="U51" s="197"/>
    </row>
    <row r="52" spans="1:21" s="12" customFormat="1" x14ac:dyDescent="0.25">
      <c r="A52" s="200" t="s">
        <v>1539</v>
      </c>
      <c r="B52" s="60">
        <v>9.76</v>
      </c>
      <c r="C52" s="60">
        <v>15.03</v>
      </c>
      <c r="D52" s="60">
        <v>24.79</v>
      </c>
      <c r="E52" s="60">
        <v>5.03</v>
      </c>
      <c r="F52" s="60">
        <v>0.09</v>
      </c>
      <c r="G52" s="215" t="s">
        <v>36</v>
      </c>
      <c r="H52" s="60">
        <v>6.31</v>
      </c>
      <c r="I52" s="60">
        <v>4.67</v>
      </c>
      <c r="J52" s="60">
        <v>0.28000000000000003</v>
      </c>
      <c r="K52" s="60">
        <v>349.71</v>
      </c>
      <c r="L52" s="60">
        <v>30.82</v>
      </c>
      <c r="M52" s="60">
        <v>97.95</v>
      </c>
      <c r="N52" s="60">
        <v>109</v>
      </c>
      <c r="O52" s="60">
        <v>0</v>
      </c>
      <c r="P52" s="60">
        <v>3.66</v>
      </c>
      <c r="Q52" s="60">
        <v>9.52</v>
      </c>
      <c r="R52" s="197"/>
      <c r="S52" s="197"/>
      <c r="T52" s="197"/>
      <c r="U52" s="197"/>
    </row>
    <row r="53" spans="1:21" s="12" customFormat="1" x14ac:dyDescent="0.25">
      <c r="A53" s="200" t="s">
        <v>1540</v>
      </c>
      <c r="B53" s="60">
        <v>10.24</v>
      </c>
      <c r="C53" s="60">
        <v>14.84</v>
      </c>
      <c r="D53" s="60">
        <v>25.08</v>
      </c>
      <c r="E53" s="60">
        <v>4.93</v>
      </c>
      <c r="F53" s="60">
        <v>0.52</v>
      </c>
      <c r="G53" s="215" t="s">
        <v>36</v>
      </c>
      <c r="H53" s="60">
        <v>6.62</v>
      </c>
      <c r="I53" s="60">
        <v>4.75</v>
      </c>
      <c r="J53" s="60">
        <v>0.24</v>
      </c>
      <c r="K53" s="60">
        <v>40.409999999999997</v>
      </c>
      <c r="L53" s="60">
        <v>30.97</v>
      </c>
      <c r="M53" s="60">
        <v>97.69</v>
      </c>
      <c r="N53" s="60">
        <v>134.4</v>
      </c>
      <c r="O53" s="60">
        <v>0</v>
      </c>
      <c r="P53" s="60">
        <v>3.69</v>
      </c>
      <c r="Q53" s="60">
        <v>9.99</v>
      </c>
      <c r="R53" s="197"/>
      <c r="S53" s="197"/>
      <c r="T53" s="197"/>
      <c r="U53" s="197"/>
    </row>
    <row r="54" spans="1:21" s="12" customFormat="1" x14ac:dyDescent="0.25">
      <c r="A54" s="200" t="s">
        <v>1541</v>
      </c>
      <c r="B54" s="60">
        <v>10.58</v>
      </c>
      <c r="C54" s="60">
        <v>15.03</v>
      </c>
      <c r="D54" s="60">
        <v>25.62</v>
      </c>
      <c r="E54" s="60">
        <v>4.9400000000000004</v>
      </c>
      <c r="F54" s="60">
        <v>0.34</v>
      </c>
      <c r="G54" s="215" t="s">
        <v>36</v>
      </c>
      <c r="H54" s="60">
        <v>7.39</v>
      </c>
      <c r="I54" s="60">
        <v>4.8899999999999997</v>
      </c>
      <c r="J54" s="60">
        <v>0.27</v>
      </c>
      <c r="K54" s="60">
        <v>29.95</v>
      </c>
      <c r="L54" s="60">
        <v>31.03</v>
      </c>
      <c r="M54" s="60">
        <v>97.27</v>
      </c>
      <c r="N54" s="60">
        <v>142.80000000000001</v>
      </c>
      <c r="O54" s="60">
        <v>0</v>
      </c>
      <c r="P54" s="60">
        <v>3.69</v>
      </c>
      <c r="Q54" s="60">
        <v>10.1</v>
      </c>
      <c r="R54" s="197"/>
      <c r="S54" s="197"/>
      <c r="T54" s="197"/>
      <c r="U54" s="197"/>
    </row>
    <row r="55" spans="1:21" s="12" customFormat="1" x14ac:dyDescent="0.25">
      <c r="A55" s="200" t="s">
        <v>1542</v>
      </c>
      <c r="B55" s="60">
        <v>10.51</v>
      </c>
      <c r="C55" s="60">
        <v>15.19</v>
      </c>
      <c r="D55" s="60">
        <v>25.7</v>
      </c>
      <c r="E55" s="60">
        <v>4.7699999999999996</v>
      </c>
      <c r="F55" s="60">
        <v>0.21</v>
      </c>
      <c r="G55" s="215" t="s">
        <v>36</v>
      </c>
      <c r="H55" s="60">
        <v>7.39</v>
      </c>
      <c r="I55" s="60">
        <v>4.96</v>
      </c>
      <c r="J55" s="60">
        <v>0.23</v>
      </c>
      <c r="K55" s="60">
        <v>1.34</v>
      </c>
      <c r="L55" s="60">
        <v>31.14</v>
      </c>
      <c r="M55" s="60">
        <v>97.77</v>
      </c>
      <c r="N55" s="60">
        <v>138.4</v>
      </c>
      <c r="O55" s="60">
        <v>0.4</v>
      </c>
      <c r="P55" s="60">
        <v>3.69</v>
      </c>
      <c r="Q55" s="60">
        <v>9.92</v>
      </c>
      <c r="R55" s="197"/>
      <c r="S55" s="197"/>
      <c r="T55" s="197"/>
      <c r="U55" s="197"/>
    </row>
    <row r="56" spans="1:21" s="12" customFormat="1" x14ac:dyDescent="0.25">
      <c r="A56" s="200" t="s">
        <v>1543</v>
      </c>
      <c r="B56" s="60">
        <v>10.44</v>
      </c>
      <c r="C56" s="60">
        <v>14.77</v>
      </c>
      <c r="D56" s="60">
        <v>25.21</v>
      </c>
      <c r="E56" s="60">
        <v>2.78</v>
      </c>
      <c r="F56" s="60">
        <v>0.26</v>
      </c>
      <c r="G56" s="215" t="s">
        <v>36</v>
      </c>
      <c r="H56" s="60">
        <v>7.39</v>
      </c>
      <c r="I56" s="60">
        <v>4.9400000000000004</v>
      </c>
      <c r="J56" s="60">
        <v>0.37</v>
      </c>
      <c r="K56" s="60">
        <v>325.75</v>
      </c>
      <c r="L56" s="60">
        <v>31.13</v>
      </c>
      <c r="M56" s="60">
        <v>98.35</v>
      </c>
      <c r="N56" s="60">
        <v>122.9</v>
      </c>
      <c r="O56" s="60">
        <v>0</v>
      </c>
      <c r="P56" s="60">
        <v>3.71</v>
      </c>
      <c r="Q56" s="60">
        <v>9.91</v>
      </c>
      <c r="R56" s="197"/>
      <c r="S56" s="197"/>
      <c r="T56" s="197"/>
      <c r="U56" s="197"/>
    </row>
    <row r="57" spans="1:21" s="12" customFormat="1" x14ac:dyDescent="0.25">
      <c r="A57" s="200" t="s">
        <v>1544</v>
      </c>
      <c r="B57" s="60">
        <v>10.78</v>
      </c>
      <c r="C57" s="60">
        <v>14.35</v>
      </c>
      <c r="D57" s="60">
        <v>25.12</v>
      </c>
      <c r="E57" s="60">
        <v>4.42</v>
      </c>
      <c r="F57" s="60">
        <v>0.39</v>
      </c>
      <c r="G57" s="215" t="s">
        <v>36</v>
      </c>
      <c r="H57" s="60">
        <v>6.83</v>
      </c>
      <c r="I57" s="60">
        <v>4.91</v>
      </c>
      <c r="J57" s="60">
        <v>0.39</v>
      </c>
      <c r="K57" s="60">
        <v>327.85</v>
      </c>
      <c r="L57" s="60">
        <v>31.2</v>
      </c>
      <c r="M57" s="60">
        <v>98.04</v>
      </c>
      <c r="N57" s="60">
        <v>122.3</v>
      </c>
      <c r="O57" s="60">
        <v>0.2</v>
      </c>
      <c r="P57" s="60">
        <v>3.71</v>
      </c>
      <c r="Q57" s="60">
        <v>9.85</v>
      </c>
      <c r="R57" s="197"/>
      <c r="S57" s="197"/>
      <c r="T57" s="197"/>
      <c r="U57" s="197"/>
    </row>
    <row r="58" spans="1:21" s="12" customFormat="1" x14ac:dyDescent="0.25">
      <c r="A58" s="200" t="s">
        <v>1545</v>
      </c>
      <c r="B58" s="60">
        <v>11.2</v>
      </c>
      <c r="C58" s="60">
        <v>14.55</v>
      </c>
      <c r="D58" s="60">
        <v>25.74</v>
      </c>
      <c r="E58" s="60">
        <v>5.13</v>
      </c>
      <c r="F58" s="60">
        <v>0.2</v>
      </c>
      <c r="G58" s="215" t="s">
        <v>36</v>
      </c>
      <c r="H58" s="60">
        <v>5.47</v>
      </c>
      <c r="I58" s="60">
        <v>4.88</v>
      </c>
      <c r="J58" s="60">
        <v>0.26</v>
      </c>
      <c r="K58" s="60">
        <v>350.49</v>
      </c>
      <c r="L58" s="60">
        <v>31.29</v>
      </c>
      <c r="M58" s="60">
        <v>98.33</v>
      </c>
      <c r="N58" s="60">
        <v>172.3</v>
      </c>
      <c r="O58" s="60">
        <v>0</v>
      </c>
      <c r="P58" s="60">
        <v>3.72</v>
      </c>
      <c r="Q58" s="60">
        <v>9.8699999999999992</v>
      </c>
      <c r="R58" s="197"/>
      <c r="S58" s="197"/>
      <c r="T58" s="197"/>
      <c r="U58" s="197"/>
    </row>
    <row r="59" spans="1:21" s="12" customFormat="1" x14ac:dyDescent="0.25">
      <c r="A59" s="200" t="s">
        <v>1546</v>
      </c>
      <c r="B59" s="60">
        <v>12</v>
      </c>
      <c r="C59" s="60">
        <v>14.35</v>
      </c>
      <c r="D59" s="60">
        <v>26.35</v>
      </c>
      <c r="E59" s="60">
        <v>4.92</v>
      </c>
      <c r="F59" s="60">
        <v>0.2</v>
      </c>
      <c r="G59" s="215" t="s">
        <v>36</v>
      </c>
      <c r="H59" s="60">
        <v>5.47</v>
      </c>
      <c r="I59" s="60">
        <v>4.9000000000000004</v>
      </c>
      <c r="J59" s="60">
        <v>0.32</v>
      </c>
      <c r="K59" s="60">
        <v>332.58</v>
      </c>
      <c r="L59" s="60">
        <v>31.53</v>
      </c>
      <c r="M59" s="60">
        <v>97.42</v>
      </c>
      <c r="N59" s="60">
        <v>129.30000000000001</v>
      </c>
      <c r="O59" s="60">
        <v>0.2</v>
      </c>
      <c r="P59" s="60">
        <v>3.73</v>
      </c>
      <c r="Q59" s="60">
        <v>10.23</v>
      </c>
      <c r="R59" s="197"/>
      <c r="S59" s="197"/>
      <c r="T59" s="197"/>
      <c r="U59" s="197"/>
    </row>
    <row r="60" spans="1:21" s="12" customFormat="1" x14ac:dyDescent="0.25">
      <c r="A60" s="200" t="s">
        <v>1547</v>
      </c>
      <c r="B60" s="60">
        <v>12.52</v>
      </c>
      <c r="C60" s="60">
        <v>14.15</v>
      </c>
      <c r="D60" s="60">
        <v>26.68</v>
      </c>
      <c r="E60" s="60">
        <v>5.35</v>
      </c>
      <c r="F60" s="60">
        <v>0.16</v>
      </c>
      <c r="G60" s="215" t="s">
        <v>36</v>
      </c>
      <c r="H60" s="60">
        <v>5.47</v>
      </c>
      <c r="I60" s="60">
        <v>4.93</v>
      </c>
      <c r="J60" s="60">
        <v>0.31</v>
      </c>
      <c r="K60" s="60">
        <v>328.87</v>
      </c>
      <c r="L60" s="60">
        <v>31.46</v>
      </c>
      <c r="M60" s="60">
        <v>98.29</v>
      </c>
      <c r="N60" s="60">
        <v>114.1</v>
      </c>
      <c r="O60" s="60">
        <v>0</v>
      </c>
      <c r="P60" s="60">
        <v>3.74</v>
      </c>
      <c r="Q60" s="60">
        <v>10.28</v>
      </c>
      <c r="R60" s="197"/>
      <c r="S60" s="197"/>
      <c r="T60" s="197"/>
      <c r="U60" s="197"/>
    </row>
    <row r="61" spans="1:21" s="12" customFormat="1" x14ac:dyDescent="0.25">
      <c r="A61" s="200" t="s">
        <v>1548</v>
      </c>
      <c r="B61" s="60">
        <v>13.43</v>
      </c>
      <c r="C61" s="60">
        <v>13.95</v>
      </c>
      <c r="D61" s="60">
        <v>27.37</v>
      </c>
      <c r="E61" s="60">
        <v>5.96</v>
      </c>
      <c r="F61" s="60">
        <v>0.14000000000000001</v>
      </c>
      <c r="G61" s="215" t="s">
        <v>36</v>
      </c>
      <c r="H61" s="60">
        <v>5.52</v>
      </c>
      <c r="I61" s="60">
        <v>5</v>
      </c>
      <c r="J61" s="60">
        <v>0.33</v>
      </c>
      <c r="K61" s="60">
        <v>331.8</v>
      </c>
      <c r="L61" s="60">
        <v>31.4</v>
      </c>
      <c r="M61" s="60">
        <v>98.19</v>
      </c>
      <c r="N61" s="60">
        <v>105.1</v>
      </c>
      <c r="O61" s="60">
        <v>0</v>
      </c>
      <c r="P61" s="60">
        <v>3.74</v>
      </c>
      <c r="Q61" s="60">
        <v>10.64</v>
      </c>
      <c r="R61" s="197"/>
      <c r="S61" s="197"/>
      <c r="T61" s="197"/>
      <c r="U61" s="197"/>
    </row>
    <row r="62" spans="1:21" s="12" customFormat="1" x14ac:dyDescent="0.25">
      <c r="A62" s="200" t="s">
        <v>1549</v>
      </c>
      <c r="B62" s="60">
        <v>14.58</v>
      </c>
      <c r="C62" s="60">
        <v>14.13</v>
      </c>
      <c r="D62" s="60">
        <v>28.72</v>
      </c>
      <c r="E62" s="60">
        <v>5.72</v>
      </c>
      <c r="F62" s="60">
        <v>0.3</v>
      </c>
      <c r="G62" s="215" t="s">
        <v>36</v>
      </c>
      <c r="H62" s="60">
        <v>5.67</v>
      </c>
      <c r="I62" s="60">
        <v>5.09</v>
      </c>
      <c r="J62" s="60">
        <v>0.51</v>
      </c>
      <c r="K62" s="60">
        <v>320.17</v>
      </c>
      <c r="L62" s="60">
        <v>31.44</v>
      </c>
      <c r="M62" s="60">
        <v>97.25</v>
      </c>
      <c r="N62" s="60">
        <v>109</v>
      </c>
      <c r="O62" s="60">
        <v>0</v>
      </c>
      <c r="P62" s="60">
        <v>3.74</v>
      </c>
      <c r="Q62" s="60">
        <v>11.14</v>
      </c>
      <c r="R62" s="197"/>
      <c r="S62" s="197"/>
      <c r="T62" s="197"/>
      <c r="U62" s="197"/>
    </row>
    <row r="63" spans="1:21" s="12" customFormat="1" x14ac:dyDescent="0.25">
      <c r="A63" s="200" t="s">
        <v>1550</v>
      </c>
      <c r="B63" s="60">
        <v>15.05</v>
      </c>
      <c r="C63" s="60">
        <v>14.39</v>
      </c>
      <c r="D63" s="60">
        <v>29.45</v>
      </c>
      <c r="E63" s="60">
        <v>5.81</v>
      </c>
      <c r="F63" s="60">
        <v>0.41</v>
      </c>
      <c r="G63" s="215" t="s">
        <v>36</v>
      </c>
      <c r="H63" s="60">
        <v>5.67</v>
      </c>
      <c r="I63" s="60">
        <v>5.17</v>
      </c>
      <c r="J63" s="60">
        <v>0.26</v>
      </c>
      <c r="K63" s="60">
        <v>354.41</v>
      </c>
      <c r="L63" s="60">
        <v>31.4</v>
      </c>
      <c r="M63" s="60">
        <v>97.1</v>
      </c>
      <c r="N63" s="60">
        <v>101.7</v>
      </c>
      <c r="O63" s="60">
        <v>0</v>
      </c>
      <c r="P63" s="60">
        <v>3.74</v>
      </c>
      <c r="Q63" s="60">
        <v>11.4</v>
      </c>
      <c r="R63" s="197"/>
      <c r="S63" s="197"/>
      <c r="T63" s="197"/>
      <c r="U63" s="197"/>
    </row>
    <row r="64" spans="1:21" s="12" customFormat="1" x14ac:dyDescent="0.25">
      <c r="A64" s="200" t="s">
        <v>1551</v>
      </c>
      <c r="B64" s="60">
        <v>15.23</v>
      </c>
      <c r="C64" s="60">
        <v>14.71</v>
      </c>
      <c r="D64" s="60">
        <v>29.94</v>
      </c>
      <c r="E64" s="60">
        <v>5.84</v>
      </c>
      <c r="F64" s="60">
        <v>0.15</v>
      </c>
      <c r="G64" s="215" t="s">
        <v>36</v>
      </c>
      <c r="H64" s="60">
        <v>5.67</v>
      </c>
      <c r="I64" s="60">
        <v>5.17</v>
      </c>
      <c r="J64" s="60">
        <v>0.23</v>
      </c>
      <c r="K64" s="60">
        <v>359.21</v>
      </c>
      <c r="L64" s="60">
        <v>31.51</v>
      </c>
      <c r="M64" s="60">
        <v>95.27</v>
      </c>
      <c r="N64" s="60">
        <v>165.4</v>
      </c>
      <c r="O64" s="60">
        <v>0</v>
      </c>
      <c r="P64" s="60">
        <v>3.72</v>
      </c>
      <c r="Q64" s="60">
        <v>11.52</v>
      </c>
      <c r="R64" s="197"/>
      <c r="S64" s="197"/>
      <c r="T64" s="197"/>
      <c r="U64" s="197"/>
    </row>
    <row r="65" spans="1:21" s="12" customFormat="1" x14ac:dyDescent="0.25">
      <c r="A65" s="200" t="s">
        <v>1552</v>
      </c>
      <c r="B65" s="60">
        <v>15.06</v>
      </c>
      <c r="C65" s="60">
        <v>15.26</v>
      </c>
      <c r="D65" s="60">
        <v>30.31</v>
      </c>
      <c r="E65" s="60">
        <v>5.81</v>
      </c>
      <c r="F65" s="60">
        <v>0.09</v>
      </c>
      <c r="G65" s="215" t="s">
        <v>36</v>
      </c>
      <c r="H65" s="60">
        <v>6.35</v>
      </c>
      <c r="I65" s="60">
        <v>5.1100000000000003</v>
      </c>
      <c r="J65" s="60">
        <v>0.22</v>
      </c>
      <c r="K65" s="60">
        <v>350.97</v>
      </c>
      <c r="L65" s="60">
        <v>31.58</v>
      </c>
      <c r="M65" s="60">
        <v>94.25</v>
      </c>
      <c r="N65" s="60">
        <v>120.6</v>
      </c>
      <c r="O65" s="60">
        <v>0</v>
      </c>
      <c r="P65" s="60">
        <v>3.72</v>
      </c>
      <c r="Q65" s="60">
        <v>11.53</v>
      </c>
      <c r="R65" s="197"/>
      <c r="S65" s="197"/>
      <c r="T65" s="197"/>
      <c r="U65" s="197"/>
    </row>
    <row r="66" spans="1:21" s="12" customFormat="1" x14ac:dyDescent="0.25">
      <c r="A66" s="200" t="s">
        <v>1553</v>
      </c>
      <c r="B66" s="60">
        <v>14.84</v>
      </c>
      <c r="C66" s="60">
        <v>15.64</v>
      </c>
      <c r="D66" s="60">
        <v>30.49</v>
      </c>
      <c r="E66" s="60">
        <v>5.43</v>
      </c>
      <c r="F66" s="60">
        <v>0.18</v>
      </c>
      <c r="G66" s="215" t="s">
        <v>36</v>
      </c>
      <c r="H66" s="60">
        <v>8.0299999999999994</v>
      </c>
      <c r="I66" s="60">
        <v>5.08</v>
      </c>
      <c r="J66" s="60">
        <v>0.19</v>
      </c>
      <c r="K66" s="60">
        <v>37.15</v>
      </c>
      <c r="L66" s="60">
        <v>31.56</v>
      </c>
      <c r="M66" s="60">
        <v>94.79</v>
      </c>
      <c r="N66" s="60">
        <v>165.3</v>
      </c>
      <c r="O66" s="60">
        <v>0</v>
      </c>
      <c r="P66" s="60">
        <v>3.72</v>
      </c>
      <c r="Q66" s="60">
        <v>11.44</v>
      </c>
      <c r="R66" s="197"/>
      <c r="S66" s="197"/>
      <c r="T66" s="197"/>
      <c r="U66" s="197"/>
    </row>
    <row r="67" spans="1:21" s="12" customFormat="1" x14ac:dyDescent="0.25">
      <c r="A67" s="200" t="s">
        <v>1554</v>
      </c>
      <c r="B67" s="60">
        <v>14.67</v>
      </c>
      <c r="C67" s="60">
        <v>16.100000000000001</v>
      </c>
      <c r="D67" s="60">
        <v>30.76</v>
      </c>
      <c r="E67" s="60">
        <v>5.28</v>
      </c>
      <c r="F67" s="60">
        <v>0.26</v>
      </c>
      <c r="G67" s="215" t="s">
        <v>36</v>
      </c>
      <c r="H67" s="60">
        <v>8.0299999999999994</v>
      </c>
      <c r="I67" s="60">
        <v>5.01</v>
      </c>
      <c r="J67" s="60">
        <v>0.22</v>
      </c>
      <c r="K67" s="60">
        <v>6.31</v>
      </c>
      <c r="L67" s="60">
        <v>31.62</v>
      </c>
      <c r="M67" s="60">
        <v>95.2</v>
      </c>
      <c r="N67" s="60">
        <v>152.6</v>
      </c>
      <c r="O67" s="60">
        <v>0.2</v>
      </c>
      <c r="P67" s="60">
        <v>3.71</v>
      </c>
      <c r="Q67" s="60">
        <v>11.45</v>
      </c>
      <c r="R67" s="197"/>
      <c r="S67" s="197"/>
      <c r="T67" s="197"/>
      <c r="U67" s="197"/>
    </row>
    <row r="68" spans="1:21" s="12" customFormat="1" x14ac:dyDescent="0.25">
      <c r="A68" s="200" t="s">
        <v>1555</v>
      </c>
      <c r="B68" s="60">
        <v>13.96</v>
      </c>
      <c r="C68" s="60">
        <v>15.69</v>
      </c>
      <c r="D68" s="60">
        <v>29.65</v>
      </c>
      <c r="E68" s="60">
        <v>5.31</v>
      </c>
      <c r="F68" s="60">
        <v>0.27</v>
      </c>
      <c r="G68" s="215" t="s">
        <v>36</v>
      </c>
      <c r="H68" s="60">
        <v>8.0299999999999994</v>
      </c>
      <c r="I68" s="60">
        <v>4.96</v>
      </c>
      <c r="J68" s="60">
        <v>0.21</v>
      </c>
      <c r="K68" s="60">
        <v>7.36</v>
      </c>
      <c r="L68" s="60">
        <v>31.52</v>
      </c>
      <c r="M68" s="60">
        <v>94.26</v>
      </c>
      <c r="N68" s="60">
        <v>108.4</v>
      </c>
      <c r="O68" s="60">
        <v>0</v>
      </c>
      <c r="P68" s="60">
        <v>3.7</v>
      </c>
      <c r="Q68" s="60">
        <v>11.46</v>
      </c>
      <c r="R68" s="197"/>
      <c r="S68" s="197"/>
      <c r="T68" s="197"/>
      <c r="U68" s="197"/>
    </row>
    <row r="69" spans="1:21" s="12" customFormat="1" x14ac:dyDescent="0.25">
      <c r="A69" s="200" t="s">
        <v>1556</v>
      </c>
      <c r="B69" s="60">
        <v>13.41</v>
      </c>
      <c r="C69" s="60">
        <v>15.74</v>
      </c>
      <c r="D69" s="60">
        <v>29.15</v>
      </c>
      <c r="E69" s="60">
        <v>5.19</v>
      </c>
      <c r="F69" s="60">
        <v>0.09</v>
      </c>
      <c r="G69" s="215" t="s">
        <v>36</v>
      </c>
      <c r="H69" s="60">
        <v>7.42</v>
      </c>
      <c r="I69" s="60">
        <v>4.9000000000000004</v>
      </c>
      <c r="J69" s="60">
        <v>0.21</v>
      </c>
      <c r="K69" s="60">
        <v>14.97</v>
      </c>
      <c r="L69" s="60">
        <v>31.21</v>
      </c>
      <c r="M69" s="60">
        <v>95.89</v>
      </c>
      <c r="N69" s="60">
        <v>73.8</v>
      </c>
      <c r="O69" s="60">
        <v>0.2</v>
      </c>
      <c r="P69" s="60">
        <v>3.69</v>
      </c>
      <c r="Q69" s="60">
        <v>11.09</v>
      </c>
      <c r="R69" s="197"/>
      <c r="S69" s="197"/>
      <c r="T69" s="197"/>
      <c r="U69" s="197"/>
    </row>
    <row r="70" spans="1:21" s="12" customFormat="1" x14ac:dyDescent="0.25">
      <c r="A70" s="200" t="s">
        <v>1557</v>
      </c>
      <c r="B70" s="60">
        <v>13.38</v>
      </c>
      <c r="C70" s="60">
        <v>15.66</v>
      </c>
      <c r="D70" s="60">
        <v>29.05</v>
      </c>
      <c r="E70" s="60">
        <v>4.99</v>
      </c>
      <c r="F70" s="60">
        <v>0.27</v>
      </c>
      <c r="G70" s="215" t="s">
        <v>36</v>
      </c>
      <c r="H70" s="60">
        <v>5.93</v>
      </c>
      <c r="I70" s="60">
        <v>4.8</v>
      </c>
      <c r="J70" s="60">
        <v>0.28999999999999998</v>
      </c>
      <c r="K70" s="60">
        <v>346.97</v>
      </c>
      <c r="L70" s="60">
        <v>30.98</v>
      </c>
      <c r="M70" s="60">
        <v>98.38</v>
      </c>
      <c r="N70" s="60">
        <v>81.7</v>
      </c>
      <c r="O70" s="60">
        <v>0.4</v>
      </c>
      <c r="P70" s="60">
        <v>3.67</v>
      </c>
      <c r="Q70" s="60">
        <v>10.91</v>
      </c>
      <c r="R70" s="197"/>
      <c r="S70" s="197"/>
      <c r="T70" s="197"/>
      <c r="U70" s="197"/>
    </row>
    <row r="71" spans="1:21" s="12" customFormat="1" x14ac:dyDescent="0.25">
      <c r="A71" s="200" t="s">
        <v>1558</v>
      </c>
      <c r="B71" s="60">
        <v>13.46</v>
      </c>
      <c r="C71" s="60">
        <v>15.56</v>
      </c>
      <c r="D71" s="60">
        <v>29.02</v>
      </c>
      <c r="E71" s="60">
        <v>5.49</v>
      </c>
      <c r="F71" s="60">
        <v>0.14000000000000001</v>
      </c>
      <c r="G71" s="215" t="s">
        <v>36</v>
      </c>
      <c r="H71" s="60">
        <v>5.93</v>
      </c>
      <c r="I71" s="60">
        <v>4.7</v>
      </c>
      <c r="J71" s="60">
        <v>0.18</v>
      </c>
      <c r="K71" s="60">
        <v>20.76</v>
      </c>
      <c r="L71" s="60">
        <v>30.89</v>
      </c>
      <c r="M71" s="60">
        <v>98.93</v>
      </c>
      <c r="N71" s="60">
        <v>115.6</v>
      </c>
      <c r="O71" s="60">
        <v>0.4</v>
      </c>
      <c r="P71" s="60">
        <v>3.67</v>
      </c>
      <c r="Q71" s="60">
        <v>10.82</v>
      </c>
      <c r="R71" s="197"/>
      <c r="S71" s="197"/>
      <c r="T71" s="197"/>
      <c r="U71" s="197"/>
    </row>
    <row r="72" spans="1:21" s="12" customFormat="1" x14ac:dyDescent="0.25">
      <c r="A72" s="200" t="s">
        <v>1559</v>
      </c>
      <c r="B72" s="60">
        <v>13.25</v>
      </c>
      <c r="C72" s="60">
        <v>15.15</v>
      </c>
      <c r="D72" s="60">
        <v>28.4</v>
      </c>
      <c r="E72" s="60">
        <v>1.82</v>
      </c>
      <c r="F72" s="60">
        <v>0.17</v>
      </c>
      <c r="G72" s="215" t="s">
        <v>36</v>
      </c>
      <c r="H72" s="60">
        <v>5.93</v>
      </c>
      <c r="I72" s="60">
        <v>4.58</v>
      </c>
      <c r="J72" s="60">
        <v>0.23</v>
      </c>
      <c r="K72" s="60">
        <v>6.49</v>
      </c>
      <c r="L72" s="60">
        <v>30.9</v>
      </c>
      <c r="M72" s="60">
        <v>98.83</v>
      </c>
      <c r="N72" s="60">
        <v>137.1</v>
      </c>
      <c r="O72" s="60">
        <v>0.2</v>
      </c>
      <c r="P72" s="60">
        <v>3.68</v>
      </c>
      <c r="Q72" s="60">
        <v>10.63</v>
      </c>
      <c r="R72" s="197"/>
      <c r="S72" s="197"/>
      <c r="T72" s="197"/>
      <c r="U72" s="197"/>
    </row>
    <row r="73" spans="1:21" s="12" customFormat="1" x14ac:dyDescent="0.25">
      <c r="A73" s="200" t="s">
        <v>1560</v>
      </c>
      <c r="B73" s="60">
        <v>12.66</v>
      </c>
      <c r="C73" s="60">
        <v>14.71</v>
      </c>
      <c r="D73" s="60">
        <v>27.37</v>
      </c>
      <c r="E73" s="60">
        <v>2.56</v>
      </c>
      <c r="F73" s="60">
        <v>0.4</v>
      </c>
      <c r="G73" s="215" t="s">
        <v>36</v>
      </c>
      <c r="H73" s="60">
        <v>5.49</v>
      </c>
      <c r="I73" s="60">
        <v>4.5199999999999996</v>
      </c>
      <c r="J73" s="60">
        <v>0.26</v>
      </c>
      <c r="K73" s="60">
        <v>18.95</v>
      </c>
      <c r="L73" s="60">
        <v>31.04</v>
      </c>
      <c r="M73" s="60">
        <v>98.23</v>
      </c>
      <c r="N73" s="60">
        <v>144.9</v>
      </c>
      <c r="O73" s="60">
        <v>0</v>
      </c>
      <c r="P73" s="60">
        <v>3.65</v>
      </c>
      <c r="Q73" s="60">
        <v>10.34</v>
      </c>
      <c r="R73" s="197"/>
      <c r="S73" s="197"/>
      <c r="T73" s="197"/>
      <c r="U73" s="197"/>
    </row>
    <row r="74" spans="1:21" s="12" customFormat="1" x14ac:dyDescent="0.25">
      <c r="A74" s="200" t="s">
        <v>1561</v>
      </c>
      <c r="B74" s="60">
        <v>12.27</v>
      </c>
      <c r="C74" s="60">
        <v>14.66</v>
      </c>
      <c r="D74" s="60">
        <v>26.93</v>
      </c>
      <c r="E74" s="60">
        <v>3.26</v>
      </c>
      <c r="F74" s="60">
        <v>0.18</v>
      </c>
      <c r="G74" s="215" t="s">
        <v>36</v>
      </c>
      <c r="H74" s="60">
        <v>4.4000000000000004</v>
      </c>
      <c r="I74" s="60">
        <v>4.5</v>
      </c>
      <c r="J74" s="60">
        <v>0.3</v>
      </c>
      <c r="K74" s="60">
        <v>37.6</v>
      </c>
      <c r="L74" s="60">
        <v>31.09</v>
      </c>
      <c r="M74" s="60">
        <v>96.93</v>
      </c>
      <c r="N74" s="60">
        <v>107.9</v>
      </c>
      <c r="O74" s="60">
        <v>0</v>
      </c>
      <c r="P74" s="60">
        <v>3.66</v>
      </c>
      <c r="Q74" s="60">
        <v>9.7899999999999991</v>
      </c>
      <c r="R74" s="197"/>
      <c r="S74" s="197"/>
      <c r="T74" s="197"/>
      <c r="U74" s="197"/>
    </row>
    <row r="75" spans="1:21" s="12" customFormat="1" x14ac:dyDescent="0.25">
      <c r="A75" s="200" t="s">
        <v>1562</v>
      </c>
      <c r="B75" s="60">
        <v>11.66</v>
      </c>
      <c r="C75" s="60">
        <v>15.27</v>
      </c>
      <c r="D75" s="60">
        <v>26.94</v>
      </c>
      <c r="E75" s="60">
        <v>2.96</v>
      </c>
      <c r="F75" s="60">
        <v>0.1</v>
      </c>
      <c r="G75" s="215" t="s">
        <v>36</v>
      </c>
      <c r="H75" s="60">
        <v>4.4000000000000004</v>
      </c>
      <c r="I75" s="60">
        <v>4.41</v>
      </c>
      <c r="J75" s="60">
        <v>0.27</v>
      </c>
      <c r="K75" s="60">
        <v>11.48</v>
      </c>
      <c r="L75" s="60">
        <v>31.02</v>
      </c>
      <c r="M75" s="60">
        <v>96.33</v>
      </c>
      <c r="N75" s="60">
        <v>77.2</v>
      </c>
      <c r="O75" s="60">
        <v>0</v>
      </c>
      <c r="P75" s="60">
        <v>3.66</v>
      </c>
      <c r="Q75" s="60">
        <v>9.48</v>
      </c>
      <c r="R75" s="197"/>
      <c r="S75" s="197"/>
      <c r="T75" s="197"/>
      <c r="U75" s="197"/>
    </row>
    <row r="76" spans="1:21" s="12" customFormat="1" x14ac:dyDescent="0.25">
      <c r="A76" s="200" t="s">
        <v>1563</v>
      </c>
      <c r="B76" s="60">
        <v>10.69</v>
      </c>
      <c r="C76" s="60">
        <v>15.69</v>
      </c>
      <c r="D76" s="60">
        <v>26.38</v>
      </c>
      <c r="E76" s="60">
        <v>3.68</v>
      </c>
      <c r="F76" s="60">
        <v>0.41</v>
      </c>
      <c r="G76" s="215" t="s">
        <v>36</v>
      </c>
      <c r="H76" s="60">
        <v>4.4000000000000004</v>
      </c>
      <c r="I76" s="60">
        <v>4.43</v>
      </c>
      <c r="J76" s="60">
        <v>0.41</v>
      </c>
      <c r="K76" s="60">
        <v>340.39</v>
      </c>
      <c r="L76" s="60">
        <v>30.99</v>
      </c>
      <c r="M76" s="60">
        <v>95.17</v>
      </c>
      <c r="N76" s="60">
        <v>62.2</v>
      </c>
      <c r="O76" s="60">
        <v>0</v>
      </c>
      <c r="P76" s="60">
        <v>3.65</v>
      </c>
      <c r="Q76" s="60">
        <v>9.2200000000000006</v>
      </c>
      <c r="R76" s="197"/>
      <c r="S76" s="197"/>
      <c r="T76" s="197"/>
      <c r="U76" s="197"/>
    </row>
    <row r="77" spans="1:21" s="12" customFormat="1" x14ac:dyDescent="0.25">
      <c r="A77" s="200" t="s">
        <v>1564</v>
      </c>
      <c r="B77" s="60">
        <v>9.89</v>
      </c>
      <c r="C77" s="60">
        <v>15.87</v>
      </c>
      <c r="D77" s="60">
        <v>25.76</v>
      </c>
      <c r="E77" s="60">
        <v>2.99</v>
      </c>
      <c r="F77" s="60">
        <v>0.39</v>
      </c>
      <c r="G77" s="215" t="s">
        <v>36</v>
      </c>
      <c r="H77" s="60">
        <v>4.0599999999999996</v>
      </c>
      <c r="I77" s="60">
        <v>4.3899999999999997</v>
      </c>
      <c r="J77" s="60">
        <v>0.26</v>
      </c>
      <c r="K77" s="60">
        <v>45.34</v>
      </c>
      <c r="L77" s="60">
        <v>30.97</v>
      </c>
      <c r="M77" s="60">
        <v>94.94</v>
      </c>
      <c r="N77" s="60">
        <v>52.4</v>
      </c>
      <c r="O77" s="60">
        <v>0</v>
      </c>
      <c r="P77" s="60">
        <v>3.65</v>
      </c>
      <c r="Q77" s="60">
        <v>9.08</v>
      </c>
      <c r="R77" s="197"/>
      <c r="S77" s="197"/>
      <c r="T77" s="197"/>
      <c r="U77" s="197"/>
    </row>
    <row r="78" spans="1:21" s="12" customFormat="1" x14ac:dyDescent="0.25">
      <c r="A78" s="200" t="s">
        <v>1565</v>
      </c>
      <c r="B78" s="60">
        <v>9.65</v>
      </c>
      <c r="C78" s="60">
        <v>16.72</v>
      </c>
      <c r="D78" s="60">
        <v>26.38</v>
      </c>
      <c r="E78" s="60">
        <v>3.01</v>
      </c>
      <c r="F78" s="60">
        <v>0.12</v>
      </c>
      <c r="G78" s="215" t="s">
        <v>36</v>
      </c>
      <c r="H78" s="60">
        <v>3.22</v>
      </c>
      <c r="I78" s="60">
        <v>4.37</v>
      </c>
      <c r="J78" s="60">
        <v>0.25</v>
      </c>
      <c r="K78" s="60">
        <v>19.989999999999998</v>
      </c>
      <c r="L78" s="60">
        <v>30.87</v>
      </c>
      <c r="M78" s="60">
        <v>95.13</v>
      </c>
      <c r="N78" s="60">
        <v>37.299999999999997</v>
      </c>
      <c r="O78" s="60">
        <v>0</v>
      </c>
      <c r="P78" s="60">
        <v>3.7</v>
      </c>
      <c r="Q78" s="60">
        <v>9.1</v>
      </c>
      <c r="R78" s="197"/>
      <c r="S78" s="197"/>
      <c r="T78" s="197"/>
      <c r="U78" s="197"/>
    </row>
    <row r="79" spans="1:21" s="12" customFormat="1" x14ac:dyDescent="0.25">
      <c r="A79" s="200" t="s">
        <v>1566</v>
      </c>
      <c r="B79" s="60">
        <v>9.98</v>
      </c>
      <c r="C79" s="60">
        <v>17.010000000000002</v>
      </c>
      <c r="D79" s="60">
        <v>26.99</v>
      </c>
      <c r="E79" s="60">
        <v>3.21</v>
      </c>
      <c r="F79" s="60">
        <v>0.23</v>
      </c>
      <c r="G79" s="215" t="s">
        <v>36</v>
      </c>
      <c r="H79" s="60">
        <v>3.22</v>
      </c>
      <c r="I79" s="60">
        <v>4.4800000000000004</v>
      </c>
      <c r="J79" s="60">
        <v>0.19</v>
      </c>
      <c r="K79" s="60">
        <v>13.21</v>
      </c>
      <c r="L79" s="60">
        <v>30.82</v>
      </c>
      <c r="M79" s="60">
        <v>95.06</v>
      </c>
      <c r="N79" s="60">
        <v>38.4</v>
      </c>
      <c r="O79" s="60">
        <v>0</v>
      </c>
      <c r="P79" s="60">
        <v>3.71</v>
      </c>
      <c r="Q79" s="60">
        <v>9.34</v>
      </c>
      <c r="R79" s="197"/>
      <c r="S79" s="197"/>
      <c r="T79" s="197"/>
      <c r="U79" s="197"/>
    </row>
    <row r="80" spans="1:21" s="12" customFormat="1" x14ac:dyDescent="0.25">
      <c r="A80" s="200" t="s">
        <v>1567</v>
      </c>
      <c r="B80" s="60">
        <v>9.8699999999999992</v>
      </c>
      <c r="C80" s="60">
        <v>17.16</v>
      </c>
      <c r="D80" s="60">
        <v>27.04</v>
      </c>
      <c r="E80" s="60">
        <v>3.18</v>
      </c>
      <c r="F80" s="60">
        <v>0.1</v>
      </c>
      <c r="G80" s="215" t="s">
        <v>36</v>
      </c>
      <c r="H80" s="60">
        <v>3.22</v>
      </c>
      <c r="I80" s="60">
        <v>4.67</v>
      </c>
      <c r="J80" s="60">
        <v>0.3</v>
      </c>
      <c r="K80" s="60">
        <v>5.59</v>
      </c>
      <c r="L80" s="60">
        <v>30.81</v>
      </c>
      <c r="M80" s="60">
        <v>94.82</v>
      </c>
      <c r="N80" s="60">
        <v>27.3</v>
      </c>
      <c r="O80" s="60">
        <v>0</v>
      </c>
      <c r="P80" s="60">
        <v>3.71</v>
      </c>
      <c r="Q80" s="60">
        <v>9.3000000000000007</v>
      </c>
      <c r="R80" s="197"/>
      <c r="S80" s="197"/>
      <c r="T80" s="197"/>
      <c r="U80" s="197"/>
    </row>
    <row r="81" spans="1:26" s="12" customFormat="1" x14ac:dyDescent="0.25">
      <c r="A81" s="200" t="s">
        <v>1568</v>
      </c>
      <c r="B81" s="60">
        <v>9.59</v>
      </c>
      <c r="C81" s="60">
        <v>17.43</v>
      </c>
      <c r="D81" s="60">
        <v>27.01</v>
      </c>
      <c r="E81" s="60">
        <v>3.69</v>
      </c>
      <c r="F81" s="60">
        <v>0.42</v>
      </c>
      <c r="G81" s="215" t="s">
        <v>36</v>
      </c>
      <c r="H81" s="60">
        <v>3.5</v>
      </c>
      <c r="I81" s="60">
        <v>4.75</v>
      </c>
      <c r="J81" s="60">
        <v>0.11</v>
      </c>
      <c r="K81" s="60">
        <v>27.11</v>
      </c>
      <c r="L81" s="60">
        <v>30.84</v>
      </c>
      <c r="M81" s="60">
        <v>94.71</v>
      </c>
      <c r="N81" s="60">
        <v>21.7</v>
      </c>
      <c r="O81" s="60">
        <v>0</v>
      </c>
      <c r="P81" s="60">
        <v>3.72</v>
      </c>
      <c r="Q81" s="60">
        <v>9.3000000000000007</v>
      </c>
      <c r="R81" s="197"/>
      <c r="S81" s="197"/>
      <c r="T81" s="197"/>
      <c r="U81" s="197"/>
    </row>
    <row r="82" spans="1:26" s="12" customFormat="1" x14ac:dyDescent="0.25">
      <c r="A82" s="200" t="s">
        <v>1569</v>
      </c>
      <c r="B82" s="60">
        <v>10.78</v>
      </c>
      <c r="C82" s="60">
        <v>17.100000000000001</v>
      </c>
      <c r="D82" s="60">
        <v>27.88</v>
      </c>
      <c r="E82" s="60">
        <v>3.34</v>
      </c>
      <c r="F82" s="60">
        <v>0.77</v>
      </c>
      <c r="G82" s="215" t="s">
        <v>36</v>
      </c>
      <c r="H82" s="60">
        <v>4.1900000000000004</v>
      </c>
      <c r="I82" s="60">
        <v>4.83</v>
      </c>
      <c r="J82" s="60">
        <v>0.21</v>
      </c>
      <c r="K82" s="60">
        <v>53.06</v>
      </c>
      <c r="L82" s="60">
        <v>30.72</v>
      </c>
      <c r="M82" s="60">
        <v>95.45</v>
      </c>
      <c r="N82" s="60">
        <v>17.3</v>
      </c>
      <c r="O82" s="60">
        <v>0</v>
      </c>
      <c r="P82" s="60">
        <v>3.84</v>
      </c>
      <c r="Q82" s="60">
        <v>9.9499999999999993</v>
      </c>
      <c r="R82" s="197"/>
      <c r="S82" s="197"/>
      <c r="T82" s="197"/>
      <c r="U82" s="197"/>
    </row>
    <row r="83" spans="1:26" s="12" customFormat="1" x14ac:dyDescent="0.25">
      <c r="A83" s="200" t="s">
        <v>1570</v>
      </c>
      <c r="B83" s="60">
        <v>11.91</v>
      </c>
      <c r="C83" s="60">
        <v>16.82</v>
      </c>
      <c r="D83" s="60">
        <v>28.73</v>
      </c>
      <c r="E83" s="60">
        <v>3.28</v>
      </c>
      <c r="F83" s="60">
        <v>0.13</v>
      </c>
      <c r="G83" s="215" t="s">
        <v>36</v>
      </c>
      <c r="H83" s="60">
        <v>4.1900000000000004</v>
      </c>
      <c r="I83" s="60">
        <v>5.13</v>
      </c>
      <c r="J83" s="60">
        <v>0.2</v>
      </c>
      <c r="K83" s="60">
        <v>52.8</v>
      </c>
      <c r="L83" s="60">
        <v>30.67</v>
      </c>
      <c r="M83" s="60">
        <v>95.63</v>
      </c>
      <c r="N83" s="60">
        <v>16</v>
      </c>
      <c r="O83" s="60">
        <v>0</v>
      </c>
      <c r="P83" s="60">
        <v>3.96</v>
      </c>
      <c r="Q83" s="60">
        <v>10.34</v>
      </c>
      <c r="R83" s="197"/>
      <c r="S83" s="197"/>
      <c r="T83" s="197"/>
      <c r="U83" s="197"/>
    </row>
    <row r="84" spans="1:26" s="12" customFormat="1" x14ac:dyDescent="0.25">
      <c r="A84" s="200" t="s">
        <v>1571</v>
      </c>
      <c r="B84" s="60">
        <v>12.25</v>
      </c>
      <c r="C84" s="60">
        <v>16.510000000000002</v>
      </c>
      <c r="D84" s="60">
        <v>28.76</v>
      </c>
      <c r="E84" s="60">
        <v>2.91</v>
      </c>
      <c r="F84" s="60">
        <v>0.24</v>
      </c>
      <c r="G84" s="215" t="s">
        <v>36</v>
      </c>
      <c r="H84" s="60">
        <v>4.1900000000000004</v>
      </c>
      <c r="I84" s="60">
        <v>6.15</v>
      </c>
      <c r="J84" s="60">
        <v>0.28999999999999998</v>
      </c>
      <c r="K84" s="60">
        <v>48.22</v>
      </c>
      <c r="L84" s="60">
        <v>30.7</v>
      </c>
      <c r="M84" s="60">
        <v>95.4</v>
      </c>
      <c r="N84" s="60">
        <v>15.7</v>
      </c>
      <c r="O84" s="60">
        <v>0</v>
      </c>
      <c r="P84" s="60">
        <v>4.12</v>
      </c>
      <c r="Q84" s="60">
        <v>10.41</v>
      </c>
      <c r="R84" s="197"/>
      <c r="S84" s="197"/>
      <c r="T84" s="197"/>
      <c r="U84" s="197"/>
    </row>
    <row r="85" spans="1:26" s="12" customFormat="1" x14ac:dyDescent="0.25">
      <c r="A85" s="200" t="s">
        <v>1572</v>
      </c>
      <c r="B85" s="60">
        <v>12.53</v>
      </c>
      <c r="C85" s="60">
        <v>16.75</v>
      </c>
      <c r="D85" s="60">
        <v>29.27</v>
      </c>
      <c r="E85" s="60">
        <v>3.25</v>
      </c>
      <c r="F85" s="60">
        <v>0.14000000000000001</v>
      </c>
      <c r="G85" s="215" t="s">
        <v>36</v>
      </c>
      <c r="H85" s="60">
        <v>3.86</v>
      </c>
      <c r="I85" s="60">
        <v>7.01</v>
      </c>
      <c r="J85" s="60">
        <v>0.22</v>
      </c>
      <c r="K85" s="60">
        <v>31.03</v>
      </c>
      <c r="L85" s="60">
        <v>30.69</v>
      </c>
      <c r="M85" s="60">
        <v>96.32</v>
      </c>
      <c r="N85" s="60">
        <v>15.3</v>
      </c>
      <c r="O85" s="60">
        <v>0</v>
      </c>
      <c r="P85" s="60">
        <v>4.26</v>
      </c>
      <c r="Q85" s="60">
        <v>10.48</v>
      </c>
      <c r="R85" s="197"/>
      <c r="S85" s="197"/>
      <c r="T85" s="197"/>
      <c r="U85" s="197"/>
    </row>
    <row r="86" spans="1:26" s="12" customFormat="1" x14ac:dyDescent="0.25">
      <c r="A86" s="200" t="s">
        <v>1573</v>
      </c>
      <c r="B86" s="60">
        <v>13.06</v>
      </c>
      <c r="C86" s="60">
        <v>16.57</v>
      </c>
      <c r="D86" s="60">
        <v>29.63</v>
      </c>
      <c r="E86" s="60">
        <v>2.83</v>
      </c>
      <c r="F86" s="60">
        <v>0.11</v>
      </c>
      <c r="G86" s="215" t="s">
        <v>36</v>
      </c>
      <c r="H86" s="60">
        <v>3.04</v>
      </c>
      <c r="I86" s="60">
        <v>7.61</v>
      </c>
      <c r="J86" s="60">
        <v>0.33</v>
      </c>
      <c r="K86" s="60">
        <v>350.56</v>
      </c>
      <c r="L86" s="60">
        <v>30.79</v>
      </c>
      <c r="M86" s="60">
        <v>95.24</v>
      </c>
      <c r="N86" s="60">
        <v>15</v>
      </c>
      <c r="O86" s="60">
        <v>0</v>
      </c>
      <c r="P86" s="60">
        <v>4.3600000000000003</v>
      </c>
      <c r="Q86" s="60">
        <v>10.67</v>
      </c>
      <c r="R86" s="197"/>
      <c r="S86" s="197"/>
      <c r="T86" s="197"/>
      <c r="U86" s="197"/>
    </row>
    <row r="87" spans="1:26" s="12" customFormat="1" x14ac:dyDescent="0.25">
      <c r="A87" s="200" t="s">
        <v>1574</v>
      </c>
      <c r="B87" s="60">
        <v>13.76</v>
      </c>
      <c r="C87" s="60">
        <v>16.62</v>
      </c>
      <c r="D87" s="60">
        <v>30.37</v>
      </c>
      <c r="E87" s="60">
        <v>3.15</v>
      </c>
      <c r="F87" s="60">
        <v>0.06</v>
      </c>
      <c r="G87" s="215" t="s">
        <v>36</v>
      </c>
      <c r="H87" s="60">
        <v>3.04</v>
      </c>
      <c r="I87" s="60">
        <v>8.32</v>
      </c>
      <c r="J87" s="60">
        <v>0.35</v>
      </c>
      <c r="K87" s="60">
        <v>346.09</v>
      </c>
      <c r="L87" s="60">
        <v>30.82</v>
      </c>
      <c r="M87" s="60">
        <v>94.75</v>
      </c>
      <c r="N87" s="60">
        <v>15.3</v>
      </c>
      <c r="O87" s="60">
        <v>0</v>
      </c>
      <c r="P87" s="60">
        <v>4.4000000000000004</v>
      </c>
      <c r="Q87" s="60">
        <v>10.9</v>
      </c>
      <c r="R87" s="197"/>
      <c r="S87" s="197"/>
      <c r="T87" s="197"/>
      <c r="U87" s="197"/>
    </row>
    <row r="88" spans="1:26" s="12" customFormat="1" x14ac:dyDescent="0.25">
      <c r="A88" s="200" t="s">
        <v>1575</v>
      </c>
      <c r="B88" s="60">
        <v>13.17</v>
      </c>
      <c r="C88" s="60">
        <v>16.03</v>
      </c>
      <c r="D88" s="60">
        <v>29.2</v>
      </c>
      <c r="E88" s="60">
        <v>1.49</v>
      </c>
      <c r="F88" s="60">
        <v>0.03</v>
      </c>
      <c r="G88" s="215" t="s">
        <v>36</v>
      </c>
      <c r="H88" s="60">
        <v>3.04</v>
      </c>
      <c r="I88" s="60">
        <v>8.86</v>
      </c>
      <c r="J88" s="60">
        <v>0.26</v>
      </c>
      <c r="K88" s="60">
        <v>3.58</v>
      </c>
      <c r="L88" s="60">
        <v>30.66</v>
      </c>
      <c r="M88" s="60">
        <v>96.7</v>
      </c>
      <c r="N88" s="60">
        <v>15.3</v>
      </c>
      <c r="O88" s="60">
        <v>0.4</v>
      </c>
      <c r="P88" s="60">
        <v>4.34</v>
      </c>
      <c r="Q88" s="60">
        <v>10.51</v>
      </c>
      <c r="R88" s="197"/>
      <c r="S88" s="197"/>
      <c r="T88" s="197"/>
      <c r="U88" s="197"/>
    </row>
    <row r="89" spans="1:26" s="12" customFormat="1" x14ac:dyDescent="0.25">
      <c r="A89" s="200" t="s">
        <v>1576</v>
      </c>
      <c r="B89" s="60">
        <v>12.77</v>
      </c>
      <c r="C89" s="60">
        <v>15.83</v>
      </c>
      <c r="D89" s="60">
        <v>28.61</v>
      </c>
      <c r="E89" s="60">
        <v>3.32</v>
      </c>
      <c r="F89" s="60">
        <v>0.2</v>
      </c>
      <c r="G89" s="215" t="s">
        <v>36</v>
      </c>
      <c r="H89" s="60">
        <v>3.93</v>
      </c>
      <c r="I89" s="60">
        <v>8.83</v>
      </c>
      <c r="J89" s="60">
        <v>0.4</v>
      </c>
      <c r="K89" s="60">
        <v>342.44</v>
      </c>
      <c r="L89" s="60">
        <v>30.25</v>
      </c>
      <c r="M89" s="60">
        <v>99.09</v>
      </c>
      <c r="N89" s="60">
        <v>15.6</v>
      </c>
      <c r="O89" s="60">
        <v>1.8</v>
      </c>
      <c r="P89" s="60">
        <v>4.26</v>
      </c>
      <c r="Q89" s="60">
        <v>10.23</v>
      </c>
      <c r="R89" s="197"/>
      <c r="S89" s="197"/>
      <c r="T89" s="197"/>
      <c r="U89" s="197"/>
    </row>
    <row r="90" spans="1:26" s="12" customFormat="1" x14ac:dyDescent="0.25">
      <c r="A90" s="200" t="s">
        <v>1577</v>
      </c>
      <c r="B90" s="60">
        <v>12.04</v>
      </c>
      <c r="C90" s="60">
        <v>16.05</v>
      </c>
      <c r="D90" s="60">
        <v>28.09</v>
      </c>
      <c r="E90" s="60">
        <v>4.07</v>
      </c>
      <c r="F90" s="60">
        <v>0.2</v>
      </c>
      <c r="G90" s="215" t="s">
        <v>36</v>
      </c>
      <c r="H90" s="60">
        <v>6.12</v>
      </c>
      <c r="I90" s="60">
        <v>8.44</v>
      </c>
      <c r="J90" s="60">
        <v>0.28000000000000003</v>
      </c>
      <c r="K90" s="60">
        <v>11.71</v>
      </c>
      <c r="L90" s="60">
        <v>30.1</v>
      </c>
      <c r="M90" s="60">
        <v>99.15</v>
      </c>
      <c r="N90" s="60">
        <v>15.4</v>
      </c>
      <c r="O90" s="60">
        <v>0.8</v>
      </c>
      <c r="P90" s="60">
        <v>4.18</v>
      </c>
      <c r="Q90" s="60">
        <v>9.84</v>
      </c>
      <c r="R90" s="197"/>
      <c r="S90" s="197"/>
      <c r="T90" s="197"/>
      <c r="U90" s="197"/>
    </row>
    <row r="91" spans="1:26" s="12" customFormat="1" x14ac:dyDescent="0.25">
      <c r="A91" s="200" t="s">
        <v>1578</v>
      </c>
      <c r="B91" s="60">
        <v>11.75</v>
      </c>
      <c r="C91" s="60">
        <v>16.64</v>
      </c>
      <c r="D91" s="60">
        <v>28.38</v>
      </c>
      <c r="E91" s="60">
        <v>4.2</v>
      </c>
      <c r="F91" s="60">
        <v>0.15</v>
      </c>
      <c r="G91" s="215" t="s">
        <v>36</v>
      </c>
      <c r="H91" s="60">
        <v>6.12</v>
      </c>
      <c r="I91" s="60">
        <v>8.06</v>
      </c>
      <c r="J91" s="60">
        <v>0.24</v>
      </c>
      <c r="K91" s="60">
        <v>15.16</v>
      </c>
      <c r="L91" s="60">
        <v>30.05</v>
      </c>
      <c r="M91" s="60">
        <v>99.15</v>
      </c>
      <c r="N91" s="60">
        <v>15.5</v>
      </c>
      <c r="O91" s="60">
        <v>0.4</v>
      </c>
      <c r="P91" s="60">
        <v>4.0999999999999996</v>
      </c>
      <c r="Q91" s="60">
        <v>9.8800000000000008</v>
      </c>
      <c r="R91" s="197"/>
      <c r="S91" s="197"/>
      <c r="T91" s="197"/>
      <c r="U91" s="197"/>
    </row>
    <row r="92" spans="1:26" s="12" customFormat="1" x14ac:dyDescent="0.25">
      <c r="A92" s="200" t="s">
        <v>1579</v>
      </c>
      <c r="B92" s="60">
        <v>11.5</v>
      </c>
      <c r="C92" s="60">
        <v>17.32</v>
      </c>
      <c r="D92" s="60">
        <v>28.82</v>
      </c>
      <c r="E92" s="60">
        <v>3.92</v>
      </c>
      <c r="F92" s="60">
        <v>0.17</v>
      </c>
      <c r="G92" s="215" t="s">
        <v>36</v>
      </c>
      <c r="H92" s="60">
        <v>6.12</v>
      </c>
      <c r="I92" s="60">
        <v>7.55</v>
      </c>
      <c r="J92" s="60">
        <v>0.31</v>
      </c>
      <c r="K92" s="60">
        <v>10.25</v>
      </c>
      <c r="L92" s="60">
        <v>30.01</v>
      </c>
      <c r="M92" s="60">
        <v>99.14</v>
      </c>
      <c r="N92" s="60">
        <v>15.5</v>
      </c>
      <c r="O92" s="60">
        <v>0.2</v>
      </c>
      <c r="P92" s="60">
        <v>4.04</v>
      </c>
      <c r="Q92" s="60">
        <v>9.9700000000000006</v>
      </c>
      <c r="R92" s="197"/>
      <c r="S92" s="197"/>
      <c r="T92" s="197"/>
      <c r="U92" s="197"/>
    </row>
    <row r="93" spans="1:26" s="12" customFormat="1" x14ac:dyDescent="0.25">
      <c r="A93" s="200" t="s">
        <v>1580</v>
      </c>
      <c r="B93" s="60">
        <v>10.9</v>
      </c>
      <c r="C93" s="60">
        <v>17.63</v>
      </c>
      <c r="D93" s="60">
        <v>28.53</v>
      </c>
      <c r="E93" s="60">
        <v>3.87</v>
      </c>
      <c r="F93" s="60">
        <v>0.18</v>
      </c>
      <c r="G93" s="215" t="s">
        <v>36</v>
      </c>
      <c r="H93" s="60">
        <v>5.72</v>
      </c>
      <c r="I93" s="60">
        <v>7.1</v>
      </c>
      <c r="J93" s="60">
        <v>0.31</v>
      </c>
      <c r="K93" s="60">
        <v>34.67</v>
      </c>
      <c r="L93" s="60">
        <v>29.97</v>
      </c>
      <c r="M93" s="60">
        <v>99.14</v>
      </c>
      <c r="N93" s="60">
        <v>15.4</v>
      </c>
      <c r="O93" s="60">
        <v>0.6</v>
      </c>
      <c r="P93" s="60">
        <v>3.97</v>
      </c>
      <c r="Q93" s="60">
        <v>9.85</v>
      </c>
      <c r="R93" s="197"/>
      <c r="S93" s="197"/>
      <c r="T93" s="197"/>
      <c r="U93" s="197"/>
    </row>
    <row r="94" spans="1:26" s="12" customFormat="1" x14ac:dyDescent="0.25">
      <c r="A94" s="200" t="s">
        <v>1581</v>
      </c>
      <c r="B94" s="60">
        <v>10.23</v>
      </c>
      <c r="C94" s="60">
        <v>18.11</v>
      </c>
      <c r="D94" s="60">
        <v>28.34</v>
      </c>
      <c r="E94" s="60">
        <v>3.87</v>
      </c>
      <c r="F94" s="60">
        <v>0.3</v>
      </c>
      <c r="G94" s="215" t="s">
        <v>36</v>
      </c>
      <c r="H94" s="60">
        <v>4.72</v>
      </c>
      <c r="I94" s="60">
        <v>6.59</v>
      </c>
      <c r="J94" s="60">
        <v>0.33</v>
      </c>
      <c r="K94" s="60">
        <v>0.36</v>
      </c>
      <c r="L94" s="60">
        <v>29.96</v>
      </c>
      <c r="M94" s="60">
        <v>99.15</v>
      </c>
      <c r="N94" s="60">
        <v>15.4</v>
      </c>
      <c r="O94" s="60">
        <v>0.4</v>
      </c>
      <c r="P94" s="60">
        <v>3.88</v>
      </c>
      <c r="Q94" s="60">
        <v>9.51</v>
      </c>
      <c r="R94" s="197"/>
      <c r="S94" s="197"/>
      <c r="T94" s="197"/>
      <c r="U94" s="197"/>
    </row>
    <row r="95" spans="1:26" s="12" customFormat="1" x14ac:dyDescent="0.25">
      <c r="A95" s="200" t="s">
        <v>1582</v>
      </c>
      <c r="B95" s="60">
        <v>9.4</v>
      </c>
      <c r="C95" s="60">
        <v>17.98</v>
      </c>
      <c r="D95" s="60">
        <v>27.38</v>
      </c>
      <c r="E95" s="60">
        <v>3.78</v>
      </c>
      <c r="F95" s="60">
        <v>0.31</v>
      </c>
      <c r="G95" s="215" t="s">
        <v>36</v>
      </c>
      <c r="H95" s="60">
        <v>4.72</v>
      </c>
      <c r="I95" s="60">
        <v>6.07</v>
      </c>
      <c r="J95" s="60">
        <v>0.32</v>
      </c>
      <c r="K95" s="60">
        <v>3.59</v>
      </c>
      <c r="L95" s="60">
        <v>29.93</v>
      </c>
      <c r="M95" s="60">
        <v>99.15</v>
      </c>
      <c r="N95" s="60">
        <v>15.4</v>
      </c>
      <c r="O95" s="60">
        <v>0.2</v>
      </c>
      <c r="P95" s="60">
        <v>3.84</v>
      </c>
      <c r="Q95" s="60">
        <v>9.1199999999999992</v>
      </c>
      <c r="R95" s="197"/>
      <c r="S95" s="197"/>
      <c r="T95" s="197"/>
      <c r="U95" s="197"/>
    </row>
    <row r="96" spans="1:26" s="12" customFormat="1" x14ac:dyDescent="0.25">
      <c r="A96" s="200" t="s">
        <v>1583</v>
      </c>
      <c r="B96" s="60">
        <v>8.66</v>
      </c>
      <c r="C96" s="60">
        <v>17.52</v>
      </c>
      <c r="D96" s="60">
        <v>26.18</v>
      </c>
      <c r="E96" s="60">
        <v>3.87</v>
      </c>
      <c r="F96" s="60">
        <v>0.62</v>
      </c>
      <c r="G96" s="215" t="s">
        <v>36</v>
      </c>
      <c r="H96" s="60">
        <v>4.72</v>
      </c>
      <c r="I96" s="60">
        <v>5.62</v>
      </c>
      <c r="J96" s="60">
        <v>0.32</v>
      </c>
      <c r="K96" s="60">
        <v>18.29</v>
      </c>
      <c r="L96" s="60">
        <v>29.87</v>
      </c>
      <c r="M96" s="60">
        <v>99.15</v>
      </c>
      <c r="N96" s="60">
        <v>15.4</v>
      </c>
      <c r="O96" s="60">
        <v>0.2</v>
      </c>
      <c r="P96" s="60">
        <v>3.81</v>
      </c>
      <c r="Q96" s="60">
        <v>8.84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1584</v>
      </c>
      <c r="B97" s="60">
        <v>7.88</v>
      </c>
      <c r="C97" s="60">
        <v>16.82</v>
      </c>
      <c r="D97" s="60">
        <v>24.7</v>
      </c>
      <c r="E97" s="60">
        <v>3.81</v>
      </c>
      <c r="F97" s="60">
        <v>0.19</v>
      </c>
      <c r="G97" s="215" t="s">
        <v>36</v>
      </c>
      <c r="H97" s="60">
        <v>5.19</v>
      </c>
      <c r="I97" s="60">
        <v>5.28</v>
      </c>
      <c r="J97" s="60">
        <v>0.3</v>
      </c>
      <c r="K97" s="60">
        <v>1.05</v>
      </c>
      <c r="L97" s="60">
        <v>29.88</v>
      </c>
      <c r="M97" s="60">
        <v>99.15</v>
      </c>
      <c r="N97" s="60">
        <v>15.4</v>
      </c>
      <c r="O97" s="60">
        <v>0</v>
      </c>
      <c r="P97" s="60">
        <v>3.81</v>
      </c>
      <c r="Q97" s="60">
        <v>8.36</v>
      </c>
      <c r="R97" s="197"/>
      <c r="S97" s="197"/>
      <c r="T97" s="197"/>
      <c r="U97" s="197"/>
    </row>
    <row r="98" spans="1:33" s="12" customFormat="1" x14ac:dyDescent="0.25">
      <c r="A98" s="200" t="s">
        <v>1585</v>
      </c>
      <c r="B98" s="60">
        <v>6.77</v>
      </c>
      <c r="C98" s="60">
        <v>15.95</v>
      </c>
      <c r="D98" s="60">
        <v>22.72</v>
      </c>
      <c r="E98" s="60">
        <v>3.97</v>
      </c>
      <c r="F98" s="60">
        <v>0.39</v>
      </c>
      <c r="G98" s="215" t="s">
        <v>36</v>
      </c>
      <c r="H98" s="60">
        <v>6.36</v>
      </c>
      <c r="I98" s="60">
        <v>4.96</v>
      </c>
      <c r="J98" s="60">
        <v>0.25</v>
      </c>
      <c r="K98" s="60">
        <v>5.52</v>
      </c>
      <c r="L98" s="60">
        <v>29.86</v>
      </c>
      <c r="M98" s="60">
        <v>99.15</v>
      </c>
      <c r="N98" s="60">
        <v>15.4</v>
      </c>
      <c r="O98" s="60">
        <v>0.4</v>
      </c>
      <c r="P98" s="60">
        <v>3.78</v>
      </c>
      <c r="Q98" s="60">
        <v>7.6</v>
      </c>
      <c r="R98" s="197"/>
      <c r="S98" s="197"/>
      <c r="T98" s="197"/>
      <c r="U98" s="197"/>
    </row>
    <row r="99" spans="1:33" s="12" customFormat="1" x14ac:dyDescent="0.25">
      <c r="A99" s="200" t="s">
        <v>1586</v>
      </c>
      <c r="B99" s="60">
        <v>5.6</v>
      </c>
      <c r="C99" s="60">
        <v>15.16</v>
      </c>
      <c r="D99" s="60">
        <v>20.76</v>
      </c>
      <c r="E99" s="60">
        <v>3.87</v>
      </c>
      <c r="F99" s="60">
        <v>0.2</v>
      </c>
      <c r="G99" s="215" t="s">
        <v>36</v>
      </c>
      <c r="H99" s="60">
        <v>6.36</v>
      </c>
      <c r="I99" s="60">
        <v>4.63</v>
      </c>
      <c r="J99" s="60">
        <v>0.3</v>
      </c>
      <c r="K99" s="60">
        <v>21.53</v>
      </c>
      <c r="L99" s="60">
        <v>29.82</v>
      </c>
      <c r="M99" s="60">
        <v>99.15</v>
      </c>
      <c r="N99" s="60">
        <v>15.4</v>
      </c>
      <c r="O99" s="60">
        <v>0.4</v>
      </c>
      <c r="P99" s="60">
        <v>3.73</v>
      </c>
      <c r="Q99" s="60">
        <v>6.97</v>
      </c>
      <c r="R99" s="197"/>
      <c r="S99" s="197"/>
      <c r="T99" s="197"/>
      <c r="U99" s="197"/>
    </row>
    <row r="100" spans="1:33" s="12" customFormat="1" x14ac:dyDescent="0.25">
      <c r="A100" s="200" t="s">
        <v>1587</v>
      </c>
      <c r="B100" s="60">
        <v>4.8499999999999996</v>
      </c>
      <c r="C100" s="60">
        <v>14.57</v>
      </c>
      <c r="D100" s="60">
        <v>19.43</v>
      </c>
      <c r="E100" s="60">
        <v>3.92</v>
      </c>
      <c r="F100" s="60">
        <v>0.23</v>
      </c>
      <c r="G100" s="215" t="s">
        <v>36</v>
      </c>
      <c r="H100" s="60">
        <v>6.36</v>
      </c>
      <c r="I100" s="60">
        <v>4.33</v>
      </c>
      <c r="J100" s="60">
        <v>0.21</v>
      </c>
      <c r="K100" s="60">
        <v>37.1</v>
      </c>
      <c r="L100" s="60">
        <v>29.84</v>
      </c>
      <c r="M100" s="60">
        <v>99.15</v>
      </c>
      <c r="N100" s="60">
        <v>15.3</v>
      </c>
      <c r="O100" s="60">
        <v>0.4</v>
      </c>
      <c r="P100" s="60">
        <v>3.7</v>
      </c>
      <c r="Q100" s="60">
        <v>6.54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1588</v>
      </c>
      <c r="B101" s="60">
        <v>4.78</v>
      </c>
      <c r="C101" s="60">
        <v>14.41</v>
      </c>
      <c r="D101" s="60">
        <v>19.190000000000001</v>
      </c>
      <c r="E101" s="60">
        <v>4.24</v>
      </c>
      <c r="F101" s="60">
        <v>0.09</v>
      </c>
      <c r="G101" s="215" t="s">
        <v>36</v>
      </c>
      <c r="H101" s="60">
        <v>5.92</v>
      </c>
      <c r="I101" s="60">
        <v>4.04</v>
      </c>
      <c r="J101" s="60">
        <v>0.14000000000000001</v>
      </c>
      <c r="K101" s="60">
        <v>339.85</v>
      </c>
      <c r="L101" s="60">
        <v>29.85</v>
      </c>
      <c r="M101" s="60">
        <v>99.15</v>
      </c>
      <c r="N101" s="60">
        <v>15.4</v>
      </c>
      <c r="O101" s="60">
        <v>2.4</v>
      </c>
      <c r="P101" s="60">
        <v>3.76</v>
      </c>
      <c r="Q101" s="60">
        <v>6.48</v>
      </c>
      <c r="R101" s="197"/>
      <c r="S101" s="197"/>
      <c r="T101" s="197"/>
      <c r="U101" s="197"/>
    </row>
    <row r="102" spans="1:33" s="12" customFormat="1" x14ac:dyDescent="0.25">
      <c r="A102" s="200" t="s">
        <v>1589</v>
      </c>
      <c r="B102" s="60">
        <v>5.3</v>
      </c>
      <c r="C102" s="60">
        <v>14.57</v>
      </c>
      <c r="D102" s="60">
        <v>19.86</v>
      </c>
      <c r="E102" s="60">
        <v>3.59</v>
      </c>
      <c r="F102" s="60">
        <v>0.09</v>
      </c>
      <c r="G102" s="215" t="s">
        <v>36</v>
      </c>
      <c r="H102" s="60">
        <v>4.84</v>
      </c>
      <c r="I102" s="60">
        <v>3.97</v>
      </c>
      <c r="J102" s="60">
        <v>0.3</v>
      </c>
      <c r="K102" s="60">
        <v>54.72</v>
      </c>
      <c r="L102" s="60">
        <v>29.71</v>
      </c>
      <c r="M102" s="60">
        <v>99.15</v>
      </c>
      <c r="N102" s="60">
        <v>15.6</v>
      </c>
      <c r="O102" s="60">
        <v>5.2</v>
      </c>
      <c r="P102" s="60">
        <v>3.86</v>
      </c>
      <c r="Q102" s="60">
        <v>6.8</v>
      </c>
      <c r="R102" s="197"/>
      <c r="S102" s="197"/>
      <c r="T102" s="197"/>
      <c r="U102" s="197"/>
    </row>
    <row r="103" spans="1:33" s="12" customFormat="1" x14ac:dyDescent="0.25">
      <c r="A103" s="200" t="s">
        <v>1590</v>
      </c>
      <c r="B103" s="60">
        <v>5.15</v>
      </c>
      <c r="C103" s="60">
        <v>15.32</v>
      </c>
      <c r="D103" s="60">
        <v>20.48</v>
      </c>
      <c r="E103" s="60">
        <v>3.91</v>
      </c>
      <c r="F103" s="60">
        <v>0.22</v>
      </c>
      <c r="G103" s="215" t="s">
        <v>36</v>
      </c>
      <c r="H103" s="60">
        <v>4.84</v>
      </c>
      <c r="I103" s="60">
        <v>4.22</v>
      </c>
      <c r="J103" s="60">
        <v>0.15</v>
      </c>
      <c r="K103" s="60">
        <v>49.03</v>
      </c>
      <c r="L103" s="60">
        <v>29.58</v>
      </c>
      <c r="M103" s="60">
        <v>99.15</v>
      </c>
      <c r="N103" s="60">
        <v>15.5</v>
      </c>
      <c r="O103" s="60">
        <v>6.2</v>
      </c>
      <c r="P103" s="60">
        <v>3.83</v>
      </c>
      <c r="Q103" s="60">
        <v>6.87</v>
      </c>
      <c r="R103" s="197"/>
      <c r="S103" s="197"/>
      <c r="T103" s="197"/>
      <c r="U103" s="197"/>
    </row>
    <row r="104" spans="1:33" s="12" customFormat="1" x14ac:dyDescent="0.25">
      <c r="A104" s="200" t="s">
        <v>1591</v>
      </c>
      <c r="B104" s="60">
        <v>4.21</v>
      </c>
      <c r="C104" s="60">
        <v>16.16</v>
      </c>
      <c r="D104" s="60">
        <v>20.37</v>
      </c>
      <c r="E104" s="60">
        <v>0.84</v>
      </c>
      <c r="F104" s="60">
        <v>0.43</v>
      </c>
      <c r="G104" s="215" t="s">
        <v>36</v>
      </c>
      <c r="H104" s="60">
        <v>4.84</v>
      </c>
      <c r="I104" s="60">
        <v>4.5999999999999996</v>
      </c>
      <c r="J104" s="60">
        <v>0.24</v>
      </c>
      <c r="K104" s="60">
        <v>42.93</v>
      </c>
      <c r="L104" s="60">
        <v>29.59</v>
      </c>
      <c r="M104" s="60">
        <v>99.15</v>
      </c>
      <c r="N104" s="60">
        <v>15.4</v>
      </c>
      <c r="O104" s="60">
        <v>1.2</v>
      </c>
      <c r="P104" s="60">
        <v>3.78</v>
      </c>
      <c r="Q104" s="60">
        <v>6.6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5" t="s">
        <v>59</v>
      </c>
      <c r="B106" s="67">
        <f>MIN(B9:B104)</f>
        <v>2.66</v>
      </c>
      <c r="C106" s="67">
        <f>MIN(C9:C104)</f>
        <v>8.89</v>
      </c>
      <c r="D106" s="67">
        <f t="shared" ref="D106:Q106" si="0">MIN(D9:D104)</f>
        <v>11.59</v>
      </c>
      <c r="E106" s="67">
        <f t="shared" si="0"/>
        <v>0.84</v>
      </c>
      <c r="F106" s="67">
        <f t="shared" si="0"/>
        <v>0.03</v>
      </c>
      <c r="G106" s="67">
        <f t="shared" si="0"/>
        <v>0</v>
      </c>
      <c r="H106" s="67">
        <f t="shared" si="0"/>
        <v>3.04</v>
      </c>
      <c r="I106" s="67">
        <f t="shared" si="0"/>
        <v>3.97</v>
      </c>
      <c r="J106" s="67">
        <f t="shared" si="0"/>
        <v>0.11</v>
      </c>
      <c r="K106" s="67">
        <f t="shared" si="0"/>
        <v>0.36</v>
      </c>
      <c r="L106" s="67">
        <f t="shared" si="0"/>
        <v>29.41</v>
      </c>
      <c r="M106" s="67">
        <f t="shared" si="0"/>
        <v>94.25</v>
      </c>
      <c r="N106" s="67">
        <f t="shared" si="0"/>
        <v>15</v>
      </c>
      <c r="O106" s="67">
        <f t="shared" si="0"/>
        <v>0</v>
      </c>
      <c r="P106" s="67">
        <f t="shared" si="0"/>
        <v>3.46</v>
      </c>
      <c r="Q106" s="67">
        <f t="shared" si="0"/>
        <v>6.27</v>
      </c>
      <c r="R106" s="198"/>
      <c r="S106" s="198"/>
      <c r="T106" s="198"/>
      <c r="U106" s="198"/>
    </row>
    <row r="107" spans="1:33" x14ac:dyDescent="0.25">
      <c r="A107" s="65" t="s">
        <v>60</v>
      </c>
      <c r="B107" s="66">
        <f>MAX(B9:B104)</f>
        <v>15.23</v>
      </c>
      <c r="C107" s="66">
        <f t="shared" ref="C107:Q107" si="1">MAX(C9:C104)</f>
        <v>18.11</v>
      </c>
      <c r="D107" s="66">
        <f t="shared" si="1"/>
        <v>30.76</v>
      </c>
      <c r="E107" s="66">
        <f t="shared" si="1"/>
        <v>6.92</v>
      </c>
      <c r="F107" s="66">
        <f t="shared" si="1"/>
        <v>0.93</v>
      </c>
      <c r="G107" s="66">
        <f t="shared" si="1"/>
        <v>0</v>
      </c>
      <c r="H107" s="66">
        <f t="shared" si="1"/>
        <v>8.83</v>
      </c>
      <c r="I107" s="66">
        <f t="shared" si="1"/>
        <v>8.86</v>
      </c>
      <c r="J107" s="66">
        <f t="shared" si="1"/>
        <v>0.51</v>
      </c>
      <c r="K107" s="66">
        <f t="shared" si="1"/>
        <v>359.21</v>
      </c>
      <c r="L107" s="66">
        <f t="shared" si="1"/>
        <v>39.07</v>
      </c>
      <c r="M107" s="66">
        <f t="shared" si="1"/>
        <v>99.15</v>
      </c>
      <c r="N107" s="66">
        <f t="shared" si="1"/>
        <v>172.3</v>
      </c>
      <c r="O107" s="66">
        <f t="shared" si="1"/>
        <v>6.2</v>
      </c>
      <c r="P107" s="66">
        <f t="shared" si="1"/>
        <v>4.4000000000000004</v>
      </c>
      <c r="Q107" s="66">
        <f t="shared" si="1"/>
        <v>11.53</v>
      </c>
      <c r="R107" s="199"/>
      <c r="S107" s="199"/>
      <c r="T107" s="199"/>
      <c r="U107" s="199"/>
    </row>
    <row r="108" spans="1:33" x14ac:dyDescent="0.25">
      <c r="A108" s="65" t="s">
        <v>61</v>
      </c>
      <c r="B108" s="67">
        <f>AVERAGE(B9:B104)</f>
        <v>8.2105208333333302</v>
      </c>
      <c r="C108" s="67">
        <f t="shared" ref="C108:Q108" si="2">AVERAGE(C9:C104)</f>
        <v>13.6153125</v>
      </c>
      <c r="D108" s="67">
        <f t="shared" si="2"/>
        <v>21.82520833333334</v>
      </c>
      <c r="E108" s="67">
        <f t="shared" si="2"/>
        <v>4.6791666666666663</v>
      </c>
      <c r="F108" s="67">
        <f t="shared" si="2"/>
        <v>0.28147368421052632</v>
      </c>
      <c r="G108" s="67" t="e">
        <f t="shared" si="2"/>
        <v>#DIV/0!</v>
      </c>
      <c r="H108" s="67">
        <f t="shared" si="2"/>
        <v>5.967916666666671</v>
      </c>
      <c r="I108" s="67">
        <f t="shared" si="2"/>
        <v>5.1124999999999998</v>
      </c>
      <c r="J108" s="67">
        <f t="shared" si="2"/>
        <v>0.26385416666666667</v>
      </c>
      <c r="K108" s="67">
        <f t="shared" si="2"/>
        <v>188.52270833333327</v>
      </c>
      <c r="L108" s="67">
        <f t="shared" si="2"/>
        <v>30.916666666666668</v>
      </c>
      <c r="M108" s="67">
        <f t="shared" si="2"/>
        <v>98.054583333333298</v>
      </c>
      <c r="N108" s="67">
        <f t="shared" si="2"/>
        <v>54.634374999999977</v>
      </c>
      <c r="O108" s="67">
        <f t="shared" si="2"/>
        <v>0.28958333333333336</v>
      </c>
      <c r="P108" s="67">
        <f t="shared" si="2"/>
        <v>3.7096874999999989</v>
      </c>
      <c r="Q108" s="67">
        <f t="shared" si="2"/>
        <v>8.737187500000001</v>
      </c>
      <c r="R108" s="198"/>
      <c r="S108" s="198"/>
      <c r="T108" s="198"/>
      <c r="U108" s="198"/>
    </row>
    <row r="109" spans="1:33" x14ac:dyDescent="0.25">
      <c r="A109" s="65" t="s">
        <v>77</v>
      </c>
      <c r="B109" s="67">
        <f>STDEV(B9:B104)</f>
        <v>3.9653601070405751</v>
      </c>
      <c r="C109" s="67">
        <f t="shared" ref="C109:Q109" si="3">STDEV(C9:C104)</f>
        <v>2.7448125055801964</v>
      </c>
      <c r="D109" s="67">
        <f t="shared" si="3"/>
        <v>6.3304189566462679</v>
      </c>
      <c r="E109" s="67">
        <f t="shared" si="3"/>
        <v>1.3185172427003979</v>
      </c>
      <c r="F109" s="67">
        <f t="shared" si="3"/>
        <v>0.17732029213330211</v>
      </c>
      <c r="G109" s="67" t="e">
        <f t="shared" si="3"/>
        <v>#DIV/0!</v>
      </c>
      <c r="H109" s="67">
        <f t="shared" si="3"/>
        <v>1.713988218756199</v>
      </c>
      <c r="I109" s="67">
        <f t="shared" si="3"/>
        <v>1.0785975299336428</v>
      </c>
      <c r="J109" s="67">
        <f t="shared" si="3"/>
        <v>6.8308430421629984E-2</v>
      </c>
      <c r="K109" s="67">
        <f t="shared" si="3"/>
        <v>160.52770220008867</v>
      </c>
      <c r="L109" s="67">
        <f t="shared" si="3"/>
        <v>1.3652126625676633</v>
      </c>
      <c r="M109" s="67">
        <f t="shared" si="3"/>
        <v>1.5652697206058832</v>
      </c>
      <c r="N109" s="67">
        <f t="shared" si="3"/>
        <v>49.80892929485637</v>
      </c>
      <c r="O109" s="67">
        <f t="shared" si="3"/>
        <v>0.86808672458661007</v>
      </c>
      <c r="P109" s="67">
        <f t="shared" si="3"/>
        <v>0.20741239431574346</v>
      </c>
      <c r="Q109" s="67">
        <f t="shared" si="3"/>
        <v>1.6066006631361298</v>
      </c>
      <c r="R109" s="198"/>
      <c r="S109" s="198"/>
      <c r="T109" s="198"/>
      <c r="U109" s="198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COUNT(F9:F104)+1</f>
        <v>96</v>
      </c>
      <c r="G110" s="66">
        <f>COUNT(G9:G104)+96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199"/>
      <c r="S110" s="199"/>
      <c r="T110" s="199"/>
      <c r="U110" s="199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218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7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0" sqref="G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15-08-2022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234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1592</v>
      </c>
      <c r="B9" s="60">
        <v>3.44</v>
      </c>
      <c r="C9" s="60">
        <v>16.07</v>
      </c>
      <c r="D9" s="60">
        <v>19.5</v>
      </c>
      <c r="E9" s="60">
        <v>2.89</v>
      </c>
      <c r="F9" s="60">
        <v>0.5</v>
      </c>
      <c r="G9" s="215" t="s">
        <v>36</v>
      </c>
      <c r="H9" s="60">
        <v>4.79</v>
      </c>
      <c r="I9" s="60">
        <v>4.4400000000000004</v>
      </c>
      <c r="J9" s="60">
        <v>0.22</v>
      </c>
      <c r="K9" s="60">
        <v>0.25</v>
      </c>
      <c r="L9" s="60">
        <v>29.66</v>
      </c>
      <c r="M9" s="60">
        <v>99.15</v>
      </c>
      <c r="N9" s="60">
        <v>15.4</v>
      </c>
      <c r="O9" s="60">
        <v>0.8</v>
      </c>
      <c r="P9" s="60">
        <v>3.76</v>
      </c>
      <c r="Q9" s="60">
        <v>6.21</v>
      </c>
      <c r="R9" s="197"/>
      <c r="S9" s="197"/>
      <c r="T9" s="197"/>
      <c r="U9" s="197"/>
    </row>
    <row r="10" spans="1:21" s="12" customFormat="1" x14ac:dyDescent="0.25">
      <c r="A10" s="200" t="s">
        <v>1593</v>
      </c>
      <c r="B10" s="60">
        <v>2.93</v>
      </c>
      <c r="C10" s="60">
        <v>16.09</v>
      </c>
      <c r="D10" s="60">
        <v>19.02</v>
      </c>
      <c r="E10" s="60">
        <v>3.2</v>
      </c>
      <c r="F10" s="60">
        <v>0.2</v>
      </c>
      <c r="G10" s="215" t="s">
        <v>36</v>
      </c>
      <c r="H10" s="60">
        <v>4.68</v>
      </c>
      <c r="I10" s="60">
        <v>4.13</v>
      </c>
      <c r="J10" s="60">
        <v>0.26</v>
      </c>
      <c r="K10" s="60">
        <v>345.44</v>
      </c>
      <c r="L10" s="60">
        <v>29.7</v>
      </c>
      <c r="M10" s="60">
        <v>99.15</v>
      </c>
      <c r="N10" s="60">
        <v>15.4</v>
      </c>
      <c r="O10" s="60">
        <v>0.6</v>
      </c>
      <c r="P10" s="60">
        <v>3.82</v>
      </c>
      <c r="Q10" s="60">
        <v>5.92</v>
      </c>
      <c r="R10" s="197"/>
      <c r="S10" s="197"/>
      <c r="T10" s="197"/>
      <c r="U10" s="197"/>
    </row>
    <row r="11" spans="1:21" s="12" customFormat="1" x14ac:dyDescent="0.25">
      <c r="A11" s="200" t="s">
        <v>1594</v>
      </c>
      <c r="B11" s="60">
        <v>2.56</v>
      </c>
      <c r="C11" s="60">
        <v>15.32</v>
      </c>
      <c r="D11" s="60">
        <v>17.88</v>
      </c>
      <c r="E11" s="60">
        <v>3.39</v>
      </c>
      <c r="F11" s="60">
        <v>0.51</v>
      </c>
      <c r="G11" s="215" t="s">
        <v>36</v>
      </c>
      <c r="H11" s="60">
        <v>4.68</v>
      </c>
      <c r="I11" s="60">
        <v>4.12</v>
      </c>
      <c r="J11" s="60">
        <v>0.28999999999999998</v>
      </c>
      <c r="K11" s="60">
        <v>288.56</v>
      </c>
      <c r="L11" s="60">
        <v>29.76</v>
      </c>
      <c r="M11" s="60">
        <v>99.15</v>
      </c>
      <c r="N11" s="60">
        <v>15.4</v>
      </c>
      <c r="O11" s="60">
        <v>0.8</v>
      </c>
      <c r="P11" s="60">
        <v>3.81</v>
      </c>
      <c r="Q11" s="60">
        <v>5.68</v>
      </c>
      <c r="R11" s="197"/>
      <c r="S11" s="197"/>
      <c r="T11" s="197"/>
      <c r="U11" s="197"/>
    </row>
    <row r="12" spans="1:21" s="12" customFormat="1" x14ac:dyDescent="0.25">
      <c r="A12" s="200" t="s">
        <v>1595</v>
      </c>
      <c r="B12" s="60">
        <v>2.34</v>
      </c>
      <c r="C12" s="60">
        <v>14.52</v>
      </c>
      <c r="D12" s="60">
        <v>16.86</v>
      </c>
      <c r="E12" s="60">
        <v>3.36</v>
      </c>
      <c r="F12" s="60">
        <v>0.46</v>
      </c>
      <c r="G12" s="215" t="s">
        <v>36</v>
      </c>
      <c r="H12" s="60">
        <v>4.68</v>
      </c>
      <c r="I12" s="60">
        <v>4.4400000000000004</v>
      </c>
      <c r="J12" s="60">
        <v>7.0000000000000007E-2</v>
      </c>
      <c r="K12" s="60">
        <v>240.75</v>
      </c>
      <c r="L12" s="60">
        <v>29.76</v>
      </c>
      <c r="M12" s="60">
        <v>99.15</v>
      </c>
      <c r="N12" s="60">
        <v>15.5</v>
      </c>
      <c r="O12" s="60">
        <v>1.2</v>
      </c>
      <c r="P12" s="60">
        <v>3.79</v>
      </c>
      <c r="Q12" s="60">
        <v>5.39</v>
      </c>
      <c r="R12" s="197"/>
      <c r="S12" s="197"/>
      <c r="T12" s="197"/>
      <c r="U12" s="197"/>
    </row>
    <row r="13" spans="1:21" s="12" customFormat="1" x14ac:dyDescent="0.25">
      <c r="A13" s="200" t="s">
        <v>1596</v>
      </c>
      <c r="B13" s="60">
        <v>2.12</v>
      </c>
      <c r="C13" s="60">
        <v>13.98</v>
      </c>
      <c r="D13" s="60">
        <v>16.100000000000001</v>
      </c>
      <c r="E13" s="60">
        <v>3.68</v>
      </c>
      <c r="F13" s="60">
        <v>0.42</v>
      </c>
      <c r="G13" s="215" t="s">
        <v>36</v>
      </c>
      <c r="H13" s="60">
        <v>4.59</v>
      </c>
      <c r="I13" s="60">
        <v>4.3600000000000003</v>
      </c>
      <c r="J13" s="60">
        <v>0.14000000000000001</v>
      </c>
      <c r="K13" s="60">
        <v>323.27999999999997</v>
      </c>
      <c r="L13" s="60">
        <v>29.7</v>
      </c>
      <c r="M13" s="60">
        <v>99.15</v>
      </c>
      <c r="N13" s="60">
        <v>15.6</v>
      </c>
      <c r="O13" s="60">
        <v>6</v>
      </c>
      <c r="P13" s="60">
        <v>3.77</v>
      </c>
      <c r="Q13" s="60">
        <v>5.18</v>
      </c>
      <c r="R13" s="197"/>
      <c r="S13" s="197"/>
      <c r="T13" s="197"/>
      <c r="U13" s="197"/>
    </row>
    <row r="14" spans="1:21" s="12" customFormat="1" x14ac:dyDescent="0.25">
      <c r="A14" s="200" t="s">
        <v>1597</v>
      </c>
      <c r="B14" s="60">
        <v>1.79</v>
      </c>
      <c r="C14" s="60">
        <v>13.72</v>
      </c>
      <c r="D14" s="60">
        <v>15.5</v>
      </c>
      <c r="E14" s="60">
        <v>3.89</v>
      </c>
      <c r="F14" s="60">
        <v>0.35</v>
      </c>
      <c r="G14" s="215" t="s">
        <v>36</v>
      </c>
      <c r="H14" s="60">
        <v>4.38</v>
      </c>
      <c r="I14" s="60">
        <v>4.2699999999999996</v>
      </c>
      <c r="J14" s="60">
        <v>0.12</v>
      </c>
      <c r="K14" s="60">
        <v>17.399999999999999</v>
      </c>
      <c r="L14" s="60">
        <v>29.53</v>
      </c>
      <c r="M14" s="60">
        <v>99.15</v>
      </c>
      <c r="N14" s="60">
        <v>15.8</v>
      </c>
      <c r="O14" s="60">
        <v>4.2</v>
      </c>
      <c r="P14" s="60">
        <v>3.76</v>
      </c>
      <c r="Q14" s="60">
        <v>4.91</v>
      </c>
      <c r="R14" s="197"/>
      <c r="S14" s="197"/>
      <c r="T14" s="197"/>
      <c r="U14" s="197"/>
    </row>
    <row r="15" spans="1:21" s="12" customFormat="1" x14ac:dyDescent="0.25">
      <c r="A15" s="200" t="s">
        <v>1598</v>
      </c>
      <c r="B15" s="60">
        <v>1.45</v>
      </c>
      <c r="C15" s="60">
        <v>13.32</v>
      </c>
      <c r="D15" s="60">
        <v>14.77</v>
      </c>
      <c r="E15" s="60">
        <v>3.85</v>
      </c>
      <c r="F15" s="60">
        <v>0.75</v>
      </c>
      <c r="G15" s="215" t="s">
        <v>36</v>
      </c>
      <c r="H15" s="60">
        <v>4.38</v>
      </c>
      <c r="I15" s="60">
        <v>4.1900000000000004</v>
      </c>
      <c r="J15" s="60">
        <v>0.09</v>
      </c>
      <c r="K15" s="60">
        <v>165.6</v>
      </c>
      <c r="L15" s="60">
        <v>29.43</v>
      </c>
      <c r="M15" s="60">
        <v>99.15</v>
      </c>
      <c r="N15" s="60">
        <v>15.7</v>
      </c>
      <c r="O15" s="60">
        <v>4.8</v>
      </c>
      <c r="P15" s="60">
        <v>3.8</v>
      </c>
      <c r="Q15" s="60">
        <v>4.95</v>
      </c>
      <c r="R15" s="197"/>
      <c r="S15" s="197"/>
      <c r="T15" s="197"/>
      <c r="U15" s="197"/>
    </row>
    <row r="16" spans="1:21" s="12" customFormat="1" x14ac:dyDescent="0.25">
      <c r="A16" s="200" t="s">
        <v>1599</v>
      </c>
      <c r="B16" s="60">
        <v>1.17</v>
      </c>
      <c r="C16" s="60">
        <v>12.46</v>
      </c>
      <c r="D16" s="60">
        <v>13.63</v>
      </c>
      <c r="E16" s="60">
        <v>2.89</v>
      </c>
      <c r="F16" s="60">
        <v>0.78</v>
      </c>
      <c r="G16" s="215" t="s">
        <v>36</v>
      </c>
      <c r="H16" s="60">
        <v>4.38</v>
      </c>
      <c r="I16" s="60">
        <v>4.07</v>
      </c>
      <c r="J16" s="60">
        <v>0.26</v>
      </c>
      <c r="K16" s="60">
        <v>221.77</v>
      </c>
      <c r="L16" s="60">
        <v>29.32</v>
      </c>
      <c r="M16" s="60">
        <v>99.15</v>
      </c>
      <c r="N16" s="60">
        <v>15.7</v>
      </c>
      <c r="O16" s="60">
        <v>2.8</v>
      </c>
      <c r="P16" s="60">
        <v>3.73</v>
      </c>
      <c r="Q16" s="60">
        <v>4.63</v>
      </c>
      <c r="R16" s="197"/>
      <c r="S16" s="197"/>
      <c r="T16" s="197"/>
      <c r="U16" s="197"/>
    </row>
    <row r="17" spans="1:21" s="12" customFormat="1" x14ac:dyDescent="0.25">
      <c r="A17" s="200" t="s">
        <v>1600</v>
      </c>
      <c r="B17" s="60">
        <v>1</v>
      </c>
      <c r="C17" s="60">
        <v>11.92</v>
      </c>
      <c r="D17" s="60">
        <v>12.92</v>
      </c>
      <c r="E17" s="60">
        <v>3.2</v>
      </c>
      <c r="F17" s="60">
        <v>0.72</v>
      </c>
      <c r="G17" s="215" t="s">
        <v>36</v>
      </c>
      <c r="H17" s="60">
        <v>4.05</v>
      </c>
      <c r="I17" s="60">
        <v>4.16</v>
      </c>
      <c r="J17" s="60">
        <v>0.28000000000000003</v>
      </c>
      <c r="K17" s="60">
        <v>48.53</v>
      </c>
      <c r="L17" s="60">
        <v>29.38</v>
      </c>
      <c r="M17" s="60">
        <v>99.15</v>
      </c>
      <c r="N17" s="60">
        <v>15.5</v>
      </c>
      <c r="O17" s="60">
        <v>0</v>
      </c>
      <c r="P17" s="60">
        <v>3.77</v>
      </c>
      <c r="Q17" s="60">
        <v>4.3</v>
      </c>
      <c r="R17" s="197"/>
      <c r="S17" s="197"/>
      <c r="T17" s="197"/>
      <c r="U17" s="197"/>
    </row>
    <row r="18" spans="1:21" s="12" customFormat="1" x14ac:dyDescent="0.25">
      <c r="A18" s="200" t="s">
        <v>1601</v>
      </c>
      <c r="B18" s="60">
        <v>1.43</v>
      </c>
      <c r="C18" s="60">
        <v>12.59</v>
      </c>
      <c r="D18" s="60">
        <v>14.01</v>
      </c>
      <c r="E18" s="60">
        <v>3.25</v>
      </c>
      <c r="F18" s="60">
        <v>0.63</v>
      </c>
      <c r="G18" s="215" t="s">
        <v>36</v>
      </c>
      <c r="H18" s="60">
        <v>3.25</v>
      </c>
      <c r="I18" s="60">
        <v>3.9</v>
      </c>
      <c r="J18" s="60">
        <v>0.23</v>
      </c>
      <c r="K18" s="60">
        <v>38.29</v>
      </c>
      <c r="L18" s="60">
        <v>29.37</v>
      </c>
      <c r="M18" s="60">
        <v>99.15</v>
      </c>
      <c r="N18" s="60">
        <v>15.6</v>
      </c>
      <c r="O18" s="60">
        <v>1.8</v>
      </c>
      <c r="P18" s="60">
        <v>3.83</v>
      </c>
      <c r="Q18" s="60">
        <v>4.54</v>
      </c>
      <c r="R18" s="197"/>
      <c r="S18" s="197"/>
      <c r="T18" s="197"/>
      <c r="U18" s="197"/>
    </row>
    <row r="19" spans="1:21" s="12" customFormat="1" x14ac:dyDescent="0.25">
      <c r="A19" s="200" t="s">
        <v>1602</v>
      </c>
      <c r="B19" s="60">
        <v>1.7</v>
      </c>
      <c r="C19" s="60">
        <v>13.84</v>
      </c>
      <c r="D19" s="60">
        <v>15.54</v>
      </c>
      <c r="E19" s="60">
        <v>2.6</v>
      </c>
      <c r="F19" s="60">
        <v>0.84</v>
      </c>
      <c r="G19" s="215" t="s">
        <v>36</v>
      </c>
      <c r="H19" s="60">
        <v>3.25</v>
      </c>
      <c r="I19" s="60">
        <v>3.92</v>
      </c>
      <c r="J19" s="60">
        <v>0.19</v>
      </c>
      <c r="K19" s="60">
        <v>9.7200000000000006</v>
      </c>
      <c r="L19" s="60">
        <v>29.31</v>
      </c>
      <c r="M19" s="60">
        <v>99.15</v>
      </c>
      <c r="N19" s="60">
        <v>15.7</v>
      </c>
      <c r="O19" s="60">
        <v>2.8</v>
      </c>
      <c r="P19" s="60">
        <v>3.99</v>
      </c>
      <c r="Q19" s="60">
        <v>4.9000000000000004</v>
      </c>
      <c r="R19" s="197"/>
      <c r="S19" s="197"/>
      <c r="T19" s="197"/>
      <c r="U19" s="197"/>
    </row>
    <row r="20" spans="1:21" s="12" customFormat="1" x14ac:dyDescent="0.25">
      <c r="A20" s="200" t="s">
        <v>1603</v>
      </c>
      <c r="B20" s="60">
        <v>1.94</v>
      </c>
      <c r="C20" s="60">
        <v>15.77</v>
      </c>
      <c r="D20" s="60">
        <v>17.72</v>
      </c>
      <c r="E20" s="60">
        <v>2.48</v>
      </c>
      <c r="F20" s="60">
        <v>0.56999999999999995</v>
      </c>
      <c r="G20" s="215" t="s">
        <v>36</v>
      </c>
      <c r="H20" s="60">
        <v>3.25</v>
      </c>
      <c r="I20" s="60">
        <v>4.16</v>
      </c>
      <c r="J20" s="60">
        <v>0.35</v>
      </c>
      <c r="K20" s="60">
        <v>34.020000000000003</v>
      </c>
      <c r="L20" s="60">
        <v>29.31</v>
      </c>
      <c r="M20" s="60">
        <v>99.15</v>
      </c>
      <c r="N20" s="60">
        <v>15.5</v>
      </c>
      <c r="O20" s="60">
        <v>0.4</v>
      </c>
      <c r="P20" s="60">
        <v>4.16</v>
      </c>
      <c r="Q20" s="60">
        <v>5.4</v>
      </c>
      <c r="R20" s="197"/>
      <c r="S20" s="197"/>
      <c r="T20" s="197"/>
      <c r="U20" s="197"/>
    </row>
    <row r="21" spans="1:21" s="12" customFormat="1" x14ac:dyDescent="0.25">
      <c r="A21" s="200" t="s">
        <v>1604</v>
      </c>
      <c r="B21" s="60">
        <v>1.82</v>
      </c>
      <c r="C21" s="60">
        <v>17.22</v>
      </c>
      <c r="D21" s="60">
        <v>19.04</v>
      </c>
      <c r="E21" s="60">
        <v>2.4900000000000002</v>
      </c>
      <c r="F21" s="60">
        <v>0.35</v>
      </c>
      <c r="G21" s="215" t="s">
        <v>36</v>
      </c>
      <c r="H21" s="60">
        <v>3.5</v>
      </c>
      <c r="I21" s="60">
        <v>4.66</v>
      </c>
      <c r="J21" s="60">
        <v>0.28000000000000003</v>
      </c>
      <c r="K21" s="60">
        <v>359.66</v>
      </c>
      <c r="L21" s="60">
        <v>29.36</v>
      </c>
      <c r="M21" s="60">
        <v>99.15</v>
      </c>
      <c r="N21" s="60">
        <v>15.4</v>
      </c>
      <c r="O21" s="60">
        <v>0.2</v>
      </c>
      <c r="P21" s="60">
        <v>4.1399999999999997</v>
      </c>
      <c r="Q21" s="60">
        <v>5.61</v>
      </c>
      <c r="R21" s="197"/>
      <c r="S21" s="197"/>
      <c r="T21" s="197"/>
      <c r="U21" s="197"/>
    </row>
    <row r="22" spans="1:21" s="12" customFormat="1" x14ac:dyDescent="0.25">
      <c r="A22" s="200" t="s">
        <v>1605</v>
      </c>
      <c r="B22" s="60">
        <v>1.58</v>
      </c>
      <c r="C22" s="60">
        <v>17.71</v>
      </c>
      <c r="D22" s="60">
        <v>19.29</v>
      </c>
      <c r="E22" s="60">
        <v>2.0299999999999998</v>
      </c>
      <c r="F22" s="60">
        <v>0.53</v>
      </c>
      <c r="G22" s="215" t="s">
        <v>36</v>
      </c>
      <c r="H22" s="60">
        <v>4.12</v>
      </c>
      <c r="I22" s="60">
        <v>5.63</v>
      </c>
      <c r="J22" s="60">
        <v>0.28999999999999998</v>
      </c>
      <c r="K22" s="60">
        <v>1.99</v>
      </c>
      <c r="L22" s="60">
        <v>29.4</v>
      </c>
      <c r="M22" s="60">
        <v>99.15</v>
      </c>
      <c r="N22" s="60">
        <v>15.5</v>
      </c>
      <c r="O22" s="60">
        <v>0.2</v>
      </c>
      <c r="P22" s="60">
        <v>4.09</v>
      </c>
      <c r="Q22" s="60">
        <v>5.52</v>
      </c>
      <c r="R22" s="197"/>
      <c r="S22" s="197"/>
      <c r="T22" s="197"/>
      <c r="U22" s="197"/>
    </row>
    <row r="23" spans="1:21" s="12" customFormat="1" x14ac:dyDescent="0.25">
      <c r="A23" s="200" t="s">
        <v>1606</v>
      </c>
      <c r="B23" s="60">
        <v>1.67</v>
      </c>
      <c r="C23" s="60">
        <v>17.5</v>
      </c>
      <c r="D23" s="60">
        <v>19.170000000000002</v>
      </c>
      <c r="E23" s="60">
        <v>2.4</v>
      </c>
      <c r="F23" s="60">
        <v>0.53</v>
      </c>
      <c r="G23" s="215" t="s">
        <v>36</v>
      </c>
      <c r="H23" s="60">
        <v>4.12</v>
      </c>
      <c r="I23" s="60">
        <v>5.46</v>
      </c>
      <c r="J23" s="60">
        <v>0.28999999999999998</v>
      </c>
      <c r="K23" s="60">
        <v>28.92</v>
      </c>
      <c r="L23" s="60">
        <v>29.42</v>
      </c>
      <c r="M23" s="60">
        <v>99.15</v>
      </c>
      <c r="N23" s="60">
        <v>15.4</v>
      </c>
      <c r="O23" s="60">
        <v>0.4</v>
      </c>
      <c r="P23" s="60">
        <v>4</v>
      </c>
      <c r="Q23" s="60">
        <v>5.42</v>
      </c>
      <c r="R23" s="197"/>
      <c r="S23" s="197"/>
      <c r="T23" s="197"/>
      <c r="U23" s="197"/>
    </row>
    <row r="24" spans="1:21" s="12" customFormat="1" x14ac:dyDescent="0.25">
      <c r="A24" s="200" t="s">
        <v>1607</v>
      </c>
      <c r="B24" s="60">
        <v>1.88</v>
      </c>
      <c r="C24" s="60">
        <v>17.239999999999998</v>
      </c>
      <c r="D24" s="60">
        <v>19.11</v>
      </c>
      <c r="E24" s="60">
        <v>1.32</v>
      </c>
      <c r="F24" s="60">
        <v>0.6</v>
      </c>
      <c r="G24" s="215" t="s">
        <v>36</v>
      </c>
      <c r="H24" s="60">
        <v>4.12</v>
      </c>
      <c r="I24" s="60">
        <v>5.4</v>
      </c>
      <c r="J24" s="60">
        <v>0.25</v>
      </c>
      <c r="K24" s="60">
        <v>38.270000000000003</v>
      </c>
      <c r="L24" s="60">
        <v>29.44</v>
      </c>
      <c r="M24" s="60">
        <v>99.15</v>
      </c>
      <c r="N24" s="60">
        <v>15.5</v>
      </c>
      <c r="O24" s="60">
        <v>2.8</v>
      </c>
      <c r="P24" s="60">
        <v>3.92</v>
      </c>
      <c r="Q24" s="60">
        <v>5.36</v>
      </c>
      <c r="R24" s="197"/>
      <c r="S24" s="197"/>
      <c r="T24" s="197"/>
      <c r="U24" s="197"/>
    </row>
    <row r="25" spans="1:21" s="12" customFormat="1" x14ac:dyDescent="0.25">
      <c r="A25" s="200" t="s">
        <v>1608</v>
      </c>
      <c r="B25" s="60">
        <v>2.27</v>
      </c>
      <c r="C25" s="60">
        <v>17.350000000000001</v>
      </c>
      <c r="D25" s="60">
        <v>19.63</v>
      </c>
      <c r="E25" s="60">
        <v>2.67</v>
      </c>
      <c r="F25" s="60">
        <v>0.63</v>
      </c>
      <c r="G25" s="215" t="s">
        <v>36</v>
      </c>
      <c r="H25" s="60">
        <v>3.94</v>
      </c>
      <c r="I25" s="60">
        <v>5.09</v>
      </c>
      <c r="J25" s="60">
        <v>0.28000000000000003</v>
      </c>
      <c r="K25" s="60">
        <v>24.49</v>
      </c>
      <c r="L25" s="60">
        <v>29.46</v>
      </c>
      <c r="M25" s="60">
        <v>99.15</v>
      </c>
      <c r="N25" s="60">
        <v>15.4</v>
      </c>
      <c r="O25" s="60">
        <v>0.6</v>
      </c>
      <c r="P25" s="60">
        <v>3.93</v>
      </c>
      <c r="Q25" s="60">
        <v>5.6</v>
      </c>
      <c r="R25" s="197"/>
      <c r="S25" s="197"/>
      <c r="T25" s="197"/>
      <c r="U25" s="197"/>
    </row>
    <row r="26" spans="1:21" s="12" customFormat="1" x14ac:dyDescent="0.25">
      <c r="A26" s="200" t="s">
        <v>1609</v>
      </c>
      <c r="B26" s="60">
        <v>2.54</v>
      </c>
      <c r="C26" s="60">
        <v>18.149999999999999</v>
      </c>
      <c r="D26" s="60">
        <v>20.69</v>
      </c>
      <c r="E26" s="60">
        <v>2.59</v>
      </c>
      <c r="F26" s="60">
        <v>0.53</v>
      </c>
      <c r="G26" s="215" t="s">
        <v>36</v>
      </c>
      <c r="H26" s="60">
        <v>3.49</v>
      </c>
      <c r="I26" s="60">
        <v>4.8600000000000003</v>
      </c>
      <c r="J26" s="60">
        <v>0.25</v>
      </c>
      <c r="K26" s="60">
        <v>14.13</v>
      </c>
      <c r="L26" s="60">
        <v>29.51</v>
      </c>
      <c r="M26" s="60">
        <v>99.15</v>
      </c>
      <c r="N26" s="60">
        <v>15.5</v>
      </c>
      <c r="O26" s="60">
        <v>0.2</v>
      </c>
      <c r="P26" s="60">
        <v>4.08</v>
      </c>
      <c r="Q26" s="60">
        <v>5.81</v>
      </c>
      <c r="R26" s="197"/>
      <c r="S26" s="197"/>
      <c r="T26" s="197"/>
      <c r="U26" s="197"/>
    </row>
    <row r="27" spans="1:21" s="12" customFormat="1" x14ac:dyDescent="0.25">
      <c r="A27" s="200" t="s">
        <v>1610</v>
      </c>
      <c r="B27" s="60">
        <v>2.76</v>
      </c>
      <c r="C27" s="60">
        <v>18.8</v>
      </c>
      <c r="D27" s="60">
        <v>21.57</v>
      </c>
      <c r="E27" s="60">
        <v>3.23</v>
      </c>
      <c r="F27" s="60">
        <v>0.53</v>
      </c>
      <c r="G27" s="215" t="s">
        <v>36</v>
      </c>
      <c r="H27" s="60">
        <v>3.49</v>
      </c>
      <c r="I27" s="60">
        <v>5.15</v>
      </c>
      <c r="J27" s="60">
        <v>0.32</v>
      </c>
      <c r="K27" s="60">
        <v>35.659999999999997</v>
      </c>
      <c r="L27" s="60">
        <v>29.52</v>
      </c>
      <c r="M27" s="60">
        <v>99.15</v>
      </c>
      <c r="N27" s="60">
        <v>15.4</v>
      </c>
      <c r="O27" s="60">
        <v>0.2</v>
      </c>
      <c r="P27" s="60">
        <v>4.2300000000000004</v>
      </c>
      <c r="Q27" s="60">
        <v>6.03</v>
      </c>
      <c r="R27" s="197"/>
      <c r="S27" s="197"/>
      <c r="T27" s="197"/>
      <c r="U27" s="197"/>
    </row>
    <row r="28" spans="1:21" s="12" customFormat="1" x14ac:dyDescent="0.25">
      <c r="A28" s="200" t="s">
        <v>1611</v>
      </c>
      <c r="B28" s="60">
        <v>2.63</v>
      </c>
      <c r="C28" s="60">
        <v>19.2</v>
      </c>
      <c r="D28" s="60">
        <v>21.82</v>
      </c>
      <c r="E28" s="60">
        <v>3.27</v>
      </c>
      <c r="F28" s="60">
        <v>0.71</v>
      </c>
      <c r="G28" s="215" t="s">
        <v>36</v>
      </c>
      <c r="H28" s="60">
        <v>3.49</v>
      </c>
      <c r="I28" s="60">
        <v>6.52</v>
      </c>
      <c r="J28" s="60">
        <v>0.3</v>
      </c>
      <c r="K28" s="60">
        <v>37.94</v>
      </c>
      <c r="L28" s="60">
        <v>29.65</v>
      </c>
      <c r="M28" s="60">
        <v>99.15</v>
      </c>
      <c r="N28" s="60">
        <v>15.6</v>
      </c>
      <c r="O28" s="60">
        <v>0</v>
      </c>
      <c r="P28" s="60">
        <v>4.34</v>
      </c>
      <c r="Q28" s="60">
        <v>6.12</v>
      </c>
      <c r="R28" s="197"/>
      <c r="S28" s="197"/>
      <c r="T28" s="197"/>
      <c r="U28" s="197"/>
    </row>
    <row r="29" spans="1:21" s="12" customFormat="1" x14ac:dyDescent="0.25">
      <c r="A29" s="200" t="s">
        <v>1612</v>
      </c>
      <c r="B29" s="60">
        <v>2.72</v>
      </c>
      <c r="C29" s="60">
        <v>19.54</v>
      </c>
      <c r="D29" s="60">
        <v>22.26</v>
      </c>
      <c r="E29" s="60">
        <v>2.81</v>
      </c>
      <c r="F29" s="60">
        <v>0.8</v>
      </c>
      <c r="G29" s="215" t="s">
        <v>36</v>
      </c>
      <c r="H29" s="60">
        <v>4.05</v>
      </c>
      <c r="I29" s="60">
        <v>7.99</v>
      </c>
      <c r="J29" s="60">
        <v>0.35</v>
      </c>
      <c r="K29" s="60">
        <v>28.83</v>
      </c>
      <c r="L29" s="60">
        <v>29.92</v>
      </c>
      <c r="M29" s="60">
        <v>99.06</v>
      </c>
      <c r="N29" s="60">
        <v>16</v>
      </c>
      <c r="O29" s="60">
        <v>0</v>
      </c>
      <c r="P29" s="60">
        <v>4.3499999999999996</v>
      </c>
      <c r="Q29" s="60">
        <v>6.32</v>
      </c>
      <c r="R29" s="197"/>
      <c r="S29" s="197"/>
      <c r="T29" s="197"/>
      <c r="U29" s="197"/>
    </row>
    <row r="30" spans="1:21" s="12" customFormat="1" x14ac:dyDescent="0.25">
      <c r="A30" s="200" t="s">
        <v>1613</v>
      </c>
      <c r="B30" s="60">
        <v>2.61</v>
      </c>
      <c r="C30" s="60">
        <v>18.29</v>
      </c>
      <c r="D30" s="60">
        <v>20.9</v>
      </c>
      <c r="E30" s="60">
        <v>2.62</v>
      </c>
      <c r="F30" s="60">
        <v>0.84</v>
      </c>
      <c r="G30" s="215" t="s">
        <v>36</v>
      </c>
      <c r="H30" s="60">
        <v>5.44</v>
      </c>
      <c r="I30" s="60">
        <v>8.83</v>
      </c>
      <c r="J30" s="60">
        <v>0.37</v>
      </c>
      <c r="K30" s="60">
        <v>2.52</v>
      </c>
      <c r="L30" s="60">
        <v>30.17</v>
      </c>
      <c r="M30" s="60">
        <v>97.71</v>
      </c>
      <c r="N30" s="60">
        <v>15.8</v>
      </c>
      <c r="O30" s="60">
        <v>0</v>
      </c>
      <c r="P30" s="60">
        <v>4.2699999999999996</v>
      </c>
      <c r="Q30" s="60">
        <v>5.99</v>
      </c>
      <c r="R30" s="197"/>
      <c r="S30" s="197"/>
      <c r="T30" s="197"/>
      <c r="U30" s="197"/>
    </row>
    <row r="31" spans="1:21" s="12" customFormat="1" x14ac:dyDescent="0.25">
      <c r="A31" s="200" t="s">
        <v>1614</v>
      </c>
      <c r="B31" s="60">
        <v>2.23</v>
      </c>
      <c r="C31" s="60">
        <v>16.75</v>
      </c>
      <c r="D31" s="60">
        <v>18.98</v>
      </c>
      <c r="E31" s="60">
        <v>2.57</v>
      </c>
      <c r="F31" s="60">
        <v>0.9</v>
      </c>
      <c r="G31" s="215" t="s">
        <v>36</v>
      </c>
      <c r="H31" s="60">
        <v>5.44</v>
      </c>
      <c r="I31" s="60">
        <v>8.81</v>
      </c>
      <c r="J31" s="60">
        <v>0.37</v>
      </c>
      <c r="K31" s="60">
        <v>23.41</v>
      </c>
      <c r="L31" s="60">
        <v>30.03</v>
      </c>
      <c r="M31" s="60">
        <v>98.72</v>
      </c>
      <c r="N31" s="60">
        <v>15.9</v>
      </c>
      <c r="O31" s="60">
        <v>0.6</v>
      </c>
      <c r="P31" s="60">
        <v>4.16</v>
      </c>
      <c r="Q31" s="60">
        <v>5.48</v>
      </c>
      <c r="R31" s="197"/>
      <c r="S31" s="197"/>
      <c r="T31" s="197"/>
      <c r="U31" s="197"/>
    </row>
    <row r="32" spans="1:21" s="12" customFormat="1" x14ac:dyDescent="0.25">
      <c r="A32" s="200" t="s">
        <v>1615</v>
      </c>
      <c r="B32" s="60">
        <v>2.2999999999999998</v>
      </c>
      <c r="C32" s="60">
        <v>16.04</v>
      </c>
      <c r="D32" s="60">
        <v>18.34</v>
      </c>
      <c r="E32" s="60">
        <v>2.94</v>
      </c>
      <c r="F32" s="60">
        <v>1.23</v>
      </c>
      <c r="G32" s="215" t="s">
        <v>36</v>
      </c>
      <c r="H32" s="60">
        <v>5.44</v>
      </c>
      <c r="I32" s="60">
        <v>8.0299999999999994</v>
      </c>
      <c r="J32" s="60">
        <v>0.06</v>
      </c>
      <c r="K32" s="60">
        <v>54.35</v>
      </c>
      <c r="L32" s="60">
        <v>29.83</v>
      </c>
      <c r="M32" s="60">
        <v>99.14</v>
      </c>
      <c r="N32" s="60">
        <v>17.3</v>
      </c>
      <c r="O32" s="60">
        <v>1.2</v>
      </c>
      <c r="P32" s="60">
        <v>4.09</v>
      </c>
      <c r="Q32" s="60">
        <v>5.32</v>
      </c>
      <c r="R32" s="197"/>
      <c r="S32" s="197"/>
      <c r="T32" s="197"/>
      <c r="U32" s="197"/>
    </row>
    <row r="33" spans="1:21" s="12" customFormat="1" x14ac:dyDescent="0.25">
      <c r="A33" s="200" t="s">
        <v>1616</v>
      </c>
      <c r="B33" s="60">
        <v>2.4500000000000002</v>
      </c>
      <c r="C33" s="60">
        <v>15.49</v>
      </c>
      <c r="D33" s="60">
        <v>17.940000000000001</v>
      </c>
      <c r="E33" s="60">
        <v>2.5299999999999998</v>
      </c>
      <c r="F33" s="60">
        <v>0.78</v>
      </c>
      <c r="G33" s="215" t="s">
        <v>36</v>
      </c>
      <c r="H33" s="60">
        <v>5.15</v>
      </c>
      <c r="I33" s="60">
        <v>7.19</v>
      </c>
      <c r="J33" s="60">
        <v>0.16</v>
      </c>
      <c r="K33" s="60">
        <v>208.86</v>
      </c>
      <c r="L33" s="60">
        <v>30</v>
      </c>
      <c r="M33" s="60">
        <v>99.15</v>
      </c>
      <c r="N33" s="60">
        <v>18.600000000000001</v>
      </c>
      <c r="O33" s="60">
        <v>1</v>
      </c>
      <c r="P33" s="60">
        <v>4.03</v>
      </c>
      <c r="Q33" s="60">
        <v>5.1100000000000003</v>
      </c>
      <c r="R33" s="197"/>
      <c r="S33" s="197"/>
      <c r="T33" s="197"/>
      <c r="U33" s="197"/>
    </row>
    <row r="34" spans="1:21" s="12" customFormat="1" x14ac:dyDescent="0.25">
      <c r="A34" s="200" t="s">
        <v>1617</v>
      </c>
      <c r="B34" s="60">
        <v>2.44</v>
      </c>
      <c r="C34" s="60">
        <v>15</v>
      </c>
      <c r="D34" s="60">
        <v>17.45</v>
      </c>
      <c r="E34" s="60">
        <v>2.64</v>
      </c>
      <c r="F34" s="60">
        <v>0.52</v>
      </c>
      <c r="G34" s="215" t="s">
        <v>36</v>
      </c>
      <c r="H34" s="60">
        <v>4.46</v>
      </c>
      <c r="I34" s="60">
        <v>6.64</v>
      </c>
      <c r="J34" s="60">
        <v>0.28000000000000003</v>
      </c>
      <c r="K34" s="60">
        <v>189.57</v>
      </c>
      <c r="L34" s="60">
        <v>30.46</v>
      </c>
      <c r="M34" s="60">
        <v>99.15</v>
      </c>
      <c r="N34" s="60">
        <v>23.2</v>
      </c>
      <c r="O34" s="60">
        <v>1.8</v>
      </c>
      <c r="P34" s="60">
        <v>4.18</v>
      </c>
      <c r="Q34" s="60">
        <v>4.97</v>
      </c>
      <c r="R34" s="197"/>
      <c r="S34" s="197"/>
      <c r="T34" s="197"/>
      <c r="U34" s="197"/>
    </row>
    <row r="35" spans="1:21" s="12" customFormat="1" x14ac:dyDescent="0.25">
      <c r="A35" s="200" t="s">
        <v>1618</v>
      </c>
      <c r="B35" s="60">
        <v>2.52</v>
      </c>
      <c r="C35" s="60">
        <v>15.6</v>
      </c>
      <c r="D35" s="60">
        <v>18.12</v>
      </c>
      <c r="E35" s="60">
        <v>2.79</v>
      </c>
      <c r="F35" s="60">
        <v>0.4</v>
      </c>
      <c r="G35" s="215" t="s">
        <v>36</v>
      </c>
      <c r="H35" s="60">
        <v>4.46</v>
      </c>
      <c r="I35" s="60">
        <v>6.12</v>
      </c>
      <c r="J35" s="60">
        <v>0.25</v>
      </c>
      <c r="K35" s="60">
        <v>189.92</v>
      </c>
      <c r="L35" s="60">
        <v>33.61</v>
      </c>
      <c r="M35" s="60">
        <v>99.15</v>
      </c>
      <c r="N35" s="60">
        <v>22.6</v>
      </c>
      <c r="O35" s="60">
        <v>1.2</v>
      </c>
      <c r="P35" s="60">
        <v>4.3099999999999996</v>
      </c>
      <c r="Q35" s="60">
        <v>5.27</v>
      </c>
      <c r="R35" s="197"/>
      <c r="S35" s="197"/>
      <c r="T35" s="197"/>
      <c r="U35" s="197"/>
    </row>
    <row r="36" spans="1:21" s="12" customFormat="1" x14ac:dyDescent="0.25">
      <c r="A36" s="200" t="s">
        <v>1619</v>
      </c>
      <c r="B36" s="60">
        <v>2.52</v>
      </c>
      <c r="C36" s="60">
        <v>15.62</v>
      </c>
      <c r="D36" s="60">
        <v>18.14</v>
      </c>
      <c r="E36" s="60">
        <v>3.03</v>
      </c>
      <c r="F36" s="60">
        <v>0.56999999999999995</v>
      </c>
      <c r="G36" s="215" t="s">
        <v>36</v>
      </c>
      <c r="H36" s="60">
        <v>4.46</v>
      </c>
      <c r="I36" s="60">
        <v>6.03</v>
      </c>
      <c r="J36" s="60">
        <v>0.52</v>
      </c>
      <c r="K36" s="60">
        <v>200.5</v>
      </c>
      <c r="L36" s="60">
        <v>42.88</v>
      </c>
      <c r="M36" s="60">
        <v>99.15</v>
      </c>
      <c r="N36" s="60">
        <v>25.1</v>
      </c>
      <c r="O36" s="60">
        <v>0.4</v>
      </c>
      <c r="P36" s="60">
        <v>4.21</v>
      </c>
      <c r="Q36" s="60">
        <v>5.29</v>
      </c>
      <c r="R36" s="197"/>
      <c r="S36" s="197"/>
      <c r="T36" s="197"/>
      <c r="U36" s="197"/>
    </row>
    <row r="37" spans="1:21" s="12" customFormat="1" x14ac:dyDescent="0.25">
      <c r="A37" s="200" t="s">
        <v>1620</v>
      </c>
      <c r="B37" s="60">
        <v>2.2400000000000002</v>
      </c>
      <c r="C37" s="60">
        <v>15.86</v>
      </c>
      <c r="D37" s="60">
        <v>18.09</v>
      </c>
      <c r="E37" s="60">
        <v>3.07</v>
      </c>
      <c r="F37" s="60">
        <v>1.0900000000000001</v>
      </c>
      <c r="G37" s="215" t="s">
        <v>36</v>
      </c>
      <c r="H37" s="60">
        <v>4.2300000000000004</v>
      </c>
      <c r="I37" s="60">
        <v>6.36</v>
      </c>
      <c r="J37" s="60">
        <v>0.46</v>
      </c>
      <c r="K37" s="60">
        <v>186.33</v>
      </c>
      <c r="L37" s="60">
        <v>62.54</v>
      </c>
      <c r="M37" s="60">
        <v>99.12</v>
      </c>
      <c r="N37" s="60">
        <v>30.9</v>
      </c>
      <c r="O37" s="60">
        <v>0</v>
      </c>
      <c r="P37" s="60">
        <v>4.0599999999999996</v>
      </c>
      <c r="Q37" s="60">
        <v>5.21</v>
      </c>
      <c r="R37" s="197"/>
      <c r="S37" s="197"/>
      <c r="T37" s="197"/>
      <c r="U37" s="197"/>
    </row>
    <row r="38" spans="1:21" s="12" customFormat="1" x14ac:dyDescent="0.25">
      <c r="A38" s="200" t="s">
        <v>1621</v>
      </c>
      <c r="B38" s="60">
        <v>2.3199999999999998</v>
      </c>
      <c r="C38" s="60">
        <v>16.670000000000002</v>
      </c>
      <c r="D38" s="60">
        <v>18.989999999999998</v>
      </c>
      <c r="E38" s="60">
        <v>2.4900000000000002</v>
      </c>
      <c r="F38" s="60">
        <v>0.7</v>
      </c>
      <c r="G38" s="215" t="s">
        <v>36</v>
      </c>
      <c r="H38" s="60">
        <v>3.68</v>
      </c>
      <c r="I38" s="60">
        <v>5.81</v>
      </c>
      <c r="J38" s="60">
        <v>0.04</v>
      </c>
      <c r="K38" s="60">
        <v>162.13</v>
      </c>
      <c r="L38" s="60">
        <v>38.47</v>
      </c>
      <c r="M38" s="60">
        <v>99.12</v>
      </c>
      <c r="N38" s="60">
        <v>36.9</v>
      </c>
      <c r="O38" s="60">
        <v>0</v>
      </c>
      <c r="P38" s="60">
        <v>3.97</v>
      </c>
      <c r="Q38" s="60">
        <v>5.25</v>
      </c>
      <c r="R38" s="197"/>
      <c r="S38" s="197"/>
      <c r="T38" s="197"/>
      <c r="U38" s="197"/>
    </row>
    <row r="39" spans="1:21" s="12" customFormat="1" x14ac:dyDescent="0.25">
      <c r="A39" s="200" t="s">
        <v>1622</v>
      </c>
      <c r="B39" s="60">
        <v>2.1800000000000002</v>
      </c>
      <c r="C39" s="60">
        <v>16.260000000000002</v>
      </c>
      <c r="D39" s="60">
        <v>18.440000000000001</v>
      </c>
      <c r="E39" s="60">
        <v>2.64</v>
      </c>
      <c r="F39" s="60">
        <v>0.81</v>
      </c>
      <c r="G39" s="215" t="s">
        <v>36</v>
      </c>
      <c r="H39" s="60">
        <v>3.68</v>
      </c>
      <c r="I39" s="60">
        <v>5.24</v>
      </c>
      <c r="J39" s="60">
        <v>0.1</v>
      </c>
      <c r="K39" s="60">
        <v>40.03</v>
      </c>
      <c r="L39" s="60">
        <v>30.1</v>
      </c>
      <c r="M39" s="60">
        <v>98.86</v>
      </c>
      <c r="N39" s="60">
        <v>46.2</v>
      </c>
      <c r="O39" s="60">
        <v>0</v>
      </c>
      <c r="P39" s="60">
        <v>3.88</v>
      </c>
      <c r="Q39" s="60">
        <v>5.07</v>
      </c>
      <c r="R39" s="197"/>
      <c r="S39" s="197"/>
      <c r="T39" s="197"/>
      <c r="U39" s="197"/>
    </row>
    <row r="40" spans="1:21" s="12" customFormat="1" x14ac:dyDescent="0.25">
      <c r="A40" s="200" t="s">
        <v>1623</v>
      </c>
      <c r="B40" s="60">
        <v>1.6</v>
      </c>
      <c r="C40" s="60">
        <v>15.71</v>
      </c>
      <c r="D40" s="60">
        <v>17.3</v>
      </c>
      <c r="E40" s="60">
        <v>1.01</v>
      </c>
      <c r="F40" s="60">
        <v>1.32</v>
      </c>
      <c r="G40" s="215" t="s">
        <v>36</v>
      </c>
      <c r="H40" s="60">
        <v>3.68</v>
      </c>
      <c r="I40" s="60">
        <v>4.91</v>
      </c>
      <c r="J40" s="60">
        <v>0.11</v>
      </c>
      <c r="K40" s="60">
        <v>45.05</v>
      </c>
      <c r="L40" s="60">
        <v>29.75</v>
      </c>
      <c r="M40" s="60">
        <v>98.41</v>
      </c>
      <c r="N40" s="60">
        <v>48.9</v>
      </c>
      <c r="O40" s="60">
        <v>0</v>
      </c>
      <c r="P40" s="60">
        <v>3.78</v>
      </c>
      <c r="Q40" s="60">
        <v>4.6100000000000003</v>
      </c>
      <c r="R40" s="197"/>
      <c r="S40" s="197"/>
      <c r="T40" s="197"/>
      <c r="U40" s="197"/>
    </row>
    <row r="41" spans="1:21" s="12" customFormat="1" x14ac:dyDescent="0.25">
      <c r="A41" s="200" t="s">
        <v>1624</v>
      </c>
      <c r="B41" s="60">
        <v>1.1000000000000001</v>
      </c>
      <c r="C41" s="60">
        <v>14.87</v>
      </c>
      <c r="D41" s="60">
        <v>15.97</v>
      </c>
      <c r="E41" s="60">
        <v>1.37</v>
      </c>
      <c r="F41" s="60">
        <v>2.1800000000000002</v>
      </c>
      <c r="G41" s="215" t="s">
        <v>36</v>
      </c>
      <c r="H41" s="60">
        <v>3.5</v>
      </c>
      <c r="I41" s="60">
        <v>4.4000000000000004</v>
      </c>
      <c r="J41" s="60">
        <v>0.23</v>
      </c>
      <c r="K41" s="60">
        <v>49.5</v>
      </c>
      <c r="L41" s="60">
        <v>29.56</v>
      </c>
      <c r="M41" s="60">
        <v>99</v>
      </c>
      <c r="N41" s="60">
        <v>55.6</v>
      </c>
      <c r="O41" s="60">
        <v>0.2</v>
      </c>
      <c r="P41" s="60">
        <v>3.68</v>
      </c>
      <c r="Q41" s="60">
        <v>4.24</v>
      </c>
      <c r="R41" s="197"/>
      <c r="S41" s="197"/>
      <c r="T41" s="197"/>
      <c r="U41" s="197"/>
    </row>
    <row r="42" spans="1:21" s="12" customFormat="1" x14ac:dyDescent="0.25">
      <c r="A42" s="200" t="s">
        <v>1625</v>
      </c>
      <c r="B42" s="60">
        <v>1.33</v>
      </c>
      <c r="C42" s="60">
        <v>14.94</v>
      </c>
      <c r="D42" s="60">
        <v>16.27</v>
      </c>
      <c r="E42" s="60">
        <v>1.99</v>
      </c>
      <c r="F42" s="60">
        <v>1.53</v>
      </c>
      <c r="G42" s="215" t="s">
        <v>36</v>
      </c>
      <c r="H42" s="60">
        <v>3.08</v>
      </c>
      <c r="I42" s="60">
        <v>3.75</v>
      </c>
      <c r="J42" s="60">
        <v>0.19</v>
      </c>
      <c r="K42" s="60">
        <v>51.21</v>
      </c>
      <c r="L42" s="60">
        <v>29.51</v>
      </c>
      <c r="M42" s="60">
        <v>99.13</v>
      </c>
      <c r="N42" s="60">
        <v>48.5</v>
      </c>
      <c r="O42" s="60">
        <v>0.2</v>
      </c>
      <c r="P42" s="60">
        <v>3.64</v>
      </c>
      <c r="Q42" s="60">
        <v>4.16</v>
      </c>
      <c r="R42" s="197"/>
      <c r="S42" s="197"/>
      <c r="T42" s="197"/>
      <c r="U42" s="197"/>
    </row>
    <row r="43" spans="1:21" s="12" customFormat="1" x14ac:dyDescent="0.25">
      <c r="A43" s="200" t="s">
        <v>1626</v>
      </c>
      <c r="B43" s="60">
        <v>1.44</v>
      </c>
      <c r="C43" s="60">
        <v>14.79</v>
      </c>
      <c r="D43" s="60">
        <v>16.23</v>
      </c>
      <c r="E43" s="60">
        <v>2.2999999999999998</v>
      </c>
      <c r="F43" s="60">
        <v>1.23</v>
      </c>
      <c r="G43" s="215" t="s">
        <v>36</v>
      </c>
      <c r="H43" s="60">
        <v>3.08</v>
      </c>
      <c r="I43" s="60">
        <v>3.28</v>
      </c>
      <c r="J43" s="60">
        <v>0.26</v>
      </c>
      <c r="K43" s="60">
        <v>56.7</v>
      </c>
      <c r="L43" s="60">
        <v>29.45</v>
      </c>
      <c r="M43" s="60">
        <v>99.15</v>
      </c>
      <c r="N43" s="60">
        <v>49.2</v>
      </c>
      <c r="O43" s="60">
        <v>0.4</v>
      </c>
      <c r="P43" s="60">
        <v>3.61</v>
      </c>
      <c r="Q43" s="60">
        <v>4.16</v>
      </c>
      <c r="R43" s="197"/>
      <c r="S43" s="197"/>
      <c r="T43" s="197"/>
      <c r="U43" s="197"/>
    </row>
    <row r="44" spans="1:21" s="12" customFormat="1" x14ac:dyDescent="0.25">
      <c r="A44" s="200" t="s">
        <v>1627</v>
      </c>
      <c r="B44" s="60">
        <v>2.0699999999999998</v>
      </c>
      <c r="C44" s="60">
        <v>14.19</v>
      </c>
      <c r="D44" s="60">
        <v>16.260000000000002</v>
      </c>
      <c r="E44" s="60">
        <v>1.93</v>
      </c>
      <c r="F44" s="60">
        <v>1.36</v>
      </c>
      <c r="G44" s="215" t="s">
        <v>36</v>
      </c>
      <c r="H44" s="60">
        <v>3.08</v>
      </c>
      <c r="I44" s="60">
        <v>3.12</v>
      </c>
      <c r="J44" s="60">
        <v>0.21</v>
      </c>
      <c r="K44" s="60">
        <v>49.94</v>
      </c>
      <c r="L44" s="60">
        <v>29.53</v>
      </c>
      <c r="M44" s="60">
        <v>99.15</v>
      </c>
      <c r="N44" s="60">
        <v>54.8</v>
      </c>
      <c r="O44" s="60">
        <v>0</v>
      </c>
      <c r="P44" s="60">
        <v>3.57</v>
      </c>
      <c r="Q44" s="60">
        <v>4.45</v>
      </c>
      <c r="R44" s="197"/>
      <c r="S44" s="197"/>
      <c r="T44" s="197"/>
      <c r="U44" s="197"/>
    </row>
    <row r="45" spans="1:21" s="12" customFormat="1" x14ac:dyDescent="0.25">
      <c r="A45" s="200" t="s">
        <v>1628</v>
      </c>
      <c r="B45" s="60">
        <v>2.81</v>
      </c>
      <c r="C45" s="60">
        <v>14.38</v>
      </c>
      <c r="D45" s="60">
        <v>17.18</v>
      </c>
      <c r="E45" s="60">
        <v>2.0499999999999998</v>
      </c>
      <c r="F45" s="60">
        <v>1.05</v>
      </c>
      <c r="G45" s="215" t="s">
        <v>36</v>
      </c>
      <c r="H45" s="60">
        <v>3.22</v>
      </c>
      <c r="I45" s="60">
        <v>2.97</v>
      </c>
      <c r="J45" s="60">
        <v>0.17</v>
      </c>
      <c r="K45" s="60">
        <v>40.68</v>
      </c>
      <c r="L45" s="60">
        <v>29.57</v>
      </c>
      <c r="M45" s="60">
        <v>99.15</v>
      </c>
      <c r="N45" s="60">
        <v>55</v>
      </c>
      <c r="O45" s="60">
        <v>0</v>
      </c>
      <c r="P45" s="60">
        <v>3.55</v>
      </c>
      <c r="Q45" s="60">
        <v>4.7300000000000004</v>
      </c>
      <c r="R45" s="197"/>
      <c r="S45" s="197"/>
      <c r="T45" s="197"/>
      <c r="U45" s="197"/>
    </row>
    <row r="46" spans="1:21" s="12" customFormat="1" x14ac:dyDescent="0.25">
      <c r="A46" s="200" t="s">
        <v>1629</v>
      </c>
      <c r="B46" s="60">
        <v>2.71</v>
      </c>
      <c r="C46" s="60">
        <v>14.11</v>
      </c>
      <c r="D46" s="60">
        <v>16.82</v>
      </c>
      <c r="E46" s="60">
        <v>1.84</v>
      </c>
      <c r="F46" s="60">
        <v>0.96</v>
      </c>
      <c r="G46" s="215" t="s">
        <v>36</v>
      </c>
      <c r="H46" s="60">
        <v>3.58</v>
      </c>
      <c r="I46" s="60">
        <v>2.76</v>
      </c>
      <c r="J46" s="60">
        <v>0.11</v>
      </c>
      <c r="K46" s="60">
        <v>77.680000000000007</v>
      </c>
      <c r="L46" s="60">
        <v>29.59</v>
      </c>
      <c r="M46" s="60">
        <v>99.13</v>
      </c>
      <c r="N46" s="60">
        <v>69.8</v>
      </c>
      <c r="O46" s="60">
        <v>0.2</v>
      </c>
      <c r="P46" s="60">
        <v>3.53</v>
      </c>
      <c r="Q46" s="60">
        <v>4.63</v>
      </c>
      <c r="R46" s="197"/>
      <c r="S46" s="197"/>
      <c r="T46" s="197"/>
      <c r="U46" s="197"/>
    </row>
    <row r="47" spans="1:21" s="12" customFormat="1" x14ac:dyDescent="0.25">
      <c r="A47" s="200" t="s">
        <v>1630</v>
      </c>
      <c r="B47" s="60">
        <v>2.31</v>
      </c>
      <c r="C47" s="60">
        <v>13.41</v>
      </c>
      <c r="D47" s="60">
        <v>15.72</v>
      </c>
      <c r="E47" s="60">
        <v>2.1</v>
      </c>
      <c r="F47" s="60">
        <v>1.07</v>
      </c>
      <c r="G47" s="215" t="s">
        <v>36</v>
      </c>
      <c r="H47" s="60">
        <v>3.58</v>
      </c>
      <c r="I47" s="60">
        <v>2.69</v>
      </c>
      <c r="J47" s="60">
        <v>0.14000000000000001</v>
      </c>
      <c r="K47" s="60">
        <v>42.2</v>
      </c>
      <c r="L47" s="60">
        <v>29.6</v>
      </c>
      <c r="M47" s="60">
        <v>99.11</v>
      </c>
      <c r="N47" s="60">
        <v>84.4</v>
      </c>
      <c r="O47" s="60">
        <v>0.6</v>
      </c>
      <c r="P47" s="60">
        <v>3.51</v>
      </c>
      <c r="Q47" s="60">
        <v>4.3499999999999996</v>
      </c>
      <c r="R47" s="197"/>
      <c r="S47" s="197"/>
      <c r="T47" s="197"/>
      <c r="U47" s="197"/>
    </row>
    <row r="48" spans="1:21" s="12" customFormat="1" x14ac:dyDescent="0.25">
      <c r="A48" s="200" t="s">
        <v>1631</v>
      </c>
      <c r="B48" s="60">
        <v>1.84</v>
      </c>
      <c r="C48" s="60">
        <v>12.79</v>
      </c>
      <c r="D48" s="60">
        <v>14.63</v>
      </c>
      <c r="E48" s="60">
        <v>2.21</v>
      </c>
      <c r="F48" s="60">
        <v>1.27</v>
      </c>
      <c r="G48" s="215" t="s">
        <v>36</v>
      </c>
      <c r="H48" s="60">
        <v>3.58</v>
      </c>
      <c r="I48" s="60">
        <v>2.59</v>
      </c>
      <c r="J48" s="60">
        <v>0.15</v>
      </c>
      <c r="K48" s="60">
        <v>189.34</v>
      </c>
      <c r="L48" s="60">
        <v>29.63</v>
      </c>
      <c r="M48" s="60">
        <v>99.13</v>
      </c>
      <c r="N48" s="60">
        <v>77.2</v>
      </c>
      <c r="O48" s="60">
        <v>0.4</v>
      </c>
      <c r="P48" s="60">
        <v>3.48</v>
      </c>
      <c r="Q48" s="60">
        <v>3.98</v>
      </c>
      <c r="R48" s="197"/>
      <c r="S48" s="197"/>
      <c r="T48" s="197"/>
      <c r="U48" s="197"/>
    </row>
    <row r="49" spans="1:21" s="12" customFormat="1" x14ac:dyDescent="0.25">
      <c r="A49" s="200" t="s">
        <v>1632</v>
      </c>
      <c r="B49" s="60">
        <v>1.67</v>
      </c>
      <c r="C49" s="60">
        <v>12.25</v>
      </c>
      <c r="D49" s="60">
        <v>13.92</v>
      </c>
      <c r="E49" s="60">
        <v>1.98</v>
      </c>
      <c r="F49" s="60">
        <v>1.06</v>
      </c>
      <c r="G49" s="215" t="s">
        <v>36</v>
      </c>
      <c r="H49" s="60">
        <v>3.41</v>
      </c>
      <c r="I49" s="60">
        <v>2.39</v>
      </c>
      <c r="J49" s="60">
        <v>7.0000000000000007E-2</v>
      </c>
      <c r="K49" s="60">
        <v>175.03</v>
      </c>
      <c r="L49" s="60">
        <v>29.95</v>
      </c>
      <c r="M49" s="60">
        <v>98.07</v>
      </c>
      <c r="N49" s="60">
        <v>58.2</v>
      </c>
      <c r="O49" s="60">
        <v>0</v>
      </c>
      <c r="P49" s="60">
        <v>3.47</v>
      </c>
      <c r="Q49" s="60">
        <v>3.81</v>
      </c>
      <c r="R49" s="197"/>
      <c r="S49" s="197"/>
      <c r="T49" s="197"/>
      <c r="U49" s="197"/>
    </row>
    <row r="50" spans="1:21" s="12" customFormat="1" x14ac:dyDescent="0.25">
      <c r="A50" s="200" t="s">
        <v>1633</v>
      </c>
      <c r="B50" s="60">
        <v>1.55</v>
      </c>
      <c r="C50" s="60">
        <v>11.82</v>
      </c>
      <c r="D50" s="60">
        <v>13.37</v>
      </c>
      <c r="E50" s="60">
        <v>1.76</v>
      </c>
      <c r="F50" s="60">
        <v>1.22</v>
      </c>
      <c r="G50" s="215" t="s">
        <v>36</v>
      </c>
      <c r="H50" s="60">
        <v>2.98</v>
      </c>
      <c r="I50" s="60">
        <v>2.29</v>
      </c>
      <c r="J50" s="60">
        <v>0.04</v>
      </c>
      <c r="K50" s="60">
        <v>43.43</v>
      </c>
      <c r="L50" s="60">
        <v>30.38</v>
      </c>
      <c r="M50" s="60">
        <v>94.33</v>
      </c>
      <c r="N50" s="60">
        <v>55.4</v>
      </c>
      <c r="O50" s="60">
        <v>0</v>
      </c>
      <c r="P50" s="60">
        <v>3.46</v>
      </c>
      <c r="Q50" s="60">
        <v>3.5</v>
      </c>
      <c r="R50" s="197"/>
      <c r="S50" s="197"/>
      <c r="T50" s="197"/>
      <c r="U50" s="197"/>
    </row>
    <row r="51" spans="1:21" s="12" customFormat="1" x14ac:dyDescent="0.25">
      <c r="A51" s="200" t="s">
        <v>1634</v>
      </c>
      <c r="B51" s="60">
        <v>1.33</v>
      </c>
      <c r="C51" s="60">
        <v>11.94</v>
      </c>
      <c r="D51" s="60">
        <v>13.27</v>
      </c>
      <c r="E51" s="60">
        <v>1.99</v>
      </c>
      <c r="F51" s="60">
        <v>1.35</v>
      </c>
      <c r="G51" s="215" t="s">
        <v>36</v>
      </c>
      <c r="H51" s="60">
        <v>2.98</v>
      </c>
      <c r="I51" s="60">
        <v>2.2599999999999998</v>
      </c>
      <c r="J51" s="60">
        <v>0.03</v>
      </c>
      <c r="K51" s="60">
        <v>43.67</v>
      </c>
      <c r="L51" s="60">
        <v>30.82</v>
      </c>
      <c r="M51" s="60">
        <v>92.21</v>
      </c>
      <c r="N51" s="60">
        <v>121.3</v>
      </c>
      <c r="O51" s="60">
        <v>0</v>
      </c>
      <c r="P51" s="60">
        <v>3.45</v>
      </c>
      <c r="Q51" s="60">
        <v>3.37</v>
      </c>
      <c r="R51" s="197"/>
      <c r="S51" s="197"/>
      <c r="T51" s="197"/>
      <c r="U51" s="197"/>
    </row>
    <row r="52" spans="1:21" s="12" customFormat="1" x14ac:dyDescent="0.25">
      <c r="A52" s="200" t="s">
        <v>1635</v>
      </c>
      <c r="B52" s="60">
        <v>1.1399999999999999</v>
      </c>
      <c r="C52" s="60">
        <v>12.04</v>
      </c>
      <c r="D52" s="60">
        <v>13.18</v>
      </c>
      <c r="E52" s="60">
        <v>1.68</v>
      </c>
      <c r="F52" s="60">
        <v>1.53</v>
      </c>
      <c r="G52" s="215" t="s">
        <v>36</v>
      </c>
      <c r="H52" s="60">
        <v>2.98</v>
      </c>
      <c r="I52" s="60">
        <v>2.19</v>
      </c>
      <c r="J52" s="60">
        <v>0.16</v>
      </c>
      <c r="K52" s="60">
        <v>205.46</v>
      </c>
      <c r="L52" s="60">
        <v>31.22</v>
      </c>
      <c r="M52" s="60">
        <v>90.7</v>
      </c>
      <c r="N52" s="60">
        <v>119.2</v>
      </c>
      <c r="O52" s="60">
        <v>0</v>
      </c>
      <c r="P52" s="60">
        <v>3.44</v>
      </c>
      <c r="Q52" s="60">
        <v>3.3</v>
      </c>
      <c r="R52" s="197"/>
      <c r="S52" s="197"/>
      <c r="T52" s="197"/>
      <c r="U52" s="197"/>
    </row>
    <row r="53" spans="1:21" s="12" customFormat="1" x14ac:dyDescent="0.25">
      <c r="A53" s="200" t="s">
        <v>1636</v>
      </c>
      <c r="B53" s="60">
        <v>1.43</v>
      </c>
      <c r="C53" s="60">
        <v>12.24</v>
      </c>
      <c r="D53" s="60">
        <v>13.67</v>
      </c>
      <c r="E53" s="60">
        <v>2.1</v>
      </c>
      <c r="F53" s="60">
        <v>1.28</v>
      </c>
      <c r="G53" s="215" t="s">
        <v>36</v>
      </c>
      <c r="H53" s="60">
        <v>3.41</v>
      </c>
      <c r="I53" s="60">
        <v>2.15</v>
      </c>
      <c r="J53" s="60">
        <v>0.31</v>
      </c>
      <c r="K53" s="60">
        <v>226.43</v>
      </c>
      <c r="L53" s="60">
        <v>31.47</v>
      </c>
      <c r="M53" s="60">
        <v>90.46</v>
      </c>
      <c r="N53" s="60">
        <v>124.9</v>
      </c>
      <c r="O53" s="60">
        <v>0</v>
      </c>
      <c r="P53" s="60">
        <v>3.44</v>
      </c>
      <c r="Q53" s="60">
        <v>3.37</v>
      </c>
      <c r="R53" s="197"/>
      <c r="S53" s="197"/>
      <c r="T53" s="197"/>
      <c r="U53" s="197"/>
    </row>
    <row r="54" spans="1:21" s="12" customFormat="1" x14ac:dyDescent="0.25">
      <c r="A54" s="200" t="s">
        <v>1637</v>
      </c>
      <c r="B54" s="60">
        <v>1.55</v>
      </c>
      <c r="C54" s="60">
        <v>12.63</v>
      </c>
      <c r="D54" s="60">
        <v>14.18</v>
      </c>
      <c r="E54" s="60">
        <v>1.53</v>
      </c>
      <c r="F54" s="60">
        <v>0.87</v>
      </c>
      <c r="G54" s="215" t="s">
        <v>36</v>
      </c>
      <c r="H54" s="60">
        <v>4.4400000000000004</v>
      </c>
      <c r="I54" s="60">
        <v>2.09</v>
      </c>
      <c r="J54" s="60">
        <v>0.5</v>
      </c>
      <c r="K54" s="60">
        <v>207.44</v>
      </c>
      <c r="L54" s="60">
        <v>33.39</v>
      </c>
      <c r="M54" s="60">
        <v>92.84</v>
      </c>
      <c r="N54" s="60">
        <v>84.4</v>
      </c>
      <c r="O54" s="60">
        <v>0</v>
      </c>
      <c r="P54" s="60">
        <v>3.43</v>
      </c>
      <c r="Q54" s="60">
        <v>3.38</v>
      </c>
      <c r="R54" s="197"/>
      <c r="S54" s="197"/>
      <c r="T54" s="197"/>
      <c r="U54" s="197"/>
    </row>
    <row r="55" spans="1:21" s="12" customFormat="1" x14ac:dyDescent="0.25">
      <c r="A55" s="200" t="s">
        <v>1638</v>
      </c>
      <c r="B55" s="60">
        <v>1.42</v>
      </c>
      <c r="C55" s="60">
        <v>12.28</v>
      </c>
      <c r="D55" s="60">
        <v>13.7</v>
      </c>
      <c r="E55" s="60">
        <v>1.54</v>
      </c>
      <c r="F55" s="60">
        <v>1.3</v>
      </c>
      <c r="G55" s="215" t="s">
        <v>36</v>
      </c>
      <c r="H55" s="60">
        <v>4.4400000000000004</v>
      </c>
      <c r="I55" s="60">
        <v>1.98</v>
      </c>
      <c r="J55" s="60">
        <v>0.56999999999999995</v>
      </c>
      <c r="K55" s="60">
        <v>217.36</v>
      </c>
      <c r="L55" s="60">
        <v>50.15</v>
      </c>
      <c r="M55" s="60">
        <v>93.93</v>
      </c>
      <c r="N55" s="60">
        <v>126.5</v>
      </c>
      <c r="O55" s="60">
        <v>0</v>
      </c>
      <c r="P55" s="60">
        <v>3.42</v>
      </c>
      <c r="Q55" s="60">
        <v>3.39</v>
      </c>
      <c r="R55" s="197"/>
      <c r="S55" s="197"/>
      <c r="T55" s="197"/>
      <c r="U55" s="197"/>
    </row>
    <row r="56" spans="1:21" s="12" customFormat="1" x14ac:dyDescent="0.25">
      <c r="A56" s="200" t="s">
        <v>1639</v>
      </c>
      <c r="B56" s="60">
        <v>1.42</v>
      </c>
      <c r="C56" s="60">
        <v>12.21</v>
      </c>
      <c r="D56" s="60">
        <v>13.62</v>
      </c>
      <c r="E56" s="60">
        <v>0.6</v>
      </c>
      <c r="F56" s="60">
        <v>1.1399999999999999</v>
      </c>
      <c r="G56" s="215" t="s">
        <v>36</v>
      </c>
      <c r="H56" s="60">
        <v>4.4400000000000004</v>
      </c>
      <c r="I56" s="60">
        <v>1.99</v>
      </c>
      <c r="J56" s="60">
        <v>0.46</v>
      </c>
      <c r="K56" s="60">
        <v>203.1</v>
      </c>
      <c r="L56" s="60">
        <v>33.28</v>
      </c>
      <c r="M56" s="60">
        <v>93.05</v>
      </c>
      <c r="N56" s="60">
        <v>179.8</v>
      </c>
      <c r="O56" s="60">
        <v>0</v>
      </c>
      <c r="P56" s="60">
        <v>3.42</v>
      </c>
      <c r="Q56" s="60">
        <v>3.38</v>
      </c>
      <c r="R56" s="197"/>
      <c r="S56" s="197"/>
      <c r="T56" s="197"/>
      <c r="U56" s="197"/>
    </row>
    <row r="57" spans="1:21" s="12" customFormat="1" x14ac:dyDescent="0.25">
      <c r="A57" s="200" t="s">
        <v>1640</v>
      </c>
      <c r="B57" s="60">
        <v>1.1299999999999999</v>
      </c>
      <c r="C57" s="60">
        <v>11.82</v>
      </c>
      <c r="D57" s="60">
        <v>12.95</v>
      </c>
      <c r="E57" s="60">
        <v>1.18</v>
      </c>
      <c r="F57" s="60">
        <v>1.1100000000000001</v>
      </c>
      <c r="G57" s="215" t="s">
        <v>36</v>
      </c>
      <c r="H57" s="60">
        <v>4.17</v>
      </c>
      <c r="I57" s="60">
        <v>1.99</v>
      </c>
      <c r="J57" s="60">
        <v>0.31</v>
      </c>
      <c r="K57" s="60">
        <v>237.43</v>
      </c>
      <c r="L57" s="60">
        <v>32.75</v>
      </c>
      <c r="M57" s="60">
        <v>90.16</v>
      </c>
      <c r="N57" s="60">
        <v>207</v>
      </c>
      <c r="O57" s="60">
        <v>0</v>
      </c>
      <c r="P57" s="60">
        <v>3.41</v>
      </c>
      <c r="Q57" s="60">
        <v>3.15</v>
      </c>
      <c r="R57" s="197"/>
      <c r="S57" s="197"/>
      <c r="T57" s="197"/>
      <c r="U57" s="197"/>
    </row>
    <row r="58" spans="1:21" s="12" customFormat="1" x14ac:dyDescent="0.25">
      <c r="A58" s="200" t="s">
        <v>1641</v>
      </c>
      <c r="B58" s="60">
        <v>0.97</v>
      </c>
      <c r="C58" s="60">
        <v>11.16</v>
      </c>
      <c r="D58" s="60">
        <v>12.13</v>
      </c>
      <c r="E58" s="60">
        <v>1.82</v>
      </c>
      <c r="F58" s="60">
        <v>1.39</v>
      </c>
      <c r="G58" s="215" t="s">
        <v>36</v>
      </c>
      <c r="H58" s="60">
        <v>3.49</v>
      </c>
      <c r="I58" s="60">
        <v>2</v>
      </c>
      <c r="J58" s="60">
        <v>0.27</v>
      </c>
      <c r="K58" s="60">
        <v>228.15</v>
      </c>
      <c r="L58" s="60">
        <v>33.549999999999997</v>
      </c>
      <c r="M58" s="60">
        <v>89.52</v>
      </c>
      <c r="N58" s="60">
        <v>147</v>
      </c>
      <c r="O58" s="60">
        <v>0</v>
      </c>
      <c r="P58" s="60">
        <v>3.41</v>
      </c>
      <c r="Q58" s="60">
        <v>2.92</v>
      </c>
      <c r="R58" s="197"/>
      <c r="S58" s="197"/>
      <c r="T58" s="197"/>
      <c r="U58" s="197"/>
    </row>
    <row r="59" spans="1:21" s="12" customFormat="1" x14ac:dyDescent="0.25">
      <c r="A59" s="200" t="s">
        <v>1642</v>
      </c>
      <c r="B59" s="60">
        <v>0.94</v>
      </c>
      <c r="C59" s="60">
        <v>10.38</v>
      </c>
      <c r="D59" s="60">
        <v>11.32</v>
      </c>
      <c r="E59" s="60">
        <v>1.91</v>
      </c>
      <c r="F59" s="60">
        <v>1.41</v>
      </c>
      <c r="G59" s="215" t="s">
        <v>36</v>
      </c>
      <c r="H59" s="60">
        <v>3.49</v>
      </c>
      <c r="I59" s="60">
        <v>1.93</v>
      </c>
      <c r="J59" s="60">
        <v>0.4</v>
      </c>
      <c r="K59" s="60">
        <v>230.76</v>
      </c>
      <c r="L59" s="60">
        <v>33.799999999999997</v>
      </c>
      <c r="M59" s="60">
        <v>88.51</v>
      </c>
      <c r="N59" s="60">
        <v>120.8</v>
      </c>
      <c r="O59" s="60">
        <v>0</v>
      </c>
      <c r="P59" s="60">
        <v>3.39</v>
      </c>
      <c r="Q59" s="60">
        <v>2.84</v>
      </c>
      <c r="R59" s="197"/>
      <c r="S59" s="197"/>
      <c r="T59" s="197"/>
      <c r="U59" s="197"/>
    </row>
    <row r="60" spans="1:21" s="12" customFormat="1" x14ac:dyDescent="0.25">
      <c r="A60" s="200" t="s">
        <v>1643</v>
      </c>
      <c r="B60" s="60">
        <v>0.8</v>
      </c>
      <c r="C60" s="60">
        <v>10.039999999999999</v>
      </c>
      <c r="D60" s="60">
        <v>10.84</v>
      </c>
      <c r="E60" s="60">
        <v>2.02</v>
      </c>
      <c r="F60" s="60">
        <v>1.39</v>
      </c>
      <c r="G60" s="215" t="s">
        <v>36</v>
      </c>
      <c r="H60" s="60">
        <v>3.49</v>
      </c>
      <c r="I60" s="60">
        <v>1.85</v>
      </c>
      <c r="J60" s="60">
        <v>0.65</v>
      </c>
      <c r="K60" s="60">
        <v>220.92</v>
      </c>
      <c r="L60" s="60">
        <v>33.619999999999997</v>
      </c>
      <c r="M60" s="60">
        <v>87.78</v>
      </c>
      <c r="N60" s="60">
        <v>171.5</v>
      </c>
      <c r="O60" s="60">
        <v>0</v>
      </c>
      <c r="P60" s="60">
        <v>3.38</v>
      </c>
      <c r="Q60" s="60">
        <v>2.56</v>
      </c>
      <c r="R60" s="197"/>
      <c r="S60" s="197"/>
      <c r="T60" s="197"/>
      <c r="U60" s="197"/>
    </row>
    <row r="61" spans="1:21" s="12" customFormat="1" x14ac:dyDescent="0.25">
      <c r="A61" s="200" t="s">
        <v>1644</v>
      </c>
      <c r="B61" s="60">
        <v>0.81</v>
      </c>
      <c r="C61" s="60">
        <v>9.61</v>
      </c>
      <c r="D61" s="60">
        <v>10.43</v>
      </c>
      <c r="E61" s="60">
        <v>1.73</v>
      </c>
      <c r="F61" s="60">
        <v>1.59</v>
      </c>
      <c r="G61" s="215" t="s">
        <v>36</v>
      </c>
      <c r="H61" s="60">
        <v>3.23</v>
      </c>
      <c r="I61" s="60">
        <v>1.84</v>
      </c>
      <c r="J61" s="60">
        <v>0.61</v>
      </c>
      <c r="K61" s="60">
        <v>210.77</v>
      </c>
      <c r="L61" s="60">
        <v>33.79</v>
      </c>
      <c r="M61" s="60">
        <v>86.79</v>
      </c>
      <c r="N61" s="60">
        <v>168.8</v>
      </c>
      <c r="O61" s="60">
        <v>0</v>
      </c>
      <c r="P61" s="60">
        <v>3.37</v>
      </c>
      <c r="Q61" s="60">
        <v>2.38</v>
      </c>
      <c r="R61" s="197"/>
      <c r="S61" s="197"/>
      <c r="T61" s="197"/>
      <c r="U61" s="197"/>
    </row>
    <row r="62" spans="1:21" s="12" customFormat="1" x14ac:dyDescent="0.25">
      <c r="A62" s="200" t="s">
        <v>1645</v>
      </c>
      <c r="B62" s="60">
        <v>0.9</v>
      </c>
      <c r="C62" s="60">
        <v>9.7100000000000009</v>
      </c>
      <c r="D62" s="60">
        <v>10.61</v>
      </c>
      <c r="E62" s="60">
        <v>1.57</v>
      </c>
      <c r="F62" s="60">
        <v>1.55</v>
      </c>
      <c r="G62" s="215" t="s">
        <v>36</v>
      </c>
      <c r="H62" s="60">
        <v>2.59</v>
      </c>
      <c r="I62" s="60">
        <v>1.8</v>
      </c>
      <c r="J62" s="60">
        <v>0.35</v>
      </c>
      <c r="K62" s="60">
        <v>224.28</v>
      </c>
      <c r="L62" s="60">
        <v>33.65</v>
      </c>
      <c r="M62" s="60">
        <v>87.34</v>
      </c>
      <c r="N62" s="60">
        <v>125.9</v>
      </c>
      <c r="O62" s="60">
        <v>0</v>
      </c>
      <c r="P62" s="60">
        <v>3.37</v>
      </c>
      <c r="Q62" s="60">
        <v>2.35</v>
      </c>
      <c r="R62" s="197"/>
      <c r="S62" s="197"/>
      <c r="T62" s="197"/>
      <c r="U62" s="197"/>
    </row>
    <row r="63" spans="1:21" s="12" customFormat="1" x14ac:dyDescent="0.25">
      <c r="A63" s="200" t="s">
        <v>1646</v>
      </c>
      <c r="B63" s="60">
        <v>0.79</v>
      </c>
      <c r="C63" s="60">
        <v>9.7899999999999991</v>
      </c>
      <c r="D63" s="60">
        <v>10.58</v>
      </c>
      <c r="E63" s="60">
        <v>1.82</v>
      </c>
      <c r="F63" s="60">
        <v>1.47</v>
      </c>
      <c r="G63" s="215" t="s">
        <v>36</v>
      </c>
      <c r="H63" s="60">
        <v>2.59</v>
      </c>
      <c r="I63" s="60">
        <v>1.74</v>
      </c>
      <c r="J63" s="60">
        <v>0.71</v>
      </c>
      <c r="K63" s="60">
        <v>214.09</v>
      </c>
      <c r="L63" s="60">
        <v>33.729999999999997</v>
      </c>
      <c r="M63" s="60">
        <v>86.34</v>
      </c>
      <c r="N63" s="60">
        <v>133</v>
      </c>
      <c r="O63" s="60">
        <v>0</v>
      </c>
      <c r="P63" s="60">
        <v>3.37</v>
      </c>
      <c r="Q63" s="60">
        <v>2.27</v>
      </c>
      <c r="R63" s="197"/>
      <c r="S63" s="197"/>
      <c r="T63" s="197"/>
      <c r="U63" s="197"/>
    </row>
    <row r="64" spans="1:21" s="12" customFormat="1" x14ac:dyDescent="0.25">
      <c r="A64" s="200" t="s">
        <v>1647</v>
      </c>
      <c r="B64" s="60">
        <v>0.87</v>
      </c>
      <c r="C64" s="60">
        <v>9.76</v>
      </c>
      <c r="D64" s="60">
        <v>10.62</v>
      </c>
      <c r="E64" s="60">
        <v>1.4</v>
      </c>
      <c r="F64" s="60">
        <v>1.65</v>
      </c>
      <c r="G64" s="215" t="s">
        <v>36</v>
      </c>
      <c r="H64" s="60">
        <v>2.59</v>
      </c>
      <c r="I64" s="60">
        <v>1.74</v>
      </c>
      <c r="J64" s="60">
        <v>0.31</v>
      </c>
      <c r="K64" s="60">
        <v>232.74</v>
      </c>
      <c r="L64" s="60">
        <v>33.75</v>
      </c>
      <c r="M64" s="60">
        <v>86.6</v>
      </c>
      <c r="N64" s="60">
        <v>137.69999999999999</v>
      </c>
      <c r="O64" s="60">
        <v>0</v>
      </c>
      <c r="P64" s="60">
        <v>3.38</v>
      </c>
      <c r="Q64" s="60">
        <v>2.2999999999999998</v>
      </c>
      <c r="R64" s="197"/>
      <c r="S64" s="197"/>
      <c r="T64" s="197"/>
      <c r="U64" s="197"/>
    </row>
    <row r="65" spans="1:21" s="12" customFormat="1" x14ac:dyDescent="0.25">
      <c r="A65" s="200" t="s">
        <v>1648</v>
      </c>
      <c r="B65" s="60">
        <v>0.9</v>
      </c>
      <c r="C65" s="60">
        <v>10.16</v>
      </c>
      <c r="D65" s="60">
        <v>11.05</v>
      </c>
      <c r="E65" s="60">
        <v>1.73</v>
      </c>
      <c r="F65" s="60">
        <v>1.55</v>
      </c>
      <c r="G65" s="215" t="s">
        <v>36</v>
      </c>
      <c r="H65" s="60">
        <v>2.46</v>
      </c>
      <c r="I65" s="60">
        <v>1.78</v>
      </c>
      <c r="J65" s="60">
        <v>0.02</v>
      </c>
      <c r="K65" s="60">
        <v>264.89999999999998</v>
      </c>
      <c r="L65" s="60">
        <v>33.590000000000003</v>
      </c>
      <c r="M65" s="60">
        <v>88.11</v>
      </c>
      <c r="N65" s="60">
        <v>114.7</v>
      </c>
      <c r="O65" s="60">
        <v>0</v>
      </c>
      <c r="P65" s="60">
        <v>3.39</v>
      </c>
      <c r="Q65" s="60">
        <v>2.37</v>
      </c>
      <c r="R65" s="197"/>
      <c r="S65" s="197"/>
      <c r="T65" s="197"/>
      <c r="U65" s="197"/>
    </row>
    <row r="66" spans="1:21" s="12" customFormat="1" x14ac:dyDescent="0.25">
      <c r="A66" s="200" t="s">
        <v>1649</v>
      </c>
      <c r="B66" s="60">
        <v>0.91</v>
      </c>
      <c r="C66" s="60">
        <v>10.62</v>
      </c>
      <c r="D66" s="60">
        <v>11.54</v>
      </c>
      <c r="E66" s="60">
        <v>1.7</v>
      </c>
      <c r="F66" s="60">
        <v>1.7</v>
      </c>
      <c r="G66" s="215" t="s">
        <v>36</v>
      </c>
      <c r="H66" s="60">
        <v>2.13</v>
      </c>
      <c r="I66" s="60">
        <v>1.74</v>
      </c>
      <c r="J66" s="60">
        <v>0.2</v>
      </c>
      <c r="K66" s="60">
        <v>245.89</v>
      </c>
      <c r="L66" s="60">
        <v>33.14</v>
      </c>
      <c r="M66" s="60">
        <v>91.23</v>
      </c>
      <c r="N66" s="60">
        <v>112.4</v>
      </c>
      <c r="O66" s="60">
        <v>0</v>
      </c>
      <c r="P66" s="60">
        <v>3.39</v>
      </c>
      <c r="Q66" s="60">
        <v>2.4500000000000002</v>
      </c>
      <c r="R66" s="197"/>
      <c r="S66" s="197"/>
      <c r="T66" s="197"/>
      <c r="U66" s="197"/>
    </row>
    <row r="67" spans="1:21" s="12" customFormat="1" x14ac:dyDescent="0.25">
      <c r="A67" s="200" t="s">
        <v>1650</v>
      </c>
      <c r="B67" s="60">
        <v>0.89</v>
      </c>
      <c r="C67" s="60">
        <v>10.92</v>
      </c>
      <c r="D67" s="60">
        <v>11.81</v>
      </c>
      <c r="E67" s="60">
        <v>1.89</v>
      </c>
      <c r="F67" s="60">
        <v>1.29</v>
      </c>
      <c r="G67" s="215" t="s">
        <v>36</v>
      </c>
      <c r="H67" s="60">
        <v>2.13</v>
      </c>
      <c r="I67" s="60">
        <v>1.78</v>
      </c>
      <c r="J67" s="60">
        <v>0.11</v>
      </c>
      <c r="K67" s="60">
        <v>271.14</v>
      </c>
      <c r="L67" s="60">
        <v>32.619999999999997</v>
      </c>
      <c r="M67" s="60">
        <v>95.72</v>
      </c>
      <c r="N67" s="60">
        <v>123.9</v>
      </c>
      <c r="O67" s="60">
        <v>1</v>
      </c>
      <c r="P67" s="60">
        <v>3.39</v>
      </c>
      <c r="Q67" s="60">
        <v>2.54</v>
      </c>
      <c r="R67" s="197"/>
      <c r="S67" s="197"/>
      <c r="T67" s="197"/>
      <c r="U67" s="197"/>
    </row>
    <row r="68" spans="1:21" s="12" customFormat="1" x14ac:dyDescent="0.25">
      <c r="A68" s="200" t="s">
        <v>1651</v>
      </c>
      <c r="B68" s="60">
        <v>0.87</v>
      </c>
      <c r="C68" s="60">
        <v>10.96</v>
      </c>
      <c r="D68" s="60">
        <v>11.83</v>
      </c>
      <c r="E68" s="60">
        <v>1.99</v>
      </c>
      <c r="F68" s="60">
        <v>1.85</v>
      </c>
      <c r="G68" s="215" t="s">
        <v>36</v>
      </c>
      <c r="H68" s="60">
        <v>2.13</v>
      </c>
      <c r="I68" s="60">
        <v>1.73</v>
      </c>
      <c r="J68" s="60">
        <v>0.2</v>
      </c>
      <c r="K68" s="60">
        <v>222.03</v>
      </c>
      <c r="L68" s="60">
        <v>32.450000000000003</v>
      </c>
      <c r="M68" s="60">
        <v>98.48</v>
      </c>
      <c r="N68" s="60">
        <v>161.19999999999999</v>
      </c>
      <c r="O68" s="60">
        <v>0.4</v>
      </c>
      <c r="P68" s="60">
        <v>3.4</v>
      </c>
      <c r="Q68" s="60">
        <v>2.61</v>
      </c>
      <c r="R68" s="197"/>
      <c r="S68" s="197"/>
      <c r="T68" s="197"/>
      <c r="U68" s="197"/>
    </row>
    <row r="69" spans="1:21" s="12" customFormat="1" x14ac:dyDescent="0.25">
      <c r="A69" s="200" t="s">
        <v>1652</v>
      </c>
      <c r="B69" s="60">
        <v>0.86</v>
      </c>
      <c r="C69" s="60">
        <v>10.75</v>
      </c>
      <c r="D69" s="60">
        <v>11.61</v>
      </c>
      <c r="E69" s="60">
        <v>1.83</v>
      </c>
      <c r="F69" s="60">
        <v>1.28</v>
      </c>
      <c r="G69" s="215" t="s">
        <v>36</v>
      </c>
      <c r="H69" s="60">
        <v>2.15</v>
      </c>
      <c r="I69" s="60">
        <v>1.76</v>
      </c>
      <c r="J69" s="60">
        <v>0.28000000000000003</v>
      </c>
      <c r="K69" s="60">
        <v>226.36</v>
      </c>
      <c r="L69" s="60">
        <v>32.619999999999997</v>
      </c>
      <c r="M69" s="60">
        <v>98.26</v>
      </c>
      <c r="N69" s="60">
        <v>143.19999999999999</v>
      </c>
      <c r="O69" s="60">
        <v>0.2</v>
      </c>
      <c r="P69" s="60">
        <v>3.38</v>
      </c>
      <c r="Q69" s="60">
        <v>2.48</v>
      </c>
      <c r="R69" s="197"/>
      <c r="S69" s="197"/>
      <c r="T69" s="197"/>
      <c r="U69" s="197"/>
    </row>
    <row r="70" spans="1:21" s="12" customFormat="1" x14ac:dyDescent="0.25">
      <c r="A70" s="200" t="s">
        <v>1653</v>
      </c>
      <c r="B70" s="60">
        <v>0.85</v>
      </c>
      <c r="C70" s="60">
        <v>10.45</v>
      </c>
      <c r="D70" s="60">
        <v>11.3</v>
      </c>
      <c r="E70" s="60">
        <v>2.0299999999999998</v>
      </c>
      <c r="F70" s="60">
        <v>0.82</v>
      </c>
      <c r="G70" s="215" t="s">
        <v>36</v>
      </c>
      <c r="H70" s="60">
        <v>2.19</v>
      </c>
      <c r="I70" s="60">
        <v>1.79</v>
      </c>
      <c r="J70" s="60">
        <v>0.34</v>
      </c>
      <c r="K70" s="60">
        <v>213.22</v>
      </c>
      <c r="L70" s="60">
        <v>33.409999999999997</v>
      </c>
      <c r="M70" s="60">
        <v>98.12</v>
      </c>
      <c r="N70" s="60">
        <v>72.900000000000006</v>
      </c>
      <c r="O70" s="60">
        <v>0</v>
      </c>
      <c r="P70" s="60">
        <v>3.39</v>
      </c>
      <c r="Q70" s="60">
        <v>2.4500000000000002</v>
      </c>
      <c r="R70" s="197"/>
      <c r="S70" s="197"/>
      <c r="T70" s="197"/>
      <c r="U70" s="197"/>
    </row>
    <row r="71" spans="1:21" s="12" customFormat="1" x14ac:dyDescent="0.25">
      <c r="A71" s="200" t="s">
        <v>1654</v>
      </c>
      <c r="B71" s="60">
        <v>0.95</v>
      </c>
      <c r="C71" s="60">
        <v>10.119999999999999</v>
      </c>
      <c r="D71" s="60">
        <v>11.07</v>
      </c>
      <c r="E71" s="60">
        <v>1.58</v>
      </c>
      <c r="F71" s="60">
        <v>0.64</v>
      </c>
      <c r="G71" s="215" t="s">
        <v>36</v>
      </c>
      <c r="H71" s="60">
        <v>2.19</v>
      </c>
      <c r="I71" s="60">
        <v>1.79</v>
      </c>
      <c r="J71" s="60">
        <v>0.57999999999999996</v>
      </c>
      <c r="K71" s="60">
        <v>202.09</v>
      </c>
      <c r="L71" s="60">
        <v>33.21</v>
      </c>
      <c r="M71" s="60">
        <v>97.87</v>
      </c>
      <c r="N71" s="60">
        <v>83.9</v>
      </c>
      <c r="O71" s="60">
        <v>0</v>
      </c>
      <c r="P71" s="60">
        <v>3.38</v>
      </c>
      <c r="Q71" s="60">
        <v>2.4</v>
      </c>
      <c r="R71" s="197"/>
      <c r="S71" s="197"/>
      <c r="T71" s="197"/>
      <c r="U71" s="197"/>
    </row>
    <row r="72" spans="1:21" s="12" customFormat="1" x14ac:dyDescent="0.25">
      <c r="A72" s="200" t="s">
        <v>1655</v>
      </c>
      <c r="B72" s="60">
        <v>1.1100000000000001</v>
      </c>
      <c r="C72" s="60">
        <v>10.08</v>
      </c>
      <c r="D72" s="60">
        <v>11.19</v>
      </c>
      <c r="E72" s="60">
        <v>0.35</v>
      </c>
      <c r="F72" s="60">
        <v>0.72</v>
      </c>
      <c r="G72" s="215" t="s">
        <v>36</v>
      </c>
      <c r="H72" s="60">
        <v>2.19</v>
      </c>
      <c r="I72" s="60">
        <v>1.85</v>
      </c>
      <c r="J72" s="60">
        <v>0.66</v>
      </c>
      <c r="K72" s="60">
        <v>182.88</v>
      </c>
      <c r="L72" s="60">
        <v>30.6</v>
      </c>
      <c r="M72" s="60">
        <v>98.47</v>
      </c>
      <c r="N72" s="60">
        <v>55.3</v>
      </c>
      <c r="O72" s="60">
        <v>0.2</v>
      </c>
      <c r="P72" s="60">
        <v>3.39</v>
      </c>
      <c r="Q72" s="60">
        <v>2.64</v>
      </c>
      <c r="R72" s="197"/>
      <c r="S72" s="197"/>
      <c r="T72" s="197"/>
      <c r="U72" s="197"/>
    </row>
    <row r="73" spans="1:21" s="12" customFormat="1" x14ac:dyDescent="0.25">
      <c r="A73" s="200" t="s">
        <v>1656</v>
      </c>
      <c r="B73" s="60">
        <v>1.36</v>
      </c>
      <c r="C73" s="60">
        <v>9.5</v>
      </c>
      <c r="D73" s="60">
        <v>10.87</v>
      </c>
      <c r="E73" s="60">
        <v>1.71</v>
      </c>
      <c r="F73" s="60">
        <v>0.72</v>
      </c>
      <c r="G73" s="215" t="s">
        <v>36</v>
      </c>
      <c r="H73" s="60">
        <v>2.0499999999999998</v>
      </c>
      <c r="I73" s="60">
        <v>1.91</v>
      </c>
      <c r="J73" s="60">
        <v>0.95</v>
      </c>
      <c r="K73" s="60">
        <v>179.72</v>
      </c>
      <c r="L73" s="60">
        <v>36.020000000000003</v>
      </c>
      <c r="M73" s="60">
        <v>99.04</v>
      </c>
      <c r="N73" s="60">
        <v>51.5</v>
      </c>
      <c r="O73" s="60">
        <v>0.6</v>
      </c>
      <c r="P73" s="60">
        <v>3.37</v>
      </c>
      <c r="Q73" s="60">
        <v>2.79</v>
      </c>
      <c r="R73" s="197"/>
      <c r="S73" s="197"/>
      <c r="T73" s="197"/>
      <c r="U73" s="197"/>
    </row>
    <row r="74" spans="1:21" s="12" customFormat="1" x14ac:dyDescent="0.25">
      <c r="A74" s="200" t="s">
        <v>1657</v>
      </c>
      <c r="B74" s="60">
        <v>1.6</v>
      </c>
      <c r="C74" s="60">
        <v>9.1999999999999993</v>
      </c>
      <c r="D74" s="60">
        <v>10.8</v>
      </c>
      <c r="E74" s="60">
        <v>2.8</v>
      </c>
      <c r="F74" s="60">
        <v>0.65</v>
      </c>
      <c r="G74" s="215" t="s">
        <v>36</v>
      </c>
      <c r="H74" s="60">
        <v>1.71</v>
      </c>
      <c r="I74" s="60">
        <v>1.97</v>
      </c>
      <c r="J74" s="60">
        <v>1.0900000000000001</v>
      </c>
      <c r="K74" s="60">
        <v>173.51</v>
      </c>
      <c r="L74" s="60">
        <v>39.25</v>
      </c>
      <c r="M74" s="60">
        <v>98.97</v>
      </c>
      <c r="N74" s="60">
        <v>41.4</v>
      </c>
      <c r="O74" s="60">
        <v>0.4</v>
      </c>
      <c r="P74" s="60">
        <v>3.38</v>
      </c>
      <c r="Q74" s="60">
        <v>2.79</v>
      </c>
      <c r="R74" s="197"/>
      <c r="S74" s="197"/>
      <c r="T74" s="197"/>
      <c r="U74" s="197"/>
    </row>
    <row r="75" spans="1:21" s="12" customFormat="1" x14ac:dyDescent="0.25">
      <c r="A75" s="200" t="s">
        <v>1658</v>
      </c>
      <c r="B75" s="60">
        <v>1.73</v>
      </c>
      <c r="C75" s="60">
        <v>9.1300000000000008</v>
      </c>
      <c r="D75" s="60">
        <v>10.86</v>
      </c>
      <c r="E75" s="60">
        <v>2.91</v>
      </c>
      <c r="F75" s="60">
        <v>0.52</v>
      </c>
      <c r="G75" s="215" t="s">
        <v>36</v>
      </c>
      <c r="H75" s="60">
        <v>1.71</v>
      </c>
      <c r="I75" s="60">
        <v>2.02</v>
      </c>
      <c r="J75" s="60">
        <v>0.85</v>
      </c>
      <c r="K75" s="60">
        <v>180.65</v>
      </c>
      <c r="L75" s="60">
        <v>40.19</v>
      </c>
      <c r="M75" s="60">
        <v>99.09</v>
      </c>
      <c r="N75" s="60">
        <v>45.3</v>
      </c>
      <c r="O75" s="60">
        <v>0.4</v>
      </c>
      <c r="P75" s="60">
        <v>3.38</v>
      </c>
      <c r="Q75" s="60">
        <v>2.83</v>
      </c>
      <c r="R75" s="197"/>
      <c r="S75" s="197"/>
      <c r="T75" s="197"/>
      <c r="U75" s="197"/>
    </row>
    <row r="76" spans="1:21" s="12" customFormat="1" x14ac:dyDescent="0.25">
      <c r="A76" s="200" t="s">
        <v>1659</v>
      </c>
      <c r="B76" s="60">
        <v>1.8</v>
      </c>
      <c r="C76" s="60">
        <v>8.9600000000000009</v>
      </c>
      <c r="D76" s="60">
        <v>10.76</v>
      </c>
      <c r="E76" s="60">
        <v>3.61</v>
      </c>
      <c r="F76" s="60">
        <v>0.59</v>
      </c>
      <c r="G76" s="215" t="s">
        <v>36</v>
      </c>
      <c r="H76" s="60">
        <v>1.71</v>
      </c>
      <c r="I76" s="60">
        <v>2.09</v>
      </c>
      <c r="J76" s="60">
        <v>0.81</v>
      </c>
      <c r="K76" s="60">
        <v>196.68</v>
      </c>
      <c r="L76" s="60">
        <v>39.39</v>
      </c>
      <c r="M76" s="60">
        <v>99.1</v>
      </c>
      <c r="N76" s="60">
        <v>70.2</v>
      </c>
      <c r="O76" s="60">
        <v>0.6</v>
      </c>
      <c r="P76" s="60">
        <v>3.38</v>
      </c>
      <c r="Q76" s="60">
        <v>2.87</v>
      </c>
      <c r="R76" s="197"/>
      <c r="S76" s="197"/>
      <c r="T76" s="197"/>
      <c r="U76" s="197"/>
    </row>
    <row r="77" spans="1:21" s="12" customFormat="1" x14ac:dyDescent="0.25">
      <c r="A77" s="200" t="s">
        <v>1660</v>
      </c>
      <c r="B77" s="60">
        <v>1.77</v>
      </c>
      <c r="C77" s="60">
        <v>8.76</v>
      </c>
      <c r="D77" s="60">
        <v>10.53</v>
      </c>
      <c r="E77" s="60">
        <v>3.53</v>
      </c>
      <c r="F77" s="60">
        <v>0.55000000000000004</v>
      </c>
      <c r="G77" s="215" t="s">
        <v>36</v>
      </c>
      <c r="H77" s="60">
        <v>1.63</v>
      </c>
      <c r="I77" s="60">
        <v>2.16</v>
      </c>
      <c r="J77" s="60">
        <v>0.42</v>
      </c>
      <c r="K77" s="60">
        <v>206.91</v>
      </c>
      <c r="L77" s="60">
        <v>39.75</v>
      </c>
      <c r="M77" s="60">
        <v>99.09</v>
      </c>
      <c r="N77" s="60">
        <v>92</v>
      </c>
      <c r="O77" s="60">
        <v>0.2</v>
      </c>
      <c r="P77" s="60">
        <v>3.37</v>
      </c>
      <c r="Q77" s="60">
        <v>2.84</v>
      </c>
      <c r="R77" s="197"/>
      <c r="S77" s="197"/>
      <c r="T77" s="197"/>
      <c r="U77" s="197"/>
    </row>
    <row r="78" spans="1:21" s="12" customFormat="1" x14ac:dyDescent="0.25">
      <c r="A78" s="200" t="s">
        <v>1661</v>
      </c>
      <c r="B78" s="60">
        <v>1.74</v>
      </c>
      <c r="C78" s="60">
        <v>8.6199999999999992</v>
      </c>
      <c r="D78" s="60">
        <v>10.36</v>
      </c>
      <c r="E78" s="60">
        <v>3.43</v>
      </c>
      <c r="F78" s="60">
        <v>0.48</v>
      </c>
      <c r="G78" s="215" t="s">
        <v>36</v>
      </c>
      <c r="H78" s="60">
        <v>1.45</v>
      </c>
      <c r="I78" s="60">
        <v>2.16</v>
      </c>
      <c r="J78" s="60">
        <v>0.83</v>
      </c>
      <c r="K78" s="60">
        <v>195.28</v>
      </c>
      <c r="L78" s="60">
        <v>39</v>
      </c>
      <c r="M78" s="60">
        <v>98.96</v>
      </c>
      <c r="N78" s="60">
        <v>49.4</v>
      </c>
      <c r="O78" s="60">
        <v>0</v>
      </c>
      <c r="P78" s="60">
        <v>3.37</v>
      </c>
      <c r="Q78" s="60">
        <v>2.79</v>
      </c>
      <c r="R78" s="197"/>
      <c r="S78" s="197"/>
      <c r="T78" s="197"/>
      <c r="U78" s="197"/>
    </row>
    <row r="79" spans="1:21" s="12" customFormat="1" x14ac:dyDescent="0.25">
      <c r="A79" s="200" t="s">
        <v>1662</v>
      </c>
      <c r="B79" s="60">
        <v>1.65</v>
      </c>
      <c r="C79" s="60">
        <v>8.34</v>
      </c>
      <c r="D79" s="60">
        <v>9.99</v>
      </c>
      <c r="E79" s="60">
        <v>3.76</v>
      </c>
      <c r="F79" s="60">
        <v>0.49</v>
      </c>
      <c r="G79" s="215" t="s">
        <v>36</v>
      </c>
      <c r="H79" s="60">
        <v>1.45</v>
      </c>
      <c r="I79" s="60">
        <v>2.16</v>
      </c>
      <c r="J79" s="60">
        <v>0.8</v>
      </c>
      <c r="K79" s="60">
        <v>183.72</v>
      </c>
      <c r="L79" s="60">
        <v>38.049999999999997</v>
      </c>
      <c r="M79" s="60">
        <v>98.47</v>
      </c>
      <c r="N79" s="60">
        <v>60.4</v>
      </c>
      <c r="O79" s="60">
        <v>0</v>
      </c>
      <c r="P79" s="60">
        <v>3.37</v>
      </c>
      <c r="Q79" s="60">
        <v>2.61</v>
      </c>
      <c r="R79" s="197"/>
      <c r="S79" s="197"/>
      <c r="T79" s="197"/>
      <c r="U79" s="197"/>
    </row>
    <row r="80" spans="1:21" s="12" customFormat="1" x14ac:dyDescent="0.25">
      <c r="A80" s="200" t="s">
        <v>1663</v>
      </c>
      <c r="B80" s="60">
        <v>1.54</v>
      </c>
      <c r="C80" s="60">
        <v>8.66</v>
      </c>
      <c r="D80" s="60">
        <v>10.210000000000001</v>
      </c>
      <c r="E80" s="60">
        <v>3.81</v>
      </c>
      <c r="F80" s="60">
        <v>0.47</v>
      </c>
      <c r="G80" s="215" t="s">
        <v>36</v>
      </c>
      <c r="H80" s="60">
        <v>1.45</v>
      </c>
      <c r="I80" s="60">
        <v>2.1800000000000002</v>
      </c>
      <c r="J80" s="60">
        <v>0.85</v>
      </c>
      <c r="K80" s="60">
        <v>193.85</v>
      </c>
      <c r="L80" s="60">
        <v>39.130000000000003</v>
      </c>
      <c r="M80" s="60">
        <v>97.83</v>
      </c>
      <c r="N80" s="60">
        <v>38.299999999999997</v>
      </c>
      <c r="O80" s="60">
        <v>0</v>
      </c>
      <c r="P80" s="60">
        <v>3.36</v>
      </c>
      <c r="Q80" s="60">
        <v>2.63</v>
      </c>
      <c r="R80" s="197"/>
      <c r="S80" s="197"/>
      <c r="T80" s="197"/>
      <c r="U80" s="197"/>
    </row>
    <row r="81" spans="1:26" s="12" customFormat="1" x14ac:dyDescent="0.25">
      <c r="A81" s="200" t="s">
        <v>1664</v>
      </c>
      <c r="B81" s="60">
        <v>1.49</v>
      </c>
      <c r="C81" s="60">
        <v>9.02</v>
      </c>
      <c r="D81" s="60">
        <v>10.52</v>
      </c>
      <c r="E81" s="60">
        <v>3.83</v>
      </c>
      <c r="F81" s="60">
        <v>0.42</v>
      </c>
      <c r="G81" s="215" t="s">
        <v>36</v>
      </c>
      <c r="H81" s="60">
        <v>1.39</v>
      </c>
      <c r="I81" s="60">
        <v>2.2000000000000002</v>
      </c>
      <c r="J81" s="60">
        <v>1.1399999999999999</v>
      </c>
      <c r="K81" s="60">
        <v>172.46</v>
      </c>
      <c r="L81" s="60">
        <v>39.94</v>
      </c>
      <c r="M81" s="60">
        <v>97.04</v>
      </c>
      <c r="N81" s="60">
        <v>24.6</v>
      </c>
      <c r="O81" s="60">
        <v>0</v>
      </c>
      <c r="P81" s="60">
        <v>3.36</v>
      </c>
      <c r="Q81" s="60">
        <v>2.69</v>
      </c>
      <c r="R81" s="197"/>
      <c r="S81" s="197"/>
      <c r="T81" s="197"/>
      <c r="U81" s="197"/>
    </row>
    <row r="82" spans="1:26" s="12" customFormat="1" x14ac:dyDescent="0.25">
      <c r="A82" s="200" t="s">
        <v>1665</v>
      </c>
      <c r="B82" s="60">
        <v>1.53</v>
      </c>
      <c r="C82" s="60">
        <v>9.15</v>
      </c>
      <c r="D82" s="60">
        <v>10.68</v>
      </c>
      <c r="E82" s="60">
        <v>4.07</v>
      </c>
      <c r="F82" s="60">
        <v>0.42</v>
      </c>
      <c r="G82" s="215" t="s">
        <v>36</v>
      </c>
      <c r="H82" s="60">
        <v>1.24</v>
      </c>
      <c r="I82" s="60">
        <v>2.21</v>
      </c>
      <c r="J82" s="60">
        <v>1.43</v>
      </c>
      <c r="K82" s="60">
        <v>167.03</v>
      </c>
      <c r="L82" s="60">
        <v>38.979999999999997</v>
      </c>
      <c r="M82" s="60">
        <v>95.77</v>
      </c>
      <c r="N82" s="60">
        <v>17.7</v>
      </c>
      <c r="O82" s="60">
        <v>0</v>
      </c>
      <c r="P82" s="60">
        <v>3.37</v>
      </c>
      <c r="Q82" s="60">
        <v>2.76</v>
      </c>
      <c r="R82" s="197"/>
      <c r="S82" s="197"/>
      <c r="T82" s="197"/>
      <c r="U82" s="197"/>
    </row>
    <row r="83" spans="1:26" s="12" customFormat="1" x14ac:dyDescent="0.25">
      <c r="A83" s="200" t="s">
        <v>1666</v>
      </c>
      <c r="B83" s="60">
        <v>1.57</v>
      </c>
      <c r="C83" s="60">
        <v>9.1199999999999992</v>
      </c>
      <c r="D83" s="60">
        <v>10.7</v>
      </c>
      <c r="E83" s="60">
        <v>4.07</v>
      </c>
      <c r="F83" s="60">
        <v>0.51</v>
      </c>
      <c r="G83" s="215" t="s">
        <v>36</v>
      </c>
      <c r="H83" s="60">
        <v>1.24</v>
      </c>
      <c r="I83" s="60">
        <v>2.2400000000000002</v>
      </c>
      <c r="J83" s="60">
        <v>1.0900000000000001</v>
      </c>
      <c r="K83" s="60">
        <v>172.42</v>
      </c>
      <c r="L83" s="60">
        <v>40.49</v>
      </c>
      <c r="M83" s="60">
        <v>95.95</v>
      </c>
      <c r="N83" s="60">
        <v>16</v>
      </c>
      <c r="O83" s="60">
        <v>0</v>
      </c>
      <c r="P83" s="60">
        <v>3.37</v>
      </c>
      <c r="Q83" s="60">
        <v>2.86</v>
      </c>
      <c r="R83" s="197"/>
      <c r="S83" s="197"/>
      <c r="T83" s="197"/>
      <c r="U83" s="197"/>
    </row>
    <row r="84" spans="1:26" s="12" customFormat="1" x14ac:dyDescent="0.25">
      <c r="A84" s="200" t="s">
        <v>1667</v>
      </c>
      <c r="B84" s="60">
        <v>1.69</v>
      </c>
      <c r="C84" s="60">
        <v>8.89</v>
      </c>
      <c r="D84" s="60">
        <v>10.59</v>
      </c>
      <c r="E84" s="60">
        <v>4.04</v>
      </c>
      <c r="F84" s="60">
        <v>0.5</v>
      </c>
      <c r="G84" s="215" t="s">
        <v>36</v>
      </c>
      <c r="H84" s="60">
        <v>1.24</v>
      </c>
      <c r="I84" s="60">
        <v>2.2999999999999998</v>
      </c>
      <c r="J84" s="60">
        <v>1.46</v>
      </c>
      <c r="K84" s="60">
        <v>168.15</v>
      </c>
      <c r="L84" s="60">
        <v>40.409999999999997</v>
      </c>
      <c r="M84" s="60">
        <v>95.21</v>
      </c>
      <c r="N84" s="60">
        <v>15.8</v>
      </c>
      <c r="O84" s="60">
        <v>0</v>
      </c>
      <c r="P84" s="60">
        <v>3.37</v>
      </c>
      <c r="Q84" s="60">
        <v>2.96</v>
      </c>
      <c r="R84" s="197"/>
      <c r="S84" s="197"/>
      <c r="T84" s="197"/>
      <c r="U84" s="197"/>
    </row>
    <row r="85" spans="1:26" s="12" customFormat="1" x14ac:dyDescent="0.25">
      <c r="A85" s="200" t="s">
        <v>1668</v>
      </c>
      <c r="B85" s="60">
        <v>1.77</v>
      </c>
      <c r="C85" s="60">
        <v>9.02</v>
      </c>
      <c r="D85" s="60">
        <v>10.79</v>
      </c>
      <c r="E85" s="60">
        <v>4.1100000000000003</v>
      </c>
      <c r="F85" s="60">
        <v>0.45</v>
      </c>
      <c r="G85" s="215" t="s">
        <v>36</v>
      </c>
      <c r="H85" s="60">
        <v>1.3</v>
      </c>
      <c r="I85" s="60">
        <v>2.29</v>
      </c>
      <c r="J85" s="60">
        <v>1.42</v>
      </c>
      <c r="K85" s="60">
        <v>168.97</v>
      </c>
      <c r="L85" s="60">
        <v>41.06</v>
      </c>
      <c r="M85" s="60">
        <v>93.47</v>
      </c>
      <c r="N85" s="60">
        <v>15.8</v>
      </c>
      <c r="O85" s="60">
        <v>0</v>
      </c>
      <c r="P85" s="60">
        <v>3.37</v>
      </c>
      <c r="Q85" s="60">
        <v>3</v>
      </c>
      <c r="R85" s="197"/>
      <c r="S85" s="197"/>
      <c r="T85" s="197"/>
      <c r="U85" s="197"/>
    </row>
    <row r="86" spans="1:26" s="12" customFormat="1" x14ac:dyDescent="0.25">
      <c r="A86" s="200" t="s">
        <v>1669</v>
      </c>
      <c r="B86" s="60">
        <v>1.73</v>
      </c>
      <c r="C86" s="60">
        <v>9.3699999999999992</v>
      </c>
      <c r="D86" s="60">
        <v>11.1</v>
      </c>
      <c r="E86" s="60">
        <v>4.6500000000000004</v>
      </c>
      <c r="F86" s="60">
        <v>0.39</v>
      </c>
      <c r="G86" s="215" t="s">
        <v>36</v>
      </c>
      <c r="H86" s="60">
        <v>1.43</v>
      </c>
      <c r="I86" s="60">
        <v>2.36</v>
      </c>
      <c r="J86" s="60">
        <v>1.73</v>
      </c>
      <c r="K86" s="60">
        <v>161.72999999999999</v>
      </c>
      <c r="L86" s="60">
        <v>42.48</v>
      </c>
      <c r="M86" s="60">
        <v>93.48</v>
      </c>
      <c r="N86" s="60">
        <v>16.100000000000001</v>
      </c>
      <c r="O86" s="60">
        <v>0</v>
      </c>
      <c r="P86" s="60">
        <v>3.38</v>
      </c>
      <c r="Q86" s="60">
        <v>3.08</v>
      </c>
      <c r="R86" s="197"/>
      <c r="S86" s="197"/>
      <c r="T86" s="197"/>
      <c r="U86" s="197"/>
    </row>
    <row r="87" spans="1:26" s="12" customFormat="1" x14ac:dyDescent="0.25">
      <c r="A87" s="200" t="s">
        <v>1670</v>
      </c>
      <c r="B87" s="60">
        <v>1.82</v>
      </c>
      <c r="C87" s="60">
        <v>9.06</v>
      </c>
      <c r="D87" s="60">
        <v>10.88</v>
      </c>
      <c r="E87" s="60">
        <v>4.99</v>
      </c>
      <c r="F87" s="60">
        <v>0.51</v>
      </c>
      <c r="G87" s="215" t="s">
        <v>36</v>
      </c>
      <c r="H87" s="60">
        <v>1.43</v>
      </c>
      <c r="I87" s="60">
        <v>2.39</v>
      </c>
      <c r="J87" s="60">
        <v>1.4</v>
      </c>
      <c r="K87" s="60">
        <v>175</v>
      </c>
      <c r="L87" s="60">
        <v>42.15</v>
      </c>
      <c r="M87" s="60">
        <v>95.08</v>
      </c>
      <c r="N87" s="60">
        <v>16.100000000000001</v>
      </c>
      <c r="O87" s="60">
        <v>0</v>
      </c>
      <c r="P87" s="60">
        <v>3.37</v>
      </c>
      <c r="Q87" s="60">
        <v>3.25</v>
      </c>
      <c r="R87" s="197"/>
      <c r="S87" s="197"/>
      <c r="T87" s="197"/>
      <c r="U87" s="197"/>
    </row>
    <row r="88" spans="1:26" s="12" customFormat="1" x14ac:dyDescent="0.25">
      <c r="A88" s="200" t="s">
        <v>1671</v>
      </c>
      <c r="B88" s="60">
        <v>1.97</v>
      </c>
      <c r="C88" s="60">
        <v>8.9700000000000006</v>
      </c>
      <c r="D88" s="60">
        <v>10.94</v>
      </c>
      <c r="E88" s="60">
        <v>1.57</v>
      </c>
      <c r="F88" s="60">
        <v>0.33</v>
      </c>
      <c r="G88" s="215" t="s">
        <v>36</v>
      </c>
      <c r="H88" s="60">
        <v>1.43</v>
      </c>
      <c r="I88" s="60">
        <v>2.39</v>
      </c>
      <c r="J88" s="60">
        <v>1.28</v>
      </c>
      <c r="K88" s="60">
        <v>169.05</v>
      </c>
      <c r="L88" s="60">
        <v>41.93</v>
      </c>
      <c r="M88" s="60">
        <v>95.51</v>
      </c>
      <c r="N88" s="60">
        <v>15.8</v>
      </c>
      <c r="O88" s="60">
        <v>0</v>
      </c>
      <c r="P88" s="60">
        <v>3.37</v>
      </c>
      <c r="Q88" s="60">
        <v>3.37</v>
      </c>
      <c r="R88" s="197"/>
      <c r="S88" s="197"/>
      <c r="T88" s="197"/>
      <c r="U88" s="197"/>
    </row>
    <row r="89" spans="1:26" s="12" customFormat="1" x14ac:dyDescent="0.25">
      <c r="A89" s="200" t="s">
        <v>1672</v>
      </c>
      <c r="B89" s="60">
        <v>2.04</v>
      </c>
      <c r="C89" s="60">
        <v>8.8699999999999992</v>
      </c>
      <c r="D89" s="60">
        <v>10.91</v>
      </c>
      <c r="E89" s="60">
        <v>3.78</v>
      </c>
      <c r="F89" s="60">
        <v>0.36</v>
      </c>
      <c r="G89" s="215" t="s">
        <v>36</v>
      </c>
      <c r="H89" s="60">
        <v>1.47</v>
      </c>
      <c r="I89" s="60">
        <v>2.41</v>
      </c>
      <c r="J89" s="60">
        <v>1.1299999999999999</v>
      </c>
      <c r="K89" s="60">
        <v>166.62</v>
      </c>
      <c r="L89" s="60">
        <v>41</v>
      </c>
      <c r="M89" s="60">
        <v>94.18</v>
      </c>
      <c r="N89" s="60">
        <v>15.8</v>
      </c>
      <c r="O89" s="60">
        <v>0</v>
      </c>
      <c r="P89" s="60">
        <v>3.38</v>
      </c>
      <c r="Q89" s="60">
        <v>3.32</v>
      </c>
      <c r="R89" s="197"/>
      <c r="S89" s="197"/>
      <c r="T89" s="197"/>
      <c r="U89" s="197"/>
    </row>
    <row r="90" spans="1:26" s="12" customFormat="1" x14ac:dyDescent="0.25">
      <c r="A90" s="200" t="s">
        <v>1673</v>
      </c>
      <c r="B90" s="60">
        <v>2.09</v>
      </c>
      <c r="C90" s="60">
        <v>8.83</v>
      </c>
      <c r="D90" s="60">
        <v>10.91</v>
      </c>
      <c r="E90" s="60">
        <v>4.16</v>
      </c>
      <c r="F90" s="60">
        <v>0.32</v>
      </c>
      <c r="G90" s="215" t="s">
        <v>36</v>
      </c>
      <c r="H90" s="60">
        <v>1.56</v>
      </c>
      <c r="I90" s="60">
        <v>2.4700000000000002</v>
      </c>
      <c r="J90" s="60">
        <v>1</v>
      </c>
      <c r="K90" s="60">
        <v>179.13</v>
      </c>
      <c r="L90" s="60">
        <v>41.65</v>
      </c>
      <c r="M90" s="60">
        <v>92.36</v>
      </c>
      <c r="N90" s="60">
        <v>15.7</v>
      </c>
      <c r="O90" s="60">
        <v>0</v>
      </c>
      <c r="P90" s="60">
        <v>3.38</v>
      </c>
      <c r="Q90" s="60">
        <v>3.32</v>
      </c>
      <c r="R90" s="197"/>
      <c r="S90" s="197"/>
      <c r="T90" s="197"/>
      <c r="U90" s="197"/>
    </row>
    <row r="91" spans="1:26" s="12" customFormat="1" x14ac:dyDescent="0.25">
      <c r="A91" s="200" t="s">
        <v>1674</v>
      </c>
      <c r="B91" s="60">
        <v>2.16</v>
      </c>
      <c r="C91" s="60">
        <v>8.5299999999999994</v>
      </c>
      <c r="D91" s="60">
        <v>10.69</v>
      </c>
      <c r="E91" s="60">
        <v>3.83</v>
      </c>
      <c r="F91" s="60">
        <v>0.47</v>
      </c>
      <c r="G91" s="215" t="s">
        <v>36</v>
      </c>
      <c r="H91" s="60">
        <v>1.56</v>
      </c>
      <c r="I91" s="60">
        <v>2.4900000000000002</v>
      </c>
      <c r="J91" s="60">
        <v>1.23</v>
      </c>
      <c r="K91" s="60">
        <v>168.23</v>
      </c>
      <c r="L91" s="60">
        <v>44.45</v>
      </c>
      <c r="M91" s="60">
        <v>91.41</v>
      </c>
      <c r="N91" s="60">
        <v>15.7</v>
      </c>
      <c r="O91" s="60">
        <v>0</v>
      </c>
      <c r="P91" s="60">
        <v>3.37</v>
      </c>
      <c r="Q91" s="60">
        <v>3.25</v>
      </c>
      <c r="R91" s="197"/>
      <c r="S91" s="197"/>
      <c r="T91" s="197"/>
      <c r="U91" s="197"/>
    </row>
    <row r="92" spans="1:26" s="12" customFormat="1" x14ac:dyDescent="0.25">
      <c r="A92" s="200" t="s">
        <v>1675</v>
      </c>
      <c r="B92" s="60">
        <v>2.23</v>
      </c>
      <c r="C92" s="60">
        <v>8.84</v>
      </c>
      <c r="D92" s="60">
        <v>11.07</v>
      </c>
      <c r="E92" s="60">
        <v>4.17</v>
      </c>
      <c r="F92" s="60">
        <v>0.26</v>
      </c>
      <c r="G92" s="215" t="s">
        <v>36</v>
      </c>
      <c r="H92" s="60">
        <v>1.56</v>
      </c>
      <c r="I92" s="60">
        <v>2.52</v>
      </c>
      <c r="J92" s="60">
        <v>1.17</v>
      </c>
      <c r="K92" s="60">
        <v>165.25</v>
      </c>
      <c r="L92" s="60">
        <v>45.58</v>
      </c>
      <c r="M92" s="60">
        <v>90.76</v>
      </c>
      <c r="N92" s="60">
        <v>15.7</v>
      </c>
      <c r="O92" s="60">
        <v>0</v>
      </c>
      <c r="P92" s="60">
        <v>3.37</v>
      </c>
      <c r="Q92" s="60">
        <v>3.36</v>
      </c>
      <c r="R92" s="197"/>
      <c r="S92" s="197"/>
      <c r="T92" s="197"/>
      <c r="U92" s="197"/>
    </row>
    <row r="93" spans="1:26" s="12" customFormat="1" x14ac:dyDescent="0.25">
      <c r="A93" s="200" t="s">
        <v>1676</v>
      </c>
      <c r="B93" s="60">
        <v>2.34</v>
      </c>
      <c r="C93" s="60">
        <v>8.91</v>
      </c>
      <c r="D93" s="60">
        <v>11.25</v>
      </c>
      <c r="E93" s="60">
        <v>4.26</v>
      </c>
      <c r="F93" s="60">
        <v>0.36</v>
      </c>
      <c r="G93" s="215" t="s">
        <v>36</v>
      </c>
      <c r="H93" s="60">
        <v>1.57</v>
      </c>
      <c r="I93" s="60">
        <v>2.4900000000000002</v>
      </c>
      <c r="J93" s="60">
        <v>2.31</v>
      </c>
      <c r="K93" s="60">
        <v>160.19</v>
      </c>
      <c r="L93" s="60">
        <v>41.8</v>
      </c>
      <c r="M93" s="60">
        <v>90.61</v>
      </c>
      <c r="N93" s="60">
        <v>15.7</v>
      </c>
      <c r="O93" s="60">
        <v>0</v>
      </c>
      <c r="P93" s="60">
        <v>3.37</v>
      </c>
      <c r="Q93" s="60">
        <v>3.48</v>
      </c>
      <c r="R93" s="197"/>
      <c r="S93" s="197"/>
      <c r="T93" s="197"/>
      <c r="U93" s="197"/>
    </row>
    <row r="94" spans="1:26" s="12" customFormat="1" x14ac:dyDescent="0.25">
      <c r="A94" s="200" t="s">
        <v>1677</v>
      </c>
      <c r="B94" s="60">
        <v>2.31</v>
      </c>
      <c r="C94" s="60">
        <v>8.84</v>
      </c>
      <c r="D94" s="60">
        <v>11.15</v>
      </c>
      <c r="E94" s="60">
        <v>3.94</v>
      </c>
      <c r="F94" s="60">
        <v>0.74</v>
      </c>
      <c r="G94" s="215" t="s">
        <v>36</v>
      </c>
      <c r="H94" s="60">
        <v>1.6</v>
      </c>
      <c r="I94" s="60">
        <v>2.52</v>
      </c>
      <c r="J94" s="60">
        <v>2</v>
      </c>
      <c r="K94" s="60">
        <v>157.18</v>
      </c>
      <c r="L94" s="60">
        <v>44.84</v>
      </c>
      <c r="M94" s="60">
        <v>91.29</v>
      </c>
      <c r="N94" s="60">
        <v>15.5</v>
      </c>
      <c r="O94" s="60">
        <v>0</v>
      </c>
      <c r="P94" s="60">
        <v>3.37</v>
      </c>
      <c r="Q94" s="60">
        <v>3.47</v>
      </c>
      <c r="R94" s="197"/>
      <c r="S94" s="197"/>
      <c r="T94" s="197"/>
      <c r="U94" s="197"/>
    </row>
    <row r="95" spans="1:26" s="12" customFormat="1" x14ac:dyDescent="0.25">
      <c r="A95" s="200" t="s">
        <v>1678</v>
      </c>
      <c r="B95" s="60">
        <v>2.27</v>
      </c>
      <c r="C95" s="60">
        <v>8.83</v>
      </c>
      <c r="D95" s="60">
        <v>11.1</v>
      </c>
      <c r="E95" s="60">
        <v>4.41</v>
      </c>
      <c r="F95" s="60">
        <v>1.1200000000000001</v>
      </c>
      <c r="G95" s="215" t="s">
        <v>36</v>
      </c>
      <c r="H95" s="60">
        <v>1.6</v>
      </c>
      <c r="I95" s="60">
        <v>2.5099999999999998</v>
      </c>
      <c r="J95" s="60">
        <v>1.27</v>
      </c>
      <c r="K95" s="60">
        <v>166.76</v>
      </c>
      <c r="L95" s="60">
        <v>45.07</v>
      </c>
      <c r="M95" s="60">
        <v>92.23</v>
      </c>
      <c r="N95" s="60">
        <v>15.1</v>
      </c>
      <c r="O95" s="60">
        <v>0</v>
      </c>
      <c r="P95" s="60">
        <v>3.37</v>
      </c>
      <c r="Q95" s="60">
        <v>3.49</v>
      </c>
      <c r="R95" s="197"/>
      <c r="S95" s="197"/>
      <c r="T95" s="197"/>
      <c r="U95" s="197"/>
    </row>
    <row r="96" spans="1:26" s="12" customFormat="1" x14ac:dyDescent="0.25">
      <c r="A96" s="200" t="s">
        <v>1679</v>
      </c>
      <c r="B96" s="60">
        <v>2.2799999999999998</v>
      </c>
      <c r="C96" s="60">
        <v>9.01</v>
      </c>
      <c r="D96" s="60">
        <v>11.29</v>
      </c>
      <c r="E96" s="60">
        <v>4.1500000000000004</v>
      </c>
      <c r="F96" s="60">
        <v>0.53</v>
      </c>
      <c r="G96" s="215" t="s">
        <v>36</v>
      </c>
      <c r="H96" s="60">
        <v>1.6</v>
      </c>
      <c r="I96" s="60">
        <v>2.5</v>
      </c>
      <c r="J96" s="60">
        <v>1.35</v>
      </c>
      <c r="K96" s="60">
        <v>166.68</v>
      </c>
      <c r="L96" s="60">
        <v>43.09</v>
      </c>
      <c r="M96" s="60">
        <v>92.21</v>
      </c>
      <c r="N96" s="60">
        <v>15.1</v>
      </c>
      <c r="O96" s="60">
        <v>0</v>
      </c>
      <c r="P96" s="60">
        <v>3.38</v>
      </c>
      <c r="Q96" s="60">
        <v>3.51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1680</v>
      </c>
      <c r="B97" s="60">
        <v>2.2200000000000002</v>
      </c>
      <c r="C97" s="60">
        <v>8.93</v>
      </c>
      <c r="D97" s="60">
        <v>11.15</v>
      </c>
      <c r="E97" s="60">
        <v>5.2</v>
      </c>
      <c r="F97" s="60">
        <v>0.47</v>
      </c>
      <c r="G97" s="215" t="s">
        <v>36</v>
      </c>
      <c r="H97" s="60">
        <v>1.59</v>
      </c>
      <c r="I97" s="60">
        <v>2.52</v>
      </c>
      <c r="J97" s="60">
        <v>1.54</v>
      </c>
      <c r="K97" s="60">
        <v>163.92</v>
      </c>
      <c r="L97" s="60">
        <v>43.79</v>
      </c>
      <c r="M97" s="60">
        <v>92.86</v>
      </c>
      <c r="N97" s="60">
        <v>15.1</v>
      </c>
      <c r="O97" s="60">
        <v>0</v>
      </c>
      <c r="P97" s="60">
        <v>3.37</v>
      </c>
      <c r="Q97" s="60">
        <v>3.43</v>
      </c>
      <c r="R97" s="197"/>
      <c r="S97" s="197"/>
      <c r="T97" s="197"/>
      <c r="U97" s="197"/>
    </row>
    <row r="98" spans="1:33" s="12" customFormat="1" x14ac:dyDescent="0.25">
      <c r="A98" s="200" t="s">
        <v>1681</v>
      </c>
      <c r="B98" s="60">
        <v>2.13</v>
      </c>
      <c r="C98" s="60">
        <v>8.9</v>
      </c>
      <c r="D98" s="60">
        <v>11.02</v>
      </c>
      <c r="E98" s="60">
        <v>5.0199999999999996</v>
      </c>
      <c r="F98" s="60">
        <v>0.39</v>
      </c>
      <c r="G98" s="215" t="s">
        <v>36</v>
      </c>
      <c r="H98" s="60">
        <v>1.55</v>
      </c>
      <c r="I98" s="60">
        <v>2.54</v>
      </c>
      <c r="J98" s="60">
        <v>1.85</v>
      </c>
      <c r="K98" s="60">
        <v>163.15</v>
      </c>
      <c r="L98" s="60">
        <v>39.29</v>
      </c>
      <c r="M98" s="60">
        <v>93.31</v>
      </c>
      <c r="N98" s="60">
        <v>15.1</v>
      </c>
      <c r="O98" s="60">
        <v>0</v>
      </c>
      <c r="P98" s="60">
        <v>3.36</v>
      </c>
      <c r="Q98" s="60">
        <v>3.29</v>
      </c>
      <c r="R98" s="197"/>
      <c r="S98" s="197"/>
      <c r="T98" s="197"/>
      <c r="U98" s="197"/>
    </row>
    <row r="99" spans="1:33" s="12" customFormat="1" x14ac:dyDescent="0.25">
      <c r="A99" s="200" t="s">
        <v>1682</v>
      </c>
      <c r="B99" s="60">
        <v>2.0299999999999998</v>
      </c>
      <c r="C99" s="60">
        <v>8.81</v>
      </c>
      <c r="D99" s="60">
        <v>10.84</v>
      </c>
      <c r="E99" s="60">
        <v>5.13</v>
      </c>
      <c r="F99" s="60">
        <v>0.39</v>
      </c>
      <c r="G99" s="215" t="s">
        <v>36</v>
      </c>
      <c r="H99" s="60">
        <v>1.55</v>
      </c>
      <c r="I99" s="60">
        <v>2.56</v>
      </c>
      <c r="J99" s="60">
        <v>2.0499999999999998</v>
      </c>
      <c r="K99" s="60">
        <v>156.32</v>
      </c>
      <c r="L99" s="60">
        <v>41.87</v>
      </c>
      <c r="M99" s="60">
        <v>93.49</v>
      </c>
      <c r="N99" s="60">
        <v>15.3</v>
      </c>
      <c r="O99" s="60">
        <v>0</v>
      </c>
      <c r="P99" s="60">
        <v>3.37</v>
      </c>
      <c r="Q99" s="60">
        <v>3.18</v>
      </c>
      <c r="R99" s="197"/>
      <c r="S99" s="197"/>
      <c r="T99" s="197"/>
      <c r="U99" s="197"/>
    </row>
    <row r="100" spans="1:33" s="12" customFormat="1" x14ac:dyDescent="0.25">
      <c r="A100" s="200" t="s">
        <v>1683</v>
      </c>
      <c r="B100" s="60">
        <v>1.93</v>
      </c>
      <c r="C100" s="60">
        <v>8.58</v>
      </c>
      <c r="D100" s="60">
        <v>10.51</v>
      </c>
      <c r="E100" s="60">
        <v>5.14</v>
      </c>
      <c r="F100" s="60">
        <v>0.48</v>
      </c>
      <c r="G100" s="215" t="s">
        <v>36</v>
      </c>
      <c r="H100" s="60">
        <v>1.55</v>
      </c>
      <c r="I100" s="60">
        <v>2.6</v>
      </c>
      <c r="J100" s="60">
        <v>1.96</v>
      </c>
      <c r="K100" s="60">
        <v>160.91999999999999</v>
      </c>
      <c r="L100" s="60">
        <v>43.19</v>
      </c>
      <c r="M100" s="60">
        <v>93.84</v>
      </c>
      <c r="N100" s="60">
        <v>15.3</v>
      </c>
      <c r="O100" s="60">
        <v>0</v>
      </c>
      <c r="P100" s="60">
        <v>3.37</v>
      </c>
      <c r="Q100" s="60">
        <v>3.14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1684</v>
      </c>
      <c r="B101" s="60">
        <v>1.94</v>
      </c>
      <c r="C101" s="60">
        <v>8.5</v>
      </c>
      <c r="D101" s="60">
        <v>10.44</v>
      </c>
      <c r="E101" s="60">
        <v>5.27</v>
      </c>
      <c r="F101" s="60">
        <v>0.15</v>
      </c>
      <c r="G101" s="215" t="s">
        <v>36</v>
      </c>
      <c r="H101" s="60">
        <v>1.58</v>
      </c>
      <c r="I101" s="60">
        <v>2.59</v>
      </c>
      <c r="J101" s="60">
        <v>2.0699999999999998</v>
      </c>
      <c r="K101" s="60">
        <v>162.84</v>
      </c>
      <c r="L101" s="60">
        <v>41.97</v>
      </c>
      <c r="M101" s="60">
        <v>93.5</v>
      </c>
      <c r="N101" s="60">
        <v>15.3</v>
      </c>
      <c r="O101" s="60">
        <v>0</v>
      </c>
      <c r="P101" s="60">
        <v>3.36</v>
      </c>
      <c r="Q101" s="60">
        <v>3.22</v>
      </c>
      <c r="R101" s="197"/>
      <c r="S101" s="197"/>
      <c r="T101" s="197"/>
      <c r="U101" s="197"/>
    </row>
    <row r="102" spans="1:33" s="12" customFormat="1" x14ac:dyDescent="0.25">
      <c r="A102" s="200" t="s">
        <v>1685</v>
      </c>
      <c r="B102" s="60">
        <v>1.91</v>
      </c>
      <c r="C102" s="60">
        <v>8.3699999999999992</v>
      </c>
      <c r="D102" s="60">
        <v>10.28</v>
      </c>
      <c r="E102" s="60">
        <v>5.52</v>
      </c>
      <c r="F102" s="60">
        <v>0.22</v>
      </c>
      <c r="G102" s="215" t="s">
        <v>36</v>
      </c>
      <c r="H102" s="60">
        <v>1.65</v>
      </c>
      <c r="I102" s="60">
        <v>2.6</v>
      </c>
      <c r="J102" s="60">
        <v>1.88</v>
      </c>
      <c r="K102" s="60">
        <v>159.94999999999999</v>
      </c>
      <c r="L102" s="60">
        <v>40.479999999999997</v>
      </c>
      <c r="M102" s="60">
        <v>92.79</v>
      </c>
      <c r="N102" s="60">
        <v>15.1</v>
      </c>
      <c r="O102" s="60">
        <v>0</v>
      </c>
      <c r="P102" s="60">
        <v>3.36</v>
      </c>
      <c r="Q102" s="60">
        <v>3.2</v>
      </c>
      <c r="R102" s="197"/>
      <c r="S102" s="197"/>
      <c r="T102" s="197"/>
      <c r="U102" s="197"/>
    </row>
    <row r="103" spans="1:33" s="12" customFormat="1" x14ac:dyDescent="0.25">
      <c r="A103" s="200" t="s">
        <v>1686</v>
      </c>
      <c r="B103" s="60">
        <v>2.02</v>
      </c>
      <c r="C103" s="60">
        <v>8.17</v>
      </c>
      <c r="D103" s="60">
        <v>10.199999999999999</v>
      </c>
      <c r="E103" s="60">
        <v>5.68</v>
      </c>
      <c r="F103" s="60">
        <v>0.55000000000000004</v>
      </c>
      <c r="G103" s="215" t="s">
        <v>36</v>
      </c>
      <c r="H103" s="60">
        <v>1.65</v>
      </c>
      <c r="I103" s="60">
        <v>2.64</v>
      </c>
      <c r="J103" s="60">
        <v>1.98</v>
      </c>
      <c r="K103" s="60">
        <v>155.96</v>
      </c>
      <c r="L103" s="60">
        <v>41.86</v>
      </c>
      <c r="M103" s="60">
        <v>92.99</v>
      </c>
      <c r="N103" s="60">
        <v>15.5</v>
      </c>
      <c r="O103" s="60">
        <v>0</v>
      </c>
      <c r="P103" s="60">
        <v>3.35</v>
      </c>
      <c r="Q103" s="60">
        <v>3.24</v>
      </c>
      <c r="R103" s="197"/>
      <c r="S103" s="197"/>
      <c r="T103" s="197"/>
      <c r="U103" s="197"/>
    </row>
    <row r="104" spans="1:33" s="12" customFormat="1" x14ac:dyDescent="0.25">
      <c r="A104" s="200" t="s">
        <v>1687</v>
      </c>
      <c r="B104" s="60">
        <v>2.11</v>
      </c>
      <c r="C104" s="60">
        <v>8.16</v>
      </c>
      <c r="D104" s="60">
        <v>10.27</v>
      </c>
      <c r="E104" s="60">
        <v>1.6</v>
      </c>
      <c r="F104" s="60">
        <v>0.55000000000000004</v>
      </c>
      <c r="G104" s="215" t="s">
        <v>36</v>
      </c>
      <c r="H104" s="60">
        <v>1.65</v>
      </c>
      <c r="I104" s="60">
        <v>2.59</v>
      </c>
      <c r="J104" s="60">
        <v>2.27</v>
      </c>
      <c r="K104" s="60">
        <v>159.07</v>
      </c>
      <c r="L104" s="60">
        <v>39.19</v>
      </c>
      <c r="M104" s="60">
        <v>93.7</v>
      </c>
      <c r="N104" s="60">
        <v>15.3</v>
      </c>
      <c r="O104" s="60">
        <v>0</v>
      </c>
      <c r="P104" s="60">
        <v>3.35</v>
      </c>
      <c r="Q104" s="60">
        <v>3.19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5" t="s">
        <v>59</v>
      </c>
      <c r="B106" s="67">
        <f>MIN(B9:B104)</f>
        <v>0.79</v>
      </c>
      <c r="C106" s="67">
        <f>MIN(C9:C104)</f>
        <v>8.16</v>
      </c>
      <c r="D106" s="67">
        <f t="shared" ref="D106:Q106" si="0">MIN(D9:D104)</f>
        <v>9.99</v>
      </c>
      <c r="E106" s="67">
        <f t="shared" si="0"/>
        <v>0.35</v>
      </c>
      <c r="F106" s="67">
        <f t="shared" si="0"/>
        <v>0.15</v>
      </c>
      <c r="G106" s="67">
        <f t="shared" si="0"/>
        <v>0</v>
      </c>
      <c r="H106" s="67">
        <f t="shared" si="0"/>
        <v>1.24</v>
      </c>
      <c r="I106" s="67">
        <f t="shared" si="0"/>
        <v>1.73</v>
      </c>
      <c r="J106" s="67">
        <f t="shared" si="0"/>
        <v>0.02</v>
      </c>
      <c r="K106" s="67">
        <f t="shared" si="0"/>
        <v>0.25</v>
      </c>
      <c r="L106" s="67">
        <f t="shared" si="0"/>
        <v>29.31</v>
      </c>
      <c r="M106" s="67">
        <f t="shared" si="0"/>
        <v>86.34</v>
      </c>
      <c r="N106" s="67">
        <f t="shared" si="0"/>
        <v>15.1</v>
      </c>
      <c r="O106" s="67">
        <f t="shared" si="0"/>
        <v>0</v>
      </c>
      <c r="P106" s="67">
        <f t="shared" si="0"/>
        <v>3.35</v>
      </c>
      <c r="Q106" s="67">
        <f t="shared" si="0"/>
        <v>2.27</v>
      </c>
      <c r="R106" s="198"/>
      <c r="S106" s="198"/>
      <c r="T106" s="198"/>
      <c r="U106" s="198"/>
    </row>
    <row r="107" spans="1:33" x14ac:dyDescent="0.25">
      <c r="A107" s="65" t="s">
        <v>60</v>
      </c>
      <c r="B107" s="66">
        <f>MAX(B9:B104)</f>
        <v>3.44</v>
      </c>
      <c r="C107" s="66">
        <f t="shared" ref="C107:Q107" si="1">MAX(C9:C104)</f>
        <v>19.54</v>
      </c>
      <c r="D107" s="66">
        <f t="shared" si="1"/>
        <v>22.26</v>
      </c>
      <c r="E107" s="66">
        <f t="shared" si="1"/>
        <v>5.68</v>
      </c>
      <c r="F107" s="66">
        <f t="shared" si="1"/>
        <v>2.1800000000000002</v>
      </c>
      <c r="G107" s="66">
        <f t="shared" si="1"/>
        <v>0</v>
      </c>
      <c r="H107" s="66">
        <f t="shared" si="1"/>
        <v>5.44</v>
      </c>
      <c r="I107" s="66">
        <f t="shared" si="1"/>
        <v>8.83</v>
      </c>
      <c r="J107" s="66">
        <f t="shared" si="1"/>
        <v>2.31</v>
      </c>
      <c r="K107" s="66">
        <f t="shared" si="1"/>
        <v>359.66</v>
      </c>
      <c r="L107" s="66">
        <f t="shared" si="1"/>
        <v>62.54</v>
      </c>
      <c r="M107" s="66">
        <f t="shared" si="1"/>
        <v>99.15</v>
      </c>
      <c r="N107" s="66">
        <f t="shared" si="1"/>
        <v>207</v>
      </c>
      <c r="O107" s="66">
        <f t="shared" si="1"/>
        <v>6</v>
      </c>
      <c r="P107" s="66">
        <f t="shared" si="1"/>
        <v>4.3499999999999996</v>
      </c>
      <c r="Q107" s="66">
        <f t="shared" si="1"/>
        <v>6.32</v>
      </c>
      <c r="R107" s="199"/>
      <c r="S107" s="199"/>
      <c r="T107" s="199"/>
      <c r="U107" s="199"/>
    </row>
    <row r="108" spans="1:33" x14ac:dyDescent="0.25">
      <c r="A108" s="65" t="s">
        <v>61</v>
      </c>
      <c r="B108" s="67">
        <f>AVERAGE(B9:B104)</f>
        <v>1.7873958333333333</v>
      </c>
      <c r="C108" s="67">
        <f t="shared" ref="C108:Q108" si="2">AVERAGE(C9:C104)</f>
        <v>12.184062499999998</v>
      </c>
      <c r="D108" s="67">
        <f t="shared" si="2"/>
        <v>13.971354166666666</v>
      </c>
      <c r="E108" s="67">
        <f t="shared" si="2"/>
        <v>2.8488541666666669</v>
      </c>
      <c r="F108" s="67">
        <f t="shared" si="2"/>
        <v>0.8153125</v>
      </c>
      <c r="G108" s="67" t="e">
        <f t="shared" si="2"/>
        <v>#DIV/0!</v>
      </c>
      <c r="H108" s="67">
        <f t="shared" si="2"/>
        <v>2.9472916666666671</v>
      </c>
      <c r="I108" s="67">
        <f t="shared" si="2"/>
        <v>3.3591666666666682</v>
      </c>
      <c r="J108" s="67">
        <f t="shared" si="2"/>
        <v>0.6462500000000001</v>
      </c>
      <c r="K108" s="67">
        <f t="shared" si="2"/>
        <v>151.98218749999998</v>
      </c>
      <c r="L108" s="67">
        <f t="shared" si="2"/>
        <v>35.025729166666672</v>
      </c>
      <c r="M108" s="67">
        <f t="shared" si="2"/>
        <v>95.949687500000039</v>
      </c>
      <c r="N108" s="67">
        <f t="shared" si="2"/>
        <v>51.083333333333371</v>
      </c>
      <c r="O108" s="67">
        <f t="shared" si="2"/>
        <v>0.4479166666666668</v>
      </c>
      <c r="P108" s="67">
        <f t="shared" si="2"/>
        <v>3.6054166666666667</v>
      </c>
      <c r="Q108" s="67">
        <f t="shared" si="2"/>
        <v>3.8905208333333339</v>
      </c>
      <c r="R108" s="198"/>
      <c r="S108" s="198"/>
      <c r="T108" s="198"/>
      <c r="U108" s="198"/>
    </row>
    <row r="109" spans="1:33" x14ac:dyDescent="0.25">
      <c r="A109" s="65" t="s">
        <v>77</v>
      </c>
      <c r="B109" s="67">
        <f>STDEV(B9:B104)</f>
        <v>0.58783321084464901</v>
      </c>
      <c r="C109" s="67">
        <f t="shared" ref="C109:Q109" si="3">STDEV(C9:C104)</f>
        <v>3.2765156647444678</v>
      </c>
      <c r="D109" s="67">
        <f t="shared" si="3"/>
        <v>3.5642111756775297</v>
      </c>
      <c r="E109" s="67">
        <f t="shared" si="3"/>
        <v>1.1850488506845496</v>
      </c>
      <c r="F109" s="67">
        <f t="shared" si="3"/>
        <v>0.43766354086215586</v>
      </c>
      <c r="G109" s="67" t="e">
        <f t="shared" si="3"/>
        <v>#DIV/0!</v>
      </c>
      <c r="H109" s="67">
        <f t="shared" si="3"/>
        <v>1.2338774819044509</v>
      </c>
      <c r="I109" s="67">
        <f t="shared" si="3"/>
        <v>1.752860319091512</v>
      </c>
      <c r="J109" s="67">
        <f t="shared" si="3"/>
        <v>0.61524364022889766</v>
      </c>
      <c r="K109" s="67">
        <f t="shared" si="3"/>
        <v>84.433804532284725</v>
      </c>
      <c r="L109" s="67">
        <f t="shared" si="3"/>
        <v>6.1837710764449616</v>
      </c>
      <c r="M109" s="67">
        <f t="shared" si="3"/>
        <v>3.8635419945201912</v>
      </c>
      <c r="N109" s="67">
        <f t="shared" si="3"/>
        <v>49.0557978045981</v>
      </c>
      <c r="O109" s="67">
        <f t="shared" si="3"/>
        <v>1.0201113630297705</v>
      </c>
      <c r="P109" s="67">
        <f t="shared" si="3"/>
        <v>0.30755373229017058</v>
      </c>
      <c r="Q109" s="67">
        <f t="shared" si="3"/>
        <v>1.1809802973459378</v>
      </c>
      <c r="R109" s="198"/>
      <c r="S109" s="198"/>
      <c r="T109" s="198"/>
      <c r="U109" s="198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COUNT(G9:G104)+96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9"/>
      <c r="S110" s="199"/>
      <c r="T110" s="199"/>
      <c r="U110" s="199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218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F110" sqref="F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16-08-2022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234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1688</v>
      </c>
      <c r="B9" s="60">
        <v>1.94</v>
      </c>
      <c r="C9" s="60">
        <v>8.09</v>
      </c>
      <c r="D9" s="60">
        <v>10.02</v>
      </c>
      <c r="E9" s="60">
        <v>3.57</v>
      </c>
      <c r="F9" s="60">
        <v>0.53</v>
      </c>
      <c r="G9" s="215" t="s">
        <v>36</v>
      </c>
      <c r="H9" s="60">
        <v>1.65</v>
      </c>
      <c r="I9" s="60">
        <v>2.54</v>
      </c>
      <c r="J9" s="60">
        <v>1.85</v>
      </c>
      <c r="K9" s="60">
        <v>159.72</v>
      </c>
      <c r="L9" s="60">
        <v>39.82</v>
      </c>
      <c r="M9" s="60">
        <v>94.68</v>
      </c>
      <c r="N9" s="60">
        <v>15.4</v>
      </c>
      <c r="O9" s="60">
        <v>0</v>
      </c>
      <c r="P9" s="60">
        <v>3.34</v>
      </c>
      <c r="Q9" s="60">
        <v>3.06</v>
      </c>
      <c r="R9" s="197"/>
      <c r="S9" s="197"/>
      <c r="T9" s="197"/>
      <c r="U9" s="197"/>
    </row>
    <row r="10" spans="1:21" s="12" customFormat="1" x14ac:dyDescent="0.25">
      <c r="A10" s="200" t="s">
        <v>1689</v>
      </c>
      <c r="B10" s="60">
        <v>1.78</v>
      </c>
      <c r="C10" s="60">
        <v>7.97</v>
      </c>
      <c r="D10" s="60">
        <v>9.75</v>
      </c>
      <c r="E10" s="60">
        <v>3.86</v>
      </c>
      <c r="F10" s="60">
        <v>0.3</v>
      </c>
      <c r="G10" s="215" t="s">
        <v>36</v>
      </c>
      <c r="H10" s="60">
        <v>1.64</v>
      </c>
      <c r="I10" s="60">
        <v>2.52</v>
      </c>
      <c r="J10" s="60">
        <v>1.66</v>
      </c>
      <c r="K10" s="60">
        <v>163.62</v>
      </c>
      <c r="L10" s="60">
        <v>37.47</v>
      </c>
      <c r="M10" s="60">
        <v>95.21</v>
      </c>
      <c r="N10" s="60">
        <v>14.9</v>
      </c>
      <c r="O10" s="60">
        <v>0</v>
      </c>
      <c r="P10" s="60">
        <v>3.34</v>
      </c>
      <c r="Q10" s="60">
        <v>2.87</v>
      </c>
      <c r="R10" s="197"/>
      <c r="S10" s="197"/>
      <c r="T10" s="197"/>
      <c r="U10" s="197"/>
    </row>
    <row r="11" spans="1:21" s="12" customFormat="1" x14ac:dyDescent="0.25">
      <c r="A11" s="200" t="s">
        <v>1690</v>
      </c>
      <c r="B11" s="60">
        <v>1.68</v>
      </c>
      <c r="C11" s="60">
        <v>7.66</v>
      </c>
      <c r="D11" s="60">
        <v>9.34</v>
      </c>
      <c r="E11" s="60">
        <v>4.22</v>
      </c>
      <c r="F11" s="60">
        <v>0.3</v>
      </c>
      <c r="G11" s="215" t="s">
        <v>36</v>
      </c>
      <c r="H11" s="60">
        <v>1.64</v>
      </c>
      <c r="I11" s="60">
        <v>2.5299999999999998</v>
      </c>
      <c r="J11" s="60">
        <v>1.78</v>
      </c>
      <c r="K11" s="60">
        <v>160.37</v>
      </c>
      <c r="L11" s="60">
        <v>35.97</v>
      </c>
      <c r="M11" s="60">
        <v>94.73</v>
      </c>
      <c r="N11" s="60">
        <v>15</v>
      </c>
      <c r="O11" s="60">
        <v>0</v>
      </c>
      <c r="P11" s="60">
        <v>3.34</v>
      </c>
      <c r="Q11" s="60">
        <v>2.76</v>
      </c>
      <c r="R11" s="197"/>
      <c r="S11" s="197"/>
      <c r="T11" s="197"/>
      <c r="U11" s="197"/>
    </row>
    <row r="12" spans="1:21" s="12" customFormat="1" x14ac:dyDescent="0.25">
      <c r="A12" s="200" t="s">
        <v>1691</v>
      </c>
      <c r="B12" s="60">
        <v>1.62</v>
      </c>
      <c r="C12" s="60">
        <v>7.5</v>
      </c>
      <c r="D12" s="60">
        <v>9.1199999999999992</v>
      </c>
      <c r="E12" s="60">
        <v>4.68</v>
      </c>
      <c r="F12" s="60">
        <v>0.42</v>
      </c>
      <c r="G12" s="215" t="s">
        <v>36</v>
      </c>
      <c r="H12" s="60">
        <v>1.64</v>
      </c>
      <c r="I12" s="60">
        <v>2.4900000000000002</v>
      </c>
      <c r="J12" s="60">
        <v>1.61</v>
      </c>
      <c r="K12" s="60">
        <v>163.38</v>
      </c>
      <c r="L12" s="60">
        <v>36.64</v>
      </c>
      <c r="M12" s="60">
        <v>93.94</v>
      </c>
      <c r="N12" s="60">
        <v>14.7</v>
      </c>
      <c r="O12" s="60">
        <v>0</v>
      </c>
      <c r="P12" s="60">
        <v>3.34</v>
      </c>
      <c r="Q12" s="60">
        <v>2.58</v>
      </c>
      <c r="R12" s="197"/>
      <c r="S12" s="197"/>
      <c r="T12" s="197"/>
      <c r="U12" s="197"/>
    </row>
    <row r="13" spans="1:21" s="12" customFormat="1" x14ac:dyDescent="0.25">
      <c r="A13" s="200" t="s">
        <v>1692</v>
      </c>
      <c r="B13" s="60">
        <v>1.78</v>
      </c>
      <c r="C13" s="60">
        <v>7.64</v>
      </c>
      <c r="D13" s="60">
        <v>9.41</v>
      </c>
      <c r="E13" s="60">
        <v>4.62</v>
      </c>
      <c r="F13" s="60">
        <v>0.32</v>
      </c>
      <c r="G13" s="215" t="s">
        <v>36</v>
      </c>
      <c r="H13" s="60">
        <v>1.63</v>
      </c>
      <c r="I13" s="60">
        <v>2.4300000000000002</v>
      </c>
      <c r="J13" s="60">
        <v>1.5</v>
      </c>
      <c r="K13" s="60">
        <v>162.41</v>
      </c>
      <c r="L13" s="60">
        <v>39.22</v>
      </c>
      <c r="M13" s="60">
        <v>93.99</v>
      </c>
      <c r="N13" s="60">
        <v>15.3</v>
      </c>
      <c r="O13" s="60">
        <v>0</v>
      </c>
      <c r="P13" s="60">
        <v>3.33</v>
      </c>
      <c r="Q13" s="60">
        <v>2.62</v>
      </c>
      <c r="R13" s="197"/>
      <c r="S13" s="197"/>
      <c r="T13" s="197"/>
      <c r="U13" s="197"/>
    </row>
    <row r="14" spans="1:21" s="12" customFormat="1" x14ac:dyDescent="0.25">
      <c r="A14" s="200" t="s">
        <v>1693</v>
      </c>
      <c r="B14" s="60">
        <v>1.82</v>
      </c>
      <c r="C14" s="60">
        <v>7.75</v>
      </c>
      <c r="D14" s="60">
        <v>9.58</v>
      </c>
      <c r="E14" s="60">
        <v>5.26</v>
      </c>
      <c r="F14" s="60">
        <v>0.13</v>
      </c>
      <c r="G14" s="215" t="s">
        <v>36</v>
      </c>
      <c r="H14" s="60">
        <v>1.63</v>
      </c>
      <c r="I14" s="60">
        <v>2.44</v>
      </c>
      <c r="J14" s="60">
        <v>1.06</v>
      </c>
      <c r="K14" s="60">
        <v>162.65</v>
      </c>
      <c r="L14" s="60">
        <v>34.83</v>
      </c>
      <c r="M14" s="60">
        <v>94.98</v>
      </c>
      <c r="N14" s="60">
        <v>15.4</v>
      </c>
      <c r="O14" s="60">
        <v>0</v>
      </c>
      <c r="P14" s="60">
        <v>3.34</v>
      </c>
      <c r="Q14" s="60">
        <v>2.65</v>
      </c>
      <c r="R14" s="197"/>
      <c r="S14" s="197"/>
      <c r="T14" s="197"/>
      <c r="U14" s="197"/>
    </row>
    <row r="15" spans="1:21" s="12" customFormat="1" x14ac:dyDescent="0.25">
      <c r="A15" s="200" t="s">
        <v>1694</v>
      </c>
      <c r="B15" s="60">
        <v>2.4500000000000002</v>
      </c>
      <c r="C15" s="60">
        <v>7.96</v>
      </c>
      <c r="D15" s="60">
        <v>10.41</v>
      </c>
      <c r="E15" s="60">
        <v>5.0199999999999996</v>
      </c>
      <c r="F15" s="60">
        <v>0.35</v>
      </c>
      <c r="G15" s="215" t="s">
        <v>36</v>
      </c>
      <c r="H15" s="60">
        <v>1.63</v>
      </c>
      <c r="I15" s="60">
        <v>2.5</v>
      </c>
      <c r="J15" s="60">
        <v>1.22</v>
      </c>
      <c r="K15" s="60">
        <v>160.15</v>
      </c>
      <c r="L15" s="60">
        <v>34.78</v>
      </c>
      <c r="M15" s="60">
        <v>95.26</v>
      </c>
      <c r="N15" s="60">
        <v>15.3</v>
      </c>
      <c r="O15" s="60">
        <v>0</v>
      </c>
      <c r="P15" s="60">
        <v>3.33</v>
      </c>
      <c r="Q15" s="60">
        <v>3.14</v>
      </c>
      <c r="R15" s="197"/>
      <c r="S15" s="197"/>
      <c r="T15" s="197"/>
      <c r="U15" s="197"/>
    </row>
    <row r="16" spans="1:21" s="12" customFormat="1" x14ac:dyDescent="0.25">
      <c r="A16" s="200" t="s">
        <v>1695</v>
      </c>
      <c r="B16" s="60">
        <v>3.09</v>
      </c>
      <c r="C16" s="60">
        <v>8.23</v>
      </c>
      <c r="D16" s="60">
        <v>11.32</v>
      </c>
      <c r="E16" s="60">
        <v>5.28</v>
      </c>
      <c r="F16" s="60">
        <v>0.27</v>
      </c>
      <c r="G16" s="215" t="s">
        <v>36</v>
      </c>
      <c r="H16" s="60">
        <v>1.63</v>
      </c>
      <c r="I16" s="60">
        <v>2.5099999999999998</v>
      </c>
      <c r="J16" s="60">
        <v>0.92</v>
      </c>
      <c r="K16" s="60">
        <v>165.38</v>
      </c>
      <c r="L16" s="60">
        <v>32.56</v>
      </c>
      <c r="M16" s="60">
        <v>95.46</v>
      </c>
      <c r="N16" s="60">
        <v>15.3</v>
      </c>
      <c r="O16" s="60">
        <v>0</v>
      </c>
      <c r="P16" s="60">
        <v>3.34</v>
      </c>
      <c r="Q16" s="60">
        <v>3.6</v>
      </c>
      <c r="R16" s="197"/>
      <c r="S16" s="197"/>
      <c r="T16" s="197"/>
      <c r="U16" s="197"/>
    </row>
    <row r="17" spans="1:21" s="12" customFormat="1" x14ac:dyDescent="0.25">
      <c r="A17" s="200" t="s">
        <v>1696</v>
      </c>
      <c r="B17" s="60">
        <v>3.15</v>
      </c>
      <c r="C17" s="60">
        <v>8.02</v>
      </c>
      <c r="D17" s="60">
        <v>11.18</v>
      </c>
      <c r="E17" s="60">
        <v>5.24</v>
      </c>
      <c r="F17" s="60">
        <v>0.34</v>
      </c>
      <c r="G17" s="215" t="s">
        <v>36</v>
      </c>
      <c r="H17" s="60">
        <v>1.63</v>
      </c>
      <c r="I17" s="60">
        <v>2.56</v>
      </c>
      <c r="J17" s="60">
        <v>0.95</v>
      </c>
      <c r="K17" s="60">
        <v>162.34</v>
      </c>
      <c r="L17" s="60">
        <v>37.43</v>
      </c>
      <c r="M17" s="60">
        <v>94.96</v>
      </c>
      <c r="N17" s="60">
        <v>15.2</v>
      </c>
      <c r="O17" s="60">
        <v>0</v>
      </c>
      <c r="P17" s="60">
        <v>3.33</v>
      </c>
      <c r="Q17" s="60">
        <v>3.62</v>
      </c>
      <c r="R17" s="197"/>
      <c r="S17" s="197"/>
      <c r="T17" s="197"/>
      <c r="U17" s="197"/>
    </row>
    <row r="18" spans="1:21" s="12" customFormat="1" x14ac:dyDescent="0.25">
      <c r="A18" s="200" t="s">
        <v>1697</v>
      </c>
      <c r="B18" s="60">
        <v>3.09</v>
      </c>
      <c r="C18" s="60">
        <v>8.2100000000000009</v>
      </c>
      <c r="D18" s="60">
        <v>11.3</v>
      </c>
      <c r="E18" s="60">
        <v>5.45</v>
      </c>
      <c r="F18" s="60">
        <v>0.26</v>
      </c>
      <c r="G18" s="215" t="s">
        <v>36</v>
      </c>
      <c r="H18" s="60">
        <v>1.62</v>
      </c>
      <c r="I18" s="60">
        <v>2.61</v>
      </c>
      <c r="J18" s="60">
        <v>0.68</v>
      </c>
      <c r="K18" s="60">
        <v>185.76</v>
      </c>
      <c r="L18" s="60">
        <v>36.5</v>
      </c>
      <c r="M18" s="60">
        <v>93.67</v>
      </c>
      <c r="N18" s="60">
        <v>15</v>
      </c>
      <c r="O18" s="60">
        <v>0</v>
      </c>
      <c r="P18" s="60">
        <v>3.33</v>
      </c>
      <c r="Q18" s="60">
        <v>3.58</v>
      </c>
      <c r="R18" s="197"/>
      <c r="S18" s="197"/>
      <c r="T18" s="197"/>
      <c r="U18" s="197"/>
    </row>
    <row r="19" spans="1:21" s="12" customFormat="1" x14ac:dyDescent="0.25">
      <c r="A19" s="200" t="s">
        <v>1698</v>
      </c>
      <c r="B19" s="60">
        <v>2.98</v>
      </c>
      <c r="C19" s="60">
        <v>7.9</v>
      </c>
      <c r="D19" s="60">
        <v>10.89</v>
      </c>
      <c r="E19" s="60">
        <v>5.5</v>
      </c>
      <c r="F19" s="60">
        <v>0.31</v>
      </c>
      <c r="G19" s="215" t="s">
        <v>36</v>
      </c>
      <c r="H19" s="60">
        <v>1.62</v>
      </c>
      <c r="I19" s="60">
        <v>2.62</v>
      </c>
      <c r="J19" s="60">
        <v>0.53</v>
      </c>
      <c r="K19" s="60">
        <v>185.05</v>
      </c>
      <c r="L19" s="60">
        <v>36.4</v>
      </c>
      <c r="M19" s="60">
        <v>92.31</v>
      </c>
      <c r="N19" s="60">
        <v>15.1</v>
      </c>
      <c r="O19" s="60">
        <v>0</v>
      </c>
      <c r="P19" s="60">
        <v>3.34</v>
      </c>
      <c r="Q19" s="60">
        <v>3.48</v>
      </c>
      <c r="R19" s="197"/>
      <c r="S19" s="197"/>
      <c r="T19" s="197"/>
      <c r="U19" s="197"/>
    </row>
    <row r="20" spans="1:21" s="12" customFormat="1" x14ac:dyDescent="0.25">
      <c r="A20" s="200" t="s">
        <v>1699</v>
      </c>
      <c r="B20" s="60">
        <v>2.88</v>
      </c>
      <c r="C20" s="60">
        <v>7.52</v>
      </c>
      <c r="D20" s="60">
        <v>10.4</v>
      </c>
      <c r="E20" s="60">
        <v>5.36</v>
      </c>
      <c r="F20" s="60">
        <v>0.52</v>
      </c>
      <c r="G20" s="215" t="s">
        <v>36</v>
      </c>
      <c r="H20" s="60">
        <v>1.62</v>
      </c>
      <c r="I20" s="60">
        <v>2.69</v>
      </c>
      <c r="J20" s="60">
        <v>0.68</v>
      </c>
      <c r="K20" s="60">
        <v>182.05</v>
      </c>
      <c r="L20" s="60">
        <v>39.6</v>
      </c>
      <c r="M20" s="60">
        <v>91.49</v>
      </c>
      <c r="N20" s="60">
        <v>15.2</v>
      </c>
      <c r="O20" s="60">
        <v>0</v>
      </c>
      <c r="P20" s="60">
        <v>3.34</v>
      </c>
      <c r="Q20" s="60">
        <v>3.41</v>
      </c>
      <c r="R20" s="197"/>
      <c r="S20" s="197"/>
      <c r="T20" s="197"/>
      <c r="U20" s="197"/>
    </row>
    <row r="21" spans="1:21" s="12" customFormat="1" x14ac:dyDescent="0.25">
      <c r="A21" s="200" t="s">
        <v>1700</v>
      </c>
      <c r="B21" s="60">
        <v>2.75</v>
      </c>
      <c r="C21" s="60">
        <v>7.44</v>
      </c>
      <c r="D21" s="60">
        <v>10.19</v>
      </c>
      <c r="E21" s="60">
        <v>5.28</v>
      </c>
      <c r="F21" s="60">
        <v>0.41</v>
      </c>
      <c r="G21" s="215" t="s">
        <v>36</v>
      </c>
      <c r="H21" s="60">
        <v>1.61</v>
      </c>
      <c r="I21" s="60">
        <v>2.71</v>
      </c>
      <c r="J21" s="60">
        <v>0.56000000000000005</v>
      </c>
      <c r="K21" s="60">
        <v>185.25</v>
      </c>
      <c r="L21" s="60">
        <v>41.99</v>
      </c>
      <c r="M21" s="60">
        <v>91.48</v>
      </c>
      <c r="N21" s="60">
        <v>15.4</v>
      </c>
      <c r="O21" s="60">
        <v>0</v>
      </c>
      <c r="P21" s="60">
        <v>3.34</v>
      </c>
      <c r="Q21" s="60">
        <v>3.36</v>
      </c>
      <c r="R21" s="197"/>
      <c r="S21" s="197"/>
      <c r="T21" s="197"/>
      <c r="U21" s="197"/>
    </row>
    <row r="22" spans="1:21" s="12" customFormat="1" x14ac:dyDescent="0.25">
      <c r="A22" s="200" t="s">
        <v>1701</v>
      </c>
      <c r="B22" s="60">
        <v>2.54</v>
      </c>
      <c r="C22" s="60">
        <v>7.4</v>
      </c>
      <c r="D22" s="60">
        <v>9.94</v>
      </c>
      <c r="E22" s="60">
        <v>5.59</v>
      </c>
      <c r="F22" s="60">
        <v>0.37</v>
      </c>
      <c r="G22" s="215" t="s">
        <v>36</v>
      </c>
      <c r="H22" s="60">
        <v>1.58</v>
      </c>
      <c r="I22" s="60">
        <v>2.7</v>
      </c>
      <c r="J22" s="60">
        <v>0.44</v>
      </c>
      <c r="K22" s="60">
        <v>196.93</v>
      </c>
      <c r="L22" s="60">
        <v>42.09</v>
      </c>
      <c r="M22" s="60">
        <v>91.57</v>
      </c>
      <c r="N22" s="60">
        <v>15.4</v>
      </c>
      <c r="O22" s="60">
        <v>0</v>
      </c>
      <c r="P22" s="60">
        <v>3.34</v>
      </c>
      <c r="Q22" s="60">
        <v>3.23</v>
      </c>
      <c r="R22" s="197"/>
      <c r="S22" s="197"/>
      <c r="T22" s="197"/>
      <c r="U22" s="197"/>
    </row>
    <row r="23" spans="1:21" s="12" customFormat="1" x14ac:dyDescent="0.25">
      <c r="A23" s="200" t="s">
        <v>1702</v>
      </c>
      <c r="B23" s="60">
        <v>2.38</v>
      </c>
      <c r="C23" s="60">
        <v>7.54</v>
      </c>
      <c r="D23" s="60">
        <v>9.91</v>
      </c>
      <c r="E23" s="60">
        <v>5.63</v>
      </c>
      <c r="F23" s="60">
        <v>0.38</v>
      </c>
      <c r="G23" s="215" t="s">
        <v>36</v>
      </c>
      <c r="H23" s="60">
        <v>1.58</v>
      </c>
      <c r="I23" s="60">
        <v>2.68</v>
      </c>
      <c r="J23" s="60">
        <v>0.43</v>
      </c>
      <c r="K23" s="60">
        <v>183.84</v>
      </c>
      <c r="L23" s="60">
        <v>41.3</v>
      </c>
      <c r="M23" s="60">
        <v>92</v>
      </c>
      <c r="N23" s="60">
        <v>15.4</v>
      </c>
      <c r="O23" s="60">
        <v>0</v>
      </c>
      <c r="P23" s="60">
        <v>3.33</v>
      </c>
      <c r="Q23" s="60">
        <v>3.16</v>
      </c>
      <c r="R23" s="197"/>
      <c r="S23" s="197"/>
      <c r="T23" s="197"/>
      <c r="U23" s="197"/>
    </row>
    <row r="24" spans="1:21" s="12" customFormat="1" x14ac:dyDescent="0.25">
      <c r="A24" s="200" t="s">
        <v>1703</v>
      </c>
      <c r="B24" s="60">
        <v>2.31</v>
      </c>
      <c r="C24" s="60">
        <v>7.42</v>
      </c>
      <c r="D24" s="60">
        <v>9.7200000000000006</v>
      </c>
      <c r="E24" s="60">
        <v>2.08</v>
      </c>
      <c r="F24" s="60">
        <v>0.17</v>
      </c>
      <c r="G24" s="215" t="s">
        <v>36</v>
      </c>
      <c r="H24" s="60">
        <v>1.58</v>
      </c>
      <c r="I24" s="60">
        <v>2.68</v>
      </c>
      <c r="J24" s="60">
        <v>0.53</v>
      </c>
      <c r="K24" s="60">
        <v>178.84</v>
      </c>
      <c r="L24" s="60">
        <v>40.43</v>
      </c>
      <c r="M24" s="60">
        <v>92.09</v>
      </c>
      <c r="N24" s="60">
        <v>15.3</v>
      </c>
      <c r="O24" s="60">
        <v>0</v>
      </c>
      <c r="P24" s="60">
        <v>3.33</v>
      </c>
      <c r="Q24" s="60">
        <v>3.12</v>
      </c>
      <c r="R24" s="197"/>
      <c r="S24" s="197"/>
      <c r="T24" s="197"/>
      <c r="U24" s="197"/>
    </row>
    <row r="25" spans="1:21" s="12" customFormat="1" x14ac:dyDescent="0.25">
      <c r="A25" s="200" t="s">
        <v>1704</v>
      </c>
      <c r="B25" s="60">
        <v>2.31</v>
      </c>
      <c r="C25" s="60">
        <v>7.24</v>
      </c>
      <c r="D25" s="60">
        <v>9.5500000000000007</v>
      </c>
      <c r="E25" s="60">
        <v>3.88</v>
      </c>
      <c r="F25" s="60">
        <v>0.32</v>
      </c>
      <c r="G25" s="215" t="s">
        <v>36</v>
      </c>
      <c r="H25" s="60">
        <v>1.57</v>
      </c>
      <c r="I25" s="60">
        <v>2.68</v>
      </c>
      <c r="J25" s="60">
        <v>0.45</v>
      </c>
      <c r="K25" s="60">
        <v>177.91</v>
      </c>
      <c r="L25" s="60">
        <v>41.38</v>
      </c>
      <c r="M25" s="60">
        <v>92.58</v>
      </c>
      <c r="N25" s="60">
        <v>15.2</v>
      </c>
      <c r="O25" s="60">
        <v>0</v>
      </c>
      <c r="P25" s="60">
        <v>3.34</v>
      </c>
      <c r="Q25" s="60">
        <v>3.09</v>
      </c>
      <c r="R25" s="197"/>
      <c r="S25" s="197"/>
      <c r="T25" s="197"/>
      <c r="U25" s="197"/>
    </row>
    <row r="26" spans="1:21" s="12" customFormat="1" x14ac:dyDescent="0.25">
      <c r="A26" s="200" t="s">
        <v>1705</v>
      </c>
      <c r="B26" s="60">
        <v>2.2999999999999998</v>
      </c>
      <c r="C26" s="60">
        <v>7.44</v>
      </c>
      <c r="D26" s="60">
        <v>9.74</v>
      </c>
      <c r="E26" s="60">
        <v>5.29</v>
      </c>
      <c r="F26" s="60">
        <v>0.22</v>
      </c>
      <c r="G26" s="215" t="s">
        <v>36</v>
      </c>
      <c r="H26" s="60">
        <v>1.56</v>
      </c>
      <c r="I26" s="60">
        <v>2.68</v>
      </c>
      <c r="J26" s="60">
        <v>0.46</v>
      </c>
      <c r="K26" s="60">
        <v>184.78</v>
      </c>
      <c r="L26" s="60">
        <v>37.590000000000003</v>
      </c>
      <c r="M26" s="60">
        <v>93.04</v>
      </c>
      <c r="N26" s="60">
        <v>14.9</v>
      </c>
      <c r="O26" s="60">
        <v>0</v>
      </c>
      <c r="P26" s="60">
        <v>3.34</v>
      </c>
      <c r="Q26" s="60">
        <v>3.22</v>
      </c>
      <c r="R26" s="197"/>
      <c r="S26" s="197"/>
      <c r="T26" s="197"/>
      <c r="U26" s="197"/>
    </row>
    <row r="27" spans="1:21" s="12" customFormat="1" x14ac:dyDescent="0.25">
      <c r="A27" s="200" t="s">
        <v>1706</v>
      </c>
      <c r="B27" s="60">
        <v>2.4500000000000002</v>
      </c>
      <c r="C27" s="60">
        <v>7.28</v>
      </c>
      <c r="D27" s="60">
        <v>9.7200000000000006</v>
      </c>
      <c r="E27" s="60">
        <v>5.68</v>
      </c>
      <c r="F27" s="60">
        <v>0.21</v>
      </c>
      <c r="G27" s="215" t="s">
        <v>36</v>
      </c>
      <c r="H27" s="60">
        <v>1.56</v>
      </c>
      <c r="I27" s="60">
        <v>2.67</v>
      </c>
      <c r="J27" s="60">
        <v>0.6</v>
      </c>
      <c r="K27" s="60">
        <v>162.97</v>
      </c>
      <c r="L27" s="60">
        <v>32.47</v>
      </c>
      <c r="M27" s="60">
        <v>93.46</v>
      </c>
      <c r="N27" s="60">
        <v>15</v>
      </c>
      <c r="O27" s="60">
        <v>0</v>
      </c>
      <c r="P27" s="60">
        <v>3.34</v>
      </c>
      <c r="Q27" s="60">
        <v>3.37</v>
      </c>
      <c r="R27" s="197"/>
      <c r="S27" s="197"/>
      <c r="T27" s="197"/>
      <c r="U27" s="197"/>
    </row>
    <row r="28" spans="1:21" s="12" customFormat="1" x14ac:dyDescent="0.25">
      <c r="A28" s="200" t="s">
        <v>1707</v>
      </c>
      <c r="B28" s="60">
        <v>2.7</v>
      </c>
      <c r="C28" s="60">
        <v>7.28</v>
      </c>
      <c r="D28" s="60">
        <v>9.98</v>
      </c>
      <c r="E28" s="60">
        <v>5.94</v>
      </c>
      <c r="F28" s="60">
        <v>0.35</v>
      </c>
      <c r="G28" s="215" t="s">
        <v>36</v>
      </c>
      <c r="H28" s="60">
        <v>1.56</v>
      </c>
      <c r="I28" s="60">
        <v>2.74</v>
      </c>
      <c r="J28" s="60">
        <v>0.59</v>
      </c>
      <c r="K28" s="60">
        <v>175</v>
      </c>
      <c r="L28" s="60">
        <v>32.53</v>
      </c>
      <c r="M28" s="60">
        <v>93.42</v>
      </c>
      <c r="N28" s="60">
        <v>15.1</v>
      </c>
      <c r="O28" s="60">
        <v>0</v>
      </c>
      <c r="P28" s="60">
        <v>3.33</v>
      </c>
      <c r="Q28" s="60">
        <v>3.58</v>
      </c>
      <c r="R28" s="197"/>
      <c r="S28" s="197"/>
      <c r="T28" s="197"/>
      <c r="U28" s="197"/>
    </row>
    <row r="29" spans="1:21" s="12" customFormat="1" x14ac:dyDescent="0.25">
      <c r="A29" s="200" t="s">
        <v>1708</v>
      </c>
      <c r="B29" s="60">
        <v>2.87</v>
      </c>
      <c r="C29" s="60">
        <v>7.48</v>
      </c>
      <c r="D29" s="60">
        <v>10.35</v>
      </c>
      <c r="E29" s="60">
        <v>6.11</v>
      </c>
      <c r="F29" s="60">
        <v>0.47</v>
      </c>
      <c r="G29" s="215" t="s">
        <v>36</v>
      </c>
      <c r="H29" s="60">
        <v>1.6</v>
      </c>
      <c r="I29" s="60">
        <v>2.77</v>
      </c>
      <c r="J29" s="60">
        <v>0.51</v>
      </c>
      <c r="K29" s="60">
        <v>186.72</v>
      </c>
      <c r="L29" s="60">
        <v>32.53</v>
      </c>
      <c r="M29" s="60">
        <v>93.99</v>
      </c>
      <c r="N29" s="60">
        <v>15</v>
      </c>
      <c r="O29" s="60">
        <v>0</v>
      </c>
      <c r="P29" s="60">
        <v>3.34</v>
      </c>
      <c r="Q29" s="60">
        <v>3.72</v>
      </c>
      <c r="R29" s="197"/>
      <c r="S29" s="197"/>
      <c r="T29" s="197"/>
      <c r="U29" s="197"/>
    </row>
    <row r="30" spans="1:21" s="12" customFormat="1" x14ac:dyDescent="0.25">
      <c r="A30" s="200" t="s">
        <v>1709</v>
      </c>
      <c r="B30" s="60">
        <v>3.1</v>
      </c>
      <c r="C30" s="60">
        <v>7.56</v>
      </c>
      <c r="D30" s="60">
        <v>10.66</v>
      </c>
      <c r="E30" s="60">
        <v>6.08</v>
      </c>
      <c r="F30" s="60">
        <v>0.25</v>
      </c>
      <c r="G30" s="215" t="s">
        <v>36</v>
      </c>
      <c r="H30" s="60">
        <v>1.72</v>
      </c>
      <c r="I30" s="60">
        <v>2.81</v>
      </c>
      <c r="J30" s="60">
        <v>0.53</v>
      </c>
      <c r="K30" s="60">
        <v>166.6</v>
      </c>
      <c r="L30" s="60">
        <v>32.46</v>
      </c>
      <c r="M30" s="60">
        <v>94.4</v>
      </c>
      <c r="N30" s="60">
        <v>15.5</v>
      </c>
      <c r="O30" s="60">
        <v>0</v>
      </c>
      <c r="P30" s="60">
        <v>3.34</v>
      </c>
      <c r="Q30" s="60">
        <v>3.84</v>
      </c>
      <c r="R30" s="197"/>
      <c r="S30" s="197"/>
      <c r="T30" s="197"/>
      <c r="U30" s="197"/>
    </row>
    <row r="31" spans="1:21" s="12" customFormat="1" x14ac:dyDescent="0.25">
      <c r="A31" s="200" t="s">
        <v>1710</v>
      </c>
      <c r="B31" s="60">
        <v>3.38</v>
      </c>
      <c r="C31" s="60">
        <v>7.66</v>
      </c>
      <c r="D31" s="60">
        <v>11.04</v>
      </c>
      <c r="E31" s="60">
        <v>5.71</v>
      </c>
      <c r="F31" s="60">
        <v>0.09</v>
      </c>
      <c r="G31" s="215" t="s">
        <v>36</v>
      </c>
      <c r="H31" s="60">
        <v>1.72</v>
      </c>
      <c r="I31" s="60">
        <v>2.87</v>
      </c>
      <c r="J31" s="60">
        <v>1.1200000000000001</v>
      </c>
      <c r="K31" s="60">
        <v>164.73</v>
      </c>
      <c r="L31" s="60">
        <v>32.54</v>
      </c>
      <c r="M31" s="60">
        <v>93.57</v>
      </c>
      <c r="N31" s="60">
        <v>22.9</v>
      </c>
      <c r="O31" s="60">
        <v>0</v>
      </c>
      <c r="P31" s="60">
        <v>3.34</v>
      </c>
      <c r="Q31" s="60">
        <v>4.0599999999999996</v>
      </c>
      <c r="R31" s="197"/>
      <c r="S31" s="197"/>
      <c r="T31" s="197"/>
      <c r="U31" s="197"/>
    </row>
    <row r="32" spans="1:21" s="12" customFormat="1" x14ac:dyDescent="0.25">
      <c r="A32" s="200" t="s">
        <v>1711</v>
      </c>
      <c r="B32" s="60">
        <v>3.63</v>
      </c>
      <c r="C32" s="60">
        <v>7.75</v>
      </c>
      <c r="D32" s="60">
        <v>11.37</v>
      </c>
      <c r="E32" s="60">
        <v>6.39</v>
      </c>
      <c r="F32" s="60">
        <v>0.21</v>
      </c>
      <c r="G32" s="215" t="s">
        <v>36</v>
      </c>
      <c r="H32" s="60">
        <v>1.72</v>
      </c>
      <c r="I32" s="60">
        <v>2.92</v>
      </c>
      <c r="J32" s="60">
        <v>1.01</v>
      </c>
      <c r="K32" s="60">
        <v>156.33000000000001</v>
      </c>
      <c r="L32" s="60">
        <v>32.5</v>
      </c>
      <c r="M32" s="60">
        <v>93.33</v>
      </c>
      <c r="N32" s="60">
        <v>34</v>
      </c>
      <c r="O32" s="60">
        <v>0</v>
      </c>
      <c r="P32" s="60">
        <v>3.34</v>
      </c>
      <c r="Q32" s="60">
        <v>4.1500000000000004</v>
      </c>
      <c r="R32" s="197"/>
      <c r="S32" s="197"/>
      <c r="T32" s="197"/>
      <c r="U32" s="197"/>
    </row>
    <row r="33" spans="1:21" s="12" customFormat="1" x14ac:dyDescent="0.25">
      <c r="A33" s="200" t="s">
        <v>1712</v>
      </c>
      <c r="B33" s="60">
        <v>3.87</v>
      </c>
      <c r="C33" s="60">
        <v>7.69</v>
      </c>
      <c r="D33" s="60">
        <v>11.56</v>
      </c>
      <c r="E33" s="60">
        <v>6.75</v>
      </c>
      <c r="F33" s="60">
        <v>0.28999999999999998</v>
      </c>
      <c r="G33" s="215" t="s">
        <v>36</v>
      </c>
      <c r="H33" s="60">
        <v>1.74</v>
      </c>
      <c r="I33" s="60">
        <v>3</v>
      </c>
      <c r="J33" s="60">
        <v>1.42</v>
      </c>
      <c r="K33" s="60">
        <v>154.22</v>
      </c>
      <c r="L33" s="60">
        <v>32.74</v>
      </c>
      <c r="M33" s="60">
        <v>92.39</v>
      </c>
      <c r="N33" s="60">
        <v>51.5</v>
      </c>
      <c r="O33" s="60">
        <v>0</v>
      </c>
      <c r="P33" s="60">
        <v>3.35</v>
      </c>
      <c r="Q33" s="60">
        <v>4.32</v>
      </c>
      <c r="R33" s="197"/>
      <c r="S33" s="197"/>
      <c r="T33" s="197"/>
      <c r="U33" s="197"/>
    </row>
    <row r="34" spans="1:21" s="12" customFormat="1" x14ac:dyDescent="0.25">
      <c r="A34" s="200" t="s">
        <v>1713</v>
      </c>
      <c r="B34" s="60">
        <v>4.12</v>
      </c>
      <c r="C34" s="60">
        <v>7.79</v>
      </c>
      <c r="D34" s="60">
        <v>11.91</v>
      </c>
      <c r="E34" s="60">
        <v>6.38</v>
      </c>
      <c r="F34" s="60">
        <v>0.2</v>
      </c>
      <c r="G34" s="215" t="s">
        <v>36</v>
      </c>
      <c r="H34" s="60">
        <v>1.8</v>
      </c>
      <c r="I34" s="60">
        <v>3.02</v>
      </c>
      <c r="J34" s="60">
        <v>1.64</v>
      </c>
      <c r="K34" s="60">
        <v>159.99</v>
      </c>
      <c r="L34" s="60">
        <v>33.08</v>
      </c>
      <c r="M34" s="60">
        <v>91.63</v>
      </c>
      <c r="N34" s="60">
        <v>62.7</v>
      </c>
      <c r="O34" s="60">
        <v>0</v>
      </c>
      <c r="P34" s="60">
        <v>3.35</v>
      </c>
      <c r="Q34" s="60">
        <v>4.4400000000000004</v>
      </c>
      <c r="R34" s="197"/>
      <c r="S34" s="197"/>
      <c r="T34" s="197"/>
      <c r="U34" s="197"/>
    </row>
    <row r="35" spans="1:21" s="12" customFormat="1" x14ac:dyDescent="0.25">
      <c r="A35" s="200" t="s">
        <v>1714</v>
      </c>
      <c r="B35" s="60">
        <v>4.1500000000000004</v>
      </c>
      <c r="C35" s="60">
        <v>7.93</v>
      </c>
      <c r="D35" s="60">
        <v>12.09</v>
      </c>
      <c r="E35" s="60">
        <v>6.79</v>
      </c>
      <c r="F35" s="60">
        <v>7.0000000000000007E-2</v>
      </c>
      <c r="G35" s="215" t="s">
        <v>36</v>
      </c>
      <c r="H35" s="60">
        <v>1.8</v>
      </c>
      <c r="I35" s="60">
        <v>3.07</v>
      </c>
      <c r="J35" s="60">
        <v>1.29</v>
      </c>
      <c r="K35" s="60">
        <v>161.29</v>
      </c>
      <c r="L35" s="60">
        <v>33.799999999999997</v>
      </c>
      <c r="M35" s="60">
        <v>91.51</v>
      </c>
      <c r="N35" s="60">
        <v>67.599999999999994</v>
      </c>
      <c r="O35" s="60">
        <v>0</v>
      </c>
      <c r="P35" s="60">
        <v>3.35</v>
      </c>
      <c r="Q35" s="60">
        <v>4.54</v>
      </c>
      <c r="R35" s="197"/>
      <c r="S35" s="197"/>
      <c r="T35" s="197"/>
      <c r="U35" s="197"/>
    </row>
    <row r="36" spans="1:21" s="12" customFormat="1" x14ac:dyDescent="0.25">
      <c r="A36" s="200" t="s">
        <v>1715</v>
      </c>
      <c r="B36" s="60">
        <v>4.1500000000000004</v>
      </c>
      <c r="C36" s="60">
        <v>8.14</v>
      </c>
      <c r="D36" s="60">
        <v>12.3</v>
      </c>
      <c r="E36" s="60">
        <v>6.76</v>
      </c>
      <c r="F36" s="60">
        <v>0.06</v>
      </c>
      <c r="G36" s="215" t="s">
        <v>36</v>
      </c>
      <c r="H36" s="60">
        <v>1.8</v>
      </c>
      <c r="I36" s="60">
        <v>3.16</v>
      </c>
      <c r="J36" s="60">
        <v>1.46</v>
      </c>
      <c r="K36" s="60">
        <v>157.11000000000001</v>
      </c>
      <c r="L36" s="60">
        <v>43.66</v>
      </c>
      <c r="M36" s="60">
        <v>89.85</v>
      </c>
      <c r="N36" s="60">
        <v>185.9</v>
      </c>
      <c r="O36" s="60">
        <v>0</v>
      </c>
      <c r="P36" s="60">
        <v>3.36</v>
      </c>
      <c r="Q36" s="60">
        <v>4.53</v>
      </c>
      <c r="R36" s="197"/>
      <c r="S36" s="197"/>
      <c r="T36" s="197"/>
      <c r="U36" s="197"/>
    </row>
    <row r="37" spans="1:21" s="12" customFormat="1" x14ac:dyDescent="0.25">
      <c r="A37" s="200" t="s">
        <v>1716</v>
      </c>
      <c r="B37" s="60">
        <v>4.42</v>
      </c>
      <c r="C37" s="60">
        <v>8.27</v>
      </c>
      <c r="D37" s="60">
        <v>12.69</v>
      </c>
      <c r="E37" s="60">
        <v>6.68</v>
      </c>
      <c r="F37" s="60">
        <v>0.15</v>
      </c>
      <c r="G37" s="215" t="s">
        <v>36</v>
      </c>
      <c r="H37" s="60">
        <v>1.92</v>
      </c>
      <c r="I37" s="60">
        <v>3.14</v>
      </c>
      <c r="J37" s="60">
        <v>0.94</v>
      </c>
      <c r="K37" s="60">
        <v>164.58</v>
      </c>
      <c r="L37" s="60">
        <v>45.49</v>
      </c>
      <c r="M37" s="60">
        <v>88.87</v>
      </c>
      <c r="N37" s="60">
        <v>201</v>
      </c>
      <c r="O37" s="60">
        <v>0</v>
      </c>
      <c r="P37" s="60">
        <v>3.36</v>
      </c>
      <c r="Q37" s="60">
        <v>4.66</v>
      </c>
      <c r="R37" s="197"/>
      <c r="S37" s="197"/>
      <c r="T37" s="197"/>
      <c r="U37" s="197"/>
    </row>
    <row r="38" spans="1:21" s="12" customFormat="1" x14ac:dyDescent="0.25">
      <c r="A38" s="200" t="s">
        <v>1717</v>
      </c>
      <c r="B38" s="60">
        <v>4.66</v>
      </c>
      <c r="C38" s="60">
        <v>8.5500000000000007</v>
      </c>
      <c r="D38" s="60">
        <v>13.21</v>
      </c>
      <c r="E38" s="60">
        <v>6.44</v>
      </c>
      <c r="F38" s="60">
        <v>0.3</v>
      </c>
      <c r="G38" s="215" t="s">
        <v>36</v>
      </c>
      <c r="H38" s="60">
        <v>2.2200000000000002</v>
      </c>
      <c r="I38" s="60">
        <v>3.13</v>
      </c>
      <c r="J38" s="60">
        <v>0.9</v>
      </c>
      <c r="K38" s="60">
        <v>174.4</v>
      </c>
      <c r="L38" s="60">
        <v>44.56</v>
      </c>
      <c r="M38" s="60">
        <v>86.03</v>
      </c>
      <c r="N38" s="60">
        <v>325</v>
      </c>
      <c r="O38" s="60">
        <v>0</v>
      </c>
      <c r="P38" s="60">
        <v>3.37</v>
      </c>
      <c r="Q38" s="60">
        <v>4.76</v>
      </c>
      <c r="R38" s="197"/>
      <c r="S38" s="197"/>
      <c r="T38" s="197"/>
      <c r="U38" s="197"/>
    </row>
    <row r="39" spans="1:21" s="12" customFormat="1" x14ac:dyDescent="0.25">
      <c r="A39" s="200" t="s">
        <v>1718</v>
      </c>
      <c r="B39" s="60">
        <v>4.75</v>
      </c>
      <c r="C39" s="60">
        <v>8.6</v>
      </c>
      <c r="D39" s="60">
        <v>13.35</v>
      </c>
      <c r="E39" s="60">
        <v>5.95</v>
      </c>
      <c r="F39" s="60">
        <v>0.36</v>
      </c>
      <c r="G39" s="215" t="s">
        <v>36</v>
      </c>
      <c r="H39" s="60">
        <v>2.2200000000000002</v>
      </c>
      <c r="I39" s="60">
        <v>3.18</v>
      </c>
      <c r="J39" s="60">
        <v>0.61</v>
      </c>
      <c r="K39" s="60">
        <v>202.93</v>
      </c>
      <c r="L39" s="60">
        <v>46.71</v>
      </c>
      <c r="M39" s="60">
        <v>84.51</v>
      </c>
      <c r="N39" s="60">
        <v>387</v>
      </c>
      <c r="O39" s="60">
        <v>0</v>
      </c>
      <c r="P39" s="60">
        <v>3.36</v>
      </c>
      <c r="Q39" s="60">
        <v>4.7699999999999996</v>
      </c>
      <c r="R39" s="197"/>
      <c r="S39" s="197"/>
      <c r="T39" s="197"/>
      <c r="U39" s="197"/>
    </row>
    <row r="40" spans="1:21" s="12" customFormat="1" x14ac:dyDescent="0.25">
      <c r="A40" s="200" t="s">
        <v>1719</v>
      </c>
      <c r="B40" s="60">
        <v>4.95</v>
      </c>
      <c r="C40" s="60">
        <v>9</v>
      </c>
      <c r="D40" s="60">
        <v>13.95</v>
      </c>
      <c r="E40" s="60">
        <v>1.48</v>
      </c>
      <c r="F40" s="60">
        <v>0.26</v>
      </c>
      <c r="G40" s="215" t="s">
        <v>36</v>
      </c>
      <c r="H40" s="60">
        <v>2.2200000000000002</v>
      </c>
      <c r="I40" s="60">
        <v>3.2</v>
      </c>
      <c r="J40" s="60">
        <v>0.73</v>
      </c>
      <c r="K40" s="60">
        <v>182.47</v>
      </c>
      <c r="L40" s="60">
        <v>48.08</v>
      </c>
      <c r="M40" s="60">
        <v>82.62</v>
      </c>
      <c r="N40" s="60">
        <v>443.3</v>
      </c>
      <c r="O40" s="60">
        <v>0</v>
      </c>
      <c r="P40" s="60">
        <v>3.37</v>
      </c>
      <c r="Q40" s="60">
        <v>4.8099999999999996</v>
      </c>
      <c r="R40" s="197"/>
      <c r="S40" s="197"/>
      <c r="T40" s="197"/>
      <c r="U40" s="197"/>
    </row>
    <row r="41" spans="1:21" s="12" customFormat="1" x14ac:dyDescent="0.25">
      <c r="A41" s="200" t="s">
        <v>1720</v>
      </c>
      <c r="B41" s="60">
        <v>5.65</v>
      </c>
      <c r="C41" s="60">
        <v>9.34</v>
      </c>
      <c r="D41" s="60">
        <v>14.99</v>
      </c>
      <c r="E41" s="60">
        <v>3.4</v>
      </c>
      <c r="F41" s="60">
        <v>0.57999999999999996</v>
      </c>
      <c r="G41" s="215" t="s">
        <v>36</v>
      </c>
      <c r="H41" s="60">
        <v>2.2200000000000002</v>
      </c>
      <c r="I41" s="60">
        <v>3.2</v>
      </c>
      <c r="J41" s="60">
        <v>0.53</v>
      </c>
      <c r="K41" s="60">
        <v>209.38</v>
      </c>
      <c r="L41" s="10" t="s">
        <v>43</v>
      </c>
      <c r="M41" s="60">
        <v>80.760000000000005</v>
      </c>
      <c r="N41" s="60">
        <v>507.4</v>
      </c>
      <c r="O41" s="60">
        <v>0</v>
      </c>
      <c r="P41" s="60">
        <v>3.36</v>
      </c>
      <c r="Q41" s="60">
        <v>5.27</v>
      </c>
      <c r="R41" s="197"/>
      <c r="S41" s="197"/>
      <c r="T41" s="197"/>
      <c r="U41" s="197"/>
    </row>
    <row r="42" spans="1:21" s="12" customFormat="1" x14ac:dyDescent="0.25">
      <c r="A42" s="200" t="s">
        <v>1721</v>
      </c>
      <c r="B42" s="60">
        <v>5.46</v>
      </c>
      <c r="C42" s="60">
        <v>9.85</v>
      </c>
      <c r="D42" s="60">
        <v>15.31</v>
      </c>
      <c r="E42" s="60">
        <v>3.68</v>
      </c>
      <c r="F42" s="60">
        <v>0.37</v>
      </c>
      <c r="G42" s="215" t="s">
        <v>36</v>
      </c>
      <c r="H42" s="60">
        <v>2.23</v>
      </c>
      <c r="I42" s="60">
        <v>3.19</v>
      </c>
      <c r="J42" s="60">
        <v>0.59</v>
      </c>
      <c r="K42" s="60">
        <v>183.1</v>
      </c>
      <c r="L42" s="10" t="s">
        <v>43</v>
      </c>
      <c r="M42" s="60">
        <v>79.41</v>
      </c>
      <c r="N42" s="60">
        <v>550.29999999999995</v>
      </c>
      <c r="O42" s="60">
        <v>0</v>
      </c>
      <c r="P42" s="60">
        <v>3.36</v>
      </c>
      <c r="Q42" s="60">
        <v>5.2</v>
      </c>
      <c r="R42" s="197"/>
      <c r="S42" s="197"/>
      <c r="T42" s="197"/>
      <c r="U42" s="197"/>
    </row>
    <row r="43" spans="1:21" s="12" customFormat="1" x14ac:dyDescent="0.25">
      <c r="A43" s="200" t="s">
        <v>1722</v>
      </c>
      <c r="B43" s="60">
        <v>5.5</v>
      </c>
      <c r="C43" s="60">
        <v>10.34</v>
      </c>
      <c r="D43" s="60">
        <v>15.84</v>
      </c>
      <c r="E43" s="60">
        <v>3.95</v>
      </c>
      <c r="F43" s="60">
        <v>0.35</v>
      </c>
      <c r="G43" s="215" t="s">
        <v>36</v>
      </c>
      <c r="H43" s="60">
        <v>2.23</v>
      </c>
      <c r="I43" s="60">
        <v>3.09</v>
      </c>
      <c r="J43" s="60">
        <v>0.77</v>
      </c>
      <c r="K43" s="60">
        <v>186.65</v>
      </c>
      <c r="L43" s="60">
        <v>48.29</v>
      </c>
      <c r="M43" s="60">
        <v>78.709999999999994</v>
      </c>
      <c r="N43" s="60">
        <v>565.20000000000005</v>
      </c>
      <c r="O43" s="60">
        <v>0</v>
      </c>
      <c r="P43" s="60">
        <v>3.37</v>
      </c>
      <c r="Q43" s="60">
        <v>5.21</v>
      </c>
      <c r="R43" s="197"/>
      <c r="S43" s="197"/>
      <c r="T43" s="197"/>
      <c r="U43" s="197"/>
    </row>
    <row r="44" spans="1:21" s="12" customFormat="1" x14ac:dyDescent="0.25">
      <c r="A44" s="200" t="s">
        <v>1723</v>
      </c>
      <c r="B44" s="60">
        <v>5.61</v>
      </c>
      <c r="C44" s="60">
        <v>11.07</v>
      </c>
      <c r="D44" s="60">
        <v>16.68</v>
      </c>
      <c r="E44" s="60">
        <v>3.93</v>
      </c>
      <c r="F44" s="60">
        <v>0.16</v>
      </c>
      <c r="G44" s="215" t="s">
        <v>36</v>
      </c>
      <c r="H44" s="60">
        <v>2.23</v>
      </c>
      <c r="I44" s="60">
        <v>3.05</v>
      </c>
      <c r="J44" s="60">
        <v>0.53</v>
      </c>
      <c r="K44" s="60">
        <v>203.52</v>
      </c>
      <c r="L44" s="60">
        <v>47.85</v>
      </c>
      <c r="M44" s="60">
        <v>78.260000000000005</v>
      </c>
      <c r="N44" s="60">
        <v>542</v>
      </c>
      <c r="O44" s="60">
        <v>0</v>
      </c>
      <c r="P44" s="60">
        <v>3.37</v>
      </c>
      <c r="Q44" s="60">
        <v>5.33</v>
      </c>
      <c r="R44" s="197"/>
      <c r="S44" s="197"/>
      <c r="T44" s="197"/>
      <c r="U44" s="197"/>
    </row>
    <row r="45" spans="1:21" s="12" customFormat="1" x14ac:dyDescent="0.25">
      <c r="A45" s="200" t="s">
        <v>1724</v>
      </c>
      <c r="B45" s="60">
        <v>4.84</v>
      </c>
      <c r="C45" s="60">
        <v>11.29</v>
      </c>
      <c r="D45" s="60">
        <v>16.13</v>
      </c>
      <c r="E45" s="60">
        <v>3.96</v>
      </c>
      <c r="F45" s="60">
        <v>0.48</v>
      </c>
      <c r="G45" s="215" t="s">
        <v>36</v>
      </c>
      <c r="H45" s="60">
        <v>2.2400000000000002</v>
      </c>
      <c r="I45" s="60">
        <v>3.01</v>
      </c>
      <c r="J45" s="60">
        <v>0.4</v>
      </c>
      <c r="K45" s="60">
        <v>195.73</v>
      </c>
      <c r="L45" s="60">
        <v>48.32</v>
      </c>
      <c r="M45" s="60">
        <v>77.599999999999994</v>
      </c>
      <c r="N45" s="60">
        <v>577.5</v>
      </c>
      <c r="O45" s="60">
        <v>0</v>
      </c>
      <c r="P45" s="60">
        <v>3.36</v>
      </c>
      <c r="Q45" s="60">
        <v>5.12</v>
      </c>
      <c r="R45" s="197"/>
      <c r="S45" s="197"/>
      <c r="T45" s="197"/>
      <c r="U45" s="197"/>
    </row>
    <row r="46" spans="1:21" s="12" customFormat="1" x14ac:dyDescent="0.25">
      <c r="A46" s="200" t="s">
        <v>1725</v>
      </c>
      <c r="B46" s="60">
        <v>4.16</v>
      </c>
      <c r="C46" s="60">
        <v>11.61</v>
      </c>
      <c r="D46" s="60">
        <v>15.77</v>
      </c>
      <c r="E46" s="60">
        <v>3.53</v>
      </c>
      <c r="F46" s="60">
        <v>0.49</v>
      </c>
      <c r="G46" s="215" t="s">
        <v>36</v>
      </c>
      <c r="H46" s="60">
        <v>2.25</v>
      </c>
      <c r="I46" s="60">
        <v>2.97</v>
      </c>
      <c r="J46" s="60">
        <v>0.43</v>
      </c>
      <c r="K46" s="60">
        <v>210.38</v>
      </c>
      <c r="L46" s="60">
        <v>46.79</v>
      </c>
      <c r="M46" s="60">
        <v>76.33</v>
      </c>
      <c r="N46" s="60">
        <v>536.79999999999995</v>
      </c>
      <c r="O46" s="60">
        <v>0</v>
      </c>
      <c r="P46" s="60">
        <v>3.36</v>
      </c>
      <c r="Q46" s="60">
        <v>4.8499999999999996</v>
      </c>
      <c r="R46" s="197"/>
      <c r="S46" s="197"/>
      <c r="T46" s="197"/>
      <c r="U46" s="197"/>
    </row>
    <row r="47" spans="1:21" s="12" customFormat="1" x14ac:dyDescent="0.25">
      <c r="A47" s="200" t="s">
        <v>1726</v>
      </c>
      <c r="B47" s="60">
        <v>3.54</v>
      </c>
      <c r="C47" s="60">
        <v>11.66</v>
      </c>
      <c r="D47" s="60">
        <v>15.2</v>
      </c>
      <c r="E47" s="60">
        <v>3.01</v>
      </c>
      <c r="F47" s="60">
        <v>0.49</v>
      </c>
      <c r="G47" s="215" t="s">
        <v>36</v>
      </c>
      <c r="H47" s="60">
        <v>2.25</v>
      </c>
      <c r="I47" s="60">
        <v>2.9</v>
      </c>
      <c r="J47" s="60">
        <v>0.6</v>
      </c>
      <c r="K47" s="60">
        <v>200.92</v>
      </c>
      <c r="L47" s="60">
        <v>45.83</v>
      </c>
      <c r="M47" s="60">
        <v>75.47</v>
      </c>
      <c r="N47" s="60">
        <v>518.20000000000005</v>
      </c>
      <c r="O47" s="60">
        <v>0</v>
      </c>
      <c r="P47" s="60">
        <v>3.38</v>
      </c>
      <c r="Q47" s="60">
        <v>4.6500000000000004</v>
      </c>
      <c r="R47" s="197"/>
      <c r="S47" s="197"/>
      <c r="T47" s="197"/>
      <c r="U47" s="197"/>
    </row>
    <row r="48" spans="1:21" s="12" customFormat="1" x14ac:dyDescent="0.25">
      <c r="A48" s="200" t="s">
        <v>1727</v>
      </c>
      <c r="B48" s="60">
        <v>3.05</v>
      </c>
      <c r="C48" s="60">
        <v>11.71</v>
      </c>
      <c r="D48" s="60">
        <v>14.76</v>
      </c>
      <c r="E48" s="60">
        <v>3.9</v>
      </c>
      <c r="F48" s="60">
        <v>0.83</v>
      </c>
      <c r="G48" s="215" t="s">
        <v>36</v>
      </c>
      <c r="H48" s="60">
        <v>2.25</v>
      </c>
      <c r="I48" s="60">
        <v>2.9</v>
      </c>
      <c r="J48" s="60">
        <v>0.47</v>
      </c>
      <c r="K48" s="60">
        <v>189.53</v>
      </c>
      <c r="L48" s="60">
        <v>47.95</v>
      </c>
      <c r="M48" s="60">
        <v>75.45</v>
      </c>
      <c r="N48" s="60">
        <v>464.6</v>
      </c>
      <c r="O48" s="60">
        <v>0</v>
      </c>
      <c r="P48" s="60">
        <v>3.38</v>
      </c>
      <c r="Q48" s="60">
        <v>4.54</v>
      </c>
      <c r="R48" s="197"/>
      <c r="S48" s="197"/>
      <c r="T48" s="197"/>
      <c r="U48" s="197"/>
    </row>
    <row r="49" spans="1:21" s="12" customFormat="1" x14ac:dyDescent="0.25">
      <c r="A49" s="200" t="s">
        <v>1728</v>
      </c>
      <c r="B49" s="60">
        <v>2.99</v>
      </c>
      <c r="C49" s="60">
        <v>11.52</v>
      </c>
      <c r="D49" s="60">
        <v>14.51</v>
      </c>
      <c r="E49" s="60">
        <v>2.91</v>
      </c>
      <c r="F49" s="60">
        <v>0.94</v>
      </c>
      <c r="G49" s="215" t="s">
        <v>36</v>
      </c>
      <c r="H49" s="60">
        <v>2.4300000000000002</v>
      </c>
      <c r="I49" s="60">
        <v>2.88</v>
      </c>
      <c r="J49" s="60">
        <v>0.28999999999999998</v>
      </c>
      <c r="K49" s="60">
        <v>187.18</v>
      </c>
      <c r="L49" s="60">
        <v>49.38</v>
      </c>
      <c r="M49" s="60">
        <v>75</v>
      </c>
      <c r="N49" s="60">
        <v>568.9</v>
      </c>
      <c r="O49" s="60">
        <v>0</v>
      </c>
      <c r="P49" s="60">
        <v>3.38</v>
      </c>
      <c r="Q49" s="60">
        <v>4.51</v>
      </c>
      <c r="R49" s="197"/>
      <c r="S49" s="197"/>
      <c r="T49" s="197"/>
      <c r="U49" s="197"/>
    </row>
    <row r="50" spans="1:21" s="12" customFormat="1" x14ac:dyDescent="0.25">
      <c r="A50" s="200" t="s">
        <v>1729</v>
      </c>
      <c r="B50" s="60">
        <v>2.94</v>
      </c>
      <c r="C50" s="60">
        <v>11.39</v>
      </c>
      <c r="D50" s="60">
        <v>14.32</v>
      </c>
      <c r="E50" s="60">
        <v>2.84</v>
      </c>
      <c r="F50" s="60">
        <v>0.66</v>
      </c>
      <c r="G50" s="215" t="s">
        <v>36</v>
      </c>
      <c r="H50" s="60">
        <v>2.86</v>
      </c>
      <c r="I50" s="60">
        <v>2.9</v>
      </c>
      <c r="J50" s="60">
        <v>0.43</v>
      </c>
      <c r="K50" s="60">
        <v>201.7</v>
      </c>
      <c r="L50" s="60">
        <v>47.66</v>
      </c>
      <c r="M50" s="60">
        <v>74.239999999999995</v>
      </c>
      <c r="N50" s="60">
        <v>520.20000000000005</v>
      </c>
      <c r="O50" s="60">
        <v>0</v>
      </c>
      <c r="P50" s="60">
        <v>3.38</v>
      </c>
      <c r="Q50" s="60">
        <v>4.4000000000000004</v>
      </c>
      <c r="R50" s="197"/>
      <c r="S50" s="197"/>
      <c r="T50" s="197"/>
      <c r="U50" s="197"/>
    </row>
    <row r="51" spans="1:21" s="12" customFormat="1" x14ac:dyDescent="0.25">
      <c r="A51" s="200" t="s">
        <v>1730</v>
      </c>
      <c r="B51" s="60">
        <v>2.67</v>
      </c>
      <c r="C51" s="60">
        <v>11.1</v>
      </c>
      <c r="D51" s="60">
        <v>13.77</v>
      </c>
      <c r="E51" s="60">
        <v>3.14</v>
      </c>
      <c r="F51" s="60">
        <v>0.47</v>
      </c>
      <c r="G51" s="215" t="s">
        <v>36</v>
      </c>
      <c r="H51" s="60">
        <v>2.86</v>
      </c>
      <c r="I51" s="60">
        <v>2.86</v>
      </c>
      <c r="J51" s="60">
        <v>0.54</v>
      </c>
      <c r="K51" s="60">
        <v>194.3</v>
      </c>
      <c r="L51" s="60">
        <v>49.89</v>
      </c>
      <c r="M51" s="60">
        <v>72.37</v>
      </c>
      <c r="N51" s="60">
        <v>589.79999999999995</v>
      </c>
      <c r="O51" s="60">
        <v>0</v>
      </c>
      <c r="P51" s="60">
        <v>3.39</v>
      </c>
      <c r="Q51" s="60">
        <v>4.21</v>
      </c>
      <c r="R51" s="197"/>
      <c r="S51" s="197"/>
      <c r="T51" s="197"/>
      <c r="U51" s="197"/>
    </row>
    <row r="52" spans="1:21" s="12" customFormat="1" x14ac:dyDescent="0.25">
      <c r="A52" s="200" t="s">
        <v>1731</v>
      </c>
      <c r="B52" s="60">
        <v>2.4900000000000002</v>
      </c>
      <c r="C52" s="60">
        <v>10.99</v>
      </c>
      <c r="D52" s="60">
        <v>13.48</v>
      </c>
      <c r="E52" s="60">
        <v>3.49</v>
      </c>
      <c r="F52" s="60">
        <v>0.72</v>
      </c>
      <c r="G52" s="215" t="s">
        <v>36</v>
      </c>
      <c r="H52" s="60">
        <v>2.86</v>
      </c>
      <c r="I52" s="60">
        <v>2.89</v>
      </c>
      <c r="J52" s="60">
        <v>0.12</v>
      </c>
      <c r="K52" s="60">
        <v>39.46</v>
      </c>
      <c r="L52" s="60">
        <v>45.77</v>
      </c>
      <c r="M52" s="60">
        <v>69.11</v>
      </c>
      <c r="N52" s="60">
        <v>902.4</v>
      </c>
      <c r="O52" s="60">
        <v>0</v>
      </c>
      <c r="P52" s="60">
        <v>3.4</v>
      </c>
      <c r="Q52" s="60">
        <v>4.12</v>
      </c>
      <c r="R52" s="197"/>
      <c r="S52" s="197"/>
      <c r="T52" s="197"/>
      <c r="U52" s="197"/>
    </row>
    <row r="53" spans="1:21" s="12" customFormat="1" x14ac:dyDescent="0.25">
      <c r="A53" s="200" t="s">
        <v>1732</v>
      </c>
      <c r="B53" s="60">
        <v>2.65</v>
      </c>
      <c r="C53" s="60">
        <v>11.39</v>
      </c>
      <c r="D53" s="60">
        <v>14.04</v>
      </c>
      <c r="E53" s="60">
        <v>2.2599999999999998</v>
      </c>
      <c r="F53" s="60">
        <v>0.98</v>
      </c>
      <c r="G53" s="215" t="s">
        <v>36</v>
      </c>
      <c r="H53" s="60">
        <v>3.75</v>
      </c>
      <c r="I53" s="60">
        <v>2.92</v>
      </c>
      <c r="J53" s="60">
        <v>0.12</v>
      </c>
      <c r="K53" s="60">
        <v>234.42</v>
      </c>
      <c r="L53" s="60">
        <v>43.39</v>
      </c>
      <c r="M53" s="60">
        <v>68.28</v>
      </c>
      <c r="N53" s="60">
        <v>784.6</v>
      </c>
      <c r="O53" s="60">
        <v>0</v>
      </c>
      <c r="P53" s="60">
        <v>3.42</v>
      </c>
      <c r="Q53" s="60">
        <v>4.2300000000000004</v>
      </c>
      <c r="R53" s="197"/>
      <c r="S53" s="197"/>
      <c r="T53" s="197"/>
      <c r="U53" s="197"/>
    </row>
    <row r="54" spans="1:21" s="12" customFormat="1" x14ac:dyDescent="0.25">
      <c r="A54" s="200" t="s">
        <v>1733</v>
      </c>
      <c r="B54" s="60">
        <v>2.71</v>
      </c>
      <c r="C54" s="60">
        <v>11.8</v>
      </c>
      <c r="D54" s="60">
        <v>14.51</v>
      </c>
      <c r="E54" s="60">
        <v>2.23</v>
      </c>
      <c r="F54" s="60">
        <v>0.88</v>
      </c>
      <c r="G54" s="215" t="s">
        <v>36</v>
      </c>
      <c r="H54" s="60">
        <v>5.95</v>
      </c>
      <c r="I54" s="60">
        <v>2.92</v>
      </c>
      <c r="J54" s="60">
        <v>0.66</v>
      </c>
      <c r="K54" s="60">
        <v>198.29</v>
      </c>
      <c r="L54" s="60">
        <v>46.18</v>
      </c>
      <c r="M54" s="60">
        <v>67.11</v>
      </c>
      <c r="N54" s="60">
        <v>928.2</v>
      </c>
      <c r="O54" s="60">
        <v>0</v>
      </c>
      <c r="P54" s="60">
        <v>3.45</v>
      </c>
      <c r="Q54" s="60">
        <v>4.25</v>
      </c>
      <c r="R54" s="197"/>
      <c r="S54" s="197"/>
      <c r="T54" s="197"/>
      <c r="U54" s="197"/>
    </row>
    <row r="55" spans="1:21" s="12" customFormat="1" x14ac:dyDescent="0.25">
      <c r="A55" s="200" t="s">
        <v>1734</v>
      </c>
      <c r="B55" s="60">
        <v>2.37</v>
      </c>
      <c r="C55" s="60">
        <v>11.47</v>
      </c>
      <c r="D55" s="60">
        <v>13.84</v>
      </c>
      <c r="E55" s="60">
        <v>2.42</v>
      </c>
      <c r="F55" s="60">
        <v>0.77</v>
      </c>
      <c r="G55" s="215" t="s">
        <v>36</v>
      </c>
      <c r="H55" s="60">
        <v>5.95</v>
      </c>
      <c r="I55" s="60">
        <v>2.95</v>
      </c>
      <c r="J55" s="60">
        <v>0.57999999999999996</v>
      </c>
      <c r="K55" s="60">
        <v>191.77</v>
      </c>
      <c r="L55" s="60">
        <v>49.04</v>
      </c>
      <c r="M55" s="60">
        <v>69.05</v>
      </c>
      <c r="N55" s="60">
        <v>555.6</v>
      </c>
      <c r="O55" s="60">
        <v>0</v>
      </c>
      <c r="P55" s="60">
        <v>3.44</v>
      </c>
      <c r="Q55" s="60">
        <v>4.08</v>
      </c>
      <c r="R55" s="197"/>
      <c r="S55" s="197"/>
      <c r="T55" s="197"/>
      <c r="U55" s="197"/>
    </row>
    <row r="56" spans="1:21" s="12" customFormat="1" x14ac:dyDescent="0.25">
      <c r="A56" s="200" t="s">
        <v>1735</v>
      </c>
      <c r="B56" s="60">
        <v>2.36</v>
      </c>
      <c r="C56" s="60">
        <v>11.18</v>
      </c>
      <c r="D56" s="60">
        <v>13.54</v>
      </c>
      <c r="E56" s="60">
        <v>1.6</v>
      </c>
      <c r="F56" s="60">
        <v>1.1299999999999999</v>
      </c>
      <c r="G56" s="215" t="s">
        <v>36</v>
      </c>
      <c r="H56" s="60">
        <v>5.95</v>
      </c>
      <c r="I56" s="60">
        <v>3</v>
      </c>
      <c r="J56" s="60">
        <v>0.04</v>
      </c>
      <c r="K56" s="60">
        <v>266.36</v>
      </c>
      <c r="L56" s="60">
        <v>46.26</v>
      </c>
      <c r="M56" s="60">
        <v>67.03</v>
      </c>
      <c r="N56" s="60">
        <v>941.5</v>
      </c>
      <c r="O56" s="60">
        <v>0</v>
      </c>
      <c r="P56" s="60">
        <v>3.43</v>
      </c>
      <c r="Q56" s="60">
        <v>3.97</v>
      </c>
      <c r="R56" s="197"/>
      <c r="S56" s="197"/>
      <c r="T56" s="197"/>
      <c r="U56" s="197"/>
    </row>
    <row r="57" spans="1:21" s="12" customFormat="1" x14ac:dyDescent="0.25">
      <c r="A57" s="200" t="s">
        <v>1736</v>
      </c>
      <c r="B57" s="60">
        <v>2.1800000000000002</v>
      </c>
      <c r="C57" s="60">
        <v>12.11</v>
      </c>
      <c r="D57" s="60">
        <v>14.29</v>
      </c>
      <c r="E57" s="60">
        <v>2.9</v>
      </c>
      <c r="F57" s="60">
        <v>0.68</v>
      </c>
      <c r="G57" s="215" t="s">
        <v>36</v>
      </c>
      <c r="H57" s="60">
        <v>6.31</v>
      </c>
      <c r="I57" s="60">
        <v>3</v>
      </c>
      <c r="J57" s="60">
        <v>0.16</v>
      </c>
      <c r="K57" s="60">
        <v>234.31</v>
      </c>
      <c r="L57" s="60">
        <v>49.64</v>
      </c>
      <c r="M57" s="60">
        <v>65.53</v>
      </c>
      <c r="N57" s="60">
        <v>806.2</v>
      </c>
      <c r="O57" s="60">
        <v>0</v>
      </c>
      <c r="P57" s="60">
        <v>3.45</v>
      </c>
      <c r="Q57" s="60">
        <v>3.89</v>
      </c>
      <c r="R57" s="197"/>
      <c r="S57" s="197"/>
      <c r="T57" s="197"/>
      <c r="U57" s="197"/>
    </row>
    <row r="58" spans="1:21" s="12" customFormat="1" x14ac:dyDescent="0.25">
      <c r="A58" s="200" t="s">
        <v>1737</v>
      </c>
      <c r="B58" s="60">
        <v>2.04</v>
      </c>
      <c r="C58" s="60">
        <v>12.45</v>
      </c>
      <c r="D58" s="60">
        <v>14.5</v>
      </c>
      <c r="E58" s="60">
        <v>3.38</v>
      </c>
      <c r="F58" s="60">
        <v>0.93</v>
      </c>
      <c r="G58" s="215" t="s">
        <v>36</v>
      </c>
      <c r="H58" s="60">
        <v>7.19</v>
      </c>
      <c r="I58" s="60">
        <v>2.92</v>
      </c>
      <c r="J58" s="60">
        <v>7.0000000000000007E-2</v>
      </c>
      <c r="K58" s="60">
        <v>52.64</v>
      </c>
      <c r="L58" s="60">
        <v>47.23</v>
      </c>
      <c r="M58" s="60">
        <v>65.260000000000005</v>
      </c>
      <c r="N58" s="60">
        <v>709.2</v>
      </c>
      <c r="O58" s="60">
        <v>0</v>
      </c>
      <c r="P58" s="60">
        <v>3.46</v>
      </c>
      <c r="Q58" s="60">
        <v>3.95</v>
      </c>
      <c r="R58" s="197"/>
      <c r="S58" s="197"/>
      <c r="T58" s="197"/>
      <c r="U58" s="197"/>
    </row>
    <row r="59" spans="1:21" s="12" customFormat="1" x14ac:dyDescent="0.25">
      <c r="A59" s="200" t="s">
        <v>1738</v>
      </c>
      <c r="B59" s="60">
        <v>2.2400000000000002</v>
      </c>
      <c r="C59" s="60">
        <v>12.88</v>
      </c>
      <c r="D59" s="60">
        <v>15.13</v>
      </c>
      <c r="E59" s="60">
        <v>3.54</v>
      </c>
      <c r="F59" s="60">
        <v>0.89</v>
      </c>
      <c r="G59" s="215" t="s">
        <v>36</v>
      </c>
      <c r="H59" s="60">
        <v>7.19</v>
      </c>
      <c r="I59" s="60">
        <v>2.96</v>
      </c>
      <c r="J59" s="60">
        <v>0.3</v>
      </c>
      <c r="K59" s="60">
        <v>208.73</v>
      </c>
      <c r="L59" s="60">
        <v>49.22</v>
      </c>
      <c r="M59" s="60">
        <v>65.430000000000007</v>
      </c>
      <c r="N59" s="60">
        <v>753.7</v>
      </c>
      <c r="O59" s="60">
        <v>0</v>
      </c>
      <c r="P59" s="60">
        <v>3.46</v>
      </c>
      <c r="Q59" s="60">
        <v>4.2</v>
      </c>
      <c r="R59" s="197"/>
      <c r="S59" s="197"/>
      <c r="T59" s="197"/>
      <c r="U59" s="197"/>
    </row>
    <row r="60" spans="1:21" s="12" customFormat="1" x14ac:dyDescent="0.25">
      <c r="A60" s="200" t="s">
        <v>1739</v>
      </c>
      <c r="B60" s="60">
        <v>2.14</v>
      </c>
      <c r="C60" s="60">
        <v>13.06</v>
      </c>
      <c r="D60" s="60">
        <v>15.2</v>
      </c>
      <c r="E60" s="60">
        <v>3.76</v>
      </c>
      <c r="F60" s="60">
        <v>0.53</v>
      </c>
      <c r="G60" s="215" t="s">
        <v>36</v>
      </c>
      <c r="H60" s="60">
        <v>7.19</v>
      </c>
      <c r="I60" s="60">
        <v>2.98</v>
      </c>
      <c r="J60" s="60">
        <v>0.51</v>
      </c>
      <c r="K60" s="60">
        <v>159.09</v>
      </c>
      <c r="L60" s="60">
        <v>52.33</v>
      </c>
      <c r="M60" s="60">
        <v>65.33</v>
      </c>
      <c r="N60" s="60">
        <v>904.3</v>
      </c>
      <c r="O60" s="60">
        <v>0</v>
      </c>
      <c r="P60" s="60">
        <v>3.47</v>
      </c>
      <c r="Q60" s="60">
        <v>4.21</v>
      </c>
      <c r="R60" s="197"/>
      <c r="S60" s="197"/>
      <c r="T60" s="197"/>
      <c r="U60" s="197"/>
    </row>
    <row r="61" spans="1:21" s="12" customFormat="1" x14ac:dyDescent="0.25">
      <c r="A61" s="200" t="s">
        <v>1740</v>
      </c>
      <c r="B61" s="60">
        <v>2.02</v>
      </c>
      <c r="C61" s="60">
        <v>12.39</v>
      </c>
      <c r="D61" s="60">
        <v>14.41</v>
      </c>
      <c r="E61" s="60">
        <v>3.89</v>
      </c>
      <c r="F61" s="60">
        <v>1.08</v>
      </c>
      <c r="G61" s="215" t="s">
        <v>36</v>
      </c>
      <c r="H61" s="60">
        <v>7.01</v>
      </c>
      <c r="I61" s="60">
        <v>3.05</v>
      </c>
      <c r="J61" s="60">
        <v>0.87</v>
      </c>
      <c r="K61" s="60">
        <v>171.25</v>
      </c>
      <c r="L61" s="60">
        <v>48.82</v>
      </c>
      <c r="M61" s="60">
        <v>65.45</v>
      </c>
      <c r="N61" s="60">
        <v>698.2</v>
      </c>
      <c r="O61" s="60">
        <v>0</v>
      </c>
      <c r="P61" s="60">
        <v>3.45</v>
      </c>
      <c r="Q61" s="60">
        <v>4.17</v>
      </c>
      <c r="R61" s="197"/>
      <c r="S61" s="197"/>
      <c r="T61" s="197"/>
      <c r="U61" s="197"/>
    </row>
    <row r="62" spans="1:21" s="12" customFormat="1" x14ac:dyDescent="0.25">
      <c r="A62" s="200" t="s">
        <v>1741</v>
      </c>
      <c r="B62" s="60">
        <v>1.87</v>
      </c>
      <c r="C62" s="60">
        <v>12.48</v>
      </c>
      <c r="D62" s="60">
        <v>14.35</v>
      </c>
      <c r="E62" s="60">
        <v>3.69</v>
      </c>
      <c r="F62" s="60">
        <v>0.63</v>
      </c>
      <c r="G62" s="215" t="s">
        <v>36</v>
      </c>
      <c r="H62" s="60">
        <v>6.56</v>
      </c>
      <c r="I62" s="60">
        <v>3.11</v>
      </c>
      <c r="J62" s="60">
        <v>0.28999999999999998</v>
      </c>
      <c r="K62" s="60">
        <v>205.62</v>
      </c>
      <c r="L62" s="60">
        <v>47.1</v>
      </c>
      <c r="M62" s="60">
        <v>65.61</v>
      </c>
      <c r="N62" s="60">
        <v>563.20000000000005</v>
      </c>
      <c r="O62" s="60">
        <v>0</v>
      </c>
      <c r="P62" s="60">
        <v>3.45</v>
      </c>
      <c r="Q62" s="60">
        <v>4</v>
      </c>
      <c r="R62" s="197"/>
      <c r="S62" s="197"/>
      <c r="T62" s="197"/>
      <c r="U62" s="197"/>
    </row>
    <row r="63" spans="1:21" s="12" customFormat="1" x14ac:dyDescent="0.25">
      <c r="A63" s="200" t="s">
        <v>1742</v>
      </c>
      <c r="B63" s="60">
        <v>1.74</v>
      </c>
      <c r="C63" s="60">
        <v>11.85</v>
      </c>
      <c r="D63" s="60">
        <v>13.59</v>
      </c>
      <c r="E63" s="60">
        <v>3.85</v>
      </c>
      <c r="F63" s="60">
        <v>0.91</v>
      </c>
      <c r="G63" s="215" t="s">
        <v>36</v>
      </c>
      <c r="H63" s="60">
        <v>6.56</v>
      </c>
      <c r="I63" s="60">
        <v>3.08</v>
      </c>
      <c r="J63" s="60">
        <v>0.39</v>
      </c>
      <c r="K63" s="60">
        <v>206.27</v>
      </c>
      <c r="L63" s="60">
        <v>49.98</v>
      </c>
      <c r="M63" s="60">
        <v>62.9</v>
      </c>
      <c r="N63" s="60">
        <v>862</v>
      </c>
      <c r="O63" s="60">
        <v>0</v>
      </c>
      <c r="P63" s="60">
        <v>3.45</v>
      </c>
      <c r="Q63" s="60">
        <v>3.95</v>
      </c>
      <c r="R63" s="197"/>
      <c r="S63" s="197"/>
      <c r="T63" s="197"/>
      <c r="U63" s="197"/>
    </row>
    <row r="64" spans="1:21" s="12" customFormat="1" x14ac:dyDescent="0.25">
      <c r="A64" s="200" t="s">
        <v>1743</v>
      </c>
      <c r="B64" s="60">
        <v>1.85</v>
      </c>
      <c r="C64" s="60">
        <v>11.54</v>
      </c>
      <c r="D64" s="60">
        <v>13.39</v>
      </c>
      <c r="E64" s="60">
        <v>4.05</v>
      </c>
      <c r="F64" s="60">
        <v>1</v>
      </c>
      <c r="G64" s="215" t="s">
        <v>36</v>
      </c>
      <c r="H64" s="60">
        <v>6.56</v>
      </c>
      <c r="I64" s="60">
        <v>3.11</v>
      </c>
      <c r="J64" s="60">
        <v>0.46</v>
      </c>
      <c r="K64" s="60">
        <v>183.58</v>
      </c>
      <c r="L64" s="60">
        <v>50.83</v>
      </c>
      <c r="M64" s="60">
        <v>61.36</v>
      </c>
      <c r="N64" s="60">
        <v>695</v>
      </c>
      <c r="O64" s="60">
        <v>0</v>
      </c>
      <c r="P64" s="60">
        <v>3.45</v>
      </c>
      <c r="Q64" s="60">
        <v>4.0199999999999996</v>
      </c>
      <c r="R64" s="197"/>
      <c r="S64" s="197"/>
      <c r="T64" s="197"/>
      <c r="U64" s="197"/>
    </row>
    <row r="65" spans="1:21" s="12" customFormat="1" x14ac:dyDescent="0.25">
      <c r="A65" s="200" t="s">
        <v>1744</v>
      </c>
      <c r="B65" s="60">
        <v>1.83</v>
      </c>
      <c r="C65" s="60">
        <v>11.05</v>
      </c>
      <c r="D65" s="60">
        <v>12.88</v>
      </c>
      <c r="E65" s="60">
        <v>4.05</v>
      </c>
      <c r="F65" s="60">
        <v>1.1599999999999999</v>
      </c>
      <c r="G65" s="215" t="s">
        <v>36</v>
      </c>
      <c r="H65" s="60">
        <v>6.82</v>
      </c>
      <c r="I65" s="60">
        <v>3.08</v>
      </c>
      <c r="J65" s="60">
        <v>0.37</v>
      </c>
      <c r="K65" s="60">
        <v>207.37</v>
      </c>
      <c r="L65" s="60">
        <v>48.72</v>
      </c>
      <c r="M65" s="60">
        <v>64.209999999999994</v>
      </c>
      <c r="N65" s="60">
        <v>415.4</v>
      </c>
      <c r="O65" s="60">
        <v>0</v>
      </c>
      <c r="P65" s="60">
        <v>3.45</v>
      </c>
      <c r="Q65" s="60">
        <v>3.92</v>
      </c>
      <c r="R65" s="197"/>
      <c r="S65" s="197"/>
      <c r="T65" s="197"/>
      <c r="U65" s="197"/>
    </row>
    <row r="66" spans="1:21" s="12" customFormat="1" x14ac:dyDescent="0.25">
      <c r="A66" s="200" t="s">
        <v>1745</v>
      </c>
      <c r="B66" s="60">
        <v>1.68</v>
      </c>
      <c r="C66" s="60">
        <v>11.01</v>
      </c>
      <c r="D66" s="60">
        <v>12.69</v>
      </c>
      <c r="E66" s="60">
        <v>4.1900000000000004</v>
      </c>
      <c r="F66" s="60">
        <v>0.74</v>
      </c>
      <c r="G66" s="215" t="s">
        <v>36</v>
      </c>
      <c r="H66" s="60">
        <v>7.47</v>
      </c>
      <c r="I66" s="60">
        <v>3.06</v>
      </c>
      <c r="J66" s="60">
        <v>0.41</v>
      </c>
      <c r="K66" s="60">
        <v>193.04</v>
      </c>
      <c r="L66" s="60">
        <v>48.88</v>
      </c>
      <c r="M66" s="60">
        <v>63.97</v>
      </c>
      <c r="N66" s="60">
        <v>501</v>
      </c>
      <c r="O66" s="60">
        <v>0</v>
      </c>
      <c r="P66" s="60">
        <v>3.45</v>
      </c>
      <c r="Q66" s="60">
        <v>3.77</v>
      </c>
      <c r="R66" s="197"/>
      <c r="S66" s="197"/>
      <c r="T66" s="197"/>
      <c r="U66" s="197"/>
    </row>
    <row r="67" spans="1:21" s="12" customFormat="1" x14ac:dyDescent="0.25">
      <c r="A67" s="200" t="s">
        <v>1746</v>
      </c>
      <c r="B67" s="60">
        <v>1.72</v>
      </c>
      <c r="C67" s="60">
        <v>10.76</v>
      </c>
      <c r="D67" s="60">
        <v>12.47</v>
      </c>
      <c r="E67" s="60">
        <v>3.84</v>
      </c>
      <c r="F67" s="60">
        <v>0.65</v>
      </c>
      <c r="G67" s="215" t="s">
        <v>36</v>
      </c>
      <c r="H67" s="60">
        <v>7.47</v>
      </c>
      <c r="I67" s="60">
        <v>3</v>
      </c>
      <c r="J67" s="60">
        <v>0.13</v>
      </c>
      <c r="K67" s="60">
        <v>164.5</v>
      </c>
      <c r="L67" s="60">
        <v>48.03</v>
      </c>
      <c r="M67" s="60">
        <v>63.28</v>
      </c>
      <c r="N67" s="60">
        <v>643.1</v>
      </c>
      <c r="O67" s="60">
        <v>0</v>
      </c>
      <c r="P67" s="60">
        <v>3.45</v>
      </c>
      <c r="Q67" s="60">
        <v>3.64</v>
      </c>
      <c r="R67" s="197"/>
      <c r="S67" s="197"/>
      <c r="T67" s="197"/>
      <c r="U67" s="197"/>
    </row>
    <row r="68" spans="1:21" s="12" customFormat="1" x14ac:dyDescent="0.25">
      <c r="A68" s="200" t="s">
        <v>1747</v>
      </c>
      <c r="B68" s="60">
        <v>2.63</v>
      </c>
      <c r="C68" s="60">
        <v>11.13</v>
      </c>
      <c r="D68" s="60">
        <v>13.76</v>
      </c>
      <c r="E68" s="60">
        <v>3.61</v>
      </c>
      <c r="F68" s="60">
        <v>0.91</v>
      </c>
      <c r="G68" s="215" t="s">
        <v>36</v>
      </c>
      <c r="H68" s="60">
        <v>7.47</v>
      </c>
      <c r="I68" s="60">
        <v>3.03</v>
      </c>
      <c r="J68" s="60">
        <v>0.05</v>
      </c>
      <c r="K68" s="60">
        <v>23.94</v>
      </c>
      <c r="L68" s="60">
        <v>48.88</v>
      </c>
      <c r="M68" s="60">
        <v>62.4</v>
      </c>
      <c r="N68" s="60">
        <v>457.4</v>
      </c>
      <c r="O68" s="60">
        <v>0</v>
      </c>
      <c r="P68" s="60">
        <v>3.47</v>
      </c>
      <c r="Q68" s="60">
        <v>4.05</v>
      </c>
      <c r="R68" s="197"/>
      <c r="S68" s="197"/>
      <c r="T68" s="197"/>
      <c r="U68" s="197"/>
    </row>
    <row r="69" spans="1:21" s="12" customFormat="1" x14ac:dyDescent="0.25">
      <c r="A69" s="200" t="s">
        <v>1748</v>
      </c>
      <c r="B69" s="60">
        <v>3.35</v>
      </c>
      <c r="C69" s="60">
        <v>12.08</v>
      </c>
      <c r="D69" s="60">
        <v>15.43</v>
      </c>
      <c r="E69" s="60">
        <v>4.03</v>
      </c>
      <c r="F69" s="60">
        <v>0.56999999999999995</v>
      </c>
      <c r="G69" s="215" t="s">
        <v>36</v>
      </c>
      <c r="H69" s="60">
        <v>7.13</v>
      </c>
      <c r="I69" s="60">
        <v>3.04</v>
      </c>
      <c r="J69" s="60">
        <v>0.26</v>
      </c>
      <c r="K69" s="60">
        <v>204.73</v>
      </c>
      <c r="L69" s="60">
        <v>49.79</v>
      </c>
      <c r="M69" s="60">
        <v>63.23</v>
      </c>
      <c r="N69" s="60">
        <v>545.1</v>
      </c>
      <c r="O69" s="60">
        <v>0</v>
      </c>
      <c r="P69" s="60">
        <v>3.48</v>
      </c>
      <c r="Q69" s="60">
        <v>4.5199999999999996</v>
      </c>
      <c r="R69" s="197"/>
      <c r="S69" s="197"/>
      <c r="T69" s="197"/>
      <c r="U69" s="197"/>
    </row>
    <row r="70" spans="1:21" s="12" customFormat="1" x14ac:dyDescent="0.25">
      <c r="A70" s="200" t="s">
        <v>1749</v>
      </c>
      <c r="B70" s="60">
        <v>3.12</v>
      </c>
      <c r="C70" s="60">
        <v>12.14</v>
      </c>
      <c r="D70" s="60">
        <v>15.26</v>
      </c>
      <c r="E70" s="60">
        <v>3.84</v>
      </c>
      <c r="F70" s="60">
        <v>0.8</v>
      </c>
      <c r="G70" s="215" t="s">
        <v>36</v>
      </c>
      <c r="H70" s="60">
        <v>6.3</v>
      </c>
      <c r="I70" s="60">
        <v>3.07</v>
      </c>
      <c r="J70" s="60">
        <v>0.24</v>
      </c>
      <c r="K70" s="60">
        <v>206.96</v>
      </c>
      <c r="L70" s="60">
        <v>50.01</v>
      </c>
      <c r="M70" s="60">
        <v>63.28</v>
      </c>
      <c r="N70" s="60">
        <v>588.4</v>
      </c>
      <c r="O70" s="60">
        <v>0</v>
      </c>
      <c r="P70" s="60">
        <v>3.47</v>
      </c>
      <c r="Q70" s="60">
        <v>4.43</v>
      </c>
      <c r="R70" s="197"/>
      <c r="S70" s="197"/>
      <c r="T70" s="197"/>
      <c r="U70" s="197"/>
    </row>
    <row r="71" spans="1:21" s="12" customFormat="1" x14ac:dyDescent="0.25">
      <c r="A71" s="200" t="s">
        <v>1750</v>
      </c>
      <c r="B71" s="60">
        <v>2.74</v>
      </c>
      <c r="C71" s="60">
        <v>11.75</v>
      </c>
      <c r="D71" s="60">
        <v>14.5</v>
      </c>
      <c r="E71" s="60">
        <v>3.81</v>
      </c>
      <c r="F71" s="60">
        <v>0.88</v>
      </c>
      <c r="G71" s="215" t="s">
        <v>36</v>
      </c>
      <c r="H71" s="60">
        <v>6.3</v>
      </c>
      <c r="I71" s="60">
        <v>3.13</v>
      </c>
      <c r="J71" s="60">
        <v>0.18</v>
      </c>
      <c r="K71" s="60">
        <v>183.6</v>
      </c>
      <c r="L71" s="60">
        <v>49.43</v>
      </c>
      <c r="M71" s="60">
        <v>63.61</v>
      </c>
      <c r="N71" s="60">
        <v>456.8</v>
      </c>
      <c r="O71" s="60">
        <v>0</v>
      </c>
      <c r="P71" s="60">
        <v>3.47</v>
      </c>
      <c r="Q71" s="60">
        <v>4.25</v>
      </c>
      <c r="R71" s="197"/>
      <c r="S71" s="197"/>
      <c r="T71" s="197"/>
      <c r="U71" s="197"/>
    </row>
    <row r="72" spans="1:21" s="12" customFormat="1" x14ac:dyDescent="0.25">
      <c r="A72" s="200" t="s">
        <v>1751</v>
      </c>
      <c r="B72" s="60">
        <v>2.4700000000000002</v>
      </c>
      <c r="C72" s="60">
        <v>12.07</v>
      </c>
      <c r="D72" s="60">
        <v>14.54</v>
      </c>
      <c r="E72" s="60">
        <v>1.8</v>
      </c>
      <c r="F72" s="60">
        <v>0.73</v>
      </c>
      <c r="G72" s="215" t="s">
        <v>36</v>
      </c>
      <c r="H72" s="60">
        <v>6.3</v>
      </c>
      <c r="I72" s="60">
        <v>3.11</v>
      </c>
      <c r="J72" s="60">
        <v>0.52</v>
      </c>
      <c r="K72" s="60">
        <v>191.53</v>
      </c>
      <c r="L72" s="60">
        <v>48.7</v>
      </c>
      <c r="M72" s="60">
        <v>62.92</v>
      </c>
      <c r="N72" s="60">
        <v>384</v>
      </c>
      <c r="O72" s="60">
        <v>0</v>
      </c>
      <c r="P72" s="60">
        <v>3.46</v>
      </c>
      <c r="Q72" s="60">
        <v>4.13</v>
      </c>
      <c r="R72" s="197"/>
      <c r="S72" s="197"/>
      <c r="T72" s="197"/>
      <c r="U72" s="197"/>
    </row>
    <row r="73" spans="1:21" s="12" customFormat="1" x14ac:dyDescent="0.25">
      <c r="A73" s="200" t="s">
        <v>1752</v>
      </c>
      <c r="B73" s="60">
        <v>2.23</v>
      </c>
      <c r="C73" s="60">
        <v>11.72</v>
      </c>
      <c r="D73" s="60">
        <v>13.95</v>
      </c>
      <c r="E73" s="60">
        <v>3.66</v>
      </c>
      <c r="F73" s="60">
        <v>0.51</v>
      </c>
      <c r="G73" s="215" t="s">
        <v>36</v>
      </c>
      <c r="H73" s="60">
        <v>6.69</v>
      </c>
      <c r="I73" s="60">
        <v>3.12</v>
      </c>
      <c r="J73" s="60">
        <v>0.28999999999999998</v>
      </c>
      <c r="K73" s="60">
        <v>185.66</v>
      </c>
      <c r="L73" s="60">
        <v>46.5</v>
      </c>
      <c r="M73" s="60">
        <v>62.2</v>
      </c>
      <c r="N73" s="60">
        <v>411.3</v>
      </c>
      <c r="O73" s="60">
        <v>0</v>
      </c>
      <c r="P73" s="60">
        <v>3.47</v>
      </c>
      <c r="Q73" s="60">
        <v>4.07</v>
      </c>
      <c r="R73" s="197"/>
      <c r="S73" s="197"/>
      <c r="T73" s="197"/>
      <c r="U73" s="197"/>
    </row>
    <row r="74" spans="1:21" s="12" customFormat="1" x14ac:dyDescent="0.25">
      <c r="A74" s="200" t="s">
        <v>1753</v>
      </c>
      <c r="B74" s="60">
        <v>2.2000000000000002</v>
      </c>
      <c r="C74" s="60">
        <v>11.67</v>
      </c>
      <c r="D74" s="60">
        <v>13.87</v>
      </c>
      <c r="E74" s="60">
        <v>4.95</v>
      </c>
      <c r="F74" s="60">
        <v>0.74</v>
      </c>
      <c r="G74" s="215" t="s">
        <v>36</v>
      </c>
      <c r="H74" s="60">
        <v>7.67</v>
      </c>
      <c r="I74" s="60">
        <v>3.17</v>
      </c>
      <c r="J74" s="60">
        <v>0.4</v>
      </c>
      <c r="K74" s="60">
        <v>178.71</v>
      </c>
      <c r="L74" s="60">
        <v>46.68</v>
      </c>
      <c r="M74" s="60">
        <v>62.69</v>
      </c>
      <c r="N74" s="60">
        <v>218.1</v>
      </c>
      <c r="O74" s="60">
        <v>0</v>
      </c>
      <c r="P74" s="60">
        <v>3.46</v>
      </c>
      <c r="Q74" s="60">
        <v>4.0199999999999996</v>
      </c>
      <c r="R74" s="197"/>
      <c r="S74" s="197"/>
      <c r="T74" s="197"/>
      <c r="U74" s="197"/>
    </row>
    <row r="75" spans="1:21" s="12" customFormat="1" x14ac:dyDescent="0.25">
      <c r="A75" s="200" t="s">
        <v>1754</v>
      </c>
      <c r="B75" s="60">
        <v>2.3199999999999998</v>
      </c>
      <c r="C75" s="60">
        <v>11.47</v>
      </c>
      <c r="D75" s="60">
        <v>13.79</v>
      </c>
      <c r="E75" s="60">
        <v>4.96</v>
      </c>
      <c r="F75" s="60">
        <v>0.45</v>
      </c>
      <c r="G75" s="215" t="s">
        <v>36</v>
      </c>
      <c r="H75" s="60">
        <v>7.67</v>
      </c>
      <c r="I75" s="60">
        <v>3.17</v>
      </c>
      <c r="J75" s="60">
        <v>0.27</v>
      </c>
      <c r="K75" s="60">
        <v>186.07</v>
      </c>
      <c r="L75" s="60">
        <v>48.2</v>
      </c>
      <c r="M75" s="60">
        <v>63.5</v>
      </c>
      <c r="N75" s="60">
        <v>109.6</v>
      </c>
      <c r="O75" s="60">
        <v>0</v>
      </c>
      <c r="P75" s="60">
        <v>3.48</v>
      </c>
      <c r="Q75" s="60">
        <v>4.03</v>
      </c>
      <c r="R75" s="197"/>
      <c r="S75" s="197"/>
      <c r="T75" s="197"/>
      <c r="U75" s="197"/>
    </row>
    <row r="76" spans="1:21" s="12" customFormat="1" x14ac:dyDescent="0.25">
      <c r="A76" s="200" t="s">
        <v>1755</v>
      </c>
      <c r="B76" s="60">
        <v>2.41</v>
      </c>
      <c r="C76" s="60">
        <v>11.35</v>
      </c>
      <c r="D76" s="60">
        <v>13.76</v>
      </c>
      <c r="E76" s="60">
        <v>5.19</v>
      </c>
      <c r="F76" s="60">
        <v>0.71</v>
      </c>
      <c r="G76" s="215" t="s">
        <v>36</v>
      </c>
      <c r="H76" s="60">
        <v>7.67</v>
      </c>
      <c r="I76" s="60">
        <v>3.2</v>
      </c>
      <c r="J76" s="60">
        <v>0.4</v>
      </c>
      <c r="K76" s="60">
        <v>197.56</v>
      </c>
      <c r="L76" s="60">
        <v>48.23</v>
      </c>
      <c r="M76" s="60">
        <v>64.8</v>
      </c>
      <c r="N76" s="60">
        <v>96.3</v>
      </c>
      <c r="O76" s="60">
        <v>0</v>
      </c>
      <c r="P76" s="60">
        <v>3.47</v>
      </c>
      <c r="Q76" s="60">
        <v>4.24</v>
      </c>
      <c r="R76" s="197"/>
      <c r="S76" s="197"/>
      <c r="T76" s="197"/>
      <c r="U76" s="197"/>
    </row>
    <row r="77" spans="1:21" s="12" customFormat="1" x14ac:dyDescent="0.25">
      <c r="A77" s="200" t="s">
        <v>1756</v>
      </c>
      <c r="B77" s="60">
        <v>2.4700000000000002</v>
      </c>
      <c r="C77" s="60">
        <v>10.87</v>
      </c>
      <c r="D77" s="60">
        <v>13.33</v>
      </c>
      <c r="E77" s="60">
        <v>5.28</v>
      </c>
      <c r="F77" s="60">
        <v>0.41</v>
      </c>
      <c r="G77" s="215" t="s">
        <v>36</v>
      </c>
      <c r="H77" s="60">
        <v>8.4600000000000009</v>
      </c>
      <c r="I77" s="60">
        <v>3.26</v>
      </c>
      <c r="J77" s="60">
        <v>0.26</v>
      </c>
      <c r="K77" s="60">
        <v>206.14</v>
      </c>
      <c r="L77" s="60">
        <v>49.13</v>
      </c>
      <c r="M77" s="60">
        <v>65</v>
      </c>
      <c r="N77" s="60">
        <v>84.9</v>
      </c>
      <c r="O77" s="60">
        <v>0</v>
      </c>
      <c r="P77" s="60">
        <v>3.48</v>
      </c>
      <c r="Q77" s="60">
        <v>4.21</v>
      </c>
      <c r="R77" s="197"/>
      <c r="S77" s="197"/>
      <c r="T77" s="197"/>
      <c r="U77" s="197"/>
    </row>
    <row r="78" spans="1:21" s="12" customFormat="1" x14ac:dyDescent="0.25">
      <c r="A78" s="200" t="s">
        <v>1757</v>
      </c>
      <c r="B78" s="60">
        <v>2.59</v>
      </c>
      <c r="C78" s="60">
        <v>10.83</v>
      </c>
      <c r="D78" s="60">
        <v>13.42</v>
      </c>
      <c r="E78" s="60">
        <v>4.92</v>
      </c>
      <c r="F78" s="60">
        <v>0.69</v>
      </c>
      <c r="G78" s="215" t="s">
        <v>36</v>
      </c>
      <c r="H78" s="60">
        <v>10.41</v>
      </c>
      <c r="I78" s="60">
        <v>3.3</v>
      </c>
      <c r="J78" s="60">
        <v>0.09</v>
      </c>
      <c r="K78" s="60">
        <v>228.08</v>
      </c>
      <c r="L78" s="60">
        <v>45.4</v>
      </c>
      <c r="M78" s="60">
        <v>63.73</v>
      </c>
      <c r="N78" s="60">
        <v>71</v>
      </c>
      <c r="O78" s="60">
        <v>0</v>
      </c>
      <c r="P78" s="60">
        <v>3.47</v>
      </c>
      <c r="Q78" s="60">
        <v>4.28</v>
      </c>
      <c r="R78" s="197"/>
      <c r="S78" s="197"/>
      <c r="T78" s="197"/>
      <c r="U78" s="197"/>
    </row>
    <row r="79" spans="1:21" s="12" customFormat="1" x14ac:dyDescent="0.25">
      <c r="A79" s="200" t="s">
        <v>1758</v>
      </c>
      <c r="B79" s="60">
        <v>2.48</v>
      </c>
      <c r="C79" s="60">
        <v>10.92</v>
      </c>
      <c r="D79" s="60">
        <v>13.4</v>
      </c>
      <c r="E79" s="60">
        <v>4.9000000000000004</v>
      </c>
      <c r="F79" s="60">
        <v>0.65</v>
      </c>
      <c r="G79" s="215" t="s">
        <v>36</v>
      </c>
      <c r="H79" s="60">
        <v>10.41</v>
      </c>
      <c r="I79" s="60">
        <v>3.36</v>
      </c>
      <c r="J79" s="60">
        <v>0.27</v>
      </c>
      <c r="K79" s="60">
        <v>204.38</v>
      </c>
      <c r="L79" s="60">
        <v>47.07</v>
      </c>
      <c r="M79" s="60">
        <v>66.03</v>
      </c>
      <c r="N79" s="60">
        <v>60.3</v>
      </c>
      <c r="O79" s="60">
        <v>0</v>
      </c>
      <c r="P79" s="60">
        <v>3.48</v>
      </c>
      <c r="Q79" s="60">
        <v>4.38</v>
      </c>
      <c r="R79" s="197"/>
      <c r="S79" s="197"/>
      <c r="T79" s="197"/>
      <c r="U79" s="197"/>
    </row>
    <row r="80" spans="1:21" s="12" customFormat="1" x14ac:dyDescent="0.25">
      <c r="A80" s="200" t="s">
        <v>1759</v>
      </c>
      <c r="B80" s="60">
        <v>2.4500000000000002</v>
      </c>
      <c r="C80" s="60">
        <v>11.19</v>
      </c>
      <c r="D80" s="60">
        <v>13.63</v>
      </c>
      <c r="E80" s="60">
        <v>5.96</v>
      </c>
      <c r="F80" s="60">
        <v>0.56000000000000005</v>
      </c>
      <c r="G80" s="215" t="s">
        <v>36</v>
      </c>
      <c r="H80" s="60">
        <v>10.41</v>
      </c>
      <c r="I80" s="60">
        <v>3.37</v>
      </c>
      <c r="J80" s="60">
        <v>0.13</v>
      </c>
      <c r="K80" s="60">
        <v>204.64</v>
      </c>
      <c r="L80" s="60">
        <v>50.72</v>
      </c>
      <c r="M80" s="60">
        <v>67.12</v>
      </c>
      <c r="N80" s="60">
        <v>48.7</v>
      </c>
      <c r="O80" s="60">
        <v>0</v>
      </c>
      <c r="P80" s="60">
        <v>3.48</v>
      </c>
      <c r="Q80" s="60">
        <v>4.34</v>
      </c>
      <c r="R80" s="197"/>
      <c r="S80" s="197"/>
      <c r="T80" s="197"/>
      <c r="U80" s="197"/>
    </row>
    <row r="81" spans="1:26" s="12" customFormat="1" x14ac:dyDescent="0.25">
      <c r="A81" s="200" t="s">
        <v>1760</v>
      </c>
      <c r="B81" s="60">
        <v>2.69</v>
      </c>
      <c r="C81" s="60">
        <v>11.57</v>
      </c>
      <c r="D81" s="60">
        <v>14.26</v>
      </c>
      <c r="E81" s="60">
        <v>6.01</v>
      </c>
      <c r="F81" s="60">
        <v>0.21</v>
      </c>
      <c r="G81" s="215" t="s">
        <v>36</v>
      </c>
      <c r="H81" s="60">
        <v>10.35</v>
      </c>
      <c r="I81" s="60">
        <v>3.46</v>
      </c>
      <c r="J81" s="60">
        <v>0.17</v>
      </c>
      <c r="K81" s="60">
        <v>200.88</v>
      </c>
      <c r="L81" s="60">
        <v>50.29</v>
      </c>
      <c r="M81" s="60">
        <v>68.88</v>
      </c>
      <c r="N81" s="60">
        <v>34.4</v>
      </c>
      <c r="O81" s="60">
        <v>0</v>
      </c>
      <c r="P81" s="60">
        <v>3.52</v>
      </c>
      <c r="Q81" s="60">
        <v>4.5</v>
      </c>
      <c r="R81" s="197"/>
      <c r="S81" s="197"/>
      <c r="T81" s="197"/>
      <c r="U81" s="197"/>
    </row>
    <row r="82" spans="1:26" s="12" customFormat="1" x14ac:dyDescent="0.25">
      <c r="A82" s="200" t="s">
        <v>1761</v>
      </c>
      <c r="B82" s="60">
        <v>3.26</v>
      </c>
      <c r="C82" s="60">
        <v>11.94</v>
      </c>
      <c r="D82" s="60">
        <v>15.2</v>
      </c>
      <c r="E82" s="60">
        <v>4.84</v>
      </c>
      <c r="F82" s="60">
        <v>0.38</v>
      </c>
      <c r="G82" s="215" t="s">
        <v>36</v>
      </c>
      <c r="H82" s="60">
        <v>10.19</v>
      </c>
      <c r="I82" s="60">
        <v>3.58</v>
      </c>
      <c r="J82" s="60">
        <v>0.12</v>
      </c>
      <c r="K82" s="60">
        <v>214.82</v>
      </c>
      <c r="L82" s="60">
        <v>46.01</v>
      </c>
      <c r="M82" s="60">
        <v>71.16</v>
      </c>
      <c r="N82" s="60">
        <v>21.6</v>
      </c>
      <c r="O82" s="60">
        <v>0</v>
      </c>
      <c r="P82" s="60">
        <v>3.54</v>
      </c>
      <c r="Q82" s="60">
        <v>4.84</v>
      </c>
      <c r="R82" s="197"/>
      <c r="S82" s="197"/>
      <c r="T82" s="197"/>
      <c r="U82" s="197"/>
    </row>
    <row r="83" spans="1:26" s="12" customFormat="1" x14ac:dyDescent="0.25">
      <c r="A83" s="200" t="s">
        <v>1762</v>
      </c>
      <c r="B83" s="60">
        <v>3.7</v>
      </c>
      <c r="C83" s="60">
        <v>12.37</v>
      </c>
      <c r="D83" s="60">
        <v>16.079999999999998</v>
      </c>
      <c r="E83" s="60">
        <v>5.58</v>
      </c>
      <c r="F83" s="60">
        <v>0.41</v>
      </c>
      <c r="G83" s="215" t="s">
        <v>36</v>
      </c>
      <c r="H83" s="60">
        <v>10.19</v>
      </c>
      <c r="I83" s="60">
        <v>3.74</v>
      </c>
      <c r="J83" s="60">
        <v>0.18</v>
      </c>
      <c r="K83" s="60">
        <v>235.65</v>
      </c>
      <c r="L83" s="60">
        <v>45.08</v>
      </c>
      <c r="M83" s="60">
        <v>73.56</v>
      </c>
      <c r="N83" s="60">
        <v>16</v>
      </c>
      <c r="O83" s="60">
        <v>0</v>
      </c>
      <c r="P83" s="60">
        <v>3.57</v>
      </c>
      <c r="Q83" s="60">
        <v>5.08</v>
      </c>
      <c r="R83" s="197"/>
      <c r="S83" s="197"/>
      <c r="T83" s="197"/>
      <c r="U83" s="197"/>
    </row>
    <row r="84" spans="1:26" s="12" customFormat="1" x14ac:dyDescent="0.25">
      <c r="A84" s="200" t="s">
        <v>1763</v>
      </c>
      <c r="B84" s="60">
        <v>4.07</v>
      </c>
      <c r="C84" s="60">
        <v>12.73</v>
      </c>
      <c r="D84" s="60">
        <v>16.809999999999999</v>
      </c>
      <c r="E84" s="60">
        <v>5.28</v>
      </c>
      <c r="F84" s="60">
        <v>0.23</v>
      </c>
      <c r="G84" s="215" t="s">
        <v>36</v>
      </c>
      <c r="H84" s="60">
        <v>10.19</v>
      </c>
      <c r="I84" s="60">
        <v>3.9</v>
      </c>
      <c r="J84" s="60">
        <v>0.05</v>
      </c>
      <c r="K84" s="60">
        <v>212.85</v>
      </c>
      <c r="L84" s="60">
        <v>44.1</v>
      </c>
      <c r="M84" s="60">
        <v>75.64</v>
      </c>
      <c r="N84" s="60">
        <v>15.2</v>
      </c>
      <c r="O84" s="60">
        <v>0</v>
      </c>
      <c r="P84" s="60">
        <v>3.62</v>
      </c>
      <c r="Q84" s="60">
        <v>5.29</v>
      </c>
      <c r="R84" s="197"/>
      <c r="S84" s="197"/>
      <c r="T84" s="197"/>
      <c r="U84" s="197"/>
    </row>
    <row r="85" spans="1:26" s="12" customFormat="1" x14ac:dyDescent="0.25">
      <c r="A85" s="200" t="s">
        <v>1764</v>
      </c>
      <c r="B85" s="60">
        <v>4.75</v>
      </c>
      <c r="C85" s="60">
        <v>12.46</v>
      </c>
      <c r="D85" s="60">
        <v>17.21</v>
      </c>
      <c r="E85" s="60">
        <v>5.47</v>
      </c>
      <c r="F85" s="60">
        <v>0.44</v>
      </c>
      <c r="G85" s="215" t="s">
        <v>36</v>
      </c>
      <c r="H85" s="60">
        <v>10.62</v>
      </c>
      <c r="I85" s="60">
        <v>4.13</v>
      </c>
      <c r="J85" s="60">
        <v>0.22</v>
      </c>
      <c r="K85" s="60">
        <v>252.42</v>
      </c>
      <c r="L85" s="60">
        <v>47.11</v>
      </c>
      <c r="M85" s="60">
        <v>77.22</v>
      </c>
      <c r="N85" s="60">
        <v>15</v>
      </c>
      <c r="O85" s="60">
        <v>0</v>
      </c>
      <c r="P85" s="60">
        <v>3.69</v>
      </c>
      <c r="Q85" s="60">
        <v>5.59</v>
      </c>
      <c r="R85" s="197"/>
      <c r="S85" s="197"/>
      <c r="T85" s="197"/>
      <c r="U85" s="197"/>
    </row>
    <row r="86" spans="1:26" s="12" customFormat="1" x14ac:dyDescent="0.25">
      <c r="A86" s="200" t="s">
        <v>1765</v>
      </c>
      <c r="B86" s="60">
        <v>5.67</v>
      </c>
      <c r="C86" s="60">
        <v>12.65</v>
      </c>
      <c r="D86" s="60">
        <v>18.32</v>
      </c>
      <c r="E86" s="60">
        <v>5.87</v>
      </c>
      <c r="F86" s="60">
        <v>0.26</v>
      </c>
      <c r="G86" s="215" t="s">
        <v>36</v>
      </c>
      <c r="H86" s="60">
        <v>11.67</v>
      </c>
      <c r="I86" s="60">
        <v>4.91</v>
      </c>
      <c r="J86" s="60">
        <v>0.1</v>
      </c>
      <c r="K86" s="60">
        <v>243.11</v>
      </c>
      <c r="L86" s="60">
        <v>48.99</v>
      </c>
      <c r="M86" s="60">
        <v>77.36</v>
      </c>
      <c r="N86" s="60">
        <v>14.7</v>
      </c>
      <c r="O86" s="60">
        <v>0</v>
      </c>
      <c r="P86" s="60">
        <v>3.74</v>
      </c>
      <c r="Q86" s="60">
        <v>5.96</v>
      </c>
      <c r="R86" s="197"/>
      <c r="S86" s="197"/>
      <c r="T86" s="197"/>
      <c r="U86" s="197"/>
    </row>
    <row r="87" spans="1:26" s="12" customFormat="1" x14ac:dyDescent="0.25">
      <c r="A87" s="200" t="s">
        <v>1766</v>
      </c>
      <c r="B87" s="60">
        <v>6.55</v>
      </c>
      <c r="C87" s="60">
        <v>12.65</v>
      </c>
      <c r="D87" s="60">
        <v>19.2</v>
      </c>
      <c r="E87" s="60">
        <v>6.25</v>
      </c>
      <c r="F87" s="60">
        <v>0.09</v>
      </c>
      <c r="G87" s="215" t="s">
        <v>36</v>
      </c>
      <c r="H87" s="60">
        <v>11.67</v>
      </c>
      <c r="I87" s="60">
        <v>5.88</v>
      </c>
      <c r="J87" s="60">
        <v>0.13</v>
      </c>
      <c r="K87" s="60">
        <v>226.32</v>
      </c>
      <c r="L87" s="60">
        <v>42.22</v>
      </c>
      <c r="M87" s="60">
        <v>77.44</v>
      </c>
      <c r="N87" s="60">
        <v>14.7</v>
      </c>
      <c r="O87" s="60">
        <v>0</v>
      </c>
      <c r="P87" s="60">
        <v>3.77</v>
      </c>
      <c r="Q87" s="60">
        <v>6.29</v>
      </c>
      <c r="R87" s="197"/>
      <c r="S87" s="197"/>
      <c r="T87" s="197"/>
      <c r="U87" s="197"/>
    </row>
    <row r="88" spans="1:26" s="12" customFormat="1" x14ac:dyDescent="0.25">
      <c r="A88" s="200" t="s">
        <v>1767</v>
      </c>
      <c r="B88" s="60">
        <v>7.45</v>
      </c>
      <c r="C88" s="60">
        <v>12.28</v>
      </c>
      <c r="D88" s="60">
        <v>19.73</v>
      </c>
      <c r="E88" s="60">
        <v>1.77</v>
      </c>
      <c r="F88" s="60">
        <v>0.44</v>
      </c>
      <c r="G88" s="215" t="s">
        <v>36</v>
      </c>
      <c r="H88" s="60">
        <v>11.67</v>
      </c>
      <c r="I88" s="60">
        <v>6.59</v>
      </c>
      <c r="J88" s="60">
        <v>0.08</v>
      </c>
      <c r="K88" s="60">
        <v>267.27999999999997</v>
      </c>
      <c r="L88" s="60">
        <v>44.1</v>
      </c>
      <c r="M88" s="60">
        <v>77.510000000000005</v>
      </c>
      <c r="N88" s="60">
        <v>14.8</v>
      </c>
      <c r="O88" s="60">
        <v>0</v>
      </c>
      <c r="P88" s="60">
        <v>3.8</v>
      </c>
      <c r="Q88" s="60">
        <v>6.7</v>
      </c>
      <c r="R88" s="197"/>
      <c r="S88" s="197"/>
      <c r="T88" s="197"/>
      <c r="U88" s="197"/>
    </row>
    <row r="89" spans="1:26" s="12" customFormat="1" x14ac:dyDescent="0.25">
      <c r="A89" s="200" t="s">
        <v>1768</v>
      </c>
      <c r="B89" s="60">
        <v>8.41</v>
      </c>
      <c r="C89" s="60">
        <v>12.43</v>
      </c>
      <c r="D89" s="60">
        <v>20.83</v>
      </c>
      <c r="E89" s="60">
        <v>4.08</v>
      </c>
      <c r="F89" s="60">
        <v>0.28999999999999998</v>
      </c>
      <c r="G89" s="215" t="s">
        <v>36</v>
      </c>
      <c r="H89" s="60">
        <v>13.16</v>
      </c>
      <c r="I89" s="60">
        <v>6.01</v>
      </c>
      <c r="J89" s="60">
        <v>0.14000000000000001</v>
      </c>
      <c r="K89" s="60">
        <v>239.93</v>
      </c>
      <c r="L89" s="60">
        <v>43.88</v>
      </c>
      <c r="M89" s="60">
        <v>77.680000000000007</v>
      </c>
      <c r="N89" s="60">
        <v>14.9</v>
      </c>
      <c r="O89" s="60">
        <v>0</v>
      </c>
      <c r="P89" s="60">
        <v>3.88</v>
      </c>
      <c r="Q89" s="60">
        <v>7.12</v>
      </c>
      <c r="R89" s="197"/>
      <c r="S89" s="197"/>
      <c r="T89" s="197"/>
      <c r="U89" s="197"/>
    </row>
    <row r="90" spans="1:26" s="12" customFormat="1" x14ac:dyDescent="0.25">
      <c r="A90" s="200" t="s">
        <v>1769</v>
      </c>
      <c r="B90" s="60">
        <v>9.34</v>
      </c>
      <c r="C90" s="60">
        <v>12.26</v>
      </c>
      <c r="D90" s="60">
        <v>21.6</v>
      </c>
      <c r="E90" s="60">
        <v>5.19</v>
      </c>
      <c r="F90" s="60">
        <v>0.19</v>
      </c>
      <c r="G90" s="215" t="s">
        <v>36</v>
      </c>
      <c r="H90" s="60">
        <v>16.829999999999998</v>
      </c>
      <c r="I90" s="60">
        <v>5.99</v>
      </c>
      <c r="J90" s="60">
        <v>0.1</v>
      </c>
      <c r="K90" s="60">
        <v>286.93</v>
      </c>
      <c r="L90" s="60">
        <v>44.12</v>
      </c>
      <c r="M90" s="60">
        <v>79.88</v>
      </c>
      <c r="N90" s="60">
        <v>15</v>
      </c>
      <c r="O90" s="60">
        <v>0</v>
      </c>
      <c r="P90" s="60">
        <v>3.92</v>
      </c>
      <c r="Q90" s="60">
        <v>7.44</v>
      </c>
      <c r="R90" s="197"/>
      <c r="S90" s="197"/>
      <c r="T90" s="197"/>
      <c r="U90" s="197"/>
    </row>
    <row r="91" spans="1:26" s="12" customFormat="1" x14ac:dyDescent="0.25">
      <c r="A91" s="200" t="s">
        <v>1770</v>
      </c>
      <c r="B91" s="60">
        <v>10.24</v>
      </c>
      <c r="C91" s="60">
        <v>12.01</v>
      </c>
      <c r="D91" s="60">
        <v>22.25</v>
      </c>
      <c r="E91" s="60">
        <v>5.44</v>
      </c>
      <c r="F91" s="60">
        <v>0.35</v>
      </c>
      <c r="G91" s="215" t="s">
        <v>36</v>
      </c>
      <c r="H91" s="60">
        <v>16.829999999999998</v>
      </c>
      <c r="I91" s="60">
        <v>7.28</v>
      </c>
      <c r="J91" s="60">
        <v>0.16</v>
      </c>
      <c r="K91" s="60">
        <v>247.82</v>
      </c>
      <c r="L91" s="60">
        <v>40.54</v>
      </c>
      <c r="M91" s="60">
        <v>81.03</v>
      </c>
      <c r="N91" s="60">
        <v>15</v>
      </c>
      <c r="O91" s="60">
        <v>0</v>
      </c>
      <c r="P91" s="60">
        <v>3.93</v>
      </c>
      <c r="Q91" s="60">
        <v>7.79</v>
      </c>
      <c r="R91" s="197"/>
      <c r="S91" s="197"/>
      <c r="T91" s="197"/>
      <c r="U91" s="197"/>
    </row>
    <row r="92" spans="1:26" s="12" customFormat="1" x14ac:dyDescent="0.25">
      <c r="A92" s="200" t="s">
        <v>1771</v>
      </c>
      <c r="B92" s="60">
        <v>11.36</v>
      </c>
      <c r="C92" s="60">
        <v>11.75</v>
      </c>
      <c r="D92" s="60">
        <v>23.11</v>
      </c>
      <c r="E92" s="60">
        <v>5.75</v>
      </c>
      <c r="F92" s="60">
        <v>0.26</v>
      </c>
      <c r="G92" s="215" t="s">
        <v>36</v>
      </c>
      <c r="H92" s="60">
        <v>16.829999999999998</v>
      </c>
      <c r="I92" s="60">
        <v>6.86</v>
      </c>
      <c r="J92" s="60">
        <v>0.16</v>
      </c>
      <c r="K92" s="60">
        <v>229.95</v>
      </c>
      <c r="L92" s="60">
        <v>44.6</v>
      </c>
      <c r="M92" s="60">
        <v>82.49</v>
      </c>
      <c r="N92" s="60">
        <v>14.8</v>
      </c>
      <c r="O92" s="60">
        <v>0</v>
      </c>
      <c r="P92" s="60">
        <v>3.94</v>
      </c>
      <c r="Q92" s="60">
        <v>8.2899999999999991</v>
      </c>
      <c r="R92" s="197"/>
      <c r="S92" s="197"/>
      <c r="T92" s="197"/>
      <c r="U92" s="197"/>
    </row>
    <row r="93" spans="1:26" s="12" customFormat="1" x14ac:dyDescent="0.25">
      <c r="A93" s="200" t="s">
        <v>1772</v>
      </c>
      <c r="B93" s="60">
        <v>12.24</v>
      </c>
      <c r="C93" s="60">
        <v>12.08</v>
      </c>
      <c r="D93" s="60">
        <v>24.32</v>
      </c>
      <c r="E93" s="60">
        <v>5.79</v>
      </c>
      <c r="F93" s="60">
        <v>0.24</v>
      </c>
      <c r="G93" s="215" t="s">
        <v>36</v>
      </c>
      <c r="H93" s="60">
        <v>17.88</v>
      </c>
      <c r="I93" s="60">
        <v>7.07</v>
      </c>
      <c r="J93" s="60">
        <v>0.18</v>
      </c>
      <c r="K93" s="60">
        <v>254.49</v>
      </c>
      <c r="L93" s="60">
        <v>45.78</v>
      </c>
      <c r="M93" s="60">
        <v>82.12</v>
      </c>
      <c r="N93" s="60">
        <v>14.9</v>
      </c>
      <c r="O93" s="60">
        <v>0</v>
      </c>
      <c r="P93" s="60">
        <v>3.97</v>
      </c>
      <c r="Q93" s="60">
        <v>8.77</v>
      </c>
      <c r="R93" s="197"/>
      <c r="S93" s="197"/>
      <c r="T93" s="197"/>
      <c r="U93" s="197"/>
    </row>
    <row r="94" spans="1:26" s="12" customFormat="1" x14ac:dyDescent="0.25">
      <c r="A94" s="200" t="s">
        <v>1773</v>
      </c>
      <c r="B94" s="60">
        <v>12.68</v>
      </c>
      <c r="C94" s="60">
        <v>12.45</v>
      </c>
      <c r="D94" s="60">
        <v>25.12</v>
      </c>
      <c r="E94" s="60">
        <v>5.74</v>
      </c>
      <c r="F94" s="60">
        <v>0.2</v>
      </c>
      <c r="G94" s="215" t="s">
        <v>36</v>
      </c>
      <c r="H94" s="60">
        <v>20.47</v>
      </c>
      <c r="I94" s="60">
        <v>6.64</v>
      </c>
      <c r="J94" s="60">
        <v>0.15</v>
      </c>
      <c r="K94" s="60">
        <v>257.31</v>
      </c>
      <c r="L94" s="60">
        <v>42.11</v>
      </c>
      <c r="M94" s="60">
        <v>82.71</v>
      </c>
      <c r="N94" s="60">
        <v>14.8</v>
      </c>
      <c r="O94" s="60">
        <v>0</v>
      </c>
      <c r="P94" s="60">
        <v>3.99</v>
      </c>
      <c r="Q94" s="60">
        <v>9.0500000000000007</v>
      </c>
      <c r="R94" s="197"/>
      <c r="S94" s="197"/>
      <c r="T94" s="197"/>
      <c r="U94" s="197"/>
    </row>
    <row r="95" spans="1:26" s="12" customFormat="1" x14ac:dyDescent="0.25">
      <c r="A95" s="200" t="s">
        <v>1774</v>
      </c>
      <c r="B95" s="60">
        <v>12.83</v>
      </c>
      <c r="C95" s="60">
        <v>12.56</v>
      </c>
      <c r="D95" s="60">
        <v>25.38</v>
      </c>
      <c r="E95" s="60">
        <v>6.08</v>
      </c>
      <c r="F95" s="60">
        <v>0.06</v>
      </c>
      <c r="G95" s="215" t="s">
        <v>36</v>
      </c>
      <c r="H95" s="60">
        <v>20.47</v>
      </c>
      <c r="I95" s="60">
        <v>6.79</v>
      </c>
      <c r="J95" s="60">
        <v>0.31</v>
      </c>
      <c r="K95" s="60">
        <v>148.05000000000001</v>
      </c>
      <c r="L95" s="60">
        <v>42.26</v>
      </c>
      <c r="M95" s="60">
        <v>83.66</v>
      </c>
      <c r="N95" s="60">
        <v>14.7</v>
      </c>
      <c r="O95" s="60">
        <v>0</v>
      </c>
      <c r="P95" s="60">
        <v>3.99</v>
      </c>
      <c r="Q95" s="60">
        <v>9.06</v>
      </c>
      <c r="R95" s="197"/>
      <c r="S95" s="197"/>
      <c r="T95" s="197"/>
      <c r="U95" s="197"/>
    </row>
    <row r="96" spans="1:26" s="12" customFormat="1" x14ac:dyDescent="0.25">
      <c r="A96" s="200" t="s">
        <v>1775</v>
      </c>
      <c r="B96" s="60">
        <v>13.45</v>
      </c>
      <c r="C96" s="60">
        <v>12.62</v>
      </c>
      <c r="D96" s="60">
        <v>26.06</v>
      </c>
      <c r="E96" s="60">
        <v>5.58</v>
      </c>
      <c r="F96" s="60">
        <v>0.12</v>
      </c>
      <c r="G96" s="215" t="s">
        <v>36</v>
      </c>
      <c r="H96" s="60">
        <v>20.47</v>
      </c>
      <c r="I96" s="60">
        <v>6.88</v>
      </c>
      <c r="J96" s="60">
        <v>0.05</v>
      </c>
      <c r="K96" s="60">
        <v>230.19</v>
      </c>
      <c r="L96" s="60">
        <v>44.63</v>
      </c>
      <c r="M96" s="60">
        <v>85.31</v>
      </c>
      <c r="N96" s="60">
        <v>14.9</v>
      </c>
      <c r="O96" s="60">
        <v>0</v>
      </c>
      <c r="P96" s="60">
        <v>4</v>
      </c>
      <c r="Q96" s="60">
        <v>9.32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1776</v>
      </c>
      <c r="B97" s="60">
        <v>16.38</v>
      </c>
      <c r="C97" s="60">
        <v>12.64</v>
      </c>
      <c r="D97" s="60">
        <v>29.02</v>
      </c>
      <c r="E97" s="60">
        <v>5.85</v>
      </c>
      <c r="F97" s="60">
        <v>0.28000000000000003</v>
      </c>
      <c r="G97" s="215" t="s">
        <v>36</v>
      </c>
      <c r="H97" s="60">
        <v>19.59</v>
      </c>
      <c r="I97" s="60">
        <v>6.87</v>
      </c>
      <c r="J97" s="60">
        <v>0.13</v>
      </c>
      <c r="K97" s="60">
        <v>245.71</v>
      </c>
      <c r="L97" s="60">
        <v>43.3</v>
      </c>
      <c r="M97" s="60">
        <v>89.5</v>
      </c>
      <c r="N97" s="60">
        <v>15.1</v>
      </c>
      <c r="O97" s="60">
        <v>0</v>
      </c>
      <c r="P97" s="60">
        <v>4.1100000000000003</v>
      </c>
      <c r="Q97" s="60">
        <v>10.52</v>
      </c>
      <c r="R97" s="197"/>
      <c r="S97" s="197"/>
      <c r="T97" s="197"/>
      <c r="U97" s="197"/>
    </row>
    <row r="98" spans="1:33" s="12" customFormat="1" x14ac:dyDescent="0.25">
      <c r="A98" s="200" t="s">
        <v>1777</v>
      </c>
      <c r="B98" s="60">
        <v>19.829999999999998</v>
      </c>
      <c r="C98" s="60">
        <v>12.92</v>
      </c>
      <c r="D98" s="60">
        <v>32.74</v>
      </c>
      <c r="E98" s="60">
        <v>6.24</v>
      </c>
      <c r="F98" s="8" t="s">
        <v>34</v>
      </c>
      <c r="G98" s="215" t="s">
        <v>36</v>
      </c>
      <c r="H98" s="60">
        <v>17.420000000000002</v>
      </c>
      <c r="I98" s="60">
        <v>7.02</v>
      </c>
      <c r="J98" s="60">
        <v>0.19</v>
      </c>
      <c r="K98" s="60">
        <v>281.19</v>
      </c>
      <c r="L98" s="60">
        <v>42.26</v>
      </c>
      <c r="M98" s="60">
        <v>90.39</v>
      </c>
      <c r="N98" s="60">
        <v>15</v>
      </c>
      <c r="O98" s="60">
        <v>0</v>
      </c>
      <c r="P98" s="60">
        <v>4.21</v>
      </c>
      <c r="Q98" s="60">
        <v>11.71</v>
      </c>
      <c r="R98" s="197"/>
      <c r="S98" s="197"/>
      <c r="T98" s="197"/>
      <c r="U98" s="197"/>
    </row>
    <row r="99" spans="1:33" s="12" customFormat="1" x14ac:dyDescent="0.25">
      <c r="A99" s="200" t="s">
        <v>1778</v>
      </c>
      <c r="B99" s="60">
        <v>22.75</v>
      </c>
      <c r="C99" s="60">
        <v>12.61</v>
      </c>
      <c r="D99" s="60">
        <v>35.35</v>
      </c>
      <c r="E99" s="60">
        <v>6.03</v>
      </c>
      <c r="F99" s="60">
        <v>0.3</v>
      </c>
      <c r="G99" s="215" t="s">
        <v>36</v>
      </c>
      <c r="H99" s="60">
        <v>17.420000000000002</v>
      </c>
      <c r="I99" s="60">
        <v>7.76</v>
      </c>
      <c r="J99" s="60">
        <v>0.11</v>
      </c>
      <c r="K99" s="60">
        <v>153.38</v>
      </c>
      <c r="L99" s="60">
        <v>43.7</v>
      </c>
      <c r="M99" s="60">
        <v>91.42</v>
      </c>
      <c r="N99" s="60">
        <v>14.9</v>
      </c>
      <c r="O99" s="60">
        <v>0</v>
      </c>
      <c r="P99" s="60">
        <v>4.28</v>
      </c>
      <c r="Q99" s="60">
        <v>13.08</v>
      </c>
      <c r="R99" s="197"/>
      <c r="S99" s="197"/>
      <c r="T99" s="197"/>
      <c r="U99" s="197"/>
    </row>
    <row r="100" spans="1:33" s="12" customFormat="1" x14ac:dyDescent="0.25">
      <c r="A100" s="200" t="s">
        <v>1779</v>
      </c>
      <c r="B100" s="60">
        <v>24.08</v>
      </c>
      <c r="C100" s="60">
        <v>12.32</v>
      </c>
      <c r="D100" s="60">
        <v>36.4</v>
      </c>
      <c r="E100" s="60">
        <v>6.43</v>
      </c>
      <c r="F100" s="60">
        <v>0.36</v>
      </c>
      <c r="G100" s="215" t="s">
        <v>36</v>
      </c>
      <c r="H100" s="60">
        <v>17.420000000000002</v>
      </c>
      <c r="I100" s="60">
        <v>8.36</v>
      </c>
      <c r="J100" s="60">
        <v>0.33</v>
      </c>
      <c r="K100" s="60">
        <v>167.34</v>
      </c>
      <c r="L100" s="60">
        <v>44.07</v>
      </c>
      <c r="M100" s="60">
        <v>91.17</v>
      </c>
      <c r="N100" s="60">
        <v>14.7</v>
      </c>
      <c r="O100" s="60">
        <v>0</v>
      </c>
      <c r="P100" s="60">
        <v>4.25</v>
      </c>
      <c r="Q100" s="60">
        <v>13.55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1780</v>
      </c>
      <c r="B101" s="60">
        <v>24.42</v>
      </c>
      <c r="C101" s="60">
        <v>11.71</v>
      </c>
      <c r="D101" s="60">
        <v>36.14</v>
      </c>
      <c r="E101" s="60">
        <v>6.36</v>
      </c>
      <c r="F101" s="60">
        <v>0.3</v>
      </c>
      <c r="G101" s="215" t="s">
        <v>36</v>
      </c>
      <c r="H101" s="60">
        <v>17.48</v>
      </c>
      <c r="I101" s="60">
        <v>8.6999999999999993</v>
      </c>
      <c r="J101" s="60">
        <v>0.16</v>
      </c>
      <c r="K101" s="60">
        <v>213.13</v>
      </c>
      <c r="L101" s="60">
        <v>45.1</v>
      </c>
      <c r="M101" s="60">
        <v>90.21</v>
      </c>
      <c r="N101" s="60">
        <v>14.8</v>
      </c>
      <c r="O101" s="60">
        <v>0</v>
      </c>
      <c r="P101" s="60">
        <v>4.2300000000000004</v>
      </c>
      <c r="Q101" s="60">
        <v>13.58</v>
      </c>
      <c r="R101" s="197"/>
      <c r="S101" s="197"/>
      <c r="T101" s="197"/>
      <c r="U101" s="197"/>
    </row>
    <row r="102" spans="1:33" s="12" customFormat="1" x14ac:dyDescent="0.25">
      <c r="A102" s="200" t="s">
        <v>1781</v>
      </c>
      <c r="B102" s="60">
        <v>24.47</v>
      </c>
      <c r="C102" s="60">
        <v>11.23</v>
      </c>
      <c r="D102" s="60">
        <v>35.71</v>
      </c>
      <c r="E102" s="60">
        <v>6.82</v>
      </c>
      <c r="F102" s="60">
        <v>0.11</v>
      </c>
      <c r="G102" s="215" t="s">
        <v>36</v>
      </c>
      <c r="H102" s="60">
        <v>17.63</v>
      </c>
      <c r="I102" s="60">
        <v>7.27</v>
      </c>
      <c r="J102" s="60">
        <v>0.13</v>
      </c>
      <c r="K102" s="60">
        <v>285.24</v>
      </c>
      <c r="L102" s="60">
        <v>45.63</v>
      </c>
      <c r="M102" s="60">
        <v>91.74</v>
      </c>
      <c r="N102" s="60">
        <v>15</v>
      </c>
      <c r="O102" s="60">
        <v>0</v>
      </c>
      <c r="P102" s="60">
        <v>4.21</v>
      </c>
      <c r="Q102" s="60">
        <v>13.53</v>
      </c>
      <c r="R102" s="197"/>
      <c r="S102" s="197"/>
      <c r="T102" s="197"/>
      <c r="U102" s="197"/>
    </row>
    <row r="103" spans="1:33" s="12" customFormat="1" x14ac:dyDescent="0.25">
      <c r="A103" s="200" t="s">
        <v>1782</v>
      </c>
      <c r="B103" s="60">
        <v>24.51</v>
      </c>
      <c r="C103" s="60">
        <v>10.78</v>
      </c>
      <c r="D103" s="60">
        <v>35.299999999999997</v>
      </c>
      <c r="E103" s="60">
        <v>6.97</v>
      </c>
      <c r="F103" s="60">
        <v>0.24</v>
      </c>
      <c r="G103" s="215" t="s">
        <v>36</v>
      </c>
      <c r="H103" s="60">
        <v>17.63</v>
      </c>
      <c r="I103" s="60">
        <v>6.91</v>
      </c>
      <c r="J103" s="60">
        <v>0.14000000000000001</v>
      </c>
      <c r="K103" s="60">
        <v>207.52</v>
      </c>
      <c r="L103" s="60">
        <v>46.06</v>
      </c>
      <c r="M103" s="60">
        <v>91.97</v>
      </c>
      <c r="N103" s="60">
        <v>15</v>
      </c>
      <c r="O103" s="60">
        <v>0</v>
      </c>
      <c r="P103" s="60">
        <v>4.21</v>
      </c>
      <c r="Q103" s="60">
        <v>13.53</v>
      </c>
      <c r="R103" s="197"/>
      <c r="S103" s="197"/>
      <c r="T103" s="197"/>
      <c r="U103" s="197"/>
    </row>
    <row r="104" spans="1:33" s="12" customFormat="1" x14ac:dyDescent="0.25">
      <c r="A104" s="200" t="s">
        <v>1783</v>
      </c>
      <c r="B104" s="60">
        <v>24.78</v>
      </c>
      <c r="C104" s="60">
        <v>10.42</v>
      </c>
      <c r="D104" s="60">
        <v>35.200000000000003</v>
      </c>
      <c r="E104" s="60">
        <v>3.11</v>
      </c>
      <c r="F104" s="60">
        <v>0.44</v>
      </c>
      <c r="G104" s="215" t="s">
        <v>36</v>
      </c>
      <c r="H104" s="60">
        <v>17.63</v>
      </c>
      <c r="I104" s="60">
        <v>7.08</v>
      </c>
      <c r="J104" s="60">
        <v>0.14000000000000001</v>
      </c>
      <c r="K104" s="60">
        <v>280.02</v>
      </c>
      <c r="L104" s="60">
        <v>43.99</v>
      </c>
      <c r="M104" s="60">
        <v>93.73</v>
      </c>
      <c r="N104" s="60">
        <v>14.9</v>
      </c>
      <c r="O104" s="60">
        <v>0</v>
      </c>
      <c r="P104" s="60">
        <v>4.2</v>
      </c>
      <c r="Q104" s="60">
        <v>13.63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5" t="s">
        <v>59</v>
      </c>
      <c r="B106" s="67">
        <f>MIN(B9:B104)</f>
        <v>1.62</v>
      </c>
      <c r="C106" s="67">
        <f>MIN(C9:C104)</f>
        <v>7.24</v>
      </c>
      <c r="D106" s="67">
        <f t="shared" ref="D106:Q106" si="0">MIN(D9:D104)</f>
        <v>9.1199999999999992</v>
      </c>
      <c r="E106" s="67">
        <f t="shared" si="0"/>
        <v>1.48</v>
      </c>
      <c r="F106" s="67">
        <f t="shared" si="0"/>
        <v>0.06</v>
      </c>
      <c r="G106" s="67">
        <f t="shared" si="0"/>
        <v>0</v>
      </c>
      <c r="H106" s="67">
        <f t="shared" si="0"/>
        <v>1.56</v>
      </c>
      <c r="I106" s="67">
        <f t="shared" si="0"/>
        <v>2.4300000000000002</v>
      </c>
      <c r="J106" s="67">
        <f t="shared" si="0"/>
        <v>0.04</v>
      </c>
      <c r="K106" s="67">
        <f t="shared" si="0"/>
        <v>23.94</v>
      </c>
      <c r="L106" s="67">
        <f t="shared" si="0"/>
        <v>32.46</v>
      </c>
      <c r="M106" s="67">
        <f t="shared" si="0"/>
        <v>61.36</v>
      </c>
      <c r="N106" s="67">
        <f t="shared" si="0"/>
        <v>14.7</v>
      </c>
      <c r="O106" s="67">
        <f t="shared" si="0"/>
        <v>0</v>
      </c>
      <c r="P106" s="67">
        <f t="shared" si="0"/>
        <v>3.33</v>
      </c>
      <c r="Q106" s="67">
        <f t="shared" si="0"/>
        <v>2.58</v>
      </c>
      <c r="R106" s="198"/>
      <c r="S106" s="198"/>
      <c r="T106" s="198"/>
      <c r="U106" s="198"/>
    </row>
    <row r="107" spans="1:33" x14ac:dyDescent="0.25">
      <c r="A107" s="65" t="s">
        <v>60</v>
      </c>
      <c r="B107" s="66">
        <f>MAX(B9:B104)</f>
        <v>24.78</v>
      </c>
      <c r="C107" s="66">
        <f t="shared" ref="C107:Q107" si="1">MAX(C9:C104)</f>
        <v>13.06</v>
      </c>
      <c r="D107" s="66">
        <f t="shared" si="1"/>
        <v>36.4</v>
      </c>
      <c r="E107" s="66">
        <f t="shared" si="1"/>
        <v>6.97</v>
      </c>
      <c r="F107" s="66">
        <f t="shared" si="1"/>
        <v>1.1599999999999999</v>
      </c>
      <c r="G107" s="66">
        <f t="shared" si="1"/>
        <v>0</v>
      </c>
      <c r="H107" s="66">
        <f t="shared" si="1"/>
        <v>20.47</v>
      </c>
      <c r="I107" s="66">
        <f t="shared" si="1"/>
        <v>8.6999999999999993</v>
      </c>
      <c r="J107" s="66">
        <f t="shared" si="1"/>
        <v>1.85</v>
      </c>
      <c r="K107" s="66">
        <f t="shared" si="1"/>
        <v>286.93</v>
      </c>
      <c r="L107" s="66">
        <f t="shared" si="1"/>
        <v>52.33</v>
      </c>
      <c r="M107" s="66">
        <f t="shared" si="1"/>
        <v>95.46</v>
      </c>
      <c r="N107" s="66">
        <f t="shared" si="1"/>
        <v>941.5</v>
      </c>
      <c r="O107" s="66">
        <f t="shared" si="1"/>
        <v>0</v>
      </c>
      <c r="P107" s="66">
        <f t="shared" si="1"/>
        <v>4.28</v>
      </c>
      <c r="Q107" s="66">
        <f t="shared" si="1"/>
        <v>13.63</v>
      </c>
      <c r="R107" s="199"/>
      <c r="S107" s="199"/>
      <c r="T107" s="199"/>
      <c r="U107" s="199"/>
    </row>
    <row r="108" spans="1:33" x14ac:dyDescent="0.25">
      <c r="A108" s="65" t="s">
        <v>61</v>
      </c>
      <c r="B108" s="67">
        <f>AVERAGE(B9:B104)</f>
        <v>5.4137499999999994</v>
      </c>
      <c r="C108" s="67">
        <f t="shared" ref="C108:Q108" si="2">AVERAGE(C9:C104)</f>
        <v>10.414895833333334</v>
      </c>
      <c r="D108" s="67">
        <f t="shared" si="2"/>
        <v>15.828333333333331</v>
      </c>
      <c r="E108" s="67">
        <f t="shared" si="2"/>
        <v>4.685208333333331</v>
      </c>
      <c r="F108" s="67">
        <f t="shared" si="2"/>
        <v>0.45789473684210513</v>
      </c>
      <c r="G108" s="67" t="e">
        <f t="shared" si="2"/>
        <v>#DIV/0!</v>
      </c>
      <c r="H108" s="67">
        <f t="shared" si="2"/>
        <v>6.8343750000000005</v>
      </c>
      <c r="I108" s="67">
        <f t="shared" si="2"/>
        <v>3.7524999999999999</v>
      </c>
      <c r="J108" s="67">
        <f t="shared" si="2"/>
        <v>0.50739583333333305</v>
      </c>
      <c r="K108" s="67">
        <f t="shared" si="2"/>
        <v>193.2540625</v>
      </c>
      <c r="L108" s="67">
        <f t="shared" si="2"/>
        <v>43.736170212765963</v>
      </c>
      <c r="M108" s="67">
        <f t="shared" si="2"/>
        <v>79.789791666666645</v>
      </c>
      <c r="N108" s="67">
        <f t="shared" si="2"/>
        <v>246.20937500000011</v>
      </c>
      <c r="O108" s="67">
        <f t="shared" si="2"/>
        <v>0</v>
      </c>
      <c r="P108" s="67">
        <f t="shared" si="2"/>
        <v>3.5301041666666655</v>
      </c>
      <c r="Q108" s="67">
        <f t="shared" si="2"/>
        <v>5.2388541666666635</v>
      </c>
      <c r="R108" s="198"/>
      <c r="S108" s="198"/>
      <c r="T108" s="198"/>
      <c r="U108" s="198"/>
    </row>
    <row r="109" spans="1:33" x14ac:dyDescent="0.25">
      <c r="A109" s="65" t="s">
        <v>77</v>
      </c>
      <c r="B109" s="67">
        <f>STDEV(B9:B104)</f>
        <v>5.8877076675856941</v>
      </c>
      <c r="C109" s="67">
        <f t="shared" ref="C109:Q109" si="3">STDEV(C9:C104)</f>
        <v>1.9683051725260881</v>
      </c>
      <c r="D109" s="67">
        <f t="shared" si="3"/>
        <v>6.7717964135572464</v>
      </c>
      <c r="E109" s="67">
        <f t="shared" si="3"/>
        <v>1.3733079381487887</v>
      </c>
      <c r="F109" s="67">
        <f t="shared" si="3"/>
        <v>0.27079039054276355</v>
      </c>
      <c r="G109" s="67" t="e">
        <f t="shared" si="3"/>
        <v>#DIV/0!</v>
      </c>
      <c r="H109" s="67">
        <f t="shared" si="3"/>
        <v>5.8470672473246639</v>
      </c>
      <c r="I109" s="67">
        <f t="shared" si="3"/>
        <v>1.6343001077235688</v>
      </c>
      <c r="J109" s="67">
        <f t="shared" si="3"/>
        <v>0.44096364521750397</v>
      </c>
      <c r="K109" s="67">
        <f t="shared" si="3"/>
        <v>43.38864512090268</v>
      </c>
      <c r="L109" s="67">
        <f t="shared" si="3"/>
        <v>5.507870635595741</v>
      </c>
      <c r="M109" s="67">
        <f t="shared" si="3"/>
        <v>11.914950624203124</v>
      </c>
      <c r="N109" s="67">
        <f t="shared" si="3"/>
        <v>295.79076996315251</v>
      </c>
      <c r="O109" s="67">
        <f t="shared" si="3"/>
        <v>0</v>
      </c>
      <c r="P109" s="67">
        <f t="shared" si="3"/>
        <v>0.27069304733811139</v>
      </c>
      <c r="Q109" s="67">
        <f t="shared" si="3"/>
        <v>2.7213069111778974</v>
      </c>
      <c r="R109" s="198"/>
      <c r="S109" s="198"/>
      <c r="T109" s="198"/>
      <c r="U109" s="198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COUNT(F9:F104)+1</f>
        <v>96</v>
      </c>
      <c r="G110" s="66">
        <f>COUNT(G9:G104)+96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94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199"/>
      <c r="S110" s="199"/>
      <c r="T110" s="199"/>
      <c r="U110" s="199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218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F92" sqref="F9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17-08-2022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234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1784</v>
      </c>
      <c r="B9" s="60">
        <v>25.29</v>
      </c>
      <c r="C9" s="60">
        <v>10.46</v>
      </c>
      <c r="D9" s="60">
        <v>35.75</v>
      </c>
      <c r="E9" s="60">
        <v>5.98</v>
      </c>
      <c r="F9" s="60">
        <v>0.21</v>
      </c>
      <c r="G9" s="215" t="s">
        <v>36</v>
      </c>
      <c r="H9" s="60">
        <v>17.739999999999998</v>
      </c>
      <c r="I9" s="60">
        <v>7.13</v>
      </c>
      <c r="J9" s="60">
        <v>0.1</v>
      </c>
      <c r="K9" s="60">
        <v>91.22</v>
      </c>
      <c r="L9" s="60">
        <v>45.66</v>
      </c>
      <c r="M9" s="60">
        <v>97.98</v>
      </c>
      <c r="N9" s="60">
        <v>14.9</v>
      </c>
      <c r="O9" s="60">
        <v>0</v>
      </c>
      <c r="P9" s="60">
        <v>4.2</v>
      </c>
      <c r="Q9" s="60">
        <v>13.84</v>
      </c>
      <c r="R9" s="197"/>
      <c r="S9" s="197"/>
      <c r="T9" s="197"/>
      <c r="U9" s="197"/>
    </row>
    <row r="10" spans="1:21" s="12" customFormat="1" x14ac:dyDescent="0.25">
      <c r="A10" s="200" t="s">
        <v>1785</v>
      </c>
      <c r="B10" s="60">
        <v>25.82</v>
      </c>
      <c r="C10" s="60">
        <v>10.1</v>
      </c>
      <c r="D10" s="60">
        <v>35.92</v>
      </c>
      <c r="E10" s="60">
        <v>7.09</v>
      </c>
      <c r="F10" s="60">
        <v>7.0000000000000007E-2</v>
      </c>
      <c r="G10" s="215" t="s">
        <v>36</v>
      </c>
      <c r="H10" s="60">
        <v>18.03</v>
      </c>
      <c r="I10" s="60">
        <v>7.87</v>
      </c>
      <c r="J10" s="60">
        <v>0.02</v>
      </c>
      <c r="K10" s="60">
        <v>236.85</v>
      </c>
      <c r="L10" s="60">
        <v>42.93</v>
      </c>
      <c r="M10" s="60">
        <v>96.71</v>
      </c>
      <c r="N10" s="60">
        <v>15</v>
      </c>
      <c r="O10" s="60">
        <v>0</v>
      </c>
      <c r="P10" s="60">
        <v>4.2</v>
      </c>
      <c r="Q10" s="60">
        <v>13.91</v>
      </c>
      <c r="R10" s="197"/>
      <c r="S10" s="197"/>
      <c r="T10" s="197"/>
      <c r="U10" s="197"/>
    </row>
    <row r="11" spans="1:21" s="12" customFormat="1" x14ac:dyDescent="0.25">
      <c r="A11" s="200" t="s">
        <v>1786</v>
      </c>
      <c r="B11" s="60">
        <v>27.11</v>
      </c>
      <c r="C11" s="60">
        <v>9.9499999999999993</v>
      </c>
      <c r="D11" s="60">
        <v>37.06</v>
      </c>
      <c r="E11" s="60">
        <v>7.75</v>
      </c>
      <c r="F11" s="60">
        <v>0.25</v>
      </c>
      <c r="G11" s="215" t="s">
        <v>36</v>
      </c>
      <c r="H11" s="60">
        <v>18.03</v>
      </c>
      <c r="I11" s="60">
        <v>7.43</v>
      </c>
      <c r="J11" s="60">
        <v>0.17</v>
      </c>
      <c r="K11" s="60">
        <v>250.09</v>
      </c>
      <c r="L11" s="60">
        <v>44.72</v>
      </c>
      <c r="M11" s="60">
        <v>97.35</v>
      </c>
      <c r="N11" s="60">
        <v>15</v>
      </c>
      <c r="O11" s="60">
        <v>0</v>
      </c>
      <c r="P11" s="60">
        <v>4.21</v>
      </c>
      <c r="Q11" s="60">
        <v>14.67</v>
      </c>
      <c r="R11" s="197"/>
      <c r="S11" s="197"/>
      <c r="T11" s="197"/>
      <c r="U11" s="197"/>
    </row>
    <row r="12" spans="1:21" s="12" customFormat="1" x14ac:dyDescent="0.25">
      <c r="A12" s="200" t="s">
        <v>1787</v>
      </c>
      <c r="B12" s="60">
        <v>27.07</v>
      </c>
      <c r="C12" s="60">
        <v>10.42</v>
      </c>
      <c r="D12" s="60">
        <v>37.5</v>
      </c>
      <c r="E12" s="60">
        <v>7.56</v>
      </c>
      <c r="F12" s="60">
        <v>0.17</v>
      </c>
      <c r="G12" s="215" t="s">
        <v>36</v>
      </c>
      <c r="H12" s="60">
        <v>18.03</v>
      </c>
      <c r="I12" s="60">
        <v>7.83</v>
      </c>
      <c r="J12" s="60">
        <v>0.13</v>
      </c>
      <c r="K12" s="60">
        <v>238.92</v>
      </c>
      <c r="L12" s="60">
        <v>44.39</v>
      </c>
      <c r="M12" s="60">
        <v>97.23</v>
      </c>
      <c r="N12" s="60">
        <v>14.9</v>
      </c>
      <c r="O12" s="60">
        <v>0</v>
      </c>
      <c r="P12" s="60">
        <v>4.18</v>
      </c>
      <c r="Q12" s="60">
        <v>14.72</v>
      </c>
      <c r="R12" s="197"/>
      <c r="S12" s="197"/>
      <c r="T12" s="197"/>
      <c r="U12" s="197"/>
    </row>
    <row r="13" spans="1:21" s="12" customFormat="1" x14ac:dyDescent="0.25">
      <c r="A13" s="200" t="s">
        <v>1788</v>
      </c>
      <c r="B13" s="60">
        <v>26.03</v>
      </c>
      <c r="C13" s="60">
        <v>10.67</v>
      </c>
      <c r="D13" s="60">
        <v>36.700000000000003</v>
      </c>
      <c r="E13" s="60">
        <v>7.47</v>
      </c>
      <c r="F13" s="60">
        <v>0.04</v>
      </c>
      <c r="G13" s="215" t="s">
        <v>36</v>
      </c>
      <c r="H13" s="60">
        <v>18.149999999999999</v>
      </c>
      <c r="I13" s="60">
        <v>8.11</v>
      </c>
      <c r="J13" s="60">
        <v>0.16</v>
      </c>
      <c r="K13" s="60">
        <v>234.35</v>
      </c>
      <c r="L13" s="60">
        <v>40.54</v>
      </c>
      <c r="M13" s="60">
        <v>97.46</v>
      </c>
      <c r="N13" s="60">
        <v>14.7</v>
      </c>
      <c r="O13" s="60">
        <v>0</v>
      </c>
      <c r="P13" s="60">
        <v>4.1399999999999997</v>
      </c>
      <c r="Q13" s="60">
        <v>14.35</v>
      </c>
      <c r="R13" s="197"/>
      <c r="S13" s="197"/>
      <c r="T13" s="197"/>
      <c r="U13" s="197"/>
    </row>
    <row r="14" spans="1:21" s="12" customFormat="1" x14ac:dyDescent="0.25">
      <c r="A14" s="200" t="s">
        <v>1789</v>
      </c>
      <c r="B14" s="60">
        <v>25.02</v>
      </c>
      <c r="C14" s="60">
        <v>10.56</v>
      </c>
      <c r="D14" s="60">
        <v>35.58</v>
      </c>
      <c r="E14" s="60">
        <v>7.39</v>
      </c>
      <c r="F14" s="60">
        <v>0.3</v>
      </c>
      <c r="G14" s="215" t="s">
        <v>36</v>
      </c>
      <c r="H14" s="60">
        <v>18.440000000000001</v>
      </c>
      <c r="I14" s="60">
        <v>7.98</v>
      </c>
      <c r="J14" s="60">
        <v>0.22</v>
      </c>
      <c r="K14" s="60">
        <v>286.56</v>
      </c>
      <c r="L14" s="60">
        <v>42.48</v>
      </c>
      <c r="M14" s="60">
        <v>96.48</v>
      </c>
      <c r="N14" s="60">
        <v>14.7</v>
      </c>
      <c r="O14" s="60">
        <v>0</v>
      </c>
      <c r="P14" s="60">
        <v>4.1100000000000003</v>
      </c>
      <c r="Q14" s="60">
        <v>13.92</v>
      </c>
      <c r="R14" s="197"/>
      <c r="S14" s="197"/>
      <c r="T14" s="197"/>
      <c r="U14" s="197"/>
    </row>
    <row r="15" spans="1:21" s="12" customFormat="1" x14ac:dyDescent="0.25">
      <c r="A15" s="200" t="s">
        <v>1790</v>
      </c>
      <c r="B15" s="60">
        <v>23.9</v>
      </c>
      <c r="C15" s="60">
        <v>10.51</v>
      </c>
      <c r="D15" s="60">
        <v>34.409999999999997</v>
      </c>
      <c r="E15" s="60">
        <v>7.4</v>
      </c>
      <c r="F15" s="60">
        <v>0.14000000000000001</v>
      </c>
      <c r="G15" s="215" t="s">
        <v>36</v>
      </c>
      <c r="H15" s="60">
        <v>18.440000000000001</v>
      </c>
      <c r="I15" s="60">
        <v>7.8</v>
      </c>
      <c r="J15" s="60">
        <v>0.22</v>
      </c>
      <c r="K15" s="60">
        <v>251.55</v>
      </c>
      <c r="L15" s="60">
        <v>42.81</v>
      </c>
      <c r="M15" s="60">
        <v>95.02</v>
      </c>
      <c r="N15" s="60">
        <v>14.8</v>
      </c>
      <c r="O15" s="60">
        <v>0</v>
      </c>
      <c r="P15" s="60">
        <v>4.08</v>
      </c>
      <c r="Q15" s="60">
        <v>13.26</v>
      </c>
      <c r="R15" s="197"/>
      <c r="S15" s="197"/>
      <c r="T15" s="197"/>
      <c r="U15" s="197"/>
    </row>
    <row r="16" spans="1:21" s="12" customFormat="1" x14ac:dyDescent="0.25">
      <c r="A16" s="200" t="s">
        <v>1791</v>
      </c>
      <c r="B16" s="60">
        <v>22.46</v>
      </c>
      <c r="C16" s="60">
        <v>10.35</v>
      </c>
      <c r="D16" s="60">
        <v>32.81</v>
      </c>
      <c r="E16" s="60">
        <v>7.13</v>
      </c>
      <c r="F16" s="60">
        <v>0.01</v>
      </c>
      <c r="G16" s="215" t="s">
        <v>36</v>
      </c>
      <c r="H16" s="60">
        <v>18.440000000000001</v>
      </c>
      <c r="I16" s="60">
        <v>7.5</v>
      </c>
      <c r="J16" s="60">
        <v>0.14000000000000001</v>
      </c>
      <c r="K16" s="60">
        <v>240.33</v>
      </c>
      <c r="L16" s="60">
        <v>42.73</v>
      </c>
      <c r="M16" s="60">
        <v>95.95</v>
      </c>
      <c r="N16" s="60">
        <v>14.9</v>
      </c>
      <c r="O16" s="60">
        <v>0</v>
      </c>
      <c r="P16" s="60">
        <v>4.03</v>
      </c>
      <c r="Q16" s="60">
        <v>12.63</v>
      </c>
      <c r="R16" s="197"/>
      <c r="S16" s="197"/>
      <c r="T16" s="197"/>
      <c r="U16" s="197"/>
    </row>
    <row r="17" spans="1:21" s="12" customFormat="1" x14ac:dyDescent="0.25">
      <c r="A17" s="200" t="s">
        <v>1792</v>
      </c>
      <c r="B17" s="60">
        <v>21.43</v>
      </c>
      <c r="C17" s="60">
        <v>10.050000000000001</v>
      </c>
      <c r="D17" s="60">
        <v>31.48</v>
      </c>
      <c r="E17" s="60">
        <v>6.71</v>
      </c>
      <c r="F17" s="60">
        <v>0.04</v>
      </c>
      <c r="G17" s="215" t="s">
        <v>36</v>
      </c>
      <c r="H17" s="60">
        <v>17.04</v>
      </c>
      <c r="I17" s="60">
        <v>7.34</v>
      </c>
      <c r="J17" s="60">
        <v>0.16</v>
      </c>
      <c r="K17" s="60">
        <v>288.33999999999997</v>
      </c>
      <c r="L17" s="60">
        <v>42.03</v>
      </c>
      <c r="M17" s="60">
        <v>96.62</v>
      </c>
      <c r="N17" s="60">
        <v>14.8</v>
      </c>
      <c r="O17" s="60">
        <v>0</v>
      </c>
      <c r="P17" s="60">
        <v>3.98</v>
      </c>
      <c r="Q17" s="60">
        <v>12.22</v>
      </c>
      <c r="R17" s="197"/>
      <c r="S17" s="197"/>
      <c r="T17" s="197"/>
      <c r="U17" s="197"/>
    </row>
    <row r="18" spans="1:21" s="12" customFormat="1" x14ac:dyDescent="0.25">
      <c r="A18" s="200" t="s">
        <v>1793</v>
      </c>
      <c r="B18" s="60">
        <v>20.92</v>
      </c>
      <c r="C18" s="60">
        <v>9.76</v>
      </c>
      <c r="D18" s="60">
        <v>30.68</v>
      </c>
      <c r="E18" s="60">
        <v>7.21</v>
      </c>
      <c r="F18" s="60">
        <v>7.0000000000000007E-2</v>
      </c>
      <c r="G18" s="215" t="s">
        <v>36</v>
      </c>
      <c r="H18" s="60">
        <v>13.6</v>
      </c>
      <c r="I18" s="60">
        <v>6.9</v>
      </c>
      <c r="J18" s="60">
        <v>0.17</v>
      </c>
      <c r="K18" s="60">
        <v>330.69</v>
      </c>
      <c r="L18" s="60">
        <v>42.53</v>
      </c>
      <c r="M18" s="60">
        <v>97.96</v>
      </c>
      <c r="N18" s="60">
        <v>15.1</v>
      </c>
      <c r="O18" s="60">
        <v>0</v>
      </c>
      <c r="P18" s="60">
        <v>3.96</v>
      </c>
      <c r="Q18" s="60">
        <v>11.8</v>
      </c>
      <c r="R18" s="197"/>
      <c r="S18" s="197"/>
      <c r="T18" s="197"/>
      <c r="U18" s="197"/>
    </row>
    <row r="19" spans="1:21" s="12" customFormat="1" x14ac:dyDescent="0.25">
      <c r="A19" s="200" t="s">
        <v>1794</v>
      </c>
      <c r="B19" s="60">
        <v>20.63</v>
      </c>
      <c r="C19" s="60">
        <v>9.49</v>
      </c>
      <c r="D19" s="60">
        <v>30.12</v>
      </c>
      <c r="E19" s="60">
        <v>7.79</v>
      </c>
      <c r="F19" s="60">
        <v>0.15</v>
      </c>
      <c r="G19" s="215" t="s">
        <v>36</v>
      </c>
      <c r="H19" s="60">
        <v>13.6</v>
      </c>
      <c r="I19" s="60">
        <v>5.2</v>
      </c>
      <c r="J19" s="60">
        <v>7.0000000000000007E-2</v>
      </c>
      <c r="K19" s="60">
        <v>283.11</v>
      </c>
      <c r="L19" s="60">
        <v>40.36</v>
      </c>
      <c r="M19" s="60">
        <v>97.63</v>
      </c>
      <c r="N19" s="60">
        <v>15.1</v>
      </c>
      <c r="O19" s="60">
        <v>0</v>
      </c>
      <c r="P19" s="60">
        <v>3.95</v>
      </c>
      <c r="Q19" s="60">
        <v>11.65</v>
      </c>
      <c r="R19" s="197"/>
      <c r="S19" s="197"/>
      <c r="T19" s="197"/>
      <c r="U19" s="197"/>
    </row>
    <row r="20" spans="1:21" s="12" customFormat="1" x14ac:dyDescent="0.25">
      <c r="A20" s="200" t="s">
        <v>1795</v>
      </c>
      <c r="B20" s="60">
        <v>20.38</v>
      </c>
      <c r="C20" s="60">
        <v>9.17</v>
      </c>
      <c r="D20" s="60">
        <v>29.55</v>
      </c>
      <c r="E20" s="60">
        <v>7.7</v>
      </c>
      <c r="F20" s="60">
        <v>0.08</v>
      </c>
      <c r="G20" s="215" t="s">
        <v>36</v>
      </c>
      <c r="H20" s="60">
        <v>13.6</v>
      </c>
      <c r="I20" s="60">
        <v>4.88</v>
      </c>
      <c r="J20" s="60">
        <v>0.16</v>
      </c>
      <c r="K20" s="60">
        <v>225.49</v>
      </c>
      <c r="L20" s="60">
        <v>42.76</v>
      </c>
      <c r="M20" s="60">
        <v>96.19</v>
      </c>
      <c r="N20" s="60">
        <v>15</v>
      </c>
      <c r="O20" s="60">
        <v>0</v>
      </c>
      <c r="P20" s="60">
        <v>3.94</v>
      </c>
      <c r="Q20" s="60">
        <v>11.5</v>
      </c>
      <c r="R20" s="197"/>
      <c r="S20" s="197"/>
      <c r="T20" s="197"/>
      <c r="U20" s="197"/>
    </row>
    <row r="21" spans="1:21" s="12" customFormat="1" x14ac:dyDescent="0.25">
      <c r="A21" s="200" t="s">
        <v>1796</v>
      </c>
      <c r="B21" s="60">
        <v>20.170000000000002</v>
      </c>
      <c r="C21" s="60">
        <v>8.9</v>
      </c>
      <c r="D21" s="60">
        <v>29.08</v>
      </c>
      <c r="E21" s="60">
        <v>8.32</v>
      </c>
      <c r="F21" s="60">
        <v>0.13</v>
      </c>
      <c r="G21" s="215" t="s">
        <v>36</v>
      </c>
      <c r="H21" s="60">
        <v>13.43</v>
      </c>
      <c r="I21" s="60">
        <v>4.8099999999999996</v>
      </c>
      <c r="J21" s="60">
        <v>0.18</v>
      </c>
      <c r="K21" s="60">
        <v>172.22</v>
      </c>
      <c r="L21" s="60">
        <v>45.71</v>
      </c>
      <c r="M21" s="60">
        <v>95.23</v>
      </c>
      <c r="N21" s="60">
        <v>15</v>
      </c>
      <c r="O21" s="60">
        <v>0</v>
      </c>
      <c r="P21" s="60">
        <v>3.93</v>
      </c>
      <c r="Q21" s="60">
        <v>11.39</v>
      </c>
      <c r="R21" s="197"/>
      <c r="S21" s="197"/>
      <c r="T21" s="197"/>
      <c r="U21" s="197"/>
    </row>
    <row r="22" spans="1:21" s="12" customFormat="1" x14ac:dyDescent="0.25">
      <c r="A22" s="200" t="s">
        <v>1797</v>
      </c>
      <c r="B22" s="60">
        <v>19.940000000000001</v>
      </c>
      <c r="C22" s="60">
        <v>8.77</v>
      </c>
      <c r="D22" s="60">
        <v>28.72</v>
      </c>
      <c r="E22" s="60">
        <v>7.87</v>
      </c>
      <c r="F22" s="60">
        <v>7.0000000000000007E-2</v>
      </c>
      <c r="G22" s="215" t="s">
        <v>36</v>
      </c>
      <c r="H22" s="60">
        <v>13.03</v>
      </c>
      <c r="I22" s="60">
        <v>5.0599999999999996</v>
      </c>
      <c r="J22" s="60">
        <v>0.19</v>
      </c>
      <c r="K22" s="60">
        <v>199.5</v>
      </c>
      <c r="L22" s="60">
        <v>42.58</v>
      </c>
      <c r="M22" s="60">
        <v>94.13</v>
      </c>
      <c r="N22" s="60">
        <v>14.9</v>
      </c>
      <c r="O22" s="60">
        <v>0</v>
      </c>
      <c r="P22" s="60">
        <v>3.92</v>
      </c>
      <c r="Q22" s="60">
        <v>11.35</v>
      </c>
      <c r="R22" s="197"/>
      <c r="S22" s="197"/>
      <c r="T22" s="197"/>
      <c r="U22" s="197"/>
    </row>
    <row r="23" spans="1:21" s="12" customFormat="1" x14ac:dyDescent="0.25">
      <c r="A23" s="200" t="s">
        <v>1798</v>
      </c>
      <c r="B23" s="60">
        <v>19.739999999999998</v>
      </c>
      <c r="C23" s="60">
        <v>8.7100000000000009</v>
      </c>
      <c r="D23" s="60">
        <v>28.45</v>
      </c>
      <c r="E23" s="60">
        <v>8.09</v>
      </c>
      <c r="F23" s="60">
        <v>0.18</v>
      </c>
      <c r="G23" s="215" t="s">
        <v>36</v>
      </c>
      <c r="H23" s="60">
        <v>13.03</v>
      </c>
      <c r="I23" s="60">
        <v>5.16</v>
      </c>
      <c r="J23" s="60">
        <v>0.12</v>
      </c>
      <c r="K23" s="60">
        <v>231.9</v>
      </c>
      <c r="L23" s="60">
        <v>39.64</v>
      </c>
      <c r="M23" s="60">
        <v>93.92</v>
      </c>
      <c r="N23" s="60">
        <v>15.1</v>
      </c>
      <c r="O23" s="60">
        <v>0</v>
      </c>
      <c r="P23" s="60">
        <v>3.9</v>
      </c>
      <c r="Q23" s="60">
        <v>11.28</v>
      </c>
      <c r="R23" s="197"/>
      <c r="S23" s="197"/>
      <c r="T23" s="197"/>
      <c r="U23" s="197"/>
    </row>
    <row r="24" spans="1:21" s="12" customFormat="1" x14ac:dyDescent="0.25">
      <c r="A24" s="200" t="s">
        <v>1799</v>
      </c>
      <c r="B24" s="60">
        <v>19.54</v>
      </c>
      <c r="C24" s="60">
        <v>8.4700000000000006</v>
      </c>
      <c r="D24" s="60">
        <v>28.01</v>
      </c>
      <c r="E24" s="60">
        <v>2.91</v>
      </c>
      <c r="F24" s="60">
        <v>0.17</v>
      </c>
      <c r="G24" s="215" t="s">
        <v>36</v>
      </c>
      <c r="H24" s="60">
        <v>13.03</v>
      </c>
      <c r="I24" s="60">
        <v>5.04</v>
      </c>
      <c r="J24" s="60">
        <v>0.12</v>
      </c>
      <c r="K24" s="60">
        <v>223.7</v>
      </c>
      <c r="L24" s="60">
        <v>44.15</v>
      </c>
      <c r="M24" s="60">
        <v>92.24</v>
      </c>
      <c r="N24" s="60">
        <v>15.1</v>
      </c>
      <c r="O24" s="60">
        <v>0</v>
      </c>
      <c r="P24" s="60">
        <v>3.91</v>
      </c>
      <c r="Q24" s="60">
        <v>11.3</v>
      </c>
      <c r="R24" s="197"/>
      <c r="S24" s="197"/>
      <c r="T24" s="197"/>
      <c r="U24" s="197"/>
    </row>
    <row r="25" spans="1:21" s="12" customFormat="1" x14ac:dyDescent="0.25">
      <c r="A25" s="200" t="s">
        <v>1800</v>
      </c>
      <c r="B25" s="60">
        <v>18.850000000000001</v>
      </c>
      <c r="C25" s="60">
        <v>8.4499999999999993</v>
      </c>
      <c r="D25" s="60">
        <v>27.3</v>
      </c>
      <c r="E25" s="60">
        <v>5.59</v>
      </c>
      <c r="F25" s="60">
        <v>0.12</v>
      </c>
      <c r="G25" s="215" t="s">
        <v>36</v>
      </c>
      <c r="H25" s="60">
        <v>12.05</v>
      </c>
      <c r="I25" s="60">
        <v>5.18</v>
      </c>
      <c r="J25" s="60">
        <v>0.23</v>
      </c>
      <c r="K25" s="60">
        <v>198.84</v>
      </c>
      <c r="L25" s="60">
        <v>45.69</v>
      </c>
      <c r="M25" s="60">
        <v>91.59</v>
      </c>
      <c r="N25" s="60">
        <v>15</v>
      </c>
      <c r="O25" s="60">
        <v>0</v>
      </c>
      <c r="P25" s="60">
        <v>3.89</v>
      </c>
      <c r="Q25" s="60">
        <v>11.01</v>
      </c>
      <c r="R25" s="197"/>
      <c r="S25" s="197"/>
      <c r="T25" s="197"/>
      <c r="U25" s="197"/>
    </row>
    <row r="26" spans="1:21" s="12" customFormat="1" x14ac:dyDescent="0.25">
      <c r="A26" s="200" t="s">
        <v>1801</v>
      </c>
      <c r="B26" s="60">
        <v>17.86</v>
      </c>
      <c r="C26" s="60">
        <v>8.67</v>
      </c>
      <c r="D26" s="60">
        <v>26.53</v>
      </c>
      <c r="E26" s="60">
        <v>7.21</v>
      </c>
      <c r="F26" s="60">
        <v>0.05</v>
      </c>
      <c r="G26" s="215" t="s">
        <v>36</v>
      </c>
      <c r="H26" s="60">
        <v>9.52</v>
      </c>
      <c r="I26" s="60">
        <v>6.71</v>
      </c>
      <c r="J26" s="60">
        <v>0.16</v>
      </c>
      <c r="K26" s="60">
        <v>215.98</v>
      </c>
      <c r="L26" s="60">
        <v>41.27</v>
      </c>
      <c r="M26" s="60">
        <v>92.62</v>
      </c>
      <c r="N26" s="60">
        <v>15</v>
      </c>
      <c r="O26" s="60">
        <v>0</v>
      </c>
      <c r="P26" s="60">
        <v>3.86</v>
      </c>
      <c r="Q26" s="60">
        <v>10.57</v>
      </c>
      <c r="R26" s="197"/>
      <c r="S26" s="197"/>
      <c r="T26" s="197"/>
      <c r="U26" s="197"/>
    </row>
    <row r="27" spans="1:21" s="12" customFormat="1" x14ac:dyDescent="0.25">
      <c r="A27" s="200" t="s">
        <v>1802</v>
      </c>
      <c r="B27" s="60">
        <v>16.940000000000001</v>
      </c>
      <c r="C27" s="60">
        <v>8.5299999999999994</v>
      </c>
      <c r="D27" s="60">
        <v>25.47</v>
      </c>
      <c r="E27" s="60">
        <v>7.1</v>
      </c>
      <c r="F27" s="60">
        <v>0.18</v>
      </c>
      <c r="G27" s="215" t="s">
        <v>36</v>
      </c>
      <c r="H27" s="60">
        <v>9.52</v>
      </c>
      <c r="I27" s="60">
        <v>6.7</v>
      </c>
      <c r="J27" s="60">
        <v>0.18</v>
      </c>
      <c r="K27" s="60">
        <v>185.7</v>
      </c>
      <c r="L27" s="60">
        <v>39.880000000000003</v>
      </c>
      <c r="M27" s="60">
        <v>92.66</v>
      </c>
      <c r="N27" s="60">
        <v>15</v>
      </c>
      <c r="O27" s="60">
        <v>0</v>
      </c>
      <c r="P27" s="60">
        <v>3.83</v>
      </c>
      <c r="Q27" s="60">
        <v>10.27</v>
      </c>
      <c r="R27" s="197"/>
      <c r="S27" s="197"/>
      <c r="T27" s="197"/>
      <c r="U27" s="197"/>
    </row>
    <row r="28" spans="1:21" s="12" customFormat="1" x14ac:dyDescent="0.25">
      <c r="A28" s="200" t="s">
        <v>1803</v>
      </c>
      <c r="B28" s="60">
        <v>16.03</v>
      </c>
      <c r="C28" s="60">
        <v>8.8000000000000007</v>
      </c>
      <c r="D28" s="60">
        <v>24.82</v>
      </c>
      <c r="E28" s="60">
        <v>7.01</v>
      </c>
      <c r="F28" s="60">
        <v>0.12</v>
      </c>
      <c r="G28" s="215" t="s">
        <v>36</v>
      </c>
      <c r="H28" s="60">
        <v>9.52</v>
      </c>
      <c r="I28" s="60">
        <v>6.65</v>
      </c>
      <c r="J28" s="60">
        <v>0.46</v>
      </c>
      <c r="K28" s="60">
        <v>161.15</v>
      </c>
      <c r="L28" s="60">
        <v>40.520000000000003</v>
      </c>
      <c r="M28" s="60">
        <v>91.58</v>
      </c>
      <c r="N28" s="60">
        <v>14.9</v>
      </c>
      <c r="O28" s="60">
        <v>0</v>
      </c>
      <c r="P28" s="60">
        <v>3.8</v>
      </c>
      <c r="Q28" s="60">
        <v>9.84</v>
      </c>
      <c r="R28" s="197"/>
      <c r="S28" s="197"/>
      <c r="T28" s="197"/>
      <c r="U28" s="197"/>
    </row>
    <row r="29" spans="1:21" s="12" customFormat="1" x14ac:dyDescent="0.25">
      <c r="A29" s="200" t="s">
        <v>1804</v>
      </c>
      <c r="B29" s="60">
        <v>15.32</v>
      </c>
      <c r="C29" s="60">
        <v>8.7899999999999991</v>
      </c>
      <c r="D29" s="60">
        <v>24.11</v>
      </c>
      <c r="E29" s="60">
        <v>6.85</v>
      </c>
      <c r="F29" s="60">
        <v>0.16</v>
      </c>
      <c r="G29" s="215" t="s">
        <v>36</v>
      </c>
      <c r="H29" s="60">
        <v>8.7899999999999991</v>
      </c>
      <c r="I29" s="60">
        <v>6.39</v>
      </c>
      <c r="J29" s="60">
        <v>0.32</v>
      </c>
      <c r="K29" s="60">
        <v>165.12</v>
      </c>
      <c r="L29" s="60">
        <v>38.67</v>
      </c>
      <c r="M29" s="60">
        <v>91.45</v>
      </c>
      <c r="N29" s="60">
        <v>15</v>
      </c>
      <c r="O29" s="60">
        <v>0</v>
      </c>
      <c r="P29" s="60">
        <v>3.77</v>
      </c>
      <c r="Q29" s="60">
        <v>9.5500000000000007</v>
      </c>
      <c r="R29" s="197"/>
      <c r="S29" s="197"/>
      <c r="T29" s="197"/>
      <c r="U29" s="197"/>
    </row>
    <row r="30" spans="1:21" s="12" customFormat="1" x14ac:dyDescent="0.25">
      <c r="A30" s="200" t="s">
        <v>1805</v>
      </c>
      <c r="B30" s="60">
        <v>14.7</v>
      </c>
      <c r="C30" s="60">
        <v>9.08</v>
      </c>
      <c r="D30" s="60">
        <v>23.77</v>
      </c>
      <c r="E30" s="60">
        <v>7.32</v>
      </c>
      <c r="F30" s="60">
        <v>0.01</v>
      </c>
      <c r="G30" s="215" t="s">
        <v>36</v>
      </c>
      <c r="H30" s="60">
        <v>6.99</v>
      </c>
      <c r="I30" s="60">
        <v>6.24</v>
      </c>
      <c r="J30" s="60">
        <v>0.36</v>
      </c>
      <c r="K30" s="60">
        <v>179.87</v>
      </c>
      <c r="L30" s="60">
        <v>39.11</v>
      </c>
      <c r="M30" s="60">
        <v>91.98</v>
      </c>
      <c r="N30" s="60">
        <v>15.5</v>
      </c>
      <c r="O30" s="60">
        <v>0</v>
      </c>
      <c r="P30" s="60">
        <v>3.76</v>
      </c>
      <c r="Q30" s="60">
        <v>9.26</v>
      </c>
      <c r="R30" s="197"/>
      <c r="S30" s="197"/>
      <c r="T30" s="197"/>
      <c r="U30" s="197"/>
    </row>
    <row r="31" spans="1:21" s="12" customFormat="1" x14ac:dyDescent="0.25">
      <c r="A31" s="200" t="s">
        <v>1806</v>
      </c>
      <c r="B31" s="60">
        <v>14.2</v>
      </c>
      <c r="C31" s="60">
        <v>8.9600000000000009</v>
      </c>
      <c r="D31" s="60">
        <v>23.15</v>
      </c>
      <c r="E31" s="60">
        <v>7.09</v>
      </c>
      <c r="F31" s="60">
        <v>0.11</v>
      </c>
      <c r="G31" s="215" t="s">
        <v>36</v>
      </c>
      <c r="H31" s="60">
        <v>6.99</v>
      </c>
      <c r="I31" s="60">
        <v>6.08</v>
      </c>
      <c r="J31" s="60">
        <v>0.18</v>
      </c>
      <c r="K31" s="60">
        <v>266.91000000000003</v>
      </c>
      <c r="L31" s="60">
        <v>38.729999999999997</v>
      </c>
      <c r="M31" s="60">
        <v>93.01</v>
      </c>
      <c r="N31" s="60">
        <v>19.3</v>
      </c>
      <c r="O31" s="60">
        <v>0</v>
      </c>
      <c r="P31" s="60">
        <v>3.73</v>
      </c>
      <c r="Q31" s="60">
        <v>9.14</v>
      </c>
      <c r="R31" s="197"/>
      <c r="S31" s="197"/>
      <c r="T31" s="197"/>
      <c r="U31" s="197"/>
    </row>
    <row r="32" spans="1:21" s="12" customFormat="1" x14ac:dyDescent="0.25">
      <c r="A32" s="200" t="s">
        <v>1807</v>
      </c>
      <c r="B32" s="60">
        <v>14</v>
      </c>
      <c r="C32" s="60">
        <v>9.01</v>
      </c>
      <c r="D32" s="60">
        <v>23.01</v>
      </c>
      <c r="E32" s="60">
        <v>7</v>
      </c>
      <c r="F32" s="60">
        <v>0.11</v>
      </c>
      <c r="G32" s="215" t="s">
        <v>36</v>
      </c>
      <c r="H32" s="60">
        <v>6.99</v>
      </c>
      <c r="I32" s="60">
        <v>5.94</v>
      </c>
      <c r="J32" s="60">
        <v>0.1</v>
      </c>
      <c r="K32" s="60">
        <v>263.73</v>
      </c>
      <c r="L32" s="60">
        <v>39.979999999999997</v>
      </c>
      <c r="M32" s="60">
        <v>95.16</v>
      </c>
      <c r="N32" s="60">
        <v>31.6</v>
      </c>
      <c r="O32" s="60">
        <v>0</v>
      </c>
      <c r="P32" s="60">
        <v>3.72</v>
      </c>
      <c r="Q32" s="60">
        <v>8.94</v>
      </c>
      <c r="R32" s="197"/>
      <c r="S32" s="197"/>
      <c r="T32" s="197"/>
      <c r="U32" s="197"/>
    </row>
    <row r="33" spans="1:21" s="12" customFormat="1" x14ac:dyDescent="0.25">
      <c r="A33" s="200" t="s">
        <v>1808</v>
      </c>
      <c r="B33" s="60">
        <v>14.09</v>
      </c>
      <c r="C33" s="60">
        <v>8.98</v>
      </c>
      <c r="D33" s="60">
        <v>23.07</v>
      </c>
      <c r="E33" s="60">
        <v>7.54</v>
      </c>
      <c r="F33" s="60">
        <v>0.09</v>
      </c>
      <c r="G33" s="215" t="s">
        <v>36</v>
      </c>
      <c r="H33" s="60">
        <v>6.42</v>
      </c>
      <c r="I33" s="60">
        <v>5.63</v>
      </c>
      <c r="J33" s="60">
        <v>0.2</v>
      </c>
      <c r="K33" s="60">
        <v>161.94999999999999</v>
      </c>
      <c r="L33" s="60">
        <v>39.869999999999997</v>
      </c>
      <c r="M33" s="60">
        <v>94.7</v>
      </c>
      <c r="N33" s="60">
        <v>46.9</v>
      </c>
      <c r="O33" s="60">
        <v>0</v>
      </c>
      <c r="P33" s="60">
        <v>3.71</v>
      </c>
      <c r="Q33" s="60">
        <v>8.98</v>
      </c>
      <c r="R33" s="197"/>
      <c r="S33" s="197"/>
      <c r="T33" s="197"/>
      <c r="U33" s="197"/>
    </row>
    <row r="34" spans="1:21" s="12" customFormat="1" x14ac:dyDescent="0.25">
      <c r="A34" s="200" t="s">
        <v>1809</v>
      </c>
      <c r="B34" s="60">
        <v>14.46</v>
      </c>
      <c r="C34" s="60">
        <v>8.85</v>
      </c>
      <c r="D34" s="60">
        <v>23.31</v>
      </c>
      <c r="E34" s="60">
        <v>7.25</v>
      </c>
      <c r="F34" s="60">
        <v>0.11</v>
      </c>
      <c r="G34" s="215" t="s">
        <v>36</v>
      </c>
      <c r="H34" s="60">
        <v>4.99</v>
      </c>
      <c r="I34" s="60">
        <v>4.84</v>
      </c>
      <c r="J34" s="60">
        <v>0.2</v>
      </c>
      <c r="K34" s="60">
        <v>161.24</v>
      </c>
      <c r="L34" s="60">
        <v>40.229999999999997</v>
      </c>
      <c r="M34" s="60">
        <v>91.91</v>
      </c>
      <c r="N34" s="60">
        <v>90.2</v>
      </c>
      <c r="O34" s="60">
        <v>0</v>
      </c>
      <c r="P34" s="60">
        <v>3.71</v>
      </c>
      <c r="Q34" s="60">
        <v>9.1300000000000008</v>
      </c>
      <c r="R34" s="197"/>
      <c r="S34" s="197"/>
      <c r="T34" s="197"/>
      <c r="U34" s="197"/>
    </row>
    <row r="35" spans="1:21" s="12" customFormat="1" x14ac:dyDescent="0.25">
      <c r="A35" s="200" t="s">
        <v>1810</v>
      </c>
      <c r="B35" s="60">
        <v>14.95</v>
      </c>
      <c r="C35" s="60">
        <v>8.73</v>
      </c>
      <c r="D35" s="60">
        <v>23.68</v>
      </c>
      <c r="E35" s="60">
        <v>7.63</v>
      </c>
      <c r="F35" s="60">
        <v>0.76</v>
      </c>
      <c r="G35" s="215" t="s">
        <v>36</v>
      </c>
      <c r="H35" s="60">
        <v>4.99</v>
      </c>
      <c r="I35" s="60">
        <v>4.7300000000000004</v>
      </c>
      <c r="J35" s="60">
        <v>0.36</v>
      </c>
      <c r="K35" s="60">
        <v>155.22999999999999</v>
      </c>
      <c r="L35" s="60">
        <v>41.15</v>
      </c>
      <c r="M35" s="60">
        <v>86.03</v>
      </c>
      <c r="N35" s="60">
        <v>150.69999999999999</v>
      </c>
      <c r="O35" s="60">
        <v>0</v>
      </c>
      <c r="P35" s="60">
        <v>3.71</v>
      </c>
      <c r="Q35" s="60">
        <v>9.3800000000000008</v>
      </c>
      <c r="R35" s="197"/>
      <c r="S35" s="197"/>
      <c r="T35" s="197"/>
      <c r="U35" s="197"/>
    </row>
    <row r="36" spans="1:21" s="12" customFormat="1" x14ac:dyDescent="0.25">
      <c r="A36" s="200" t="s">
        <v>1811</v>
      </c>
      <c r="B36" s="60">
        <v>15.22</v>
      </c>
      <c r="C36" s="60">
        <v>8.61</v>
      </c>
      <c r="D36" s="60">
        <v>23.84</v>
      </c>
      <c r="E36" s="60">
        <v>7.9</v>
      </c>
      <c r="F36" s="60">
        <v>0.65</v>
      </c>
      <c r="G36" s="215" t="s">
        <v>36</v>
      </c>
      <c r="H36" s="60">
        <v>4.99</v>
      </c>
      <c r="I36" s="60">
        <v>4.7</v>
      </c>
      <c r="J36" s="60">
        <v>0.49</v>
      </c>
      <c r="K36" s="60">
        <v>170.44</v>
      </c>
      <c r="L36" s="60">
        <v>42.79</v>
      </c>
      <c r="M36" s="60">
        <v>84.25</v>
      </c>
      <c r="N36" s="60">
        <v>208.5</v>
      </c>
      <c r="O36" s="60">
        <v>0</v>
      </c>
      <c r="P36" s="60">
        <v>3.7</v>
      </c>
      <c r="Q36" s="60">
        <v>9.5500000000000007</v>
      </c>
      <c r="R36" s="197"/>
      <c r="S36" s="197"/>
      <c r="T36" s="197"/>
      <c r="U36" s="197"/>
    </row>
    <row r="37" spans="1:21" s="12" customFormat="1" x14ac:dyDescent="0.25">
      <c r="A37" s="200" t="s">
        <v>1812</v>
      </c>
      <c r="B37" s="60">
        <v>15.11</v>
      </c>
      <c r="C37" s="60">
        <v>8.7100000000000009</v>
      </c>
      <c r="D37" s="60">
        <v>23.83</v>
      </c>
      <c r="E37" s="60">
        <v>7.75</v>
      </c>
      <c r="F37" s="60">
        <v>0.18</v>
      </c>
      <c r="G37" s="215" t="s">
        <v>36</v>
      </c>
      <c r="H37" s="60">
        <v>5.66</v>
      </c>
      <c r="I37" s="60">
        <v>4.96</v>
      </c>
      <c r="J37" s="60">
        <v>0.46</v>
      </c>
      <c r="K37" s="60">
        <v>168.86</v>
      </c>
      <c r="L37" s="60">
        <v>43.43</v>
      </c>
      <c r="M37" s="60">
        <v>81.25</v>
      </c>
      <c r="N37" s="60">
        <v>268.3</v>
      </c>
      <c r="O37" s="60">
        <v>0</v>
      </c>
      <c r="P37" s="60">
        <v>3.7</v>
      </c>
      <c r="Q37" s="60">
        <v>9.51</v>
      </c>
      <c r="R37" s="197"/>
      <c r="S37" s="197"/>
      <c r="T37" s="197"/>
      <c r="U37" s="197"/>
    </row>
    <row r="38" spans="1:21" s="12" customFormat="1" x14ac:dyDescent="0.25">
      <c r="A38" s="200" t="s">
        <v>1813</v>
      </c>
      <c r="B38" s="60">
        <v>14.94</v>
      </c>
      <c r="C38" s="60">
        <v>8.48</v>
      </c>
      <c r="D38" s="60">
        <v>23.42</v>
      </c>
      <c r="E38" s="60">
        <v>7.53</v>
      </c>
      <c r="F38" s="60">
        <v>0.26</v>
      </c>
      <c r="G38" s="215" t="s">
        <v>36</v>
      </c>
      <c r="H38" s="60">
        <v>7.31</v>
      </c>
      <c r="I38" s="60">
        <v>5.29</v>
      </c>
      <c r="J38" s="60">
        <v>0.46</v>
      </c>
      <c r="K38" s="60">
        <v>179.83</v>
      </c>
      <c r="L38" s="60">
        <v>44.95</v>
      </c>
      <c r="M38" s="60">
        <v>80.3</v>
      </c>
      <c r="N38" s="60">
        <v>324.8</v>
      </c>
      <c r="O38" s="60">
        <v>0</v>
      </c>
      <c r="P38" s="60">
        <v>3.7</v>
      </c>
      <c r="Q38" s="60">
        <v>9.44</v>
      </c>
      <c r="R38" s="197"/>
      <c r="S38" s="197"/>
      <c r="T38" s="197"/>
      <c r="U38" s="197"/>
    </row>
    <row r="39" spans="1:21" s="12" customFormat="1" x14ac:dyDescent="0.25">
      <c r="A39" s="200" t="s">
        <v>1814</v>
      </c>
      <c r="B39" s="60">
        <v>14.28</v>
      </c>
      <c r="C39" s="60">
        <v>9.44</v>
      </c>
      <c r="D39" s="60">
        <v>23.72</v>
      </c>
      <c r="E39" s="60">
        <v>8.15</v>
      </c>
      <c r="F39" s="60">
        <v>0.25</v>
      </c>
      <c r="G39" s="215" t="s">
        <v>36</v>
      </c>
      <c r="H39" s="60">
        <v>7.31</v>
      </c>
      <c r="I39" s="60">
        <v>5.47</v>
      </c>
      <c r="J39" s="60">
        <v>0.19</v>
      </c>
      <c r="K39" s="60">
        <v>188.53</v>
      </c>
      <c r="L39" s="60">
        <v>46.15</v>
      </c>
      <c r="M39" s="60">
        <v>77.150000000000006</v>
      </c>
      <c r="N39" s="60">
        <v>383.3</v>
      </c>
      <c r="O39" s="60">
        <v>0</v>
      </c>
      <c r="P39" s="60">
        <v>3.68</v>
      </c>
      <c r="Q39" s="60">
        <v>9.32</v>
      </c>
      <c r="R39" s="197"/>
      <c r="S39" s="197"/>
      <c r="T39" s="197"/>
      <c r="U39" s="197"/>
    </row>
    <row r="40" spans="1:21" s="12" customFormat="1" x14ac:dyDescent="0.25">
      <c r="A40" s="200" t="s">
        <v>1815</v>
      </c>
      <c r="B40" s="60">
        <v>13.06</v>
      </c>
      <c r="C40" s="60">
        <v>9.6300000000000008</v>
      </c>
      <c r="D40" s="60">
        <v>22.69</v>
      </c>
      <c r="E40" s="60">
        <v>3.09</v>
      </c>
      <c r="F40" s="60">
        <v>0.3</v>
      </c>
      <c r="G40" s="215" t="s">
        <v>36</v>
      </c>
      <c r="H40" s="60">
        <v>7.31</v>
      </c>
      <c r="I40" s="60">
        <v>5.67</v>
      </c>
      <c r="J40" s="60">
        <v>0.38</v>
      </c>
      <c r="K40" s="60">
        <v>184.07</v>
      </c>
      <c r="L40" s="60">
        <v>46.03</v>
      </c>
      <c r="M40" s="60">
        <v>75.02</v>
      </c>
      <c r="N40" s="60">
        <v>448.2</v>
      </c>
      <c r="O40" s="60">
        <v>0</v>
      </c>
      <c r="P40" s="60">
        <v>3.67</v>
      </c>
      <c r="Q40" s="60">
        <v>9.11</v>
      </c>
      <c r="R40" s="197"/>
      <c r="S40" s="197"/>
      <c r="T40" s="197"/>
      <c r="U40" s="197"/>
    </row>
    <row r="41" spans="1:21" s="12" customFormat="1" x14ac:dyDescent="0.25">
      <c r="A41" s="200" t="s">
        <v>1816</v>
      </c>
      <c r="B41" s="60">
        <v>11.62</v>
      </c>
      <c r="C41" s="60">
        <v>10.029999999999999</v>
      </c>
      <c r="D41" s="60">
        <v>21.65</v>
      </c>
      <c r="E41" s="60">
        <v>5.87</v>
      </c>
      <c r="F41" s="60">
        <v>0.37</v>
      </c>
      <c r="G41" s="215" t="s">
        <v>36</v>
      </c>
      <c r="H41" s="60">
        <v>6.97</v>
      </c>
      <c r="I41" s="60">
        <v>5.78</v>
      </c>
      <c r="J41" s="60">
        <v>0.57999999999999996</v>
      </c>
      <c r="K41" s="60">
        <v>182</v>
      </c>
      <c r="L41" s="60">
        <v>45.4</v>
      </c>
      <c r="M41" s="60">
        <v>74.78</v>
      </c>
      <c r="N41" s="60">
        <v>413.5</v>
      </c>
      <c r="O41" s="60">
        <v>0</v>
      </c>
      <c r="P41" s="60">
        <v>3.63</v>
      </c>
      <c r="Q41" s="60">
        <v>8.5399999999999991</v>
      </c>
      <c r="R41" s="197"/>
      <c r="S41" s="197"/>
      <c r="T41" s="197"/>
      <c r="U41" s="197"/>
    </row>
    <row r="42" spans="1:21" s="12" customFormat="1" x14ac:dyDescent="0.25">
      <c r="A42" s="200" t="s">
        <v>1817</v>
      </c>
      <c r="B42" s="60">
        <v>10.16</v>
      </c>
      <c r="C42" s="60">
        <v>10.8</v>
      </c>
      <c r="D42" s="60">
        <v>20.96</v>
      </c>
      <c r="E42" s="60">
        <v>6.74</v>
      </c>
      <c r="F42" s="60">
        <v>0.17</v>
      </c>
      <c r="G42" s="215" t="s">
        <v>36</v>
      </c>
      <c r="H42" s="60">
        <v>6.12</v>
      </c>
      <c r="I42" s="60">
        <v>5.59</v>
      </c>
      <c r="J42" s="60">
        <v>0.05</v>
      </c>
      <c r="K42" s="60">
        <v>245.71</v>
      </c>
      <c r="L42" s="60">
        <v>45.41</v>
      </c>
      <c r="M42" s="60">
        <v>74.900000000000006</v>
      </c>
      <c r="N42" s="60">
        <v>509.1</v>
      </c>
      <c r="O42" s="60">
        <v>0</v>
      </c>
      <c r="P42" s="60">
        <v>3.63</v>
      </c>
      <c r="Q42" s="60">
        <v>7.92</v>
      </c>
      <c r="R42" s="197"/>
      <c r="S42" s="197"/>
      <c r="T42" s="197"/>
      <c r="U42" s="197"/>
    </row>
    <row r="43" spans="1:21" s="12" customFormat="1" x14ac:dyDescent="0.25">
      <c r="A43" s="200" t="s">
        <v>1818</v>
      </c>
      <c r="B43" s="60">
        <v>8.61</v>
      </c>
      <c r="C43" s="60">
        <v>11.09</v>
      </c>
      <c r="D43" s="60">
        <v>19.7</v>
      </c>
      <c r="E43" s="60">
        <v>6.82</v>
      </c>
      <c r="F43" s="60">
        <v>0.34</v>
      </c>
      <c r="G43" s="215" t="s">
        <v>36</v>
      </c>
      <c r="H43" s="60">
        <v>6.12</v>
      </c>
      <c r="I43" s="60">
        <v>5.43</v>
      </c>
      <c r="J43" s="60">
        <v>0.52</v>
      </c>
      <c r="K43" s="60">
        <v>191.94</v>
      </c>
      <c r="L43" s="60">
        <v>46.69</v>
      </c>
      <c r="M43" s="60">
        <v>72.88</v>
      </c>
      <c r="N43" s="60">
        <v>556.70000000000005</v>
      </c>
      <c r="O43" s="60">
        <v>0</v>
      </c>
      <c r="P43" s="60">
        <v>3.6</v>
      </c>
      <c r="Q43" s="60">
        <v>7.45</v>
      </c>
      <c r="R43" s="197"/>
      <c r="S43" s="197"/>
      <c r="T43" s="197"/>
      <c r="U43" s="197"/>
    </row>
    <row r="44" spans="1:21" s="12" customFormat="1" x14ac:dyDescent="0.25">
      <c r="A44" s="200" t="s">
        <v>1819</v>
      </c>
      <c r="B44" s="60">
        <v>7.09</v>
      </c>
      <c r="C44" s="60">
        <v>11.57</v>
      </c>
      <c r="D44" s="60">
        <v>18.66</v>
      </c>
      <c r="E44" s="60">
        <v>6.59</v>
      </c>
      <c r="F44" s="60">
        <v>0.34</v>
      </c>
      <c r="G44" s="215" t="s">
        <v>36</v>
      </c>
      <c r="H44" s="60">
        <v>6.12</v>
      </c>
      <c r="I44" s="60">
        <v>5.23</v>
      </c>
      <c r="J44" s="60">
        <v>0.03</v>
      </c>
      <c r="K44" s="60">
        <v>45.12</v>
      </c>
      <c r="L44" s="60">
        <v>49.13</v>
      </c>
      <c r="M44" s="60">
        <v>70.540000000000006</v>
      </c>
      <c r="N44" s="60">
        <v>584.70000000000005</v>
      </c>
      <c r="O44" s="60">
        <v>0</v>
      </c>
      <c r="P44" s="60">
        <v>3.58</v>
      </c>
      <c r="Q44" s="60">
        <v>6.88</v>
      </c>
      <c r="R44" s="197"/>
      <c r="S44" s="197"/>
      <c r="T44" s="197"/>
      <c r="U44" s="197"/>
    </row>
    <row r="45" spans="1:21" s="12" customFormat="1" x14ac:dyDescent="0.25">
      <c r="A45" s="200" t="s">
        <v>1820</v>
      </c>
      <c r="B45" s="60">
        <v>6.4</v>
      </c>
      <c r="C45" s="60">
        <v>12.41</v>
      </c>
      <c r="D45" s="60">
        <v>18.809999999999999</v>
      </c>
      <c r="E45" s="60">
        <v>5.98</v>
      </c>
      <c r="F45" s="60">
        <v>0.25</v>
      </c>
      <c r="G45" s="215" t="s">
        <v>36</v>
      </c>
      <c r="H45" s="60">
        <v>6.39</v>
      </c>
      <c r="I45" s="60">
        <v>4.99</v>
      </c>
      <c r="J45" s="60">
        <v>0.18</v>
      </c>
      <c r="K45" s="60">
        <v>28.3</v>
      </c>
      <c r="L45" s="60">
        <v>52.15</v>
      </c>
      <c r="M45" s="60">
        <v>67.63</v>
      </c>
      <c r="N45" s="60">
        <v>629.79999999999995</v>
      </c>
      <c r="O45" s="60">
        <v>0</v>
      </c>
      <c r="P45" s="60">
        <v>3.58</v>
      </c>
      <c r="Q45" s="60">
        <v>6.67</v>
      </c>
      <c r="R45" s="197"/>
      <c r="S45" s="197"/>
      <c r="T45" s="197"/>
      <c r="U45" s="197"/>
    </row>
    <row r="46" spans="1:21" s="12" customFormat="1" x14ac:dyDescent="0.25">
      <c r="A46" s="200" t="s">
        <v>1821</v>
      </c>
      <c r="B46" s="60">
        <v>5.94</v>
      </c>
      <c r="C46" s="60">
        <v>13.31</v>
      </c>
      <c r="D46" s="60">
        <v>19.25</v>
      </c>
      <c r="E46" s="60">
        <v>6</v>
      </c>
      <c r="F46" s="60">
        <v>0.57999999999999996</v>
      </c>
      <c r="G46" s="215" t="s">
        <v>36</v>
      </c>
      <c r="H46" s="60">
        <v>7.06</v>
      </c>
      <c r="I46" s="60">
        <v>4.84</v>
      </c>
      <c r="J46" s="60">
        <v>0.12</v>
      </c>
      <c r="K46" s="60">
        <v>21.1</v>
      </c>
      <c r="L46" s="60">
        <v>47.58</v>
      </c>
      <c r="M46" s="60">
        <v>69.239999999999995</v>
      </c>
      <c r="N46" s="60">
        <v>726.5</v>
      </c>
      <c r="O46" s="60">
        <v>0</v>
      </c>
      <c r="P46" s="60">
        <v>3.58</v>
      </c>
      <c r="Q46" s="60">
        <v>6.55</v>
      </c>
      <c r="R46" s="197"/>
      <c r="S46" s="197"/>
      <c r="T46" s="197"/>
      <c r="U46" s="197"/>
    </row>
    <row r="47" spans="1:21" s="12" customFormat="1" x14ac:dyDescent="0.25">
      <c r="A47" s="200" t="s">
        <v>1822</v>
      </c>
      <c r="B47" s="60">
        <v>5.14</v>
      </c>
      <c r="C47" s="60">
        <v>14.02</v>
      </c>
      <c r="D47" s="60">
        <v>19.149999999999999</v>
      </c>
      <c r="E47" s="60">
        <v>5.45</v>
      </c>
      <c r="F47" s="60">
        <v>0.57999999999999996</v>
      </c>
      <c r="G47" s="215" t="s">
        <v>36</v>
      </c>
      <c r="H47" s="60">
        <v>7.06</v>
      </c>
      <c r="I47" s="60">
        <v>4.74</v>
      </c>
      <c r="J47" s="60">
        <v>0.12</v>
      </c>
      <c r="K47" s="60">
        <v>0.67</v>
      </c>
      <c r="L47" s="60">
        <v>51.13</v>
      </c>
      <c r="M47" s="60">
        <v>68.58</v>
      </c>
      <c r="N47" s="60">
        <v>695</v>
      </c>
      <c r="O47" s="60">
        <v>0</v>
      </c>
      <c r="P47" s="60">
        <v>3.58</v>
      </c>
      <c r="Q47" s="60">
        <v>6.34</v>
      </c>
      <c r="R47" s="197"/>
      <c r="S47" s="197"/>
      <c r="T47" s="197"/>
      <c r="U47" s="197"/>
    </row>
    <row r="48" spans="1:21" s="12" customFormat="1" x14ac:dyDescent="0.25">
      <c r="A48" s="200" t="s">
        <v>1823</v>
      </c>
      <c r="B48" s="60">
        <v>4.18</v>
      </c>
      <c r="C48" s="60">
        <v>14.48</v>
      </c>
      <c r="D48" s="60">
        <v>18.66</v>
      </c>
      <c r="E48" s="60">
        <v>5.08</v>
      </c>
      <c r="F48" s="60">
        <v>0.79</v>
      </c>
      <c r="G48" s="215" t="s">
        <v>36</v>
      </c>
      <c r="H48" s="60">
        <v>7.06</v>
      </c>
      <c r="I48" s="60">
        <v>4.5199999999999996</v>
      </c>
      <c r="J48" s="60">
        <v>0.08</v>
      </c>
      <c r="K48" s="60">
        <v>156.36000000000001</v>
      </c>
      <c r="L48" s="60">
        <v>48.74</v>
      </c>
      <c r="M48" s="60">
        <v>69.48</v>
      </c>
      <c r="N48" s="60">
        <v>745.7</v>
      </c>
      <c r="O48" s="60">
        <v>0</v>
      </c>
      <c r="P48" s="60">
        <v>3.58</v>
      </c>
      <c r="Q48" s="60">
        <v>6.05</v>
      </c>
      <c r="R48" s="197"/>
      <c r="S48" s="197"/>
      <c r="T48" s="197"/>
      <c r="U48" s="197"/>
    </row>
    <row r="49" spans="1:21" s="12" customFormat="1" x14ac:dyDescent="0.25">
      <c r="A49" s="200" t="s">
        <v>1824</v>
      </c>
      <c r="B49" s="60">
        <v>3.45</v>
      </c>
      <c r="C49" s="60">
        <v>14.94</v>
      </c>
      <c r="D49" s="60">
        <v>18.39</v>
      </c>
      <c r="E49" s="60">
        <v>4.9400000000000004</v>
      </c>
      <c r="F49" s="60">
        <v>0.93</v>
      </c>
      <c r="G49" s="215" t="s">
        <v>36</v>
      </c>
      <c r="H49" s="60">
        <v>9.09</v>
      </c>
      <c r="I49" s="60">
        <v>4.4800000000000004</v>
      </c>
      <c r="J49" s="60">
        <v>0.21</v>
      </c>
      <c r="K49" s="60">
        <v>165.74</v>
      </c>
      <c r="L49" s="60">
        <v>48.85</v>
      </c>
      <c r="M49" s="60">
        <v>68.14</v>
      </c>
      <c r="N49" s="60">
        <v>771.7</v>
      </c>
      <c r="O49" s="60">
        <v>0</v>
      </c>
      <c r="P49" s="60">
        <v>3.57</v>
      </c>
      <c r="Q49" s="60">
        <v>5.76</v>
      </c>
      <c r="R49" s="197"/>
      <c r="S49" s="197"/>
      <c r="T49" s="197"/>
      <c r="U49" s="197"/>
    </row>
    <row r="50" spans="1:21" s="12" customFormat="1" x14ac:dyDescent="0.25">
      <c r="A50" s="200" t="s">
        <v>1825</v>
      </c>
      <c r="B50" s="60">
        <v>2.87</v>
      </c>
      <c r="C50" s="60">
        <v>14.95</v>
      </c>
      <c r="D50" s="60">
        <v>17.82</v>
      </c>
      <c r="E50" s="60">
        <v>4.75</v>
      </c>
      <c r="F50" s="60">
        <v>0.51</v>
      </c>
      <c r="G50" s="215" t="s">
        <v>36</v>
      </c>
      <c r="H50" s="60">
        <v>14.06</v>
      </c>
      <c r="I50" s="60">
        <v>4.37</v>
      </c>
      <c r="J50" s="60">
        <v>0.11</v>
      </c>
      <c r="K50" s="60">
        <v>142.87</v>
      </c>
      <c r="L50" s="60">
        <v>48.35</v>
      </c>
      <c r="M50" s="60">
        <v>66.569999999999993</v>
      </c>
      <c r="N50" s="60">
        <v>851.4</v>
      </c>
      <c r="O50" s="60">
        <v>0</v>
      </c>
      <c r="P50" s="60">
        <v>3.59</v>
      </c>
      <c r="Q50" s="60">
        <v>5.42</v>
      </c>
      <c r="R50" s="197"/>
      <c r="S50" s="197"/>
      <c r="T50" s="197"/>
      <c r="U50" s="197"/>
    </row>
    <row r="51" spans="1:21" s="12" customFormat="1" x14ac:dyDescent="0.25">
      <c r="A51" s="200" t="s">
        <v>1826</v>
      </c>
      <c r="B51" s="60">
        <v>3.24</v>
      </c>
      <c r="C51" s="60">
        <v>15.14</v>
      </c>
      <c r="D51" s="60">
        <v>18.39</v>
      </c>
      <c r="E51" s="60">
        <v>4.5199999999999996</v>
      </c>
      <c r="F51" s="60">
        <v>0.8</v>
      </c>
      <c r="G51" s="215" t="s">
        <v>36</v>
      </c>
      <c r="H51" s="60">
        <v>14.06</v>
      </c>
      <c r="I51" s="60">
        <v>4.24</v>
      </c>
      <c r="J51" s="60">
        <v>0.48</v>
      </c>
      <c r="K51" s="60">
        <v>194.93</v>
      </c>
      <c r="L51" s="60">
        <v>49.86</v>
      </c>
      <c r="M51" s="60">
        <v>67.78</v>
      </c>
      <c r="N51" s="60">
        <v>781.8</v>
      </c>
      <c r="O51" s="60">
        <v>0</v>
      </c>
      <c r="P51" s="60">
        <v>3.58</v>
      </c>
      <c r="Q51" s="60">
        <v>5.71</v>
      </c>
      <c r="R51" s="197"/>
      <c r="S51" s="197"/>
      <c r="T51" s="197"/>
      <c r="U51" s="197"/>
    </row>
    <row r="52" spans="1:21" s="12" customFormat="1" x14ac:dyDescent="0.25">
      <c r="A52" s="200" t="s">
        <v>1827</v>
      </c>
      <c r="B52" s="60">
        <v>3.09</v>
      </c>
      <c r="C52" s="60">
        <v>14.82</v>
      </c>
      <c r="D52" s="60">
        <v>17.91</v>
      </c>
      <c r="E52" s="60">
        <v>4.7</v>
      </c>
      <c r="F52" s="60">
        <v>0.96</v>
      </c>
      <c r="G52" s="215" t="s">
        <v>36</v>
      </c>
      <c r="H52" s="60">
        <v>14.06</v>
      </c>
      <c r="I52" s="60">
        <v>4.21</v>
      </c>
      <c r="J52" s="60">
        <v>0.14000000000000001</v>
      </c>
      <c r="K52" s="60">
        <v>169.59</v>
      </c>
      <c r="L52" s="60">
        <v>48.13</v>
      </c>
      <c r="M52" s="60">
        <v>66.83</v>
      </c>
      <c r="N52" s="60">
        <v>861.7</v>
      </c>
      <c r="O52" s="60">
        <v>0</v>
      </c>
      <c r="P52" s="60">
        <v>3.58</v>
      </c>
      <c r="Q52" s="60">
        <v>5.68</v>
      </c>
      <c r="R52" s="197"/>
      <c r="S52" s="197"/>
      <c r="T52" s="197"/>
      <c r="U52" s="197"/>
    </row>
    <row r="53" spans="1:21" s="12" customFormat="1" x14ac:dyDescent="0.25">
      <c r="A53" s="200" t="s">
        <v>1828</v>
      </c>
      <c r="B53" s="60">
        <v>2.83</v>
      </c>
      <c r="C53" s="60">
        <v>15.39</v>
      </c>
      <c r="D53" s="60">
        <v>18.22</v>
      </c>
      <c r="E53" s="60">
        <v>5.01</v>
      </c>
      <c r="F53" s="60">
        <v>0.57999999999999996</v>
      </c>
      <c r="G53" s="215" t="s">
        <v>36</v>
      </c>
      <c r="H53" s="60">
        <v>13.55</v>
      </c>
      <c r="I53" s="60">
        <v>4.22</v>
      </c>
      <c r="J53" s="60">
        <v>0.08</v>
      </c>
      <c r="K53" s="60">
        <v>22.91</v>
      </c>
      <c r="L53" s="60">
        <v>49.13</v>
      </c>
      <c r="M53" s="60">
        <v>64.02</v>
      </c>
      <c r="N53" s="60">
        <v>875.5</v>
      </c>
      <c r="O53" s="60">
        <v>0</v>
      </c>
      <c r="P53" s="60">
        <v>3.59</v>
      </c>
      <c r="Q53" s="60">
        <v>5.55</v>
      </c>
      <c r="R53" s="197"/>
      <c r="S53" s="197"/>
      <c r="T53" s="197"/>
      <c r="U53" s="197"/>
    </row>
    <row r="54" spans="1:21" s="12" customFormat="1" x14ac:dyDescent="0.25">
      <c r="A54" s="200" t="s">
        <v>1829</v>
      </c>
      <c r="B54" s="60">
        <v>2.66</v>
      </c>
      <c r="C54" s="60">
        <v>15.04</v>
      </c>
      <c r="D54" s="60">
        <v>17.7</v>
      </c>
      <c r="E54" s="60">
        <v>4.7300000000000004</v>
      </c>
      <c r="F54" s="60">
        <v>1.05</v>
      </c>
      <c r="G54" s="215" t="s">
        <v>36</v>
      </c>
      <c r="H54" s="60">
        <v>12.28</v>
      </c>
      <c r="I54" s="60">
        <v>4.1900000000000004</v>
      </c>
      <c r="J54" s="60">
        <v>0.28000000000000003</v>
      </c>
      <c r="K54" s="60">
        <v>210.51</v>
      </c>
      <c r="L54" s="60">
        <v>49.69</v>
      </c>
      <c r="M54" s="60">
        <v>64.78</v>
      </c>
      <c r="N54" s="60">
        <v>718.6</v>
      </c>
      <c r="O54" s="60">
        <v>0</v>
      </c>
      <c r="P54" s="60">
        <v>3.57</v>
      </c>
      <c r="Q54" s="60">
        <v>5.65</v>
      </c>
      <c r="R54" s="197"/>
      <c r="S54" s="197"/>
      <c r="T54" s="197"/>
      <c r="U54" s="197"/>
    </row>
    <row r="55" spans="1:21" s="12" customFormat="1" x14ac:dyDescent="0.25">
      <c r="A55" s="200" t="s">
        <v>1830</v>
      </c>
      <c r="B55" s="60">
        <v>2.4500000000000002</v>
      </c>
      <c r="C55" s="60">
        <v>14.46</v>
      </c>
      <c r="D55" s="60">
        <v>16.899999999999999</v>
      </c>
      <c r="E55" s="60">
        <v>4.6900000000000004</v>
      </c>
      <c r="F55" s="60">
        <v>0.9</v>
      </c>
      <c r="G55" s="215" t="s">
        <v>36</v>
      </c>
      <c r="H55" s="60">
        <v>12.28</v>
      </c>
      <c r="I55" s="60">
        <v>4.2</v>
      </c>
      <c r="J55" s="60">
        <v>0.22</v>
      </c>
      <c r="K55" s="60">
        <v>5.38</v>
      </c>
      <c r="L55" s="10" t="s">
        <v>43</v>
      </c>
      <c r="M55" s="60">
        <v>64.739999999999995</v>
      </c>
      <c r="N55" s="60">
        <v>691.6</v>
      </c>
      <c r="O55" s="60">
        <v>0</v>
      </c>
      <c r="P55" s="60">
        <v>3.58</v>
      </c>
      <c r="Q55" s="60">
        <v>5.5</v>
      </c>
      <c r="R55" s="197"/>
      <c r="S55" s="197"/>
      <c r="T55" s="197"/>
      <c r="U55" s="197"/>
    </row>
    <row r="56" spans="1:21" s="12" customFormat="1" x14ac:dyDescent="0.25">
      <c r="A56" s="200" t="s">
        <v>1831</v>
      </c>
      <c r="B56" s="60">
        <v>2.44</v>
      </c>
      <c r="C56" s="60">
        <v>14.16</v>
      </c>
      <c r="D56" s="60">
        <v>16.600000000000001</v>
      </c>
      <c r="E56" s="60">
        <v>2.74</v>
      </c>
      <c r="F56" s="60">
        <v>0.94</v>
      </c>
      <c r="G56" s="215" t="s">
        <v>36</v>
      </c>
      <c r="H56" s="60">
        <v>12.28</v>
      </c>
      <c r="I56" s="60">
        <v>4.1500000000000004</v>
      </c>
      <c r="J56" s="60">
        <v>0.22</v>
      </c>
      <c r="K56" s="60">
        <v>340.32</v>
      </c>
      <c r="L56" s="10" t="s">
        <v>43</v>
      </c>
      <c r="M56" s="60">
        <v>60.65</v>
      </c>
      <c r="N56" s="60">
        <v>851.8</v>
      </c>
      <c r="O56" s="60">
        <v>0</v>
      </c>
      <c r="P56" s="60">
        <v>3.59</v>
      </c>
      <c r="Q56" s="60">
        <v>5.27</v>
      </c>
      <c r="R56" s="197"/>
      <c r="S56" s="197"/>
      <c r="T56" s="197"/>
      <c r="U56" s="197"/>
    </row>
    <row r="57" spans="1:21" s="12" customFormat="1" x14ac:dyDescent="0.25">
      <c r="A57" s="200" t="s">
        <v>1832</v>
      </c>
      <c r="B57" s="60">
        <v>2.41</v>
      </c>
      <c r="C57" s="60">
        <v>13.83</v>
      </c>
      <c r="D57" s="60">
        <v>16.25</v>
      </c>
      <c r="E57" s="60">
        <v>4.07</v>
      </c>
      <c r="F57" s="60">
        <v>0.87</v>
      </c>
      <c r="G57" s="215" t="s">
        <v>36</v>
      </c>
      <c r="H57" s="60">
        <v>13.14</v>
      </c>
      <c r="I57" s="60">
        <v>4.1100000000000003</v>
      </c>
      <c r="J57" s="60">
        <v>0.04</v>
      </c>
      <c r="K57" s="60">
        <v>266.94</v>
      </c>
      <c r="L57" s="10" t="s">
        <v>43</v>
      </c>
      <c r="M57" s="60">
        <v>61.32</v>
      </c>
      <c r="N57" s="60">
        <v>870.9</v>
      </c>
      <c r="O57" s="60">
        <v>0</v>
      </c>
      <c r="P57" s="60">
        <v>3.6</v>
      </c>
      <c r="Q57" s="60">
        <v>5.14</v>
      </c>
      <c r="R57" s="197"/>
      <c r="S57" s="197"/>
      <c r="T57" s="197"/>
      <c r="U57" s="197"/>
    </row>
    <row r="58" spans="1:21" s="12" customFormat="1" x14ac:dyDescent="0.25">
      <c r="A58" s="200" t="s">
        <v>1833</v>
      </c>
      <c r="B58" s="60">
        <v>2.21</v>
      </c>
      <c r="C58" s="60">
        <v>13.69</v>
      </c>
      <c r="D58" s="60">
        <v>15.9</v>
      </c>
      <c r="E58" s="60">
        <v>4.67</v>
      </c>
      <c r="F58" s="60">
        <v>0.82</v>
      </c>
      <c r="G58" s="215" t="s">
        <v>36</v>
      </c>
      <c r="H58" s="60">
        <v>15.25</v>
      </c>
      <c r="I58" s="60">
        <v>4.0599999999999996</v>
      </c>
      <c r="J58" s="60">
        <v>0.11</v>
      </c>
      <c r="K58" s="60">
        <v>301.98</v>
      </c>
      <c r="L58" s="10" t="s">
        <v>43</v>
      </c>
      <c r="M58" s="60">
        <v>61.05</v>
      </c>
      <c r="N58" s="60">
        <v>941</v>
      </c>
      <c r="O58" s="60">
        <v>0</v>
      </c>
      <c r="P58" s="60">
        <v>3.58</v>
      </c>
      <c r="Q58" s="60">
        <v>4.71</v>
      </c>
      <c r="R58" s="197"/>
      <c r="S58" s="197"/>
      <c r="T58" s="197"/>
      <c r="U58" s="197"/>
    </row>
    <row r="59" spans="1:21" s="12" customFormat="1" x14ac:dyDescent="0.25">
      <c r="A59" s="200" t="s">
        <v>1834</v>
      </c>
      <c r="B59" s="60">
        <v>2.31</v>
      </c>
      <c r="C59" s="60">
        <v>13.69</v>
      </c>
      <c r="D59" s="60">
        <v>16</v>
      </c>
      <c r="E59" s="60">
        <v>4.62</v>
      </c>
      <c r="F59" s="60">
        <v>0.82</v>
      </c>
      <c r="G59" s="215" t="s">
        <v>36</v>
      </c>
      <c r="H59" s="60">
        <v>15.25</v>
      </c>
      <c r="I59" s="60">
        <v>4.0199999999999996</v>
      </c>
      <c r="J59" s="60">
        <v>0.22</v>
      </c>
      <c r="K59" s="60">
        <v>17.53</v>
      </c>
      <c r="L59" s="10" t="s">
        <v>43</v>
      </c>
      <c r="M59" s="60">
        <v>59.49</v>
      </c>
      <c r="N59" s="60">
        <v>901.5</v>
      </c>
      <c r="O59" s="60">
        <v>0</v>
      </c>
      <c r="P59" s="60">
        <v>3.59</v>
      </c>
      <c r="Q59" s="60">
        <v>4.7</v>
      </c>
      <c r="R59" s="197"/>
      <c r="S59" s="197"/>
      <c r="T59" s="197"/>
      <c r="U59" s="197"/>
    </row>
    <row r="60" spans="1:21" s="12" customFormat="1" x14ac:dyDescent="0.25">
      <c r="A60" s="200" t="s">
        <v>1835</v>
      </c>
      <c r="B60" s="60">
        <v>2.13</v>
      </c>
      <c r="C60" s="60">
        <v>13.89</v>
      </c>
      <c r="D60" s="60">
        <v>16.02</v>
      </c>
      <c r="E60" s="60">
        <v>4.4400000000000004</v>
      </c>
      <c r="F60" s="60">
        <v>0.98</v>
      </c>
      <c r="G60" s="215" t="s">
        <v>36</v>
      </c>
      <c r="H60" s="60">
        <v>15.25</v>
      </c>
      <c r="I60" s="60">
        <v>4</v>
      </c>
      <c r="J60" s="60">
        <v>0.06</v>
      </c>
      <c r="K60" s="60">
        <v>325.08</v>
      </c>
      <c r="L60" s="10" t="s">
        <v>43</v>
      </c>
      <c r="M60" s="60">
        <v>60.26</v>
      </c>
      <c r="N60" s="60">
        <v>806.1</v>
      </c>
      <c r="O60" s="60">
        <v>0</v>
      </c>
      <c r="P60" s="60">
        <v>3.59</v>
      </c>
      <c r="Q60" s="60">
        <v>4.6500000000000004</v>
      </c>
      <c r="R60" s="197"/>
      <c r="S60" s="197"/>
      <c r="T60" s="197"/>
      <c r="U60" s="197"/>
    </row>
    <row r="61" spans="1:21" s="12" customFormat="1" x14ac:dyDescent="0.25">
      <c r="A61" s="200" t="s">
        <v>1836</v>
      </c>
      <c r="B61" s="60">
        <v>2.08</v>
      </c>
      <c r="C61" s="60">
        <v>13.5</v>
      </c>
      <c r="D61" s="60">
        <v>15.58</v>
      </c>
      <c r="E61" s="60">
        <v>4.49</v>
      </c>
      <c r="F61" s="60">
        <v>1.5</v>
      </c>
      <c r="G61" s="215" t="s">
        <v>36</v>
      </c>
      <c r="H61" s="60">
        <v>14.49</v>
      </c>
      <c r="I61" s="60">
        <v>3.94</v>
      </c>
      <c r="J61" s="60">
        <v>0.01</v>
      </c>
      <c r="K61" s="60">
        <v>284.95</v>
      </c>
      <c r="L61" s="10" t="s">
        <v>43</v>
      </c>
      <c r="M61" s="60">
        <v>59.59</v>
      </c>
      <c r="N61" s="60">
        <v>786.6</v>
      </c>
      <c r="O61" s="60">
        <v>0</v>
      </c>
      <c r="P61" s="60">
        <v>3.58</v>
      </c>
      <c r="Q61" s="60">
        <v>4.75</v>
      </c>
      <c r="R61" s="197"/>
      <c r="S61" s="197"/>
      <c r="T61" s="197"/>
      <c r="U61" s="197"/>
    </row>
    <row r="62" spans="1:21" s="12" customFormat="1" x14ac:dyDescent="0.25">
      <c r="A62" s="200" t="s">
        <v>1837</v>
      </c>
      <c r="B62" s="60">
        <v>2</v>
      </c>
      <c r="C62" s="60">
        <v>14.19</v>
      </c>
      <c r="D62" s="60">
        <v>16.190000000000001</v>
      </c>
      <c r="E62" s="60">
        <v>4.18</v>
      </c>
      <c r="F62" s="60">
        <v>0.66</v>
      </c>
      <c r="G62" s="215" t="s">
        <v>36</v>
      </c>
      <c r="H62" s="60">
        <v>12.63</v>
      </c>
      <c r="I62" s="60">
        <v>3.87</v>
      </c>
      <c r="J62" s="60">
        <v>0.15</v>
      </c>
      <c r="K62" s="60">
        <v>204.33</v>
      </c>
      <c r="L62" s="10" t="s">
        <v>43</v>
      </c>
      <c r="M62" s="60">
        <v>60.41</v>
      </c>
      <c r="N62" s="60">
        <v>718</v>
      </c>
      <c r="O62" s="60">
        <v>0</v>
      </c>
      <c r="P62" s="60">
        <v>3.59</v>
      </c>
      <c r="Q62" s="60">
        <v>4.6399999999999997</v>
      </c>
      <c r="R62" s="197"/>
      <c r="S62" s="197"/>
      <c r="T62" s="197"/>
      <c r="U62" s="197"/>
    </row>
    <row r="63" spans="1:21" s="12" customFormat="1" x14ac:dyDescent="0.25">
      <c r="A63" s="200" t="s">
        <v>1838</v>
      </c>
      <c r="B63" s="60">
        <v>1.93</v>
      </c>
      <c r="C63" s="60">
        <v>14.14</v>
      </c>
      <c r="D63" s="60">
        <v>16.079999999999998</v>
      </c>
      <c r="E63" s="60">
        <v>4.29</v>
      </c>
      <c r="F63" s="60">
        <v>1.1200000000000001</v>
      </c>
      <c r="G63" s="215" t="s">
        <v>36</v>
      </c>
      <c r="H63" s="60">
        <v>12.63</v>
      </c>
      <c r="I63" s="60">
        <v>3.75</v>
      </c>
      <c r="J63" s="60">
        <v>0.03</v>
      </c>
      <c r="K63" s="60">
        <v>213.55</v>
      </c>
      <c r="L63" s="10" t="s">
        <v>43</v>
      </c>
      <c r="M63" s="60">
        <v>60.28</v>
      </c>
      <c r="N63" s="60">
        <v>763.4</v>
      </c>
      <c r="O63" s="60">
        <v>0</v>
      </c>
      <c r="P63" s="60">
        <v>3.58</v>
      </c>
      <c r="Q63" s="60">
        <v>4.58</v>
      </c>
      <c r="R63" s="197"/>
      <c r="S63" s="197"/>
      <c r="T63" s="197"/>
      <c r="U63" s="197"/>
    </row>
    <row r="64" spans="1:21" s="12" customFormat="1" x14ac:dyDescent="0.25">
      <c r="A64" s="200" t="s">
        <v>1839</v>
      </c>
      <c r="B64" s="60">
        <v>2.0299999999999998</v>
      </c>
      <c r="C64" s="60">
        <v>14.34</v>
      </c>
      <c r="D64" s="60">
        <v>16.37</v>
      </c>
      <c r="E64" s="60">
        <v>4.0599999999999996</v>
      </c>
      <c r="F64" s="60">
        <v>0.83</v>
      </c>
      <c r="G64" s="215" t="s">
        <v>36</v>
      </c>
      <c r="H64" s="60">
        <v>12.63</v>
      </c>
      <c r="I64" s="60">
        <v>3.8</v>
      </c>
      <c r="J64" s="60">
        <v>0.24</v>
      </c>
      <c r="K64" s="60">
        <v>176.42</v>
      </c>
      <c r="L64" s="10" t="s">
        <v>43</v>
      </c>
      <c r="M64" s="60">
        <v>60.4</v>
      </c>
      <c r="N64" s="60">
        <v>741</v>
      </c>
      <c r="O64" s="60">
        <v>0</v>
      </c>
      <c r="P64" s="60">
        <v>3.6</v>
      </c>
      <c r="Q64" s="60">
        <v>4.67</v>
      </c>
      <c r="R64" s="197"/>
      <c r="S64" s="197"/>
      <c r="T64" s="197"/>
      <c r="U64" s="197"/>
    </row>
    <row r="65" spans="1:21" s="12" customFormat="1" x14ac:dyDescent="0.25">
      <c r="A65" s="200" t="s">
        <v>1840</v>
      </c>
      <c r="B65" s="60">
        <v>1.98</v>
      </c>
      <c r="C65" s="60">
        <v>14.36</v>
      </c>
      <c r="D65" s="60">
        <v>16.34</v>
      </c>
      <c r="E65" s="60">
        <v>4.33</v>
      </c>
      <c r="F65" s="60">
        <v>0.97</v>
      </c>
      <c r="G65" s="215" t="s">
        <v>36</v>
      </c>
      <c r="H65" s="60">
        <v>12.05</v>
      </c>
      <c r="I65" s="60">
        <v>3.71</v>
      </c>
      <c r="J65" s="60">
        <v>0.02</v>
      </c>
      <c r="K65" s="60">
        <v>258.79000000000002</v>
      </c>
      <c r="L65" s="10" t="s">
        <v>43</v>
      </c>
      <c r="M65" s="60">
        <v>59.49</v>
      </c>
      <c r="N65" s="60">
        <v>830.1</v>
      </c>
      <c r="O65" s="60">
        <v>0</v>
      </c>
      <c r="P65" s="60">
        <v>3.58</v>
      </c>
      <c r="Q65" s="60">
        <v>4.5999999999999996</v>
      </c>
      <c r="R65" s="197"/>
      <c r="S65" s="197"/>
      <c r="T65" s="197"/>
      <c r="U65" s="197"/>
    </row>
    <row r="66" spans="1:21" s="12" customFormat="1" x14ac:dyDescent="0.25">
      <c r="A66" s="200" t="s">
        <v>1841</v>
      </c>
      <c r="B66" s="60">
        <v>2.38</v>
      </c>
      <c r="C66" s="60">
        <v>14.17</v>
      </c>
      <c r="D66" s="60">
        <v>16.55</v>
      </c>
      <c r="E66" s="60">
        <v>4.17</v>
      </c>
      <c r="F66" s="60">
        <v>0.73</v>
      </c>
      <c r="G66" s="215" t="s">
        <v>36</v>
      </c>
      <c r="H66" s="60">
        <v>10.62</v>
      </c>
      <c r="I66" s="60">
        <v>3.78</v>
      </c>
      <c r="J66" s="60">
        <v>7.0000000000000007E-2</v>
      </c>
      <c r="K66" s="60">
        <v>188.94</v>
      </c>
      <c r="L66" s="10" t="s">
        <v>43</v>
      </c>
      <c r="M66" s="60">
        <v>57.63</v>
      </c>
      <c r="N66" s="60">
        <v>747.1</v>
      </c>
      <c r="O66" s="60">
        <v>0</v>
      </c>
      <c r="P66" s="60">
        <v>3.59</v>
      </c>
      <c r="Q66" s="60">
        <v>4.72</v>
      </c>
      <c r="R66" s="197"/>
      <c r="S66" s="197"/>
      <c r="T66" s="197"/>
      <c r="U66" s="197"/>
    </row>
    <row r="67" spans="1:21" s="12" customFormat="1" x14ac:dyDescent="0.25">
      <c r="A67" s="200" t="s">
        <v>1842</v>
      </c>
      <c r="B67" s="60">
        <v>2.36</v>
      </c>
      <c r="C67" s="60">
        <v>14.36</v>
      </c>
      <c r="D67" s="60">
        <v>16.72</v>
      </c>
      <c r="E67" s="60">
        <v>4.57</v>
      </c>
      <c r="F67" s="60">
        <v>0.97</v>
      </c>
      <c r="G67" s="215" t="s">
        <v>36</v>
      </c>
      <c r="H67" s="60">
        <v>10.62</v>
      </c>
      <c r="I67" s="60">
        <v>3.88</v>
      </c>
      <c r="J67" s="60">
        <v>0.13</v>
      </c>
      <c r="K67" s="60">
        <v>276.31</v>
      </c>
      <c r="L67" s="10" t="s">
        <v>43</v>
      </c>
      <c r="M67" s="60">
        <v>59.52</v>
      </c>
      <c r="N67" s="60">
        <v>738.6</v>
      </c>
      <c r="O67" s="60">
        <v>0</v>
      </c>
      <c r="P67" s="60">
        <v>3.59</v>
      </c>
      <c r="Q67" s="60">
        <v>4.75</v>
      </c>
      <c r="R67" s="197"/>
      <c r="S67" s="197"/>
      <c r="T67" s="197"/>
      <c r="U67" s="197"/>
    </row>
    <row r="68" spans="1:21" s="12" customFormat="1" x14ac:dyDescent="0.25">
      <c r="A68" s="200" t="s">
        <v>1843</v>
      </c>
      <c r="B68" s="60">
        <v>2.23</v>
      </c>
      <c r="C68" s="60">
        <v>14.48</v>
      </c>
      <c r="D68" s="60">
        <v>16.71</v>
      </c>
      <c r="E68" s="60">
        <v>4.8</v>
      </c>
      <c r="F68" s="60">
        <v>0.95</v>
      </c>
      <c r="G68" s="215" t="s">
        <v>36</v>
      </c>
      <c r="H68" s="60">
        <v>10.62</v>
      </c>
      <c r="I68" s="60">
        <v>3.98</v>
      </c>
      <c r="J68" s="60">
        <v>0.12</v>
      </c>
      <c r="K68" s="60">
        <v>238.09</v>
      </c>
      <c r="L68" s="10" t="s">
        <v>43</v>
      </c>
      <c r="M68" s="60">
        <v>58.44</v>
      </c>
      <c r="N68" s="60">
        <v>578.29999999999995</v>
      </c>
      <c r="O68" s="60">
        <v>0</v>
      </c>
      <c r="P68" s="60">
        <v>3.63</v>
      </c>
      <c r="Q68" s="60">
        <v>4.88</v>
      </c>
      <c r="R68" s="197"/>
      <c r="S68" s="197"/>
      <c r="T68" s="197"/>
      <c r="U68" s="197"/>
    </row>
    <row r="69" spans="1:21" s="12" customFormat="1" x14ac:dyDescent="0.25">
      <c r="A69" s="200" t="s">
        <v>1844</v>
      </c>
      <c r="B69" s="60">
        <v>2.1800000000000002</v>
      </c>
      <c r="C69" s="60">
        <v>14.08</v>
      </c>
      <c r="D69" s="60">
        <v>16.27</v>
      </c>
      <c r="E69" s="60">
        <v>4.43</v>
      </c>
      <c r="F69" s="60">
        <v>1.1599999999999999</v>
      </c>
      <c r="G69" s="215" t="s">
        <v>36</v>
      </c>
      <c r="H69" s="60">
        <v>11.55</v>
      </c>
      <c r="I69" s="60">
        <v>4.2</v>
      </c>
      <c r="J69" s="60">
        <v>0.05</v>
      </c>
      <c r="K69" s="60">
        <v>310.77</v>
      </c>
      <c r="L69" s="10" t="s">
        <v>43</v>
      </c>
      <c r="M69" s="60">
        <v>59.81</v>
      </c>
      <c r="N69" s="60">
        <v>507.7</v>
      </c>
      <c r="O69" s="60">
        <v>0</v>
      </c>
      <c r="P69" s="60">
        <v>3.63</v>
      </c>
      <c r="Q69" s="60">
        <v>4.8899999999999997</v>
      </c>
      <c r="R69" s="197"/>
      <c r="S69" s="197"/>
      <c r="T69" s="197"/>
      <c r="U69" s="197"/>
    </row>
    <row r="70" spans="1:21" s="12" customFormat="1" x14ac:dyDescent="0.25">
      <c r="A70" s="200" t="s">
        <v>1845</v>
      </c>
      <c r="B70" s="60">
        <v>2.06</v>
      </c>
      <c r="C70" s="60">
        <v>14.33</v>
      </c>
      <c r="D70" s="60">
        <v>16.39</v>
      </c>
      <c r="E70" s="60">
        <v>4.29</v>
      </c>
      <c r="F70" s="60">
        <v>0.73</v>
      </c>
      <c r="G70" s="215" t="s">
        <v>36</v>
      </c>
      <c r="H70" s="60">
        <v>13.83</v>
      </c>
      <c r="I70" s="60">
        <v>4.5599999999999996</v>
      </c>
      <c r="J70" s="60">
        <v>0.32</v>
      </c>
      <c r="K70" s="60">
        <v>188.85</v>
      </c>
      <c r="L70" s="10" t="s">
        <v>43</v>
      </c>
      <c r="M70" s="60">
        <v>61.6</v>
      </c>
      <c r="N70" s="60">
        <v>506.9</v>
      </c>
      <c r="O70" s="60">
        <v>0</v>
      </c>
      <c r="P70" s="60">
        <v>3.64</v>
      </c>
      <c r="Q70" s="60">
        <v>4.7699999999999996</v>
      </c>
      <c r="R70" s="197"/>
      <c r="S70" s="197"/>
      <c r="T70" s="197"/>
      <c r="U70" s="197"/>
    </row>
    <row r="71" spans="1:21" s="12" customFormat="1" x14ac:dyDescent="0.25">
      <c r="A71" s="200" t="s">
        <v>1846</v>
      </c>
      <c r="B71" s="60">
        <v>1.91</v>
      </c>
      <c r="C71" s="60">
        <v>13.58</v>
      </c>
      <c r="D71" s="60">
        <v>15.49</v>
      </c>
      <c r="E71" s="60">
        <v>4.5199999999999996</v>
      </c>
      <c r="F71" s="60">
        <v>1.05</v>
      </c>
      <c r="G71" s="215" t="s">
        <v>36</v>
      </c>
      <c r="H71" s="60">
        <v>13.83</v>
      </c>
      <c r="I71" s="60">
        <v>4.72</v>
      </c>
      <c r="J71" s="60">
        <v>0.17</v>
      </c>
      <c r="K71" s="60">
        <v>183.51</v>
      </c>
      <c r="L71" s="60">
        <v>49.3</v>
      </c>
      <c r="M71" s="60">
        <v>62.17</v>
      </c>
      <c r="N71" s="60">
        <v>295.7</v>
      </c>
      <c r="O71" s="60">
        <v>0</v>
      </c>
      <c r="P71" s="60">
        <v>3.63</v>
      </c>
      <c r="Q71" s="60">
        <v>4.63</v>
      </c>
      <c r="R71" s="197"/>
      <c r="S71" s="197"/>
      <c r="T71" s="197"/>
      <c r="U71" s="197"/>
    </row>
    <row r="72" spans="1:21" s="12" customFormat="1" x14ac:dyDescent="0.25">
      <c r="A72" s="200" t="s">
        <v>1847</v>
      </c>
      <c r="B72" s="60">
        <v>1.91</v>
      </c>
      <c r="C72" s="60">
        <v>13.45</v>
      </c>
      <c r="D72" s="60">
        <v>15.37</v>
      </c>
      <c r="E72" s="60">
        <v>0.97</v>
      </c>
      <c r="F72" s="60">
        <v>0.9</v>
      </c>
      <c r="G72" s="215" t="s">
        <v>36</v>
      </c>
      <c r="H72" s="60">
        <v>13.83</v>
      </c>
      <c r="I72" s="60">
        <v>4.84</v>
      </c>
      <c r="J72" s="60">
        <v>0.08</v>
      </c>
      <c r="K72" s="60">
        <v>241.1</v>
      </c>
      <c r="L72" s="10" t="s">
        <v>43</v>
      </c>
      <c r="M72" s="60">
        <v>63.28</v>
      </c>
      <c r="N72" s="60">
        <v>242.1</v>
      </c>
      <c r="O72" s="60">
        <v>0</v>
      </c>
      <c r="P72" s="60">
        <v>3.63</v>
      </c>
      <c r="Q72" s="60">
        <v>4.59</v>
      </c>
      <c r="R72" s="197"/>
      <c r="S72" s="197"/>
      <c r="T72" s="197"/>
      <c r="U72" s="197"/>
    </row>
    <row r="73" spans="1:21" s="12" customFormat="1" x14ac:dyDescent="0.25">
      <c r="A73" s="200" t="s">
        <v>1848</v>
      </c>
      <c r="B73" s="60">
        <v>1.94</v>
      </c>
      <c r="C73" s="60">
        <v>13.11</v>
      </c>
      <c r="D73" s="60">
        <v>15.04</v>
      </c>
      <c r="E73" s="60">
        <v>2.66</v>
      </c>
      <c r="F73" s="60">
        <v>0.72</v>
      </c>
      <c r="G73" s="215" t="s">
        <v>36</v>
      </c>
      <c r="H73" s="60">
        <v>13.3</v>
      </c>
      <c r="I73" s="60">
        <v>4.8</v>
      </c>
      <c r="J73" s="60">
        <v>0.04</v>
      </c>
      <c r="K73" s="60">
        <v>92.18</v>
      </c>
      <c r="L73" s="10" t="s">
        <v>43</v>
      </c>
      <c r="M73" s="60">
        <v>63.92</v>
      </c>
      <c r="N73" s="60">
        <v>186.6</v>
      </c>
      <c r="O73" s="60">
        <v>0</v>
      </c>
      <c r="P73" s="60">
        <v>3.63</v>
      </c>
      <c r="Q73" s="60">
        <v>4.5199999999999996</v>
      </c>
      <c r="R73" s="197"/>
      <c r="S73" s="197"/>
      <c r="T73" s="197"/>
      <c r="U73" s="197"/>
    </row>
    <row r="74" spans="1:21" s="12" customFormat="1" x14ac:dyDescent="0.25">
      <c r="A74" s="200" t="s">
        <v>1849</v>
      </c>
      <c r="B74" s="60">
        <v>2.1</v>
      </c>
      <c r="C74" s="60">
        <v>12.99</v>
      </c>
      <c r="D74" s="60">
        <v>15.09</v>
      </c>
      <c r="E74" s="60">
        <v>3.48</v>
      </c>
      <c r="F74" s="60">
        <v>0.84</v>
      </c>
      <c r="G74" s="215" t="s">
        <v>36</v>
      </c>
      <c r="H74" s="60">
        <v>11.99</v>
      </c>
      <c r="I74" s="60">
        <v>4.83</v>
      </c>
      <c r="J74" s="60">
        <v>0.12</v>
      </c>
      <c r="K74" s="60">
        <v>332.31</v>
      </c>
      <c r="L74" s="10" t="s">
        <v>43</v>
      </c>
      <c r="M74" s="60">
        <v>63.55</v>
      </c>
      <c r="N74" s="60">
        <v>168</v>
      </c>
      <c r="O74" s="60">
        <v>0</v>
      </c>
      <c r="P74" s="60">
        <v>3.63</v>
      </c>
      <c r="Q74" s="60">
        <v>4.41</v>
      </c>
      <c r="R74" s="197"/>
      <c r="S74" s="197"/>
      <c r="T74" s="197"/>
      <c r="U74" s="197"/>
    </row>
    <row r="75" spans="1:21" s="12" customFormat="1" x14ac:dyDescent="0.25">
      <c r="A75" s="200" t="s">
        <v>1850</v>
      </c>
      <c r="B75" s="60">
        <v>2.9</v>
      </c>
      <c r="C75" s="60">
        <v>13.34</v>
      </c>
      <c r="D75" s="60">
        <v>16.239999999999998</v>
      </c>
      <c r="E75" s="60">
        <v>3.9</v>
      </c>
      <c r="F75" s="60">
        <v>0.69</v>
      </c>
      <c r="G75" s="215" t="s">
        <v>36</v>
      </c>
      <c r="H75" s="60">
        <v>11.99</v>
      </c>
      <c r="I75" s="60">
        <v>4.8499999999999996</v>
      </c>
      <c r="J75" s="60">
        <v>0.09</v>
      </c>
      <c r="K75" s="60">
        <v>0.11</v>
      </c>
      <c r="L75" s="10" t="s">
        <v>43</v>
      </c>
      <c r="M75" s="60">
        <v>64.290000000000006</v>
      </c>
      <c r="N75" s="60">
        <v>113.5</v>
      </c>
      <c r="O75" s="60">
        <v>0</v>
      </c>
      <c r="P75" s="60">
        <v>3.64</v>
      </c>
      <c r="Q75" s="60">
        <v>4.79</v>
      </c>
      <c r="R75" s="197"/>
      <c r="S75" s="197"/>
      <c r="T75" s="197"/>
      <c r="U75" s="197"/>
    </row>
    <row r="76" spans="1:21" s="12" customFormat="1" x14ac:dyDescent="0.25">
      <c r="A76" s="200" t="s">
        <v>1851</v>
      </c>
      <c r="B76" s="60">
        <v>3.35</v>
      </c>
      <c r="C76" s="60">
        <v>13.85</v>
      </c>
      <c r="D76" s="60">
        <v>17.2</v>
      </c>
      <c r="E76" s="60">
        <v>4.2</v>
      </c>
      <c r="F76" s="60">
        <v>0.26</v>
      </c>
      <c r="G76" s="215" t="s">
        <v>36</v>
      </c>
      <c r="H76" s="60">
        <v>11.99</v>
      </c>
      <c r="I76" s="60">
        <v>4.8600000000000003</v>
      </c>
      <c r="J76" s="60">
        <v>0.08</v>
      </c>
      <c r="K76" s="60">
        <v>73.83</v>
      </c>
      <c r="L76" s="10" t="s">
        <v>43</v>
      </c>
      <c r="M76" s="60">
        <v>64.489999999999995</v>
      </c>
      <c r="N76" s="60">
        <v>104.1</v>
      </c>
      <c r="O76" s="60">
        <v>0</v>
      </c>
      <c r="P76" s="60">
        <v>3.67</v>
      </c>
      <c r="Q76" s="60">
        <v>16.52</v>
      </c>
      <c r="R76" s="197"/>
      <c r="S76" s="197"/>
      <c r="T76" s="197"/>
      <c r="U76" s="197"/>
    </row>
    <row r="77" spans="1:21" s="12" customFormat="1" x14ac:dyDescent="0.25">
      <c r="A77" s="200" t="s">
        <v>1852</v>
      </c>
      <c r="B77" s="60">
        <v>4</v>
      </c>
      <c r="C77" s="60">
        <v>16.899999999999999</v>
      </c>
      <c r="D77" s="60">
        <v>20.9</v>
      </c>
      <c r="E77" s="60">
        <v>4.74</v>
      </c>
      <c r="F77" s="60">
        <v>1.91</v>
      </c>
      <c r="G77" s="215" t="s">
        <v>36</v>
      </c>
      <c r="H77" s="60">
        <v>11.73</v>
      </c>
      <c r="I77" s="60">
        <v>5.22</v>
      </c>
      <c r="J77" s="60">
        <v>0.06</v>
      </c>
      <c r="K77" s="60">
        <v>99.82</v>
      </c>
      <c r="L77" s="10" t="s">
        <v>43</v>
      </c>
      <c r="M77" s="60">
        <v>64.81</v>
      </c>
      <c r="N77" s="60">
        <v>87.4</v>
      </c>
      <c r="O77" s="60">
        <v>0</v>
      </c>
      <c r="P77" s="60">
        <v>3.69</v>
      </c>
      <c r="Q77" s="60">
        <v>747.29</v>
      </c>
      <c r="R77" s="197"/>
      <c r="S77" s="197"/>
      <c r="T77" s="197"/>
      <c r="U77" s="197"/>
    </row>
    <row r="78" spans="1:21" s="12" customFormat="1" x14ac:dyDescent="0.25">
      <c r="A78" s="200" t="s">
        <v>1853</v>
      </c>
      <c r="B78" s="60">
        <v>4.45</v>
      </c>
      <c r="C78" s="60">
        <v>23.27</v>
      </c>
      <c r="D78" s="60">
        <v>27.72</v>
      </c>
      <c r="E78" s="60">
        <v>12.18</v>
      </c>
      <c r="F78" s="60">
        <v>2.81</v>
      </c>
      <c r="G78" s="215" t="s">
        <v>36</v>
      </c>
      <c r="H78" s="60">
        <v>11.09</v>
      </c>
      <c r="I78" s="60">
        <v>5.91</v>
      </c>
      <c r="J78" s="60">
        <v>0.01</v>
      </c>
      <c r="K78" s="60">
        <v>160.13999999999999</v>
      </c>
      <c r="L78" s="10" t="s">
        <v>43</v>
      </c>
      <c r="M78" s="60">
        <v>65.77</v>
      </c>
      <c r="N78" s="60">
        <v>74.2</v>
      </c>
      <c r="O78" s="60">
        <v>0</v>
      </c>
      <c r="P78" s="60">
        <v>3.72</v>
      </c>
      <c r="Q78" s="60">
        <v>2649.18</v>
      </c>
      <c r="R78" s="197"/>
      <c r="S78" s="197"/>
      <c r="T78" s="197"/>
      <c r="U78" s="197"/>
    </row>
    <row r="79" spans="1:21" s="12" customFormat="1" x14ac:dyDescent="0.25">
      <c r="A79" s="200" t="s">
        <v>1854</v>
      </c>
      <c r="B79" s="60">
        <v>4.88</v>
      </c>
      <c r="C79" s="60">
        <v>25.04</v>
      </c>
      <c r="D79" s="60">
        <v>29.93</v>
      </c>
      <c r="E79" s="60">
        <v>13.29</v>
      </c>
      <c r="F79" s="60">
        <v>2.1</v>
      </c>
      <c r="G79" s="215" t="s">
        <v>36</v>
      </c>
      <c r="H79" s="60">
        <v>11.09</v>
      </c>
      <c r="I79" s="215" t="s">
        <v>36</v>
      </c>
      <c r="J79" s="60">
        <v>0.08</v>
      </c>
      <c r="K79" s="60">
        <v>137.54</v>
      </c>
      <c r="L79" s="10" t="s">
        <v>43</v>
      </c>
      <c r="M79" s="60">
        <v>66.489999999999995</v>
      </c>
      <c r="N79" s="60">
        <v>61.3</v>
      </c>
      <c r="O79" s="60">
        <v>0</v>
      </c>
      <c r="P79" s="60">
        <v>3.74</v>
      </c>
      <c r="Q79" s="60">
        <v>2451.71</v>
      </c>
      <c r="R79" s="197"/>
      <c r="S79" s="197"/>
      <c r="T79" s="197"/>
      <c r="U79" s="197"/>
    </row>
    <row r="80" spans="1:21" s="12" customFormat="1" x14ac:dyDescent="0.25">
      <c r="A80" s="200" t="s">
        <v>1855</v>
      </c>
      <c r="B80" s="60">
        <v>5.14</v>
      </c>
      <c r="C80" s="60">
        <v>25.21</v>
      </c>
      <c r="D80" s="60">
        <v>30.35</v>
      </c>
      <c r="E80" s="60">
        <v>10.88</v>
      </c>
      <c r="F80" s="60">
        <v>1.49</v>
      </c>
      <c r="G80" s="215" t="s">
        <v>36</v>
      </c>
      <c r="H80" s="60">
        <v>11.09</v>
      </c>
      <c r="I80" s="215" t="s">
        <v>36</v>
      </c>
      <c r="J80" s="60">
        <v>7.0000000000000007E-2</v>
      </c>
      <c r="K80" s="60">
        <v>261.56</v>
      </c>
      <c r="L80" s="10" t="s">
        <v>43</v>
      </c>
      <c r="M80" s="60">
        <v>67.69</v>
      </c>
      <c r="N80" s="60">
        <v>48.1</v>
      </c>
      <c r="O80" s="60">
        <v>0</v>
      </c>
      <c r="P80" s="60">
        <v>3.75</v>
      </c>
      <c r="Q80" s="60">
        <v>1786.02</v>
      </c>
      <c r="R80" s="197"/>
      <c r="S80" s="197"/>
      <c r="T80" s="197"/>
      <c r="U80" s="197"/>
    </row>
    <row r="81" spans="1:26" s="12" customFormat="1" x14ac:dyDescent="0.25">
      <c r="A81" s="200" t="s">
        <v>1856</v>
      </c>
      <c r="B81" s="60">
        <v>5.44</v>
      </c>
      <c r="C81" s="60">
        <v>23.14</v>
      </c>
      <c r="D81" s="60">
        <v>28.58</v>
      </c>
      <c r="E81" s="60">
        <v>10.47</v>
      </c>
      <c r="F81" s="60">
        <v>0.21</v>
      </c>
      <c r="G81" s="215" t="s">
        <v>36</v>
      </c>
      <c r="H81" s="60">
        <v>11.06</v>
      </c>
      <c r="I81" s="215" t="s">
        <v>36</v>
      </c>
      <c r="J81" s="60">
        <v>0.14000000000000001</v>
      </c>
      <c r="K81" s="60">
        <v>34.9</v>
      </c>
      <c r="L81" s="10" t="s">
        <v>43</v>
      </c>
      <c r="M81" s="60">
        <v>68.349999999999994</v>
      </c>
      <c r="N81" s="60">
        <v>34.6</v>
      </c>
      <c r="O81" s="60">
        <v>0</v>
      </c>
      <c r="P81" s="60">
        <v>3.76</v>
      </c>
      <c r="Q81" s="60">
        <v>1573.56</v>
      </c>
      <c r="R81" s="197"/>
      <c r="S81" s="197"/>
      <c r="T81" s="197"/>
      <c r="U81" s="197"/>
    </row>
    <row r="82" spans="1:26" s="12" customFormat="1" x14ac:dyDescent="0.25">
      <c r="A82" s="200" t="s">
        <v>1857</v>
      </c>
      <c r="B82" s="60">
        <v>6.32</v>
      </c>
      <c r="C82" s="60">
        <v>21.77</v>
      </c>
      <c r="D82" s="60">
        <v>28.09</v>
      </c>
      <c r="E82" s="60">
        <v>9.67</v>
      </c>
      <c r="F82" s="60">
        <v>0.39</v>
      </c>
      <c r="G82" s="60">
        <v>13.34</v>
      </c>
      <c r="H82" s="60">
        <v>10.99</v>
      </c>
      <c r="I82" s="215" t="s">
        <v>36</v>
      </c>
      <c r="J82" s="60">
        <v>0.06</v>
      </c>
      <c r="K82" s="60">
        <v>208.16</v>
      </c>
      <c r="L82" s="10" t="s">
        <v>43</v>
      </c>
      <c r="M82" s="60">
        <v>69.7</v>
      </c>
      <c r="N82" s="60">
        <v>22.5</v>
      </c>
      <c r="O82" s="60">
        <v>0</v>
      </c>
      <c r="P82" s="60">
        <v>3.77</v>
      </c>
      <c r="Q82" s="60">
        <v>1479.28</v>
      </c>
      <c r="R82" s="197"/>
      <c r="S82" s="197"/>
      <c r="T82" s="197"/>
      <c r="U82" s="197"/>
    </row>
    <row r="83" spans="1:26" s="12" customFormat="1" x14ac:dyDescent="0.25">
      <c r="A83" s="200" t="s">
        <v>1858</v>
      </c>
      <c r="B83" s="60">
        <v>8.23</v>
      </c>
      <c r="C83" s="60">
        <v>20.67</v>
      </c>
      <c r="D83" s="60">
        <v>28.9</v>
      </c>
      <c r="E83" s="60">
        <v>9.2799999999999994</v>
      </c>
      <c r="F83" s="60">
        <v>0.62</v>
      </c>
      <c r="G83" s="60">
        <v>25.55</v>
      </c>
      <c r="H83" s="60">
        <v>10.99</v>
      </c>
      <c r="I83" s="215" t="s">
        <v>36</v>
      </c>
      <c r="J83" s="60">
        <v>0.03</v>
      </c>
      <c r="K83" s="60">
        <v>347.97</v>
      </c>
      <c r="L83" s="10" t="s">
        <v>43</v>
      </c>
      <c r="M83" s="60">
        <v>71.22</v>
      </c>
      <c r="N83" s="60">
        <v>17</v>
      </c>
      <c r="O83" s="60">
        <v>0</v>
      </c>
      <c r="P83" s="60">
        <v>3.8</v>
      </c>
      <c r="Q83" s="60">
        <v>1372.04</v>
      </c>
      <c r="R83" s="197"/>
      <c r="S83" s="197"/>
      <c r="T83" s="197"/>
      <c r="U83" s="197"/>
    </row>
    <row r="84" spans="1:26" s="12" customFormat="1" x14ac:dyDescent="0.25">
      <c r="A84" s="200" t="s">
        <v>1859</v>
      </c>
      <c r="B84" s="60">
        <v>9.99</v>
      </c>
      <c r="C84" s="60">
        <v>19.55</v>
      </c>
      <c r="D84" s="60">
        <v>29.54</v>
      </c>
      <c r="E84" s="60">
        <v>8.75</v>
      </c>
      <c r="F84" s="60">
        <v>0.15</v>
      </c>
      <c r="G84" s="60">
        <v>25.55</v>
      </c>
      <c r="H84" s="60">
        <v>10.99</v>
      </c>
      <c r="I84" s="215" t="s">
        <v>36</v>
      </c>
      <c r="J84" s="60">
        <v>0.04</v>
      </c>
      <c r="K84" s="60">
        <v>65.709999999999994</v>
      </c>
      <c r="L84" s="10" t="s">
        <v>43</v>
      </c>
      <c r="M84" s="60">
        <v>72.86</v>
      </c>
      <c r="N84" s="60">
        <v>15.1</v>
      </c>
      <c r="O84" s="60">
        <v>0</v>
      </c>
      <c r="P84" s="60">
        <v>3.83</v>
      </c>
      <c r="Q84" s="60">
        <v>1215.99</v>
      </c>
      <c r="R84" s="197"/>
      <c r="S84" s="197"/>
      <c r="T84" s="197"/>
      <c r="U84" s="197"/>
    </row>
    <row r="85" spans="1:26" s="12" customFormat="1" x14ac:dyDescent="0.25">
      <c r="A85" s="200" t="s">
        <v>1860</v>
      </c>
      <c r="B85" s="60">
        <v>11.02</v>
      </c>
      <c r="C85" s="60">
        <v>18.43</v>
      </c>
      <c r="D85" s="60">
        <v>29.45</v>
      </c>
      <c r="E85" s="60">
        <v>8.1199999999999992</v>
      </c>
      <c r="F85" s="60">
        <v>0.37</v>
      </c>
      <c r="G85" s="60">
        <v>25.55</v>
      </c>
      <c r="H85" s="60">
        <v>11.93</v>
      </c>
      <c r="I85" s="215" t="s">
        <v>36</v>
      </c>
      <c r="J85" s="60">
        <v>0.18</v>
      </c>
      <c r="K85" s="60">
        <v>220.1</v>
      </c>
      <c r="L85" s="10" t="s">
        <v>43</v>
      </c>
      <c r="M85" s="60">
        <v>74.349999999999994</v>
      </c>
      <c r="N85" s="60">
        <v>14.9</v>
      </c>
      <c r="O85" s="60">
        <v>0</v>
      </c>
      <c r="P85" s="60">
        <v>3.86</v>
      </c>
      <c r="Q85" s="60">
        <v>1133.74</v>
      </c>
      <c r="R85" s="197"/>
      <c r="S85" s="197"/>
      <c r="T85" s="197"/>
      <c r="U85" s="197"/>
    </row>
    <row r="86" spans="1:26" s="12" customFormat="1" x14ac:dyDescent="0.25">
      <c r="A86" s="200" t="s">
        <v>1861</v>
      </c>
      <c r="B86" s="60">
        <v>11.08</v>
      </c>
      <c r="C86" s="60">
        <v>17.37</v>
      </c>
      <c r="D86" s="60">
        <v>28.46</v>
      </c>
      <c r="E86" s="60">
        <v>7.39</v>
      </c>
      <c r="F86" s="60">
        <v>0.22</v>
      </c>
      <c r="G86" s="60">
        <v>1.53</v>
      </c>
      <c r="H86" s="60">
        <v>14.23</v>
      </c>
      <c r="I86" s="215" t="s">
        <v>36</v>
      </c>
      <c r="J86" s="60">
        <v>0.05</v>
      </c>
      <c r="K86" s="60">
        <v>276.17</v>
      </c>
      <c r="L86" s="10" t="s">
        <v>43</v>
      </c>
      <c r="M86" s="60">
        <v>75.77</v>
      </c>
      <c r="N86" s="60">
        <v>14.8</v>
      </c>
      <c r="O86" s="60">
        <v>0</v>
      </c>
      <c r="P86" s="60">
        <v>3.86</v>
      </c>
      <c r="Q86" s="60">
        <v>1031.92</v>
      </c>
      <c r="R86" s="197"/>
      <c r="S86" s="197"/>
      <c r="T86" s="197"/>
      <c r="U86" s="197"/>
    </row>
    <row r="87" spans="1:26" s="12" customFormat="1" x14ac:dyDescent="0.25">
      <c r="A87" s="200" t="s">
        <v>1862</v>
      </c>
      <c r="B87" s="60">
        <v>11.16</v>
      </c>
      <c r="C87" s="60">
        <v>16.739999999999998</v>
      </c>
      <c r="D87" s="60">
        <v>27.89</v>
      </c>
      <c r="E87" s="60">
        <v>7.45</v>
      </c>
      <c r="F87" s="60">
        <v>0.17</v>
      </c>
      <c r="G87" s="215" t="s">
        <v>36</v>
      </c>
      <c r="H87" s="60">
        <v>14.23</v>
      </c>
      <c r="I87" s="215" t="s">
        <v>36</v>
      </c>
      <c r="J87" s="60">
        <v>0.06</v>
      </c>
      <c r="K87" s="60">
        <v>341.72</v>
      </c>
      <c r="L87" s="10" t="s">
        <v>43</v>
      </c>
      <c r="M87" s="60">
        <v>76.569999999999993</v>
      </c>
      <c r="N87" s="60">
        <v>14.8</v>
      </c>
      <c r="O87" s="60">
        <v>0</v>
      </c>
      <c r="P87" s="60">
        <v>3.89</v>
      </c>
      <c r="Q87" s="60">
        <v>946.16</v>
      </c>
      <c r="R87" s="197"/>
      <c r="S87" s="197"/>
      <c r="T87" s="197"/>
      <c r="U87" s="197"/>
    </row>
    <row r="88" spans="1:26" s="12" customFormat="1" x14ac:dyDescent="0.25">
      <c r="A88" s="200" t="s">
        <v>1863</v>
      </c>
      <c r="B88" s="60">
        <v>11.16</v>
      </c>
      <c r="C88" s="60">
        <v>16.09</v>
      </c>
      <c r="D88" s="60">
        <v>27.25</v>
      </c>
      <c r="E88" s="60">
        <v>3.48</v>
      </c>
      <c r="F88" s="60">
        <v>0.03</v>
      </c>
      <c r="G88" s="215" t="s">
        <v>36</v>
      </c>
      <c r="H88" s="60">
        <v>14.23</v>
      </c>
      <c r="I88" s="215" t="s">
        <v>36</v>
      </c>
      <c r="J88" s="60">
        <v>0.06</v>
      </c>
      <c r="K88" s="60">
        <v>275.41000000000003</v>
      </c>
      <c r="L88" s="10" t="s">
        <v>43</v>
      </c>
      <c r="M88" s="60">
        <v>77.16</v>
      </c>
      <c r="N88" s="60">
        <v>14.8</v>
      </c>
      <c r="O88" s="60">
        <v>0</v>
      </c>
      <c r="P88" s="60">
        <v>3.9</v>
      </c>
      <c r="Q88" s="60">
        <v>870.42</v>
      </c>
      <c r="R88" s="197"/>
      <c r="S88" s="197"/>
      <c r="T88" s="197"/>
      <c r="U88" s="197"/>
    </row>
    <row r="89" spans="1:26" s="12" customFormat="1" x14ac:dyDescent="0.25">
      <c r="A89" s="200" t="s">
        <v>1864</v>
      </c>
      <c r="B89" s="60">
        <v>11.16</v>
      </c>
      <c r="C89" s="60">
        <v>14.67</v>
      </c>
      <c r="D89" s="60">
        <v>25.83</v>
      </c>
      <c r="E89" s="60">
        <v>6.55</v>
      </c>
      <c r="F89" s="60">
        <v>0.12</v>
      </c>
      <c r="G89" s="215" t="s">
        <v>36</v>
      </c>
      <c r="H89" s="60">
        <v>14.98</v>
      </c>
      <c r="I89" s="215" t="s">
        <v>36</v>
      </c>
      <c r="J89" s="60">
        <v>0.03</v>
      </c>
      <c r="K89" s="60">
        <v>253.85</v>
      </c>
      <c r="L89" s="10" t="s">
        <v>43</v>
      </c>
      <c r="M89" s="60">
        <v>78.33</v>
      </c>
      <c r="N89" s="60">
        <v>14.8</v>
      </c>
      <c r="O89" s="60">
        <v>0</v>
      </c>
      <c r="P89" s="60">
        <v>3.91</v>
      </c>
      <c r="Q89" s="60">
        <v>813.84</v>
      </c>
      <c r="R89" s="197"/>
      <c r="S89" s="197"/>
      <c r="T89" s="197"/>
      <c r="U89" s="197"/>
    </row>
    <row r="90" spans="1:26" s="12" customFormat="1" x14ac:dyDescent="0.25">
      <c r="A90" s="200" t="s">
        <v>1865</v>
      </c>
      <c r="B90" s="60">
        <v>11.39</v>
      </c>
      <c r="C90" s="60">
        <v>13.23</v>
      </c>
      <c r="D90" s="60">
        <v>24.62</v>
      </c>
      <c r="E90" s="60">
        <v>7.19</v>
      </c>
      <c r="F90" s="60">
        <v>0.23</v>
      </c>
      <c r="G90" s="215" t="s">
        <v>36</v>
      </c>
      <c r="H90" s="60">
        <v>16.82</v>
      </c>
      <c r="I90" s="215" t="s">
        <v>36</v>
      </c>
      <c r="J90" s="60">
        <v>0.06</v>
      </c>
      <c r="K90" s="60">
        <v>207.96</v>
      </c>
      <c r="L90" s="10" t="s">
        <v>43</v>
      </c>
      <c r="M90" s="60">
        <v>78.5</v>
      </c>
      <c r="N90" s="60">
        <v>14.7</v>
      </c>
      <c r="O90" s="60">
        <v>0</v>
      </c>
      <c r="P90" s="60">
        <v>3.92</v>
      </c>
      <c r="Q90" s="60">
        <v>783.12</v>
      </c>
      <c r="R90" s="197"/>
      <c r="S90" s="197"/>
      <c r="T90" s="197"/>
      <c r="U90" s="197"/>
    </row>
    <row r="91" spans="1:26" s="12" customFormat="1" x14ac:dyDescent="0.25">
      <c r="A91" s="200" t="s">
        <v>1866</v>
      </c>
      <c r="B91" s="60">
        <v>11.72</v>
      </c>
      <c r="C91" s="60">
        <v>12.64</v>
      </c>
      <c r="D91" s="60">
        <v>24.36</v>
      </c>
      <c r="E91" s="60">
        <v>7.06</v>
      </c>
      <c r="F91" s="60">
        <v>0.18</v>
      </c>
      <c r="G91" s="215" t="s">
        <v>36</v>
      </c>
      <c r="H91" s="60">
        <v>16.82</v>
      </c>
      <c r="I91" s="215" t="s">
        <v>36</v>
      </c>
      <c r="J91" s="60">
        <v>0.15</v>
      </c>
      <c r="K91" s="60">
        <v>218.87</v>
      </c>
      <c r="L91" s="60">
        <v>40.57</v>
      </c>
      <c r="M91" s="60">
        <v>78.930000000000007</v>
      </c>
      <c r="N91" s="60">
        <v>14.7</v>
      </c>
      <c r="O91" s="60">
        <v>0</v>
      </c>
      <c r="P91" s="60">
        <v>3.93</v>
      </c>
      <c r="Q91" s="60">
        <v>770.1</v>
      </c>
      <c r="R91" s="197"/>
      <c r="S91" s="197"/>
      <c r="T91" s="197"/>
      <c r="U91" s="197"/>
    </row>
    <row r="92" spans="1:26" s="12" customFormat="1" x14ac:dyDescent="0.25">
      <c r="A92" s="200" t="s">
        <v>1867</v>
      </c>
      <c r="B92" s="60">
        <v>11.92</v>
      </c>
      <c r="C92" s="60">
        <v>12.18</v>
      </c>
      <c r="D92" s="60">
        <v>24.1</v>
      </c>
      <c r="E92" s="60">
        <v>6.84</v>
      </c>
      <c r="F92" s="5" t="s">
        <v>47</v>
      </c>
      <c r="G92" s="215" t="s">
        <v>36</v>
      </c>
      <c r="H92" s="60">
        <v>16.82</v>
      </c>
      <c r="I92" s="215" t="s">
        <v>36</v>
      </c>
      <c r="J92" s="60">
        <v>0.13</v>
      </c>
      <c r="K92" s="60">
        <v>200.73</v>
      </c>
      <c r="L92" s="60">
        <v>42.94</v>
      </c>
      <c r="M92" s="60">
        <v>79.06</v>
      </c>
      <c r="N92" s="60">
        <v>14.7</v>
      </c>
      <c r="O92" s="60">
        <v>0</v>
      </c>
      <c r="P92" s="60">
        <v>3.93</v>
      </c>
      <c r="Q92" s="60">
        <v>724.45</v>
      </c>
      <c r="R92" s="197"/>
      <c r="S92" s="197"/>
      <c r="T92" s="197"/>
      <c r="U92" s="197"/>
    </row>
    <row r="93" spans="1:26" s="12" customFormat="1" x14ac:dyDescent="0.25">
      <c r="A93" s="200" t="s">
        <v>1868</v>
      </c>
      <c r="B93" s="60">
        <v>12.23</v>
      </c>
      <c r="C93" s="60">
        <v>11.64</v>
      </c>
      <c r="D93" s="60">
        <v>23.87</v>
      </c>
      <c r="E93" s="60">
        <v>7.22</v>
      </c>
      <c r="F93" s="60">
        <v>0.32</v>
      </c>
      <c r="G93" s="215" t="s">
        <v>36</v>
      </c>
      <c r="H93" s="60">
        <v>15.77</v>
      </c>
      <c r="I93" s="215" t="s">
        <v>36</v>
      </c>
      <c r="J93" s="60">
        <v>0.17</v>
      </c>
      <c r="K93" s="60">
        <v>223.63</v>
      </c>
      <c r="L93" s="10" t="s">
        <v>43</v>
      </c>
      <c r="M93" s="60">
        <v>79.92</v>
      </c>
      <c r="N93" s="60">
        <v>14.9</v>
      </c>
      <c r="O93" s="60">
        <v>0</v>
      </c>
      <c r="P93" s="60">
        <v>3.93</v>
      </c>
      <c r="Q93" s="60">
        <v>716.85</v>
      </c>
      <c r="R93" s="197"/>
      <c r="S93" s="197"/>
      <c r="T93" s="197"/>
      <c r="U93" s="197"/>
    </row>
    <row r="94" spans="1:26" s="12" customFormat="1" x14ac:dyDescent="0.25">
      <c r="A94" s="200" t="s">
        <v>1869</v>
      </c>
      <c r="B94" s="60">
        <v>12.34</v>
      </c>
      <c r="C94" s="60">
        <v>11.47</v>
      </c>
      <c r="D94" s="60">
        <v>23.81</v>
      </c>
      <c r="E94" s="60">
        <v>7.39</v>
      </c>
      <c r="F94" s="60">
        <v>0.11</v>
      </c>
      <c r="G94" s="215" t="s">
        <v>36</v>
      </c>
      <c r="H94" s="60">
        <v>13.17</v>
      </c>
      <c r="I94" s="215" t="s">
        <v>36</v>
      </c>
      <c r="J94" s="60">
        <v>0.21</v>
      </c>
      <c r="K94" s="60">
        <v>223.19</v>
      </c>
      <c r="L94" s="10" t="s">
        <v>43</v>
      </c>
      <c r="M94" s="60">
        <v>81.180000000000007</v>
      </c>
      <c r="N94" s="60">
        <v>14.8</v>
      </c>
      <c r="O94" s="60">
        <v>0</v>
      </c>
      <c r="P94" s="60">
        <v>3.91</v>
      </c>
      <c r="Q94" s="60">
        <v>683.25</v>
      </c>
      <c r="R94" s="197"/>
      <c r="S94" s="197"/>
      <c r="T94" s="197"/>
      <c r="U94" s="197"/>
    </row>
    <row r="95" spans="1:26" s="12" customFormat="1" x14ac:dyDescent="0.25">
      <c r="A95" s="200" t="s">
        <v>1870</v>
      </c>
      <c r="B95" s="60">
        <v>12.45</v>
      </c>
      <c r="C95" s="60">
        <v>10.85</v>
      </c>
      <c r="D95" s="60">
        <v>23.3</v>
      </c>
      <c r="E95" s="60">
        <v>7.22</v>
      </c>
      <c r="F95" s="60">
        <v>0.53</v>
      </c>
      <c r="G95" s="215" t="s">
        <v>36</v>
      </c>
      <c r="H95" s="60">
        <v>13.17</v>
      </c>
      <c r="I95" s="215" t="s">
        <v>36</v>
      </c>
      <c r="J95" s="60">
        <v>0.21</v>
      </c>
      <c r="K95" s="60">
        <v>224.76</v>
      </c>
      <c r="L95" s="10" t="s">
        <v>43</v>
      </c>
      <c r="M95" s="60">
        <v>83.45</v>
      </c>
      <c r="N95" s="60">
        <v>14.8</v>
      </c>
      <c r="O95" s="60">
        <v>0</v>
      </c>
      <c r="P95" s="60">
        <v>3.91</v>
      </c>
      <c r="Q95" s="60">
        <v>662.95</v>
      </c>
      <c r="R95" s="197"/>
      <c r="S95" s="197"/>
      <c r="T95" s="197"/>
      <c r="U95" s="197"/>
    </row>
    <row r="96" spans="1:26" s="12" customFormat="1" x14ac:dyDescent="0.25">
      <c r="A96" s="200" t="s">
        <v>1871</v>
      </c>
      <c r="B96" s="60">
        <v>12.61</v>
      </c>
      <c r="C96" s="60">
        <v>10.91</v>
      </c>
      <c r="D96" s="60">
        <v>23.51</v>
      </c>
      <c r="E96" s="60">
        <v>7.74</v>
      </c>
      <c r="F96" s="60">
        <v>0.53</v>
      </c>
      <c r="G96" s="215" t="s">
        <v>36</v>
      </c>
      <c r="H96" s="60">
        <v>13.17</v>
      </c>
      <c r="I96" s="215" t="s">
        <v>36</v>
      </c>
      <c r="J96" s="60">
        <v>0.08</v>
      </c>
      <c r="K96" s="60">
        <v>254.46</v>
      </c>
      <c r="L96" s="60">
        <v>45.09</v>
      </c>
      <c r="M96" s="60">
        <v>83.66</v>
      </c>
      <c r="N96" s="60">
        <v>14.6</v>
      </c>
      <c r="O96" s="60">
        <v>0</v>
      </c>
      <c r="P96" s="60">
        <v>3.9</v>
      </c>
      <c r="Q96" s="60">
        <v>645.12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1872</v>
      </c>
      <c r="B97" s="60">
        <v>12.6</v>
      </c>
      <c r="C97" s="60">
        <v>11.45</v>
      </c>
      <c r="D97" s="60">
        <v>24.05</v>
      </c>
      <c r="E97" s="60">
        <v>7.8</v>
      </c>
      <c r="F97" s="60">
        <v>0.34</v>
      </c>
      <c r="G97" s="215" t="s">
        <v>36</v>
      </c>
      <c r="H97" s="60">
        <v>13.57</v>
      </c>
      <c r="I97" s="215" t="s">
        <v>36</v>
      </c>
      <c r="J97" s="60">
        <v>0.08</v>
      </c>
      <c r="K97" s="60">
        <v>247.07</v>
      </c>
      <c r="L97" s="60">
        <v>50.31</v>
      </c>
      <c r="M97" s="60">
        <v>83.27</v>
      </c>
      <c r="N97" s="60">
        <v>14.6</v>
      </c>
      <c r="O97" s="60">
        <v>0</v>
      </c>
      <c r="P97" s="60">
        <v>3.89</v>
      </c>
      <c r="Q97" s="60">
        <v>604.02</v>
      </c>
      <c r="R97" s="197"/>
      <c r="S97" s="197"/>
      <c r="T97" s="197"/>
      <c r="U97" s="197"/>
    </row>
    <row r="98" spans="1:33" s="12" customFormat="1" x14ac:dyDescent="0.25">
      <c r="A98" s="200" t="s">
        <v>1873</v>
      </c>
      <c r="B98" s="60">
        <v>12.44</v>
      </c>
      <c r="C98" s="60">
        <v>11.68</v>
      </c>
      <c r="D98" s="60">
        <v>24.12</v>
      </c>
      <c r="E98" s="60">
        <v>7.33</v>
      </c>
      <c r="F98" s="60">
        <v>0.11</v>
      </c>
      <c r="G98" s="215" t="s">
        <v>36</v>
      </c>
      <c r="H98" s="60">
        <v>14.54</v>
      </c>
      <c r="I98" s="215" t="s">
        <v>36</v>
      </c>
      <c r="J98" s="60">
        <v>7.0000000000000007E-2</v>
      </c>
      <c r="K98" s="60">
        <v>262.33999999999997</v>
      </c>
      <c r="L98" s="60">
        <v>49.33</v>
      </c>
      <c r="M98" s="60">
        <v>83.82</v>
      </c>
      <c r="N98" s="60">
        <v>14.9</v>
      </c>
      <c r="O98" s="60">
        <v>0</v>
      </c>
      <c r="P98" s="60">
        <v>3.89</v>
      </c>
      <c r="Q98" s="60">
        <v>563.37</v>
      </c>
      <c r="R98" s="197"/>
      <c r="S98" s="197"/>
      <c r="T98" s="197"/>
      <c r="U98" s="197"/>
    </row>
    <row r="99" spans="1:33" s="12" customFormat="1" x14ac:dyDescent="0.25">
      <c r="A99" s="200" t="s">
        <v>1874</v>
      </c>
      <c r="B99" s="60">
        <v>12.83</v>
      </c>
      <c r="C99" s="60">
        <v>11.81</v>
      </c>
      <c r="D99" s="60">
        <v>24.64</v>
      </c>
      <c r="E99" s="60">
        <v>6.99</v>
      </c>
      <c r="F99" s="60">
        <v>0.19</v>
      </c>
      <c r="G99" s="215" t="s">
        <v>36</v>
      </c>
      <c r="H99" s="60">
        <v>14.54</v>
      </c>
      <c r="I99" s="215" t="s">
        <v>36</v>
      </c>
      <c r="J99" s="60">
        <v>0.08</v>
      </c>
      <c r="K99" s="60">
        <v>35.22</v>
      </c>
      <c r="L99" s="60">
        <v>45.27</v>
      </c>
      <c r="M99" s="60">
        <v>85.27</v>
      </c>
      <c r="N99" s="60">
        <v>14.8</v>
      </c>
      <c r="O99" s="60">
        <v>0</v>
      </c>
      <c r="P99" s="60">
        <v>3.89</v>
      </c>
      <c r="Q99" s="60">
        <v>529.53</v>
      </c>
      <c r="R99" s="197"/>
      <c r="S99" s="197"/>
      <c r="T99" s="197"/>
      <c r="U99" s="197"/>
    </row>
    <row r="100" spans="1:33" s="12" customFormat="1" x14ac:dyDescent="0.25">
      <c r="A100" s="200" t="s">
        <v>1875</v>
      </c>
      <c r="B100" s="60">
        <v>13.27</v>
      </c>
      <c r="C100" s="60">
        <v>11.84</v>
      </c>
      <c r="D100" s="60">
        <v>25.11</v>
      </c>
      <c r="E100" s="60">
        <v>6.66</v>
      </c>
      <c r="F100" s="60">
        <v>0.08</v>
      </c>
      <c r="G100" s="215" t="s">
        <v>36</v>
      </c>
      <c r="H100" s="60">
        <v>14.54</v>
      </c>
      <c r="I100" s="215" t="s">
        <v>36</v>
      </c>
      <c r="J100" s="60">
        <v>0.01</v>
      </c>
      <c r="K100" s="60">
        <v>23.69</v>
      </c>
      <c r="L100" s="60">
        <v>36.25</v>
      </c>
      <c r="M100" s="60">
        <v>86.01</v>
      </c>
      <c r="N100" s="60">
        <v>14.8</v>
      </c>
      <c r="O100" s="60">
        <v>0</v>
      </c>
      <c r="P100" s="60">
        <v>3.89</v>
      </c>
      <c r="Q100" s="60">
        <v>494.95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1876</v>
      </c>
      <c r="B101" s="60">
        <v>13.59</v>
      </c>
      <c r="C101" s="60">
        <v>11.74</v>
      </c>
      <c r="D101" s="60">
        <v>25.33</v>
      </c>
      <c r="E101" s="60">
        <v>7.02</v>
      </c>
      <c r="F101" s="60">
        <v>0.02</v>
      </c>
      <c r="G101" s="215" t="s">
        <v>36</v>
      </c>
      <c r="H101" s="60">
        <v>15.36</v>
      </c>
      <c r="I101" s="215" t="s">
        <v>36</v>
      </c>
      <c r="J101" s="60">
        <v>7.0000000000000007E-2</v>
      </c>
      <c r="K101" s="60">
        <v>43.73</v>
      </c>
      <c r="L101" s="60">
        <v>36.24</v>
      </c>
      <c r="M101" s="60">
        <v>85.72</v>
      </c>
      <c r="N101" s="60">
        <v>14.6</v>
      </c>
      <c r="O101" s="60">
        <v>0</v>
      </c>
      <c r="P101" s="60">
        <v>3.89</v>
      </c>
      <c r="Q101" s="60">
        <v>460.13</v>
      </c>
      <c r="R101" s="197"/>
      <c r="S101" s="197"/>
      <c r="T101" s="197"/>
      <c r="U101" s="197"/>
    </row>
    <row r="102" spans="1:33" s="12" customFormat="1" x14ac:dyDescent="0.25">
      <c r="A102" s="200" t="s">
        <v>1877</v>
      </c>
      <c r="B102" s="60">
        <v>13.5</v>
      </c>
      <c r="C102" s="60">
        <v>11.48</v>
      </c>
      <c r="D102" s="60">
        <v>24.97</v>
      </c>
      <c r="E102" s="60">
        <v>6.66</v>
      </c>
      <c r="F102" s="60">
        <v>0.03</v>
      </c>
      <c r="G102" s="215" t="s">
        <v>36</v>
      </c>
      <c r="H102" s="60">
        <v>17.37</v>
      </c>
      <c r="I102" s="215" t="s">
        <v>36</v>
      </c>
      <c r="J102" s="60">
        <v>0.03</v>
      </c>
      <c r="K102" s="60">
        <v>155.72999999999999</v>
      </c>
      <c r="L102" s="60">
        <v>35.86</v>
      </c>
      <c r="M102" s="60">
        <v>86.53</v>
      </c>
      <c r="N102" s="60">
        <v>14.8</v>
      </c>
      <c r="O102" s="60">
        <v>0</v>
      </c>
      <c r="P102" s="60">
        <v>3.88</v>
      </c>
      <c r="Q102" s="60">
        <v>433.03</v>
      </c>
      <c r="R102" s="197"/>
      <c r="S102" s="197"/>
      <c r="T102" s="197"/>
      <c r="U102" s="197"/>
    </row>
    <row r="103" spans="1:33" s="12" customFormat="1" x14ac:dyDescent="0.25">
      <c r="A103" s="200" t="s">
        <v>1878</v>
      </c>
      <c r="B103" s="60">
        <v>13.49</v>
      </c>
      <c r="C103" s="60">
        <v>11.08</v>
      </c>
      <c r="D103" s="60">
        <v>24.57</v>
      </c>
      <c r="E103" s="60">
        <v>6.27</v>
      </c>
      <c r="F103" s="60">
        <v>0.12</v>
      </c>
      <c r="G103" s="215" t="s">
        <v>36</v>
      </c>
      <c r="H103" s="60">
        <v>17.37</v>
      </c>
      <c r="I103" s="215" t="s">
        <v>36</v>
      </c>
      <c r="J103" s="60">
        <v>0.04</v>
      </c>
      <c r="K103" s="60">
        <v>53.42</v>
      </c>
      <c r="L103" s="60">
        <v>36.54</v>
      </c>
      <c r="M103" s="60">
        <v>85.97</v>
      </c>
      <c r="N103" s="60">
        <v>14.6</v>
      </c>
      <c r="O103" s="60">
        <v>0</v>
      </c>
      <c r="P103" s="60">
        <v>3.87</v>
      </c>
      <c r="Q103" s="60">
        <v>405.58</v>
      </c>
      <c r="R103" s="197"/>
      <c r="S103" s="197"/>
      <c r="T103" s="197"/>
      <c r="U103" s="197"/>
    </row>
    <row r="104" spans="1:33" s="12" customFormat="1" x14ac:dyDescent="0.25">
      <c r="A104" s="200" t="s">
        <v>1879</v>
      </c>
      <c r="B104" s="60">
        <v>13.29</v>
      </c>
      <c r="C104" s="60">
        <v>10.67</v>
      </c>
      <c r="D104" s="60">
        <v>23.97</v>
      </c>
      <c r="E104" s="60">
        <v>3.18</v>
      </c>
      <c r="F104" s="60">
        <v>0.33</v>
      </c>
      <c r="G104" s="215" t="s">
        <v>36</v>
      </c>
      <c r="H104" s="60">
        <v>17.37</v>
      </c>
      <c r="I104" s="215" t="s">
        <v>36</v>
      </c>
      <c r="J104" s="60">
        <v>0.06</v>
      </c>
      <c r="K104" s="60">
        <v>32.979999999999997</v>
      </c>
      <c r="L104" s="60">
        <v>36.700000000000003</v>
      </c>
      <c r="M104" s="60">
        <v>85.78</v>
      </c>
      <c r="N104" s="60">
        <v>14.7</v>
      </c>
      <c r="O104" s="60">
        <v>0</v>
      </c>
      <c r="P104" s="60">
        <v>3.85</v>
      </c>
      <c r="Q104" s="60">
        <v>392.32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5" t="s">
        <v>59</v>
      </c>
      <c r="B106" s="67">
        <f>MIN(B9:B104)</f>
        <v>1.91</v>
      </c>
      <c r="C106" s="67">
        <f>MIN(C9:C104)</f>
        <v>8.4499999999999993</v>
      </c>
      <c r="D106" s="67">
        <f t="shared" ref="D106:Q106" si="0">MIN(D9:D104)</f>
        <v>15.04</v>
      </c>
      <c r="E106" s="67">
        <f t="shared" si="0"/>
        <v>0.97</v>
      </c>
      <c r="F106" s="67">
        <f t="shared" si="0"/>
        <v>0.01</v>
      </c>
      <c r="G106" s="67">
        <f t="shared" si="0"/>
        <v>1.53</v>
      </c>
      <c r="H106" s="67">
        <f t="shared" si="0"/>
        <v>4.99</v>
      </c>
      <c r="I106" s="67">
        <f t="shared" si="0"/>
        <v>3.71</v>
      </c>
      <c r="J106" s="67">
        <f t="shared" si="0"/>
        <v>0.01</v>
      </c>
      <c r="K106" s="67">
        <f t="shared" si="0"/>
        <v>0.11</v>
      </c>
      <c r="L106" s="67">
        <f t="shared" si="0"/>
        <v>35.86</v>
      </c>
      <c r="M106" s="67">
        <f t="shared" si="0"/>
        <v>57.63</v>
      </c>
      <c r="N106" s="67">
        <f t="shared" si="0"/>
        <v>14.6</v>
      </c>
      <c r="O106" s="67">
        <f t="shared" si="0"/>
        <v>0</v>
      </c>
      <c r="P106" s="67">
        <f t="shared" si="0"/>
        <v>3.57</v>
      </c>
      <c r="Q106" s="67">
        <f t="shared" si="0"/>
        <v>4.41</v>
      </c>
      <c r="R106" s="198"/>
      <c r="S106" s="198"/>
      <c r="T106" s="198"/>
      <c r="U106" s="198"/>
    </row>
    <row r="107" spans="1:33" x14ac:dyDescent="0.25">
      <c r="A107" s="65" t="s">
        <v>60</v>
      </c>
      <c r="B107" s="66">
        <f>MAX(B9:B104)</f>
        <v>27.11</v>
      </c>
      <c r="C107" s="66">
        <f t="shared" ref="C107:Q107" si="1">MAX(C9:C104)</f>
        <v>25.21</v>
      </c>
      <c r="D107" s="66">
        <f t="shared" si="1"/>
        <v>37.5</v>
      </c>
      <c r="E107" s="66">
        <f t="shared" si="1"/>
        <v>13.29</v>
      </c>
      <c r="F107" s="66">
        <f t="shared" si="1"/>
        <v>2.81</v>
      </c>
      <c r="G107" s="66">
        <f t="shared" si="1"/>
        <v>25.55</v>
      </c>
      <c r="H107" s="66">
        <f t="shared" si="1"/>
        <v>18.440000000000001</v>
      </c>
      <c r="I107" s="66">
        <f t="shared" si="1"/>
        <v>8.11</v>
      </c>
      <c r="J107" s="66">
        <f t="shared" si="1"/>
        <v>0.57999999999999996</v>
      </c>
      <c r="K107" s="66">
        <f t="shared" si="1"/>
        <v>347.97</v>
      </c>
      <c r="L107" s="66">
        <f t="shared" si="1"/>
        <v>52.15</v>
      </c>
      <c r="M107" s="66">
        <f t="shared" si="1"/>
        <v>97.98</v>
      </c>
      <c r="N107" s="66">
        <f t="shared" si="1"/>
        <v>941</v>
      </c>
      <c r="O107" s="66">
        <f t="shared" si="1"/>
        <v>0</v>
      </c>
      <c r="P107" s="66">
        <f t="shared" si="1"/>
        <v>4.21</v>
      </c>
      <c r="Q107" s="66">
        <f t="shared" si="1"/>
        <v>2649.18</v>
      </c>
      <c r="R107" s="199"/>
      <c r="S107" s="199"/>
      <c r="T107" s="199"/>
      <c r="U107" s="199"/>
    </row>
    <row r="108" spans="1:33" x14ac:dyDescent="0.25">
      <c r="A108" s="65" t="s">
        <v>61</v>
      </c>
      <c r="B108" s="67">
        <f>AVERAGE(B9:B104)</f>
        <v>10.726354166666672</v>
      </c>
      <c r="C108" s="67">
        <f t="shared" ref="C108:Q108" si="2">AVERAGE(C9:C104)</f>
        <v>12.766250000000005</v>
      </c>
      <c r="D108" s="67">
        <f t="shared" si="2"/>
        <v>23.493020833333333</v>
      </c>
      <c r="E108" s="67">
        <f t="shared" si="2"/>
        <v>6.3223958333333341</v>
      </c>
      <c r="F108" s="67">
        <f t="shared" si="2"/>
        <v>0.49378947368421033</v>
      </c>
      <c r="G108" s="67">
        <f t="shared" si="2"/>
        <v>18.303999999999998</v>
      </c>
      <c r="H108" s="67">
        <f t="shared" si="2"/>
        <v>12.250937499999999</v>
      </c>
      <c r="I108" s="67">
        <f t="shared" si="2"/>
        <v>5.2584285714285715</v>
      </c>
      <c r="J108" s="67">
        <f t="shared" si="2"/>
        <v>0.1557291666666667</v>
      </c>
      <c r="K108" s="67">
        <f t="shared" si="2"/>
        <v>189.39708333333326</v>
      </c>
      <c r="L108" s="67">
        <f t="shared" si="2"/>
        <v>43.777758620689667</v>
      </c>
      <c r="M108" s="67">
        <f t="shared" si="2"/>
        <v>77.473229166666698</v>
      </c>
      <c r="N108" s="67">
        <f t="shared" si="2"/>
        <v>268.42499999999984</v>
      </c>
      <c r="O108" s="67">
        <f t="shared" si="2"/>
        <v>0</v>
      </c>
      <c r="P108" s="67">
        <f t="shared" si="2"/>
        <v>3.7723958333333347</v>
      </c>
      <c r="Q108" s="67">
        <f t="shared" si="2"/>
        <v>286.49541666666664</v>
      </c>
      <c r="R108" s="198"/>
      <c r="S108" s="198"/>
      <c r="T108" s="198"/>
      <c r="U108" s="198"/>
    </row>
    <row r="109" spans="1:33" x14ac:dyDescent="0.25">
      <c r="A109" s="65" t="s">
        <v>77</v>
      </c>
      <c r="B109" s="67">
        <f>STDEV(B9:B104)</f>
        <v>7.3798164461257851</v>
      </c>
      <c r="C109" s="67">
        <f t="shared" ref="C109:Q109" si="3">STDEV(C9:C104)</f>
        <v>3.7301401836222747</v>
      </c>
      <c r="D109" s="67">
        <f t="shared" si="3"/>
        <v>5.9656517038956425</v>
      </c>
      <c r="E109" s="67">
        <f t="shared" si="3"/>
        <v>2.0440201589240048</v>
      </c>
      <c r="F109" s="67">
        <f t="shared" si="3"/>
        <v>0.49248216070373801</v>
      </c>
      <c r="G109" s="67">
        <f t="shared" si="3"/>
        <v>10.764779607590677</v>
      </c>
      <c r="H109" s="67">
        <f t="shared" si="3"/>
        <v>3.6690096406824693</v>
      </c>
      <c r="I109" s="67">
        <f t="shared" si="3"/>
        <v>1.2141504284642626</v>
      </c>
      <c r="J109" s="67">
        <f t="shared" si="3"/>
        <v>0.12571266143716014</v>
      </c>
      <c r="K109" s="67">
        <f t="shared" si="3"/>
        <v>88.648298501398145</v>
      </c>
      <c r="L109" s="67">
        <f t="shared" si="3"/>
        <v>4.1892908762673686</v>
      </c>
      <c r="M109" s="67">
        <f t="shared" si="3"/>
        <v>13.16787266476047</v>
      </c>
      <c r="N109" s="67">
        <f t="shared" si="3"/>
        <v>327.19832003171871</v>
      </c>
      <c r="O109" s="67">
        <f t="shared" si="3"/>
        <v>0</v>
      </c>
      <c r="P109" s="67">
        <f t="shared" si="3"/>
        <v>0.17306977474366969</v>
      </c>
      <c r="Q109" s="67">
        <f t="shared" si="3"/>
        <v>533.97050749015921</v>
      </c>
      <c r="R109" s="198"/>
      <c r="S109" s="198"/>
      <c r="T109" s="198"/>
      <c r="U109" s="198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95</v>
      </c>
      <c r="G110" s="66">
        <f>COUNT(G9:G104)+91</f>
        <v>96</v>
      </c>
      <c r="H110" s="66">
        <f>COUNT(H9:H104)</f>
        <v>96</v>
      </c>
      <c r="I110" s="66">
        <f>COUNT(I9:I104)+26</f>
        <v>96</v>
      </c>
      <c r="J110" s="66">
        <f>COUNT(J9:J104)</f>
        <v>96</v>
      </c>
      <c r="K110" s="66">
        <f t="shared" si="4"/>
        <v>96</v>
      </c>
      <c r="L110" s="66">
        <f t="shared" si="4"/>
        <v>58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9"/>
      <c r="S110" s="199"/>
      <c r="T110" s="199"/>
      <c r="U110" s="199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&lt;90%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LESS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218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3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L71" sqref="L71:L7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18-08-2022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234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1880</v>
      </c>
      <c r="B9" s="60">
        <v>12.95</v>
      </c>
      <c r="C9" s="60">
        <v>10.53</v>
      </c>
      <c r="D9" s="60">
        <v>23.48</v>
      </c>
      <c r="E9" s="60">
        <v>6.15</v>
      </c>
      <c r="F9" s="60">
        <v>0.06</v>
      </c>
      <c r="G9" s="215" t="s">
        <v>36</v>
      </c>
      <c r="H9" s="60">
        <v>16.04</v>
      </c>
      <c r="I9" s="215" t="s">
        <v>36</v>
      </c>
      <c r="J9" s="60">
        <v>0.09</v>
      </c>
      <c r="K9" s="60">
        <v>61.67</v>
      </c>
      <c r="L9" s="60">
        <v>49.17</v>
      </c>
      <c r="M9" s="60">
        <v>86.1</v>
      </c>
      <c r="N9" s="60">
        <v>14.7</v>
      </c>
      <c r="O9" s="60">
        <v>0</v>
      </c>
      <c r="P9" s="60">
        <v>3.85</v>
      </c>
      <c r="Q9" s="60">
        <v>366.95</v>
      </c>
      <c r="R9" s="197"/>
      <c r="S9" s="197"/>
      <c r="T9" s="197"/>
      <c r="U9" s="197"/>
    </row>
    <row r="10" spans="1:21" s="12" customFormat="1" x14ac:dyDescent="0.25">
      <c r="A10" s="200" t="s">
        <v>1881</v>
      </c>
      <c r="B10" s="60">
        <v>12.74</v>
      </c>
      <c r="C10" s="60">
        <v>10.14</v>
      </c>
      <c r="D10" s="60">
        <v>22.89</v>
      </c>
      <c r="E10" s="60">
        <v>7.05</v>
      </c>
      <c r="F10" s="60">
        <v>0.19</v>
      </c>
      <c r="G10" s="215" t="s">
        <v>36</v>
      </c>
      <c r="H10" s="60">
        <v>12.79</v>
      </c>
      <c r="I10" s="215" t="s">
        <v>36</v>
      </c>
      <c r="J10" s="60">
        <v>0.09</v>
      </c>
      <c r="K10" s="60">
        <v>42.24</v>
      </c>
      <c r="L10" s="60">
        <v>52.38</v>
      </c>
      <c r="M10" s="60">
        <v>86.21</v>
      </c>
      <c r="N10" s="60">
        <v>14.8</v>
      </c>
      <c r="O10" s="60">
        <v>0</v>
      </c>
      <c r="P10" s="60">
        <v>3.82</v>
      </c>
      <c r="Q10" s="60">
        <v>363.23</v>
      </c>
      <c r="R10" s="197"/>
      <c r="S10" s="197"/>
      <c r="T10" s="197"/>
      <c r="U10" s="197"/>
    </row>
    <row r="11" spans="1:21" s="12" customFormat="1" x14ac:dyDescent="0.25">
      <c r="A11" s="200" t="s">
        <v>1882</v>
      </c>
      <c r="B11" s="60">
        <v>12.35</v>
      </c>
      <c r="C11" s="60">
        <v>10.31</v>
      </c>
      <c r="D11" s="60">
        <v>22.66</v>
      </c>
      <c r="E11" s="60">
        <v>7.23</v>
      </c>
      <c r="F11" s="60">
        <v>0.08</v>
      </c>
      <c r="G11" s="215" t="s">
        <v>36</v>
      </c>
      <c r="H11" s="60">
        <v>12.79</v>
      </c>
      <c r="I11" s="215" t="s">
        <v>36</v>
      </c>
      <c r="J11" s="60">
        <v>0.09</v>
      </c>
      <c r="K11" s="60">
        <v>34.18</v>
      </c>
      <c r="L11" s="60">
        <v>42.22</v>
      </c>
      <c r="M11" s="60">
        <v>86.62</v>
      </c>
      <c r="N11" s="60">
        <v>14.7</v>
      </c>
      <c r="O11" s="60">
        <v>0</v>
      </c>
      <c r="P11" s="60">
        <v>3.81</v>
      </c>
      <c r="Q11" s="60">
        <v>341.52</v>
      </c>
      <c r="R11" s="197"/>
      <c r="S11" s="197"/>
      <c r="T11" s="197"/>
      <c r="U11" s="197"/>
    </row>
    <row r="12" spans="1:21" s="12" customFormat="1" x14ac:dyDescent="0.25">
      <c r="A12" s="200" t="s">
        <v>1883</v>
      </c>
      <c r="B12" s="60">
        <v>11.98</v>
      </c>
      <c r="C12" s="60">
        <v>9.92</v>
      </c>
      <c r="D12" s="60">
        <v>21.89</v>
      </c>
      <c r="E12" s="60">
        <v>6.58</v>
      </c>
      <c r="F12" s="60">
        <v>0.34</v>
      </c>
      <c r="G12" s="215" t="s">
        <v>36</v>
      </c>
      <c r="H12" s="60">
        <v>12.79</v>
      </c>
      <c r="I12" s="215" t="s">
        <v>36</v>
      </c>
      <c r="J12" s="60">
        <v>0.05</v>
      </c>
      <c r="K12" s="60">
        <v>359.42</v>
      </c>
      <c r="L12" s="60">
        <v>35.86</v>
      </c>
      <c r="M12" s="60">
        <v>86.98</v>
      </c>
      <c r="N12" s="60">
        <v>14.8</v>
      </c>
      <c r="O12" s="60">
        <v>0</v>
      </c>
      <c r="P12" s="60">
        <v>3.8</v>
      </c>
      <c r="Q12" s="60">
        <v>334.53</v>
      </c>
      <c r="R12" s="197"/>
      <c r="S12" s="197"/>
      <c r="T12" s="197"/>
      <c r="U12" s="197"/>
    </row>
    <row r="13" spans="1:21" s="12" customFormat="1" x14ac:dyDescent="0.25">
      <c r="A13" s="200" t="s">
        <v>1884</v>
      </c>
      <c r="B13" s="60">
        <v>11.62</v>
      </c>
      <c r="C13" s="60">
        <v>10.130000000000001</v>
      </c>
      <c r="D13" s="60">
        <v>21.75</v>
      </c>
      <c r="E13" s="60">
        <v>6.85</v>
      </c>
      <c r="F13" s="60">
        <v>0.24</v>
      </c>
      <c r="G13" s="215" t="s">
        <v>36</v>
      </c>
      <c r="H13" s="60">
        <v>12.42</v>
      </c>
      <c r="I13" s="215" t="s">
        <v>36</v>
      </c>
      <c r="J13" s="60">
        <v>0.06</v>
      </c>
      <c r="K13" s="60">
        <v>70.89</v>
      </c>
      <c r="L13" s="60">
        <v>35.6</v>
      </c>
      <c r="M13" s="60">
        <v>87.25</v>
      </c>
      <c r="N13" s="60">
        <v>14.7</v>
      </c>
      <c r="O13" s="60">
        <v>0</v>
      </c>
      <c r="P13" s="60">
        <v>3.78</v>
      </c>
      <c r="Q13" s="60">
        <v>323.35000000000002</v>
      </c>
      <c r="R13" s="197"/>
      <c r="S13" s="197"/>
      <c r="T13" s="197"/>
      <c r="U13" s="197"/>
    </row>
    <row r="14" spans="1:21" s="12" customFormat="1" x14ac:dyDescent="0.25">
      <c r="A14" s="200" t="s">
        <v>1885</v>
      </c>
      <c r="B14" s="60">
        <v>11.24</v>
      </c>
      <c r="C14" s="60">
        <v>10.029999999999999</v>
      </c>
      <c r="D14" s="60">
        <v>21.27</v>
      </c>
      <c r="E14" s="60">
        <v>7.58</v>
      </c>
      <c r="F14" s="60">
        <v>0.14000000000000001</v>
      </c>
      <c r="G14" s="215" t="s">
        <v>36</v>
      </c>
      <c r="H14" s="60">
        <v>11.52</v>
      </c>
      <c r="I14" s="215" t="s">
        <v>36</v>
      </c>
      <c r="J14" s="60">
        <v>7.0000000000000007E-2</v>
      </c>
      <c r="K14" s="60">
        <v>82.95</v>
      </c>
      <c r="L14" s="60">
        <v>35.67</v>
      </c>
      <c r="M14" s="60">
        <v>88.27</v>
      </c>
      <c r="N14" s="60">
        <v>14.8</v>
      </c>
      <c r="O14" s="60">
        <v>0</v>
      </c>
      <c r="P14" s="60">
        <v>3.77</v>
      </c>
      <c r="Q14" s="60">
        <v>309.29000000000002</v>
      </c>
      <c r="R14" s="197"/>
      <c r="S14" s="197"/>
      <c r="T14" s="197"/>
      <c r="U14" s="197"/>
    </row>
    <row r="15" spans="1:21" s="12" customFormat="1" x14ac:dyDescent="0.25">
      <c r="A15" s="200" t="s">
        <v>1886</v>
      </c>
      <c r="B15" s="60">
        <v>10.95</v>
      </c>
      <c r="C15" s="60">
        <v>9.92</v>
      </c>
      <c r="D15" s="60">
        <v>20.87</v>
      </c>
      <c r="E15" s="60">
        <v>7.25</v>
      </c>
      <c r="F15" s="60">
        <v>0.49</v>
      </c>
      <c r="G15" s="215" t="s">
        <v>36</v>
      </c>
      <c r="H15" s="60">
        <v>11.52</v>
      </c>
      <c r="I15" s="215" t="s">
        <v>36</v>
      </c>
      <c r="J15" s="60">
        <v>0.13</v>
      </c>
      <c r="K15" s="60">
        <v>63.05</v>
      </c>
      <c r="L15" s="60">
        <v>35.770000000000003</v>
      </c>
      <c r="M15" s="60">
        <v>88.71</v>
      </c>
      <c r="N15" s="60">
        <v>14.7</v>
      </c>
      <c r="O15" s="60">
        <v>0</v>
      </c>
      <c r="P15" s="60">
        <v>3.75</v>
      </c>
      <c r="Q15" s="60">
        <v>306.83</v>
      </c>
      <c r="R15" s="197"/>
      <c r="S15" s="197"/>
      <c r="T15" s="197"/>
      <c r="U15" s="197"/>
    </row>
    <row r="16" spans="1:21" s="12" customFormat="1" x14ac:dyDescent="0.25">
      <c r="A16" s="200" t="s">
        <v>1887</v>
      </c>
      <c r="B16" s="60">
        <v>10.07</v>
      </c>
      <c r="C16" s="60">
        <v>9.93</v>
      </c>
      <c r="D16" s="60">
        <v>20.010000000000002</v>
      </c>
      <c r="E16" s="60">
        <v>7.07</v>
      </c>
      <c r="F16" s="60">
        <v>0.2</v>
      </c>
      <c r="G16" s="215" t="s">
        <v>36</v>
      </c>
      <c r="H16" s="60">
        <v>11.52</v>
      </c>
      <c r="I16" s="215" t="s">
        <v>36</v>
      </c>
      <c r="J16" s="60">
        <v>0.16</v>
      </c>
      <c r="K16" s="60">
        <v>53.03</v>
      </c>
      <c r="L16" s="60">
        <v>37.090000000000003</v>
      </c>
      <c r="M16" s="60">
        <v>88.72</v>
      </c>
      <c r="N16" s="60">
        <v>14.7</v>
      </c>
      <c r="O16" s="60">
        <v>0</v>
      </c>
      <c r="P16" s="60">
        <v>3.72</v>
      </c>
      <c r="Q16" s="60">
        <v>286.37</v>
      </c>
      <c r="R16" s="197"/>
      <c r="S16" s="197"/>
      <c r="T16" s="197"/>
      <c r="U16" s="197"/>
    </row>
    <row r="17" spans="1:21" s="12" customFormat="1" x14ac:dyDescent="0.25">
      <c r="A17" s="200" t="s">
        <v>1888</v>
      </c>
      <c r="B17" s="60">
        <v>8.8699999999999992</v>
      </c>
      <c r="C17" s="60">
        <v>10.14</v>
      </c>
      <c r="D17" s="60">
        <v>19</v>
      </c>
      <c r="E17" s="60">
        <v>7.17</v>
      </c>
      <c r="F17" s="60">
        <v>0.04</v>
      </c>
      <c r="G17" s="215" t="s">
        <v>36</v>
      </c>
      <c r="H17" s="60">
        <v>11.88</v>
      </c>
      <c r="I17" s="215" t="s">
        <v>36</v>
      </c>
      <c r="J17" s="60">
        <v>0.11</v>
      </c>
      <c r="K17" s="60">
        <v>358.95</v>
      </c>
      <c r="L17" s="60">
        <v>48.12</v>
      </c>
      <c r="M17" s="60">
        <v>89.03</v>
      </c>
      <c r="N17" s="60">
        <v>14.8</v>
      </c>
      <c r="O17" s="60">
        <v>0</v>
      </c>
      <c r="P17" s="60">
        <v>3.69</v>
      </c>
      <c r="Q17" s="60">
        <v>263.2</v>
      </c>
      <c r="R17" s="197"/>
      <c r="S17" s="197"/>
      <c r="T17" s="197"/>
      <c r="U17" s="197"/>
    </row>
    <row r="18" spans="1:21" s="12" customFormat="1" x14ac:dyDescent="0.25">
      <c r="A18" s="200" t="s">
        <v>1889</v>
      </c>
      <c r="B18" s="60">
        <v>7.79</v>
      </c>
      <c r="C18" s="60">
        <v>10.43</v>
      </c>
      <c r="D18" s="60">
        <v>18.22</v>
      </c>
      <c r="E18" s="60">
        <v>6.39</v>
      </c>
      <c r="F18" s="60">
        <v>0.12</v>
      </c>
      <c r="G18" s="215" t="s">
        <v>36</v>
      </c>
      <c r="H18" s="60">
        <v>12.74</v>
      </c>
      <c r="I18" s="215" t="s">
        <v>36</v>
      </c>
      <c r="J18" s="60">
        <v>0.14000000000000001</v>
      </c>
      <c r="K18" s="60">
        <v>40.549999999999997</v>
      </c>
      <c r="L18" s="60">
        <v>44.22</v>
      </c>
      <c r="M18" s="60">
        <v>89.19</v>
      </c>
      <c r="N18" s="60">
        <v>14.7</v>
      </c>
      <c r="O18" s="60">
        <v>0</v>
      </c>
      <c r="P18" s="60">
        <v>3.68</v>
      </c>
      <c r="Q18" s="60">
        <v>243.92</v>
      </c>
      <c r="R18" s="197"/>
      <c r="S18" s="197"/>
      <c r="T18" s="197"/>
      <c r="U18" s="197"/>
    </row>
    <row r="19" spans="1:21" s="12" customFormat="1" x14ac:dyDescent="0.25">
      <c r="A19" s="200" t="s">
        <v>1890</v>
      </c>
      <c r="B19" s="60">
        <v>6.91</v>
      </c>
      <c r="C19" s="60">
        <v>10.4</v>
      </c>
      <c r="D19" s="60">
        <v>17.309999999999999</v>
      </c>
      <c r="E19" s="60">
        <v>6.65</v>
      </c>
      <c r="F19" s="60">
        <v>0.13</v>
      </c>
      <c r="G19" s="215" t="s">
        <v>36</v>
      </c>
      <c r="H19" s="60">
        <v>12.74</v>
      </c>
      <c r="I19" s="215" t="s">
        <v>36</v>
      </c>
      <c r="J19" s="60">
        <v>0.11</v>
      </c>
      <c r="K19" s="60">
        <v>66.16</v>
      </c>
      <c r="L19" s="60">
        <v>48.14</v>
      </c>
      <c r="M19" s="60">
        <v>89.58</v>
      </c>
      <c r="N19" s="60">
        <v>14.8</v>
      </c>
      <c r="O19" s="60">
        <v>0</v>
      </c>
      <c r="P19" s="60">
        <v>3.66</v>
      </c>
      <c r="Q19" s="60">
        <v>228.29</v>
      </c>
      <c r="R19" s="197"/>
      <c r="S19" s="197"/>
      <c r="T19" s="197"/>
      <c r="U19" s="197"/>
    </row>
    <row r="20" spans="1:21" s="12" customFormat="1" x14ac:dyDescent="0.25">
      <c r="A20" s="200" t="s">
        <v>1891</v>
      </c>
      <c r="B20" s="60">
        <v>6.14</v>
      </c>
      <c r="C20" s="60">
        <v>10.4</v>
      </c>
      <c r="D20" s="60">
        <v>16.54</v>
      </c>
      <c r="E20" s="60">
        <v>6.29</v>
      </c>
      <c r="F20" s="60">
        <v>7.0000000000000007E-2</v>
      </c>
      <c r="G20" s="215" t="s">
        <v>36</v>
      </c>
      <c r="H20" s="60">
        <v>12.74</v>
      </c>
      <c r="I20" s="215" t="s">
        <v>36</v>
      </c>
      <c r="J20" s="60">
        <v>0.13</v>
      </c>
      <c r="K20" s="60">
        <v>356.59</v>
      </c>
      <c r="L20" s="60">
        <v>49.74</v>
      </c>
      <c r="M20" s="60">
        <v>90.57</v>
      </c>
      <c r="N20" s="60">
        <v>14.8</v>
      </c>
      <c r="O20" s="60">
        <v>0</v>
      </c>
      <c r="P20" s="60">
        <v>3.65</v>
      </c>
      <c r="Q20" s="60">
        <v>213.84</v>
      </c>
      <c r="R20" s="197"/>
      <c r="S20" s="197"/>
      <c r="T20" s="197"/>
      <c r="U20" s="197"/>
    </row>
    <row r="21" spans="1:21" s="12" customFormat="1" x14ac:dyDescent="0.25">
      <c r="A21" s="200" t="s">
        <v>1892</v>
      </c>
      <c r="B21" s="60">
        <v>5.77</v>
      </c>
      <c r="C21" s="60">
        <v>10.49</v>
      </c>
      <c r="D21" s="60">
        <v>16.260000000000002</v>
      </c>
      <c r="E21" s="60">
        <v>5.97</v>
      </c>
      <c r="F21" s="60">
        <v>0.26</v>
      </c>
      <c r="G21" s="215" t="s">
        <v>36</v>
      </c>
      <c r="H21" s="60">
        <v>12.97</v>
      </c>
      <c r="I21" s="215" t="s">
        <v>36</v>
      </c>
      <c r="J21" s="60">
        <v>0.06</v>
      </c>
      <c r="K21" s="60">
        <v>57.13</v>
      </c>
      <c r="L21" s="60">
        <v>50.53</v>
      </c>
      <c r="M21" s="60">
        <v>90.4</v>
      </c>
      <c r="N21" s="60">
        <v>14.8</v>
      </c>
      <c r="O21" s="60">
        <v>0</v>
      </c>
      <c r="P21" s="60">
        <v>3.64</v>
      </c>
      <c r="Q21" s="60">
        <v>200.87</v>
      </c>
      <c r="R21" s="197"/>
      <c r="S21" s="197"/>
      <c r="T21" s="197"/>
      <c r="U21" s="197"/>
    </row>
    <row r="22" spans="1:21" s="12" customFormat="1" x14ac:dyDescent="0.25">
      <c r="A22" s="200" t="s">
        <v>1893</v>
      </c>
      <c r="B22" s="60">
        <v>6.06</v>
      </c>
      <c r="C22" s="60">
        <v>10.77</v>
      </c>
      <c r="D22" s="60">
        <v>16.82</v>
      </c>
      <c r="E22" s="60">
        <v>6.41</v>
      </c>
      <c r="F22" s="60">
        <v>0.23</v>
      </c>
      <c r="G22" s="215" t="s">
        <v>36</v>
      </c>
      <c r="H22" s="60">
        <v>13.55</v>
      </c>
      <c r="I22" s="215" t="s">
        <v>36</v>
      </c>
      <c r="J22" s="60">
        <v>0.1</v>
      </c>
      <c r="K22" s="60">
        <v>71.92</v>
      </c>
      <c r="L22" s="60">
        <v>38.14</v>
      </c>
      <c r="M22" s="60">
        <v>89.63</v>
      </c>
      <c r="N22" s="60">
        <v>14.6</v>
      </c>
      <c r="O22" s="60">
        <v>0</v>
      </c>
      <c r="P22" s="60">
        <v>3.63</v>
      </c>
      <c r="Q22" s="60">
        <v>189.15</v>
      </c>
      <c r="R22" s="197"/>
      <c r="S22" s="197"/>
      <c r="T22" s="197"/>
      <c r="U22" s="197"/>
    </row>
    <row r="23" spans="1:21" s="12" customFormat="1" x14ac:dyDescent="0.25">
      <c r="A23" s="200" t="s">
        <v>1894</v>
      </c>
      <c r="B23" s="60">
        <v>6.1</v>
      </c>
      <c r="C23" s="60">
        <v>10.89</v>
      </c>
      <c r="D23" s="60">
        <v>16.989999999999998</v>
      </c>
      <c r="E23" s="60">
        <v>6</v>
      </c>
      <c r="F23" s="60">
        <v>0.13</v>
      </c>
      <c r="G23" s="215" t="s">
        <v>36</v>
      </c>
      <c r="H23" s="60">
        <v>13.55</v>
      </c>
      <c r="I23" s="215" t="s">
        <v>36</v>
      </c>
      <c r="J23" s="60">
        <v>0.03</v>
      </c>
      <c r="K23" s="60">
        <v>28.93</v>
      </c>
      <c r="L23" s="60">
        <v>43.57</v>
      </c>
      <c r="M23" s="60">
        <v>89.6</v>
      </c>
      <c r="N23" s="60">
        <v>14.6</v>
      </c>
      <c r="O23" s="60">
        <v>0</v>
      </c>
      <c r="P23" s="60">
        <v>3.62</v>
      </c>
      <c r="Q23" s="60">
        <v>182.22</v>
      </c>
      <c r="R23" s="197"/>
      <c r="S23" s="197"/>
      <c r="T23" s="197"/>
      <c r="U23" s="197"/>
    </row>
    <row r="24" spans="1:21" s="12" customFormat="1" x14ac:dyDescent="0.25">
      <c r="A24" s="200" t="s">
        <v>1895</v>
      </c>
      <c r="B24" s="60">
        <v>5.92</v>
      </c>
      <c r="C24" s="60">
        <v>10.7</v>
      </c>
      <c r="D24" s="60">
        <v>16.61</v>
      </c>
      <c r="E24" s="60">
        <v>2.16</v>
      </c>
      <c r="F24" s="60">
        <v>0.06</v>
      </c>
      <c r="G24" s="215" t="s">
        <v>36</v>
      </c>
      <c r="H24" s="60">
        <v>13.55</v>
      </c>
      <c r="I24" s="215" t="s">
        <v>36</v>
      </c>
      <c r="J24" s="60">
        <v>0.03</v>
      </c>
      <c r="K24" s="60">
        <v>309.01</v>
      </c>
      <c r="L24" s="60">
        <v>48.98</v>
      </c>
      <c r="M24" s="60">
        <v>89.91</v>
      </c>
      <c r="N24" s="60">
        <v>14.7</v>
      </c>
      <c r="O24" s="60">
        <v>0</v>
      </c>
      <c r="P24" s="60">
        <v>3.61</v>
      </c>
      <c r="Q24" s="60">
        <v>176.32</v>
      </c>
      <c r="R24" s="197"/>
      <c r="S24" s="197"/>
      <c r="T24" s="197"/>
      <c r="U24" s="197"/>
    </row>
    <row r="25" spans="1:21" s="12" customFormat="1" x14ac:dyDescent="0.25">
      <c r="A25" s="200" t="s">
        <v>1896</v>
      </c>
      <c r="B25" s="60">
        <v>5.78</v>
      </c>
      <c r="C25" s="60">
        <v>10.48</v>
      </c>
      <c r="D25" s="60">
        <v>16.260000000000002</v>
      </c>
      <c r="E25" s="60">
        <v>4.87</v>
      </c>
      <c r="F25" s="60">
        <v>0.11</v>
      </c>
      <c r="G25" s="215" t="s">
        <v>36</v>
      </c>
      <c r="H25" s="60">
        <v>12.65</v>
      </c>
      <c r="I25" s="215" t="s">
        <v>36</v>
      </c>
      <c r="J25" s="60">
        <v>0.09</v>
      </c>
      <c r="K25" s="60">
        <v>41.21</v>
      </c>
      <c r="L25" s="60">
        <v>49.39</v>
      </c>
      <c r="M25" s="60">
        <v>90.22</v>
      </c>
      <c r="N25" s="60">
        <v>14.7</v>
      </c>
      <c r="O25" s="60">
        <v>0</v>
      </c>
      <c r="P25" s="60">
        <v>3.6</v>
      </c>
      <c r="Q25" s="60">
        <v>171.75</v>
      </c>
      <c r="R25" s="197"/>
      <c r="S25" s="197"/>
      <c r="T25" s="197"/>
      <c r="U25" s="197"/>
    </row>
    <row r="26" spans="1:21" s="12" customFormat="1" x14ac:dyDescent="0.25">
      <c r="A26" s="200" t="s">
        <v>1897</v>
      </c>
      <c r="B26" s="60">
        <v>5.69</v>
      </c>
      <c r="C26" s="60">
        <v>10.38</v>
      </c>
      <c r="D26" s="60">
        <v>16.07</v>
      </c>
      <c r="E26" s="60">
        <v>5.95</v>
      </c>
      <c r="F26" s="60">
        <v>0.06</v>
      </c>
      <c r="G26" s="215" t="s">
        <v>36</v>
      </c>
      <c r="H26" s="60">
        <v>10.46</v>
      </c>
      <c r="I26" s="215" t="s">
        <v>36</v>
      </c>
      <c r="J26" s="60">
        <v>0.09</v>
      </c>
      <c r="K26" s="60">
        <v>14.33</v>
      </c>
      <c r="L26" s="60">
        <v>46.33</v>
      </c>
      <c r="M26" s="60">
        <v>90.12</v>
      </c>
      <c r="N26" s="60">
        <v>14.6</v>
      </c>
      <c r="O26" s="60">
        <v>0</v>
      </c>
      <c r="P26" s="60">
        <v>3.6</v>
      </c>
      <c r="Q26" s="60">
        <v>166.56</v>
      </c>
      <c r="R26" s="197"/>
      <c r="S26" s="197"/>
      <c r="T26" s="197"/>
      <c r="U26" s="197"/>
    </row>
    <row r="27" spans="1:21" s="12" customFormat="1" x14ac:dyDescent="0.25">
      <c r="A27" s="200" t="s">
        <v>1898</v>
      </c>
      <c r="B27" s="60">
        <v>6.02</v>
      </c>
      <c r="C27" s="60">
        <v>10.14</v>
      </c>
      <c r="D27" s="60">
        <v>16.16</v>
      </c>
      <c r="E27" s="60">
        <v>5.68</v>
      </c>
      <c r="F27" s="60">
        <v>0.27</v>
      </c>
      <c r="G27" s="215" t="s">
        <v>36</v>
      </c>
      <c r="H27" s="60">
        <v>10.46</v>
      </c>
      <c r="I27" s="215" t="s">
        <v>36</v>
      </c>
      <c r="J27" s="60">
        <v>0.03</v>
      </c>
      <c r="K27" s="60">
        <v>155.18</v>
      </c>
      <c r="L27" s="60">
        <v>38.57</v>
      </c>
      <c r="M27" s="60">
        <v>90.69</v>
      </c>
      <c r="N27" s="60">
        <v>14.7</v>
      </c>
      <c r="O27" s="60">
        <v>0</v>
      </c>
      <c r="P27" s="60">
        <v>3.59</v>
      </c>
      <c r="Q27" s="60">
        <v>163.89</v>
      </c>
      <c r="R27" s="197"/>
      <c r="S27" s="197"/>
      <c r="T27" s="197"/>
      <c r="U27" s="197"/>
    </row>
    <row r="28" spans="1:21" s="12" customFormat="1" x14ac:dyDescent="0.25">
      <c r="A28" s="200" t="s">
        <v>1899</v>
      </c>
      <c r="B28" s="60">
        <v>6.65</v>
      </c>
      <c r="C28" s="60">
        <v>10.68</v>
      </c>
      <c r="D28" s="60">
        <v>17.329999999999998</v>
      </c>
      <c r="E28" s="60">
        <v>5.96</v>
      </c>
      <c r="F28" s="60">
        <v>0.23</v>
      </c>
      <c r="G28" s="215" t="s">
        <v>36</v>
      </c>
      <c r="H28" s="60">
        <v>10.46</v>
      </c>
      <c r="I28" s="215" t="s">
        <v>36</v>
      </c>
      <c r="J28" s="60">
        <v>0.04</v>
      </c>
      <c r="K28" s="60">
        <v>71.7</v>
      </c>
      <c r="L28" s="60">
        <v>40.78</v>
      </c>
      <c r="M28" s="60">
        <v>90.95</v>
      </c>
      <c r="N28" s="60">
        <v>14.7</v>
      </c>
      <c r="O28" s="60">
        <v>0</v>
      </c>
      <c r="P28" s="60">
        <v>3.58</v>
      </c>
      <c r="Q28" s="60">
        <v>158.37</v>
      </c>
      <c r="R28" s="197"/>
      <c r="S28" s="197"/>
      <c r="T28" s="197"/>
      <c r="U28" s="197"/>
    </row>
    <row r="29" spans="1:21" s="12" customFormat="1" x14ac:dyDescent="0.25">
      <c r="A29" s="200" t="s">
        <v>1900</v>
      </c>
      <c r="B29" s="60">
        <v>6.68</v>
      </c>
      <c r="C29" s="60">
        <v>10.79</v>
      </c>
      <c r="D29" s="60">
        <v>17.47</v>
      </c>
      <c r="E29" s="60">
        <v>5.84</v>
      </c>
      <c r="F29" s="60">
        <v>7.0000000000000007E-2</v>
      </c>
      <c r="G29" s="215" t="s">
        <v>36</v>
      </c>
      <c r="H29" s="60">
        <v>10.09</v>
      </c>
      <c r="I29" s="215" t="s">
        <v>36</v>
      </c>
      <c r="J29" s="60">
        <v>7.0000000000000007E-2</v>
      </c>
      <c r="K29" s="60">
        <v>2.93</v>
      </c>
      <c r="L29" s="60">
        <v>44.78</v>
      </c>
      <c r="M29" s="60">
        <v>91.38</v>
      </c>
      <c r="N29" s="60">
        <v>14.8</v>
      </c>
      <c r="O29" s="60">
        <v>0</v>
      </c>
      <c r="P29" s="60">
        <v>3.58</v>
      </c>
      <c r="Q29" s="60">
        <v>151.82</v>
      </c>
      <c r="R29" s="197"/>
      <c r="S29" s="197"/>
      <c r="T29" s="197"/>
      <c r="U29" s="197"/>
    </row>
    <row r="30" spans="1:21" s="12" customFormat="1" x14ac:dyDescent="0.25">
      <c r="A30" s="200" t="s">
        <v>1901</v>
      </c>
      <c r="B30" s="60">
        <v>6.53</v>
      </c>
      <c r="C30" s="60">
        <v>10.87</v>
      </c>
      <c r="D30" s="60">
        <v>17.399999999999999</v>
      </c>
      <c r="E30" s="60">
        <v>5.82</v>
      </c>
      <c r="F30" s="60">
        <v>0.08</v>
      </c>
      <c r="G30" s="215" t="s">
        <v>36</v>
      </c>
      <c r="H30" s="60">
        <v>9.1999999999999993</v>
      </c>
      <c r="I30" s="215" t="s">
        <v>36</v>
      </c>
      <c r="J30" s="60">
        <v>0.05</v>
      </c>
      <c r="K30" s="60">
        <v>338.07</v>
      </c>
      <c r="L30" s="60">
        <v>44.82</v>
      </c>
      <c r="M30" s="60">
        <v>91.81</v>
      </c>
      <c r="N30" s="60">
        <v>14.8</v>
      </c>
      <c r="O30" s="60">
        <v>0</v>
      </c>
      <c r="P30" s="60">
        <v>3.58</v>
      </c>
      <c r="Q30" s="60">
        <v>146.4</v>
      </c>
      <c r="R30" s="197"/>
      <c r="S30" s="197"/>
      <c r="T30" s="197"/>
      <c r="U30" s="197"/>
    </row>
    <row r="31" spans="1:21" s="12" customFormat="1" x14ac:dyDescent="0.25">
      <c r="A31" s="200" t="s">
        <v>1902</v>
      </c>
      <c r="B31" s="60">
        <v>6.34</v>
      </c>
      <c r="C31" s="60">
        <v>10.65</v>
      </c>
      <c r="D31" s="60">
        <v>16.989999999999998</v>
      </c>
      <c r="E31" s="60">
        <v>5.82</v>
      </c>
      <c r="F31" s="60">
        <v>0.06</v>
      </c>
      <c r="G31" s="215" t="s">
        <v>36</v>
      </c>
      <c r="H31" s="60">
        <v>9.1999999999999993</v>
      </c>
      <c r="I31" s="215" t="s">
        <v>36</v>
      </c>
      <c r="J31" s="60">
        <v>0.05</v>
      </c>
      <c r="K31" s="60">
        <v>339.85</v>
      </c>
      <c r="L31" s="60">
        <v>45.1</v>
      </c>
      <c r="M31" s="60">
        <v>92.02</v>
      </c>
      <c r="N31" s="60">
        <v>16.399999999999999</v>
      </c>
      <c r="O31" s="60">
        <v>0</v>
      </c>
      <c r="P31" s="60">
        <v>3.56</v>
      </c>
      <c r="Q31" s="60">
        <v>140.55000000000001</v>
      </c>
      <c r="R31" s="197"/>
      <c r="S31" s="197"/>
      <c r="T31" s="197"/>
      <c r="U31" s="197"/>
    </row>
    <row r="32" spans="1:21" s="12" customFormat="1" x14ac:dyDescent="0.25">
      <c r="A32" s="200" t="s">
        <v>1903</v>
      </c>
      <c r="B32" s="60">
        <v>6.45</v>
      </c>
      <c r="C32" s="60">
        <v>10.7</v>
      </c>
      <c r="D32" s="60">
        <v>17.149999999999999</v>
      </c>
      <c r="E32" s="60">
        <v>5.67</v>
      </c>
      <c r="F32" s="60">
        <v>0.17</v>
      </c>
      <c r="G32" s="215" t="s">
        <v>36</v>
      </c>
      <c r="H32" s="60">
        <v>9.1999999999999993</v>
      </c>
      <c r="I32" s="215" t="s">
        <v>36</v>
      </c>
      <c r="J32" s="60">
        <v>0.02</v>
      </c>
      <c r="K32" s="60">
        <v>49.89</v>
      </c>
      <c r="L32" s="60">
        <v>44.32</v>
      </c>
      <c r="M32" s="60">
        <v>92.13</v>
      </c>
      <c r="N32" s="60">
        <v>24.4</v>
      </c>
      <c r="O32" s="60">
        <v>0</v>
      </c>
      <c r="P32" s="60">
        <v>3.55</v>
      </c>
      <c r="Q32" s="60">
        <v>132.83000000000001</v>
      </c>
      <c r="R32" s="197"/>
      <c r="S32" s="197"/>
      <c r="T32" s="197"/>
      <c r="U32" s="197"/>
    </row>
    <row r="33" spans="1:21" s="12" customFormat="1" x14ac:dyDescent="0.25">
      <c r="A33" s="200" t="s">
        <v>1904</v>
      </c>
      <c r="B33" s="60">
        <v>6.58</v>
      </c>
      <c r="C33" s="60">
        <v>10.9</v>
      </c>
      <c r="D33" s="60">
        <v>17.48</v>
      </c>
      <c r="E33" s="60">
        <v>5.59</v>
      </c>
      <c r="F33" s="60">
        <v>0.24</v>
      </c>
      <c r="G33" s="215" t="s">
        <v>36</v>
      </c>
      <c r="H33" s="60">
        <v>9.64</v>
      </c>
      <c r="I33" s="215" t="s">
        <v>36</v>
      </c>
      <c r="J33" s="60">
        <v>0.08</v>
      </c>
      <c r="K33" s="60">
        <v>39.119999999999997</v>
      </c>
      <c r="L33" s="60">
        <v>43.25</v>
      </c>
      <c r="M33" s="60">
        <v>92.23</v>
      </c>
      <c r="N33" s="60">
        <v>36.200000000000003</v>
      </c>
      <c r="O33" s="60">
        <v>0</v>
      </c>
      <c r="P33" s="60">
        <v>3.56</v>
      </c>
      <c r="Q33" s="60">
        <v>124.74</v>
      </c>
      <c r="R33" s="197"/>
      <c r="S33" s="197"/>
      <c r="T33" s="197"/>
      <c r="U33" s="197"/>
    </row>
    <row r="34" spans="1:21" s="12" customFormat="1" x14ac:dyDescent="0.25">
      <c r="A34" s="200" t="s">
        <v>1905</v>
      </c>
      <c r="B34" s="60">
        <v>7.27</v>
      </c>
      <c r="C34" s="60">
        <v>11.09</v>
      </c>
      <c r="D34" s="60">
        <v>18.36</v>
      </c>
      <c r="E34" s="60">
        <v>5.75</v>
      </c>
      <c r="F34" s="60">
        <v>7.0000000000000007E-2</v>
      </c>
      <c r="G34" s="215" t="s">
        <v>36</v>
      </c>
      <c r="H34" s="60">
        <v>10.72</v>
      </c>
      <c r="I34" s="215" t="s">
        <v>36</v>
      </c>
      <c r="J34" s="60">
        <v>0.13</v>
      </c>
      <c r="K34" s="60">
        <v>47.47</v>
      </c>
      <c r="L34" s="60">
        <v>37.450000000000003</v>
      </c>
      <c r="M34" s="60">
        <v>91.88</v>
      </c>
      <c r="N34" s="60">
        <v>56.4</v>
      </c>
      <c r="O34" s="60">
        <v>0</v>
      </c>
      <c r="P34" s="60">
        <v>3.56</v>
      </c>
      <c r="Q34" s="60">
        <v>117.99</v>
      </c>
      <c r="R34" s="197"/>
      <c r="S34" s="197"/>
      <c r="T34" s="197"/>
      <c r="U34" s="197"/>
    </row>
    <row r="35" spans="1:21" s="12" customFormat="1" x14ac:dyDescent="0.25">
      <c r="A35" s="200" t="s">
        <v>1906</v>
      </c>
      <c r="B35" s="60">
        <v>8.27</v>
      </c>
      <c r="C35" s="60">
        <v>11.43</v>
      </c>
      <c r="D35" s="60">
        <v>19.7</v>
      </c>
      <c r="E35" s="60">
        <v>5.0999999999999996</v>
      </c>
      <c r="F35" s="60">
        <v>0.1</v>
      </c>
      <c r="G35" s="215" t="s">
        <v>36</v>
      </c>
      <c r="H35" s="60">
        <v>10.72</v>
      </c>
      <c r="I35" s="215" t="s">
        <v>36</v>
      </c>
      <c r="J35" s="216" t="s">
        <v>49</v>
      </c>
      <c r="K35" s="60">
        <v>187.88</v>
      </c>
      <c r="L35" s="60">
        <v>42.51</v>
      </c>
      <c r="M35" s="60">
        <v>91.62</v>
      </c>
      <c r="N35" s="60">
        <v>78.8</v>
      </c>
      <c r="O35" s="60">
        <v>0</v>
      </c>
      <c r="P35" s="60">
        <v>3.57</v>
      </c>
      <c r="Q35" s="60">
        <v>111.85</v>
      </c>
      <c r="R35" s="197"/>
      <c r="S35" s="197"/>
      <c r="T35" s="197"/>
      <c r="U35" s="197"/>
    </row>
    <row r="36" spans="1:21" s="12" customFormat="1" x14ac:dyDescent="0.25">
      <c r="A36" s="200" t="s">
        <v>1907</v>
      </c>
      <c r="B36" s="60">
        <v>9.3800000000000008</v>
      </c>
      <c r="C36" s="60">
        <v>11.8</v>
      </c>
      <c r="D36" s="60">
        <v>21.18</v>
      </c>
      <c r="E36" s="60">
        <v>5.01</v>
      </c>
      <c r="F36" s="60">
        <v>0.06</v>
      </c>
      <c r="G36" s="215" t="s">
        <v>36</v>
      </c>
      <c r="H36" s="60">
        <v>10.72</v>
      </c>
      <c r="I36" s="215" t="s">
        <v>36</v>
      </c>
      <c r="J36" s="60">
        <v>0.02</v>
      </c>
      <c r="K36" s="60">
        <v>276.08</v>
      </c>
      <c r="L36" s="60">
        <v>40.75</v>
      </c>
      <c r="M36" s="60">
        <v>90.78</v>
      </c>
      <c r="N36" s="60">
        <v>121.3</v>
      </c>
      <c r="O36" s="60">
        <v>0</v>
      </c>
      <c r="P36" s="60">
        <v>3.58</v>
      </c>
      <c r="Q36" s="60">
        <v>106.04</v>
      </c>
      <c r="R36" s="197"/>
      <c r="S36" s="197"/>
      <c r="T36" s="197"/>
      <c r="U36" s="197"/>
    </row>
    <row r="37" spans="1:21" s="12" customFormat="1" x14ac:dyDescent="0.25">
      <c r="A37" s="200" t="s">
        <v>1908</v>
      </c>
      <c r="B37" s="60">
        <v>10.49</v>
      </c>
      <c r="C37" s="60">
        <v>12.05</v>
      </c>
      <c r="D37" s="60">
        <v>22.53</v>
      </c>
      <c r="E37" s="60">
        <v>4.96</v>
      </c>
      <c r="F37" s="60">
        <v>0.14000000000000001</v>
      </c>
      <c r="G37" s="215" t="s">
        <v>36</v>
      </c>
      <c r="H37" s="60">
        <v>10.23</v>
      </c>
      <c r="I37" s="215" t="s">
        <v>36</v>
      </c>
      <c r="J37" s="60">
        <v>0.13</v>
      </c>
      <c r="K37" s="60">
        <v>21.92</v>
      </c>
      <c r="L37" s="60">
        <v>41.48</v>
      </c>
      <c r="M37" s="60">
        <v>87.88</v>
      </c>
      <c r="N37" s="60">
        <v>175.8</v>
      </c>
      <c r="O37" s="60">
        <v>0</v>
      </c>
      <c r="P37" s="60">
        <v>3.6</v>
      </c>
      <c r="Q37" s="60">
        <v>101.67</v>
      </c>
      <c r="R37" s="197"/>
      <c r="S37" s="197"/>
      <c r="T37" s="197"/>
      <c r="U37" s="197"/>
    </row>
    <row r="38" spans="1:21" s="12" customFormat="1" x14ac:dyDescent="0.25">
      <c r="A38" s="200" t="s">
        <v>1909</v>
      </c>
      <c r="B38" s="60">
        <v>11.23</v>
      </c>
      <c r="C38" s="60">
        <v>12.46</v>
      </c>
      <c r="D38" s="60">
        <v>23.69</v>
      </c>
      <c r="E38" s="60">
        <v>5.53</v>
      </c>
      <c r="F38" s="60">
        <v>0.15</v>
      </c>
      <c r="G38" s="215" t="s">
        <v>36</v>
      </c>
      <c r="H38" s="60">
        <v>9.02</v>
      </c>
      <c r="I38" s="215" t="s">
        <v>36</v>
      </c>
      <c r="J38" s="60">
        <v>0.12</v>
      </c>
      <c r="K38" s="60">
        <v>12.73</v>
      </c>
      <c r="L38" s="60">
        <v>37.1</v>
      </c>
      <c r="M38" s="60">
        <v>85.77</v>
      </c>
      <c r="N38" s="60">
        <v>235</v>
      </c>
      <c r="O38" s="60">
        <v>0</v>
      </c>
      <c r="P38" s="60">
        <v>3.61</v>
      </c>
      <c r="Q38" s="60">
        <v>97.39</v>
      </c>
      <c r="R38" s="197"/>
      <c r="S38" s="197"/>
      <c r="T38" s="197"/>
      <c r="U38" s="197"/>
    </row>
    <row r="39" spans="1:21" s="12" customFormat="1" x14ac:dyDescent="0.25">
      <c r="A39" s="200" t="s">
        <v>1910</v>
      </c>
      <c r="B39" s="60">
        <v>11.19</v>
      </c>
      <c r="C39" s="60">
        <v>12.84</v>
      </c>
      <c r="D39" s="60">
        <v>24.04</v>
      </c>
      <c r="E39" s="60">
        <v>4.82</v>
      </c>
      <c r="F39" s="60">
        <v>0.14000000000000001</v>
      </c>
      <c r="G39" s="215" t="s">
        <v>36</v>
      </c>
      <c r="H39" s="60">
        <v>9.02</v>
      </c>
      <c r="I39" s="215" t="s">
        <v>36</v>
      </c>
      <c r="J39" s="60">
        <v>0.2</v>
      </c>
      <c r="K39" s="60">
        <v>9.91</v>
      </c>
      <c r="L39" s="60">
        <v>45.76</v>
      </c>
      <c r="M39" s="60">
        <v>81.34</v>
      </c>
      <c r="N39" s="60">
        <v>306.7</v>
      </c>
      <c r="O39" s="60">
        <v>0</v>
      </c>
      <c r="P39" s="60">
        <v>3.62</v>
      </c>
      <c r="Q39" s="60">
        <v>92.17</v>
      </c>
      <c r="R39" s="197"/>
      <c r="S39" s="197"/>
      <c r="T39" s="197"/>
      <c r="U39" s="197"/>
    </row>
    <row r="40" spans="1:21" s="12" customFormat="1" x14ac:dyDescent="0.25">
      <c r="A40" s="200" t="s">
        <v>1911</v>
      </c>
      <c r="B40" s="60">
        <v>11.42</v>
      </c>
      <c r="C40" s="60">
        <v>12.82</v>
      </c>
      <c r="D40" s="60">
        <v>24.24</v>
      </c>
      <c r="E40" s="60">
        <v>2.81</v>
      </c>
      <c r="F40" s="60">
        <v>0.31</v>
      </c>
      <c r="G40" s="215" t="s">
        <v>36</v>
      </c>
      <c r="H40" s="60">
        <v>9.02</v>
      </c>
      <c r="I40" s="215" t="s">
        <v>36</v>
      </c>
      <c r="J40" s="60">
        <v>0.16</v>
      </c>
      <c r="K40" s="60">
        <v>342.75</v>
      </c>
      <c r="L40" s="60">
        <v>46.53</v>
      </c>
      <c r="M40" s="60">
        <v>77.39</v>
      </c>
      <c r="N40" s="60">
        <v>390.3</v>
      </c>
      <c r="O40" s="60">
        <v>0</v>
      </c>
      <c r="P40" s="60">
        <v>3.64</v>
      </c>
      <c r="Q40" s="60">
        <v>89.33</v>
      </c>
      <c r="R40" s="197"/>
      <c r="S40" s="197"/>
      <c r="T40" s="197"/>
      <c r="U40" s="197"/>
    </row>
    <row r="41" spans="1:21" s="12" customFormat="1" x14ac:dyDescent="0.25">
      <c r="A41" s="200" t="s">
        <v>1912</v>
      </c>
      <c r="B41" s="60">
        <v>11.57</v>
      </c>
      <c r="C41" s="60">
        <v>13.29</v>
      </c>
      <c r="D41" s="60">
        <v>24.87</v>
      </c>
      <c r="E41" s="60">
        <v>4.53</v>
      </c>
      <c r="F41" s="60">
        <v>0.05</v>
      </c>
      <c r="G41" s="215" t="s">
        <v>36</v>
      </c>
      <c r="H41" s="60">
        <v>9.9</v>
      </c>
      <c r="I41" s="215" t="s">
        <v>36</v>
      </c>
      <c r="J41" s="60">
        <v>0.32</v>
      </c>
      <c r="K41" s="60">
        <v>335.63</v>
      </c>
      <c r="L41" s="10" t="s">
        <v>43</v>
      </c>
      <c r="M41" s="60">
        <v>73.14</v>
      </c>
      <c r="N41" s="60">
        <v>448.5</v>
      </c>
      <c r="O41" s="60">
        <v>0</v>
      </c>
      <c r="P41" s="60">
        <v>3.66</v>
      </c>
      <c r="Q41" s="60">
        <v>84.15</v>
      </c>
      <c r="R41" s="197"/>
      <c r="S41" s="197"/>
      <c r="T41" s="197"/>
      <c r="U41" s="197"/>
    </row>
    <row r="42" spans="1:21" s="12" customFormat="1" x14ac:dyDescent="0.25">
      <c r="A42" s="200" t="s">
        <v>1913</v>
      </c>
      <c r="B42" s="60">
        <v>11.91</v>
      </c>
      <c r="C42" s="60">
        <v>13.68</v>
      </c>
      <c r="D42" s="60">
        <v>25.59</v>
      </c>
      <c r="E42" s="60">
        <v>5.21</v>
      </c>
      <c r="F42" s="60">
        <v>0.06</v>
      </c>
      <c r="G42" s="215" t="s">
        <v>36</v>
      </c>
      <c r="H42" s="60">
        <v>12.08</v>
      </c>
      <c r="I42" s="215" t="s">
        <v>36</v>
      </c>
      <c r="J42" s="60">
        <v>0.28999999999999998</v>
      </c>
      <c r="K42" s="60">
        <v>353.36</v>
      </c>
      <c r="L42" s="10" t="s">
        <v>43</v>
      </c>
      <c r="M42" s="60">
        <v>67.97</v>
      </c>
      <c r="N42" s="60">
        <v>519.29999999999995</v>
      </c>
      <c r="O42" s="60">
        <v>0</v>
      </c>
      <c r="P42" s="60">
        <v>3.69</v>
      </c>
      <c r="Q42" s="60">
        <v>79.790000000000006</v>
      </c>
      <c r="R42" s="197"/>
      <c r="S42" s="197"/>
      <c r="T42" s="197"/>
      <c r="U42" s="197"/>
    </row>
    <row r="43" spans="1:21" s="12" customFormat="1" x14ac:dyDescent="0.25">
      <c r="A43" s="200" t="s">
        <v>1914</v>
      </c>
      <c r="B43" s="60">
        <v>11.86</v>
      </c>
      <c r="C43" s="60">
        <v>13.93</v>
      </c>
      <c r="D43" s="60">
        <v>25.79</v>
      </c>
      <c r="E43" s="60">
        <v>5.45</v>
      </c>
      <c r="F43" s="60">
        <v>0.64</v>
      </c>
      <c r="G43" s="215" t="s">
        <v>36</v>
      </c>
      <c r="H43" s="60">
        <v>12.08</v>
      </c>
      <c r="I43" s="215" t="s">
        <v>36</v>
      </c>
      <c r="J43" s="60">
        <v>0.28000000000000003</v>
      </c>
      <c r="K43" s="60">
        <v>347.85</v>
      </c>
      <c r="L43" s="10" t="s">
        <v>43</v>
      </c>
      <c r="M43" s="60">
        <v>67.59</v>
      </c>
      <c r="N43" s="60">
        <v>434.4</v>
      </c>
      <c r="O43" s="60">
        <v>0</v>
      </c>
      <c r="P43" s="60">
        <v>3.69</v>
      </c>
      <c r="Q43" s="60">
        <v>76.78</v>
      </c>
      <c r="R43" s="197"/>
      <c r="S43" s="197"/>
      <c r="T43" s="197"/>
      <c r="U43" s="197"/>
    </row>
    <row r="44" spans="1:21" s="12" customFormat="1" x14ac:dyDescent="0.25">
      <c r="A44" s="200" t="s">
        <v>1915</v>
      </c>
      <c r="B44" s="60">
        <v>11.34</v>
      </c>
      <c r="C44" s="60">
        <v>15.42</v>
      </c>
      <c r="D44" s="60">
        <v>26.75</v>
      </c>
      <c r="E44" s="60">
        <v>5.25</v>
      </c>
      <c r="F44" s="60">
        <v>0.04</v>
      </c>
      <c r="G44" s="215" t="s">
        <v>36</v>
      </c>
      <c r="H44" s="60">
        <v>12.08</v>
      </c>
      <c r="I44" s="215" t="s">
        <v>36</v>
      </c>
      <c r="J44" s="60">
        <v>0.28999999999999998</v>
      </c>
      <c r="K44" s="60">
        <v>342.07</v>
      </c>
      <c r="L44" s="10" t="s">
        <v>43</v>
      </c>
      <c r="M44" s="60">
        <v>68.209999999999994</v>
      </c>
      <c r="N44" s="60">
        <v>398.7</v>
      </c>
      <c r="O44" s="60">
        <v>0</v>
      </c>
      <c r="P44" s="60">
        <v>3.72</v>
      </c>
      <c r="Q44" s="60">
        <v>69.05</v>
      </c>
      <c r="R44" s="197"/>
      <c r="S44" s="197"/>
      <c r="T44" s="197"/>
      <c r="U44" s="197"/>
    </row>
    <row r="45" spans="1:21" s="12" customFormat="1" x14ac:dyDescent="0.25">
      <c r="A45" s="200" t="s">
        <v>1916</v>
      </c>
      <c r="B45" s="60">
        <v>11.19</v>
      </c>
      <c r="C45" s="60">
        <v>15.66</v>
      </c>
      <c r="D45" s="60">
        <v>26.85</v>
      </c>
      <c r="E45" s="60">
        <v>4.93</v>
      </c>
      <c r="F45" s="60">
        <v>0.38</v>
      </c>
      <c r="G45" s="215" t="s">
        <v>36</v>
      </c>
      <c r="H45" s="60">
        <v>11.75</v>
      </c>
      <c r="I45" s="215" t="s">
        <v>36</v>
      </c>
      <c r="J45" s="60">
        <v>0.6</v>
      </c>
      <c r="K45" s="60">
        <v>315.77999999999997</v>
      </c>
      <c r="L45" s="10" t="s">
        <v>43</v>
      </c>
      <c r="M45" s="60">
        <v>66.62</v>
      </c>
      <c r="N45" s="60">
        <v>511.5</v>
      </c>
      <c r="O45" s="60">
        <v>0</v>
      </c>
      <c r="P45" s="60">
        <v>3.7</v>
      </c>
      <c r="Q45" s="60">
        <v>66.19</v>
      </c>
      <c r="R45" s="197"/>
      <c r="S45" s="197"/>
      <c r="T45" s="197"/>
      <c r="U45" s="197"/>
    </row>
    <row r="46" spans="1:21" s="12" customFormat="1" x14ac:dyDescent="0.25">
      <c r="A46" s="200" t="s">
        <v>1917</v>
      </c>
      <c r="B46" s="60">
        <v>11.07</v>
      </c>
      <c r="C46" s="60">
        <v>15.98</v>
      </c>
      <c r="D46" s="60">
        <v>27.04</v>
      </c>
      <c r="E46" s="60">
        <v>4.8899999999999997</v>
      </c>
      <c r="F46" s="60">
        <v>0.35</v>
      </c>
      <c r="G46" s="215" t="s">
        <v>36</v>
      </c>
      <c r="H46" s="60">
        <v>10.95</v>
      </c>
      <c r="I46" s="215" t="s">
        <v>36</v>
      </c>
      <c r="J46" s="60">
        <v>0.79</v>
      </c>
      <c r="K46" s="60">
        <v>312.97000000000003</v>
      </c>
      <c r="L46" s="10" t="s">
        <v>43</v>
      </c>
      <c r="M46" s="60">
        <v>64.86</v>
      </c>
      <c r="N46" s="60">
        <v>424.8</v>
      </c>
      <c r="O46" s="60">
        <v>0</v>
      </c>
      <c r="P46" s="60">
        <v>3.7</v>
      </c>
      <c r="Q46" s="60">
        <v>61.65</v>
      </c>
      <c r="R46" s="197"/>
      <c r="S46" s="197"/>
      <c r="T46" s="197"/>
      <c r="U46" s="197"/>
    </row>
    <row r="47" spans="1:21" s="12" customFormat="1" x14ac:dyDescent="0.25">
      <c r="A47" s="200" t="s">
        <v>1918</v>
      </c>
      <c r="B47" s="60">
        <v>10.41</v>
      </c>
      <c r="C47" s="60">
        <v>16.34</v>
      </c>
      <c r="D47" s="60">
        <v>26.74</v>
      </c>
      <c r="E47" s="60">
        <v>5.03</v>
      </c>
      <c r="F47" s="60">
        <v>0.35</v>
      </c>
      <c r="G47" s="215" t="s">
        <v>36</v>
      </c>
      <c r="H47" s="60">
        <v>10.95</v>
      </c>
      <c r="I47" s="215" t="s">
        <v>36</v>
      </c>
      <c r="J47" s="60">
        <v>0.7</v>
      </c>
      <c r="K47" s="60">
        <v>315.14999999999998</v>
      </c>
      <c r="L47" s="10" t="s">
        <v>43</v>
      </c>
      <c r="M47" s="60">
        <v>64.42</v>
      </c>
      <c r="N47" s="60">
        <v>626.9</v>
      </c>
      <c r="O47" s="60">
        <v>0</v>
      </c>
      <c r="P47" s="60">
        <v>3.72</v>
      </c>
      <c r="Q47" s="60">
        <v>57.14</v>
      </c>
      <c r="R47" s="197"/>
      <c r="S47" s="197"/>
      <c r="T47" s="197"/>
      <c r="U47" s="197"/>
    </row>
    <row r="48" spans="1:21" s="12" customFormat="1" x14ac:dyDescent="0.25">
      <c r="A48" s="200" t="s">
        <v>1919</v>
      </c>
      <c r="B48" s="60">
        <v>9.11</v>
      </c>
      <c r="C48" s="60">
        <v>16.79</v>
      </c>
      <c r="D48" s="60">
        <v>25.89</v>
      </c>
      <c r="E48" s="60">
        <v>4.8899999999999997</v>
      </c>
      <c r="F48" s="60">
        <v>0.45</v>
      </c>
      <c r="G48" s="215" t="s">
        <v>36</v>
      </c>
      <c r="H48" s="60">
        <v>10.95</v>
      </c>
      <c r="I48" s="215" t="s">
        <v>36</v>
      </c>
      <c r="J48" s="60">
        <v>0.65</v>
      </c>
      <c r="K48" s="60">
        <v>319.32</v>
      </c>
      <c r="L48" s="10" t="s">
        <v>43</v>
      </c>
      <c r="M48" s="60">
        <v>61.08</v>
      </c>
      <c r="N48" s="60">
        <v>773.5</v>
      </c>
      <c r="O48" s="60">
        <v>0</v>
      </c>
      <c r="P48" s="60">
        <v>3.71</v>
      </c>
      <c r="Q48" s="60">
        <v>52.38</v>
      </c>
      <c r="R48" s="197"/>
      <c r="S48" s="197"/>
      <c r="T48" s="197"/>
      <c r="U48" s="197"/>
    </row>
    <row r="49" spans="1:21" s="12" customFormat="1" x14ac:dyDescent="0.25">
      <c r="A49" s="200" t="s">
        <v>1920</v>
      </c>
      <c r="B49" s="60">
        <v>7.55</v>
      </c>
      <c r="C49" s="60">
        <v>17.190000000000001</v>
      </c>
      <c r="D49" s="60">
        <v>24.74</v>
      </c>
      <c r="E49" s="60">
        <v>4.46</v>
      </c>
      <c r="F49" s="60">
        <v>0.64</v>
      </c>
      <c r="G49" s="215" t="s">
        <v>36</v>
      </c>
      <c r="H49" s="60">
        <v>12.38</v>
      </c>
      <c r="I49" s="215" t="s">
        <v>36</v>
      </c>
      <c r="J49" s="60">
        <v>0.35</v>
      </c>
      <c r="K49" s="60">
        <v>334.27</v>
      </c>
      <c r="L49" s="10" t="s">
        <v>43</v>
      </c>
      <c r="M49" s="60">
        <v>59.26</v>
      </c>
      <c r="N49" s="60">
        <v>784.9</v>
      </c>
      <c r="O49" s="60">
        <v>0</v>
      </c>
      <c r="P49" s="60">
        <v>3.71</v>
      </c>
      <c r="Q49" s="60">
        <v>47.33</v>
      </c>
      <c r="R49" s="197"/>
      <c r="S49" s="197"/>
      <c r="T49" s="197"/>
      <c r="U49" s="197"/>
    </row>
    <row r="50" spans="1:21" s="12" customFormat="1" x14ac:dyDescent="0.25">
      <c r="A50" s="200" t="s">
        <v>1921</v>
      </c>
      <c r="B50" s="60">
        <v>6.4</v>
      </c>
      <c r="C50" s="60">
        <v>17.579999999999998</v>
      </c>
      <c r="D50" s="60">
        <v>23.98</v>
      </c>
      <c r="E50" s="60">
        <v>4.21</v>
      </c>
      <c r="F50" s="60">
        <v>0.6</v>
      </c>
      <c r="G50" s="215" t="s">
        <v>36</v>
      </c>
      <c r="H50" s="60">
        <v>15.9</v>
      </c>
      <c r="I50" s="215" t="s">
        <v>36</v>
      </c>
      <c r="J50" s="60">
        <v>0.87</v>
      </c>
      <c r="K50" s="60">
        <v>319.10000000000002</v>
      </c>
      <c r="L50" s="10" t="s">
        <v>43</v>
      </c>
      <c r="M50" s="60">
        <v>59.08</v>
      </c>
      <c r="N50" s="60">
        <v>821.8</v>
      </c>
      <c r="O50" s="60">
        <v>0</v>
      </c>
      <c r="P50" s="60">
        <v>3.71</v>
      </c>
      <c r="Q50" s="60">
        <v>42.43</v>
      </c>
      <c r="R50" s="197"/>
      <c r="S50" s="197"/>
      <c r="T50" s="197"/>
      <c r="U50" s="197"/>
    </row>
    <row r="51" spans="1:21" s="12" customFormat="1" x14ac:dyDescent="0.25">
      <c r="A51" s="200" t="s">
        <v>1922</v>
      </c>
      <c r="B51" s="60">
        <v>5.98</v>
      </c>
      <c r="C51" s="60">
        <v>17.73</v>
      </c>
      <c r="D51" s="60">
        <v>23.71</v>
      </c>
      <c r="E51" s="60">
        <v>4</v>
      </c>
      <c r="F51" s="60">
        <v>0.57999999999999996</v>
      </c>
      <c r="G51" s="215" t="s">
        <v>36</v>
      </c>
      <c r="H51" s="60">
        <v>15.9</v>
      </c>
      <c r="I51" s="215" t="s">
        <v>36</v>
      </c>
      <c r="J51" s="60">
        <v>0.84</v>
      </c>
      <c r="K51" s="60">
        <v>319.55</v>
      </c>
      <c r="L51" s="10" t="s">
        <v>43</v>
      </c>
      <c r="M51" s="60">
        <v>58.12</v>
      </c>
      <c r="N51" s="60">
        <v>783.6</v>
      </c>
      <c r="O51" s="60">
        <v>0</v>
      </c>
      <c r="P51" s="60">
        <v>3.74</v>
      </c>
      <c r="Q51" s="60">
        <v>39.299999999999997</v>
      </c>
      <c r="R51" s="197"/>
      <c r="S51" s="197"/>
      <c r="T51" s="197"/>
      <c r="U51" s="197"/>
    </row>
    <row r="52" spans="1:21" s="12" customFormat="1" x14ac:dyDescent="0.25">
      <c r="A52" s="200" t="s">
        <v>1923</v>
      </c>
      <c r="B52" s="60">
        <v>5.53</v>
      </c>
      <c r="C52" s="60">
        <v>17.559999999999999</v>
      </c>
      <c r="D52" s="60">
        <v>23.09</v>
      </c>
      <c r="E52" s="60">
        <v>4.09</v>
      </c>
      <c r="F52" s="60">
        <v>1.17</v>
      </c>
      <c r="G52" s="215" t="s">
        <v>36</v>
      </c>
      <c r="H52" s="60">
        <v>15.9</v>
      </c>
      <c r="I52" s="215" t="s">
        <v>36</v>
      </c>
      <c r="J52" s="60">
        <v>0.95</v>
      </c>
      <c r="K52" s="60">
        <v>315.44</v>
      </c>
      <c r="L52" s="60">
        <v>45.89</v>
      </c>
      <c r="M52" s="60">
        <v>58.41</v>
      </c>
      <c r="N52" s="60">
        <v>760.8</v>
      </c>
      <c r="O52" s="60">
        <v>0</v>
      </c>
      <c r="P52" s="60">
        <v>3.73</v>
      </c>
      <c r="Q52" s="60">
        <v>37.17</v>
      </c>
      <c r="R52" s="197"/>
      <c r="S52" s="197"/>
      <c r="T52" s="197"/>
      <c r="U52" s="197"/>
    </row>
    <row r="53" spans="1:21" s="12" customFormat="1" x14ac:dyDescent="0.25">
      <c r="A53" s="200" t="s">
        <v>1924</v>
      </c>
      <c r="B53" s="60">
        <v>4.75</v>
      </c>
      <c r="C53" s="60">
        <v>18.78</v>
      </c>
      <c r="D53" s="60">
        <v>23.53</v>
      </c>
      <c r="E53" s="60">
        <v>3.38</v>
      </c>
      <c r="F53" s="60">
        <v>2.23</v>
      </c>
      <c r="G53" s="215" t="s">
        <v>36</v>
      </c>
      <c r="H53" s="60">
        <v>14.71</v>
      </c>
      <c r="I53" s="215" t="s">
        <v>36</v>
      </c>
      <c r="J53" s="60">
        <v>1.44</v>
      </c>
      <c r="K53" s="60">
        <v>311.73</v>
      </c>
      <c r="L53" s="10" t="s">
        <v>43</v>
      </c>
      <c r="M53" s="60">
        <v>57.29</v>
      </c>
      <c r="N53" s="60">
        <v>894.7</v>
      </c>
      <c r="O53" s="60">
        <v>0</v>
      </c>
      <c r="P53" s="60">
        <v>3.7</v>
      </c>
      <c r="Q53" s="60">
        <v>30.85</v>
      </c>
      <c r="R53" s="197"/>
      <c r="S53" s="197"/>
      <c r="T53" s="197"/>
      <c r="U53" s="197"/>
    </row>
    <row r="54" spans="1:21" s="12" customFormat="1" x14ac:dyDescent="0.25">
      <c r="A54" s="200" t="s">
        <v>1925</v>
      </c>
      <c r="B54" s="60">
        <v>3.74</v>
      </c>
      <c r="C54" s="60">
        <v>20.11</v>
      </c>
      <c r="D54" s="60">
        <v>23.85</v>
      </c>
      <c r="E54" s="60">
        <v>2.83</v>
      </c>
      <c r="F54" s="60">
        <v>2.04</v>
      </c>
      <c r="G54" s="215" t="s">
        <v>36</v>
      </c>
      <c r="H54" s="60">
        <v>11.78</v>
      </c>
      <c r="I54" s="215" t="s">
        <v>36</v>
      </c>
      <c r="J54" s="60">
        <v>0.9</v>
      </c>
      <c r="K54" s="60">
        <v>320.68</v>
      </c>
      <c r="L54" s="10" t="s">
        <v>43</v>
      </c>
      <c r="M54" s="60">
        <v>58.08</v>
      </c>
      <c r="N54" s="60">
        <v>763.1</v>
      </c>
      <c r="O54" s="60">
        <v>0</v>
      </c>
      <c r="P54" s="60">
        <v>3.69</v>
      </c>
      <c r="Q54" s="60">
        <v>23.99</v>
      </c>
      <c r="R54" s="197"/>
      <c r="S54" s="197"/>
      <c r="T54" s="197"/>
      <c r="U54" s="197"/>
    </row>
    <row r="55" spans="1:21" s="12" customFormat="1" x14ac:dyDescent="0.25">
      <c r="A55" s="200" t="s">
        <v>1926</v>
      </c>
      <c r="B55" s="60">
        <v>2.82</v>
      </c>
      <c r="C55" s="60">
        <v>20.22</v>
      </c>
      <c r="D55" s="60">
        <v>23.04</v>
      </c>
      <c r="E55" s="60">
        <v>2.39</v>
      </c>
      <c r="F55" s="60">
        <v>2.75</v>
      </c>
      <c r="G55" s="215" t="s">
        <v>36</v>
      </c>
      <c r="H55" s="60">
        <v>11.78</v>
      </c>
      <c r="I55" s="215" t="s">
        <v>36</v>
      </c>
      <c r="J55" s="60">
        <v>0.62</v>
      </c>
      <c r="K55" s="60">
        <v>321.81</v>
      </c>
      <c r="L55" s="10" t="s">
        <v>43</v>
      </c>
      <c r="M55" s="60">
        <v>58.85</v>
      </c>
      <c r="N55" s="60">
        <v>587.9</v>
      </c>
      <c r="O55" s="60">
        <v>0</v>
      </c>
      <c r="P55" s="60">
        <v>3.66</v>
      </c>
      <c r="Q55" s="60">
        <v>19.87</v>
      </c>
      <c r="R55" s="197"/>
      <c r="S55" s="197"/>
      <c r="T55" s="197"/>
      <c r="U55" s="197"/>
    </row>
    <row r="56" spans="1:21" s="12" customFormat="1" x14ac:dyDescent="0.25">
      <c r="A56" s="200" t="s">
        <v>1927</v>
      </c>
      <c r="B56" s="60">
        <v>2.0499999999999998</v>
      </c>
      <c r="C56" s="60">
        <v>18.91</v>
      </c>
      <c r="D56" s="60">
        <v>20.96</v>
      </c>
      <c r="E56" s="60">
        <v>1.66</v>
      </c>
      <c r="F56" s="60">
        <v>2.8</v>
      </c>
      <c r="G56" s="215" t="s">
        <v>36</v>
      </c>
      <c r="H56" s="60">
        <v>11.78</v>
      </c>
      <c r="I56" s="215" t="s">
        <v>36</v>
      </c>
      <c r="J56" s="60">
        <v>0.49</v>
      </c>
      <c r="K56" s="60">
        <v>324.39999999999998</v>
      </c>
      <c r="L56" s="10" t="s">
        <v>43</v>
      </c>
      <c r="M56" s="60">
        <v>58.1</v>
      </c>
      <c r="N56" s="60">
        <v>722.5</v>
      </c>
      <c r="O56" s="60">
        <v>0</v>
      </c>
      <c r="P56" s="60">
        <v>3.66</v>
      </c>
      <c r="Q56" s="60">
        <v>16.32</v>
      </c>
      <c r="R56" s="197"/>
      <c r="S56" s="197"/>
      <c r="T56" s="197"/>
      <c r="U56" s="197"/>
    </row>
    <row r="57" spans="1:21" s="12" customFormat="1" x14ac:dyDescent="0.25">
      <c r="A57" s="200" t="s">
        <v>1928</v>
      </c>
      <c r="B57" s="60">
        <v>1.61</v>
      </c>
      <c r="C57" s="60">
        <v>17.309999999999999</v>
      </c>
      <c r="D57" s="60">
        <v>18.91</v>
      </c>
      <c r="E57" s="60">
        <v>2.42</v>
      </c>
      <c r="F57" s="60">
        <v>2.76</v>
      </c>
      <c r="G57" s="215" t="s">
        <v>36</v>
      </c>
      <c r="H57" s="60">
        <v>11.78</v>
      </c>
      <c r="I57" s="215" t="s">
        <v>36</v>
      </c>
      <c r="J57" s="60">
        <v>0.88</v>
      </c>
      <c r="K57" s="60">
        <v>317.52</v>
      </c>
      <c r="L57" s="10" t="s">
        <v>43</v>
      </c>
      <c r="M57" s="60">
        <v>56.74</v>
      </c>
      <c r="N57" s="60">
        <v>994.2</v>
      </c>
      <c r="O57" s="60">
        <v>0</v>
      </c>
      <c r="P57" s="60">
        <v>3.64</v>
      </c>
      <c r="Q57" s="60">
        <v>13.42</v>
      </c>
      <c r="R57" s="197"/>
      <c r="S57" s="197"/>
      <c r="T57" s="197"/>
      <c r="U57" s="197"/>
    </row>
    <row r="58" spans="1:21" s="12" customFormat="1" x14ac:dyDescent="0.25">
      <c r="A58" s="200" t="s">
        <v>1929</v>
      </c>
      <c r="B58" s="60">
        <v>1.63</v>
      </c>
      <c r="C58" s="60">
        <v>16.36</v>
      </c>
      <c r="D58" s="60">
        <v>17.989999999999998</v>
      </c>
      <c r="E58" s="60">
        <v>2.2400000000000002</v>
      </c>
      <c r="F58" s="60">
        <v>3.45</v>
      </c>
      <c r="G58" s="215" t="s">
        <v>36</v>
      </c>
      <c r="H58" s="215" t="s">
        <v>36</v>
      </c>
      <c r="I58" s="215" t="s">
        <v>36</v>
      </c>
      <c r="J58" s="60">
        <v>1.48</v>
      </c>
      <c r="K58" s="60">
        <v>310.41000000000003</v>
      </c>
      <c r="L58" s="10" t="s">
        <v>43</v>
      </c>
      <c r="M58" s="60">
        <v>54.72</v>
      </c>
      <c r="N58" s="60">
        <v>746</v>
      </c>
      <c r="O58" s="60">
        <v>0</v>
      </c>
      <c r="P58" s="60">
        <v>3.61</v>
      </c>
      <c r="Q58" s="60">
        <v>11.54</v>
      </c>
      <c r="R58" s="197"/>
      <c r="S58" s="197"/>
      <c r="T58" s="197"/>
      <c r="U58" s="197"/>
    </row>
    <row r="59" spans="1:21" s="12" customFormat="1" x14ac:dyDescent="0.25">
      <c r="A59" s="200" t="s">
        <v>1930</v>
      </c>
      <c r="B59" s="60">
        <v>2.13</v>
      </c>
      <c r="C59" s="60">
        <v>16.68</v>
      </c>
      <c r="D59" s="60">
        <v>18.8</v>
      </c>
      <c r="E59" s="60">
        <v>1.68</v>
      </c>
      <c r="F59" s="60">
        <v>2.39</v>
      </c>
      <c r="G59" s="215" t="s">
        <v>36</v>
      </c>
      <c r="H59" s="215" t="s">
        <v>36</v>
      </c>
      <c r="I59" s="60">
        <v>5.5</v>
      </c>
      <c r="J59" s="60">
        <v>1.04</v>
      </c>
      <c r="K59" s="60">
        <v>317.39</v>
      </c>
      <c r="L59" s="10" t="s">
        <v>43</v>
      </c>
      <c r="M59" s="60">
        <v>53.92</v>
      </c>
      <c r="N59" s="60">
        <v>863.2</v>
      </c>
      <c r="O59" s="60">
        <v>0</v>
      </c>
      <c r="P59" s="60">
        <v>3.64</v>
      </c>
      <c r="Q59" s="60">
        <v>10.99</v>
      </c>
      <c r="R59" s="197"/>
      <c r="S59" s="197"/>
      <c r="T59" s="197"/>
      <c r="U59" s="197"/>
    </row>
    <row r="60" spans="1:21" s="12" customFormat="1" x14ac:dyDescent="0.25">
      <c r="A60" s="200" t="s">
        <v>1931</v>
      </c>
      <c r="B60" s="60">
        <v>2.77</v>
      </c>
      <c r="C60" s="60">
        <v>15.48</v>
      </c>
      <c r="D60" s="60">
        <v>18.25</v>
      </c>
      <c r="E60" s="60">
        <v>2</v>
      </c>
      <c r="F60" s="60">
        <v>2.19</v>
      </c>
      <c r="G60" s="215" t="s">
        <v>36</v>
      </c>
      <c r="H60" s="215" t="s">
        <v>36</v>
      </c>
      <c r="I60" s="60">
        <v>4.82</v>
      </c>
      <c r="J60" s="60">
        <v>1.07</v>
      </c>
      <c r="K60" s="60">
        <v>313.63</v>
      </c>
      <c r="L60" s="10" t="s">
        <v>43</v>
      </c>
      <c r="M60" s="60">
        <v>53.57</v>
      </c>
      <c r="N60" s="60">
        <v>989.9</v>
      </c>
      <c r="O60" s="60">
        <v>0</v>
      </c>
      <c r="P60" s="60">
        <v>3.63</v>
      </c>
      <c r="Q60" s="60">
        <v>11.19</v>
      </c>
      <c r="R60" s="197"/>
      <c r="S60" s="197"/>
      <c r="T60" s="197"/>
      <c r="U60" s="197"/>
    </row>
    <row r="61" spans="1:21" s="12" customFormat="1" x14ac:dyDescent="0.25">
      <c r="A61" s="200" t="s">
        <v>1932</v>
      </c>
      <c r="B61" s="60">
        <v>2.36</v>
      </c>
      <c r="C61" s="60">
        <v>14.7</v>
      </c>
      <c r="D61" s="60">
        <v>17.05</v>
      </c>
      <c r="E61" s="60">
        <v>1.68</v>
      </c>
      <c r="F61" s="60">
        <v>2.99</v>
      </c>
      <c r="G61" s="215" t="s">
        <v>36</v>
      </c>
      <c r="H61" s="215" t="s">
        <v>36</v>
      </c>
      <c r="I61" s="60">
        <v>4.91</v>
      </c>
      <c r="J61" s="60">
        <v>0.56999999999999995</v>
      </c>
      <c r="K61" s="60">
        <v>320.3</v>
      </c>
      <c r="L61" s="10" t="s">
        <v>43</v>
      </c>
      <c r="M61" s="60">
        <v>53.46</v>
      </c>
      <c r="N61" s="60">
        <v>875.4</v>
      </c>
      <c r="O61" s="60">
        <v>0</v>
      </c>
      <c r="P61" s="60">
        <v>3.6</v>
      </c>
      <c r="Q61" s="60">
        <v>10.17</v>
      </c>
      <c r="R61" s="197"/>
      <c r="S61" s="197"/>
      <c r="T61" s="197"/>
      <c r="U61" s="197"/>
    </row>
    <row r="62" spans="1:21" s="12" customFormat="1" x14ac:dyDescent="0.25">
      <c r="A62" s="200" t="s">
        <v>1933</v>
      </c>
      <c r="B62" s="60">
        <v>2.14</v>
      </c>
      <c r="C62" s="60">
        <v>13.96</v>
      </c>
      <c r="D62" s="60">
        <v>16.100000000000001</v>
      </c>
      <c r="E62" s="60">
        <v>1.7</v>
      </c>
      <c r="F62" s="60">
        <v>2.37</v>
      </c>
      <c r="G62" s="60">
        <v>18.25</v>
      </c>
      <c r="H62" s="215" t="s">
        <v>36</v>
      </c>
      <c r="I62" s="60">
        <v>4.51</v>
      </c>
      <c r="J62" s="60">
        <v>0.83</v>
      </c>
      <c r="K62" s="60">
        <v>314.69</v>
      </c>
      <c r="L62" s="10" t="s">
        <v>43</v>
      </c>
      <c r="M62" s="60">
        <v>53.33</v>
      </c>
      <c r="N62" s="60">
        <v>911.3</v>
      </c>
      <c r="O62" s="60">
        <v>0</v>
      </c>
      <c r="P62" s="60">
        <v>3.6</v>
      </c>
      <c r="Q62" s="60">
        <v>9.9600000000000009</v>
      </c>
      <c r="R62" s="197"/>
      <c r="S62" s="197"/>
      <c r="T62" s="197"/>
      <c r="U62" s="197"/>
    </row>
    <row r="63" spans="1:21" s="12" customFormat="1" x14ac:dyDescent="0.25">
      <c r="A63" s="200" t="s">
        <v>1934</v>
      </c>
      <c r="B63" s="60">
        <v>1.95</v>
      </c>
      <c r="C63" s="60">
        <v>12.69</v>
      </c>
      <c r="D63" s="60">
        <v>14.65</v>
      </c>
      <c r="E63" s="60">
        <v>1.55</v>
      </c>
      <c r="F63" s="60">
        <v>2.2599999999999998</v>
      </c>
      <c r="G63" s="60">
        <v>20.53</v>
      </c>
      <c r="H63" s="215" t="s">
        <v>36</v>
      </c>
      <c r="I63" s="60">
        <v>3.97</v>
      </c>
      <c r="J63" s="60">
        <v>1.1599999999999999</v>
      </c>
      <c r="K63" s="60">
        <v>313.36</v>
      </c>
      <c r="L63" s="10" t="s">
        <v>43</v>
      </c>
      <c r="M63" s="60">
        <v>52.92</v>
      </c>
      <c r="N63" s="60">
        <v>795.3</v>
      </c>
      <c r="O63" s="60">
        <v>0</v>
      </c>
      <c r="P63" s="60">
        <v>3.58</v>
      </c>
      <c r="Q63" s="60">
        <v>9.39</v>
      </c>
      <c r="R63" s="197"/>
      <c r="S63" s="197"/>
      <c r="T63" s="197"/>
      <c r="U63" s="197"/>
    </row>
    <row r="64" spans="1:21" s="12" customFormat="1" x14ac:dyDescent="0.25">
      <c r="A64" s="200" t="s">
        <v>1935</v>
      </c>
      <c r="B64" s="60">
        <v>2.08</v>
      </c>
      <c r="C64" s="60">
        <v>11.42</v>
      </c>
      <c r="D64" s="60">
        <v>13.51</v>
      </c>
      <c r="E64" s="60">
        <v>1.92</v>
      </c>
      <c r="F64" s="60">
        <v>1.59</v>
      </c>
      <c r="G64" s="60">
        <v>20.53</v>
      </c>
      <c r="H64" s="215" t="s">
        <v>36</v>
      </c>
      <c r="I64" s="60">
        <v>3.99</v>
      </c>
      <c r="J64" s="60">
        <v>1.2</v>
      </c>
      <c r="K64" s="60">
        <v>310.24</v>
      </c>
      <c r="L64" s="10" t="s">
        <v>43</v>
      </c>
      <c r="M64" s="60">
        <v>52.97</v>
      </c>
      <c r="N64" s="60">
        <v>723.4</v>
      </c>
      <c r="O64" s="60">
        <v>0</v>
      </c>
      <c r="P64" s="60">
        <v>3.57</v>
      </c>
      <c r="Q64" s="60">
        <v>9.2799999999999994</v>
      </c>
      <c r="R64" s="197"/>
      <c r="S64" s="197"/>
      <c r="T64" s="197"/>
      <c r="U64" s="197"/>
    </row>
    <row r="65" spans="1:21" s="12" customFormat="1" x14ac:dyDescent="0.25">
      <c r="A65" s="200" t="s">
        <v>1936</v>
      </c>
      <c r="B65" s="60">
        <v>2.38</v>
      </c>
      <c r="C65" s="60">
        <v>10.4</v>
      </c>
      <c r="D65" s="60">
        <v>12.78</v>
      </c>
      <c r="E65" s="60">
        <v>1.89</v>
      </c>
      <c r="F65" s="60">
        <v>1</v>
      </c>
      <c r="G65" s="60">
        <v>20.53</v>
      </c>
      <c r="H65" s="215" t="s">
        <v>36</v>
      </c>
      <c r="I65" s="60">
        <v>3.78</v>
      </c>
      <c r="J65" s="60">
        <v>0.42</v>
      </c>
      <c r="K65" s="60">
        <v>328.28</v>
      </c>
      <c r="L65" s="10" t="s">
        <v>43</v>
      </c>
      <c r="M65" s="60">
        <v>54.06</v>
      </c>
      <c r="N65" s="60">
        <v>600.6</v>
      </c>
      <c r="O65" s="60">
        <v>0</v>
      </c>
      <c r="P65" s="60">
        <v>3.57</v>
      </c>
      <c r="Q65" s="60">
        <v>9.6199999999999992</v>
      </c>
      <c r="R65" s="197"/>
      <c r="S65" s="197"/>
      <c r="T65" s="197"/>
      <c r="U65" s="197"/>
    </row>
    <row r="66" spans="1:21" s="12" customFormat="1" x14ac:dyDescent="0.25">
      <c r="A66" s="200" t="s">
        <v>1937</v>
      </c>
      <c r="B66" s="60">
        <v>2.5099999999999998</v>
      </c>
      <c r="C66" s="60">
        <v>9.8699999999999992</v>
      </c>
      <c r="D66" s="60">
        <v>12.38</v>
      </c>
      <c r="E66" s="60">
        <v>2.04</v>
      </c>
      <c r="F66" s="60">
        <v>0.69</v>
      </c>
      <c r="G66" s="60">
        <v>15.62</v>
      </c>
      <c r="H66" s="215" t="s">
        <v>36</v>
      </c>
      <c r="I66" s="60">
        <v>3.85</v>
      </c>
      <c r="J66" s="60">
        <v>0.84</v>
      </c>
      <c r="K66" s="60">
        <v>316.92</v>
      </c>
      <c r="L66" s="10" t="s">
        <v>43</v>
      </c>
      <c r="M66" s="60">
        <v>53.96</v>
      </c>
      <c r="N66" s="60">
        <v>540.9</v>
      </c>
      <c r="O66" s="60">
        <v>0</v>
      </c>
      <c r="P66" s="60">
        <v>3.58</v>
      </c>
      <c r="Q66" s="60">
        <v>10.1</v>
      </c>
      <c r="R66" s="197"/>
      <c r="S66" s="197"/>
      <c r="T66" s="197"/>
      <c r="U66" s="197"/>
    </row>
    <row r="67" spans="1:21" s="12" customFormat="1" x14ac:dyDescent="0.25">
      <c r="A67" s="200" t="s">
        <v>1938</v>
      </c>
      <c r="B67" s="60">
        <v>2.69</v>
      </c>
      <c r="C67" s="60">
        <v>9.9499999999999993</v>
      </c>
      <c r="D67" s="60">
        <v>12.65</v>
      </c>
      <c r="E67" s="60">
        <v>2.39</v>
      </c>
      <c r="F67" s="60">
        <v>1.31</v>
      </c>
      <c r="G67" s="60">
        <v>15</v>
      </c>
      <c r="H67" s="215" t="s">
        <v>36</v>
      </c>
      <c r="I67" s="60">
        <v>3.86</v>
      </c>
      <c r="J67" s="60">
        <v>0.48</v>
      </c>
      <c r="K67" s="60">
        <v>324.58</v>
      </c>
      <c r="L67" s="10" t="s">
        <v>43</v>
      </c>
      <c r="M67" s="60">
        <v>54.48</v>
      </c>
      <c r="N67" s="60">
        <v>462.8</v>
      </c>
      <c r="O67" s="60">
        <v>0</v>
      </c>
      <c r="P67" s="60">
        <v>3.58</v>
      </c>
      <c r="Q67" s="60">
        <v>11.44</v>
      </c>
      <c r="R67" s="197"/>
      <c r="S67" s="197"/>
      <c r="T67" s="197"/>
      <c r="U67" s="197"/>
    </row>
    <row r="68" spans="1:21" s="12" customFormat="1" x14ac:dyDescent="0.25">
      <c r="A68" s="200" t="s">
        <v>1939</v>
      </c>
      <c r="B68" s="60">
        <v>2.71</v>
      </c>
      <c r="C68" s="60">
        <v>10.93</v>
      </c>
      <c r="D68" s="60">
        <v>13.64</v>
      </c>
      <c r="E68" s="60">
        <v>2.31</v>
      </c>
      <c r="F68" s="60">
        <v>1.29</v>
      </c>
      <c r="G68" s="60">
        <v>15</v>
      </c>
      <c r="H68" s="215" t="s">
        <v>36</v>
      </c>
      <c r="I68" s="60">
        <v>3.96</v>
      </c>
      <c r="J68" s="60">
        <v>0.88</v>
      </c>
      <c r="K68" s="60">
        <v>315.7</v>
      </c>
      <c r="L68" s="10" t="s">
        <v>43</v>
      </c>
      <c r="M68" s="60">
        <v>54.91</v>
      </c>
      <c r="N68" s="60">
        <v>447.7</v>
      </c>
      <c r="O68" s="60">
        <v>0</v>
      </c>
      <c r="P68" s="60">
        <v>3.59</v>
      </c>
      <c r="Q68" s="60">
        <v>12.88</v>
      </c>
      <c r="R68" s="197"/>
      <c r="S68" s="197"/>
      <c r="T68" s="197"/>
      <c r="U68" s="197"/>
    </row>
    <row r="69" spans="1:21" s="12" customFormat="1" x14ac:dyDescent="0.25">
      <c r="A69" s="200" t="s">
        <v>1940</v>
      </c>
      <c r="B69" s="60">
        <v>3.07</v>
      </c>
      <c r="C69" s="60">
        <v>10.74</v>
      </c>
      <c r="D69" s="60">
        <v>13.81</v>
      </c>
      <c r="E69" s="60">
        <v>2.71</v>
      </c>
      <c r="F69" s="60">
        <v>1.1200000000000001</v>
      </c>
      <c r="G69" s="60">
        <v>15</v>
      </c>
      <c r="H69" s="215" t="s">
        <v>36</v>
      </c>
      <c r="I69" s="60">
        <v>3.85</v>
      </c>
      <c r="J69" s="60">
        <v>0.92</v>
      </c>
      <c r="K69" s="60">
        <v>310.98</v>
      </c>
      <c r="L69" s="10" t="s">
        <v>43</v>
      </c>
      <c r="M69" s="60">
        <v>54.73</v>
      </c>
      <c r="N69" s="60">
        <v>581.29999999999995</v>
      </c>
      <c r="O69" s="60">
        <v>0</v>
      </c>
      <c r="P69" s="60">
        <v>3.59</v>
      </c>
      <c r="Q69" s="60">
        <v>14.31</v>
      </c>
      <c r="R69" s="197"/>
      <c r="S69" s="197"/>
      <c r="T69" s="197"/>
      <c r="U69" s="197"/>
    </row>
    <row r="70" spans="1:21" s="12" customFormat="1" x14ac:dyDescent="0.25">
      <c r="A70" s="200" t="s">
        <v>1941</v>
      </c>
      <c r="B70" s="60">
        <v>3.53</v>
      </c>
      <c r="C70" s="60">
        <v>10.33</v>
      </c>
      <c r="D70" s="60">
        <v>13.86</v>
      </c>
      <c r="E70" s="60">
        <v>2.8</v>
      </c>
      <c r="F70" s="60">
        <v>1.1299999999999999</v>
      </c>
      <c r="G70" s="60">
        <v>11.83</v>
      </c>
      <c r="H70" s="215" t="s">
        <v>36</v>
      </c>
      <c r="I70" s="60">
        <v>3.97</v>
      </c>
      <c r="J70" s="60">
        <v>0.28999999999999998</v>
      </c>
      <c r="K70" s="60">
        <v>340.53</v>
      </c>
      <c r="L70" s="10" t="s">
        <v>43</v>
      </c>
      <c r="M70" s="60">
        <v>55.98</v>
      </c>
      <c r="N70" s="60">
        <v>512.6</v>
      </c>
      <c r="O70" s="60">
        <v>0</v>
      </c>
      <c r="P70" s="60">
        <v>3.59</v>
      </c>
      <c r="Q70" s="60">
        <v>16.329999999999998</v>
      </c>
      <c r="R70" s="197"/>
      <c r="S70" s="197"/>
      <c r="T70" s="197"/>
      <c r="U70" s="197"/>
    </row>
    <row r="71" spans="1:21" s="12" customFormat="1" x14ac:dyDescent="0.25">
      <c r="A71" s="200" t="s">
        <v>1942</v>
      </c>
      <c r="B71" s="60">
        <v>3.54</v>
      </c>
      <c r="C71" s="60">
        <v>10.17</v>
      </c>
      <c r="D71" s="60">
        <v>13.71</v>
      </c>
      <c r="E71" s="60">
        <v>2.93</v>
      </c>
      <c r="F71" s="60">
        <v>0.78</v>
      </c>
      <c r="G71" s="60">
        <v>11.43</v>
      </c>
      <c r="H71" s="215" t="s">
        <v>36</v>
      </c>
      <c r="I71" s="60">
        <v>4.07</v>
      </c>
      <c r="J71" s="60">
        <v>0.67</v>
      </c>
      <c r="K71" s="60">
        <v>319.52</v>
      </c>
      <c r="L71" s="10" t="s">
        <v>43</v>
      </c>
      <c r="M71" s="60">
        <v>56.82</v>
      </c>
      <c r="N71" s="60">
        <v>442.6</v>
      </c>
      <c r="O71" s="60">
        <v>0</v>
      </c>
      <c r="P71" s="60">
        <v>3.58</v>
      </c>
      <c r="Q71" s="60">
        <v>16.52</v>
      </c>
      <c r="R71" s="197"/>
      <c r="S71" s="197"/>
      <c r="T71" s="197"/>
      <c r="U71" s="197"/>
    </row>
    <row r="72" spans="1:21" s="12" customFormat="1" x14ac:dyDescent="0.25">
      <c r="A72" s="200" t="s">
        <v>1943</v>
      </c>
      <c r="B72" s="60">
        <v>3.81</v>
      </c>
      <c r="C72" s="60">
        <v>10.050000000000001</v>
      </c>
      <c r="D72" s="60">
        <v>13.86</v>
      </c>
      <c r="E72" s="60">
        <v>0.56000000000000005</v>
      </c>
      <c r="F72" s="60">
        <v>1.1200000000000001</v>
      </c>
      <c r="G72" s="60">
        <v>11.43</v>
      </c>
      <c r="H72" s="215" t="s">
        <v>36</v>
      </c>
      <c r="I72" s="60">
        <v>3.99</v>
      </c>
      <c r="J72" s="60">
        <v>0.51</v>
      </c>
      <c r="K72" s="60">
        <v>323.27999999999997</v>
      </c>
      <c r="L72" s="10" t="s">
        <v>43</v>
      </c>
      <c r="M72" s="60">
        <v>57.47</v>
      </c>
      <c r="N72" s="60">
        <v>337.1</v>
      </c>
      <c r="O72" s="60">
        <v>0</v>
      </c>
      <c r="P72" s="60">
        <v>3.58</v>
      </c>
      <c r="Q72" s="60">
        <v>17.55</v>
      </c>
      <c r="R72" s="197"/>
      <c r="S72" s="197"/>
      <c r="T72" s="197"/>
      <c r="U72" s="197"/>
    </row>
    <row r="73" spans="1:21" s="12" customFormat="1" x14ac:dyDescent="0.25">
      <c r="A73" s="200" t="s">
        <v>1944</v>
      </c>
      <c r="B73" s="60">
        <v>4.24</v>
      </c>
      <c r="C73" s="60">
        <v>10.74</v>
      </c>
      <c r="D73" s="60">
        <v>14.98</v>
      </c>
      <c r="E73" s="60">
        <v>2.0299999999999998</v>
      </c>
      <c r="F73" s="60">
        <v>0.99</v>
      </c>
      <c r="G73" s="60">
        <v>11.43</v>
      </c>
      <c r="H73" s="215" t="s">
        <v>36</v>
      </c>
      <c r="I73" s="60">
        <v>4.03</v>
      </c>
      <c r="J73" s="60">
        <v>0.34</v>
      </c>
      <c r="K73" s="60">
        <v>335.42</v>
      </c>
      <c r="L73" s="10" t="s">
        <v>43</v>
      </c>
      <c r="M73" s="60">
        <v>58.17</v>
      </c>
      <c r="N73" s="60">
        <v>302.8</v>
      </c>
      <c r="O73" s="60">
        <v>0</v>
      </c>
      <c r="P73" s="60">
        <v>3.58</v>
      </c>
      <c r="Q73" s="60">
        <v>18.89</v>
      </c>
      <c r="R73" s="197"/>
      <c r="S73" s="197"/>
      <c r="T73" s="197"/>
      <c r="U73" s="197"/>
    </row>
    <row r="74" spans="1:21" s="12" customFormat="1" x14ac:dyDescent="0.25">
      <c r="A74" s="200" t="s">
        <v>1945</v>
      </c>
      <c r="B74" s="60">
        <v>4.7699999999999996</v>
      </c>
      <c r="C74" s="60">
        <v>12.22</v>
      </c>
      <c r="D74" s="60">
        <v>16.989999999999998</v>
      </c>
      <c r="E74" s="60">
        <v>2.34</v>
      </c>
      <c r="F74" s="60">
        <v>0.49</v>
      </c>
      <c r="G74" s="60">
        <v>8.3800000000000008</v>
      </c>
      <c r="H74" s="215" t="s">
        <v>36</v>
      </c>
      <c r="I74" s="60">
        <v>4.05</v>
      </c>
      <c r="J74" s="60">
        <v>0.25</v>
      </c>
      <c r="K74" s="60">
        <v>11.08</v>
      </c>
      <c r="L74" s="60">
        <v>47.79</v>
      </c>
      <c r="M74" s="60">
        <v>59.47</v>
      </c>
      <c r="N74" s="60">
        <v>218.3</v>
      </c>
      <c r="O74" s="60">
        <v>0</v>
      </c>
      <c r="P74" s="60">
        <v>3.59</v>
      </c>
      <c r="Q74" s="60">
        <v>19.32</v>
      </c>
      <c r="R74" s="197"/>
      <c r="S74" s="197"/>
      <c r="T74" s="197"/>
      <c r="U74" s="197"/>
    </row>
    <row r="75" spans="1:21" s="12" customFormat="1" x14ac:dyDescent="0.25">
      <c r="A75" s="200" t="s">
        <v>1946</v>
      </c>
      <c r="B75" s="60">
        <v>5.08</v>
      </c>
      <c r="C75" s="60">
        <v>12.62</v>
      </c>
      <c r="D75" s="60">
        <v>17.7</v>
      </c>
      <c r="E75" s="60">
        <v>2.4900000000000002</v>
      </c>
      <c r="F75" s="60">
        <v>0.7</v>
      </c>
      <c r="G75" s="60">
        <v>8</v>
      </c>
      <c r="H75" s="215" t="s">
        <v>36</v>
      </c>
      <c r="I75" s="60">
        <v>4.1399999999999997</v>
      </c>
      <c r="J75" s="60">
        <v>0.39</v>
      </c>
      <c r="K75" s="60">
        <v>332.9</v>
      </c>
      <c r="L75" s="60">
        <v>47.83</v>
      </c>
      <c r="M75" s="60">
        <v>59.54</v>
      </c>
      <c r="N75" s="60">
        <v>202.5</v>
      </c>
      <c r="O75" s="60">
        <v>0</v>
      </c>
      <c r="P75" s="60">
        <v>3.6</v>
      </c>
      <c r="Q75" s="60">
        <v>19.760000000000002</v>
      </c>
      <c r="R75" s="197"/>
      <c r="S75" s="197"/>
      <c r="T75" s="197"/>
      <c r="U75" s="197"/>
    </row>
    <row r="76" spans="1:21" s="12" customFormat="1" x14ac:dyDescent="0.25">
      <c r="A76" s="200" t="s">
        <v>1947</v>
      </c>
      <c r="B76" s="60">
        <v>5.03</v>
      </c>
      <c r="C76" s="60">
        <v>12.94</v>
      </c>
      <c r="D76" s="60">
        <v>17.97</v>
      </c>
      <c r="E76" s="60">
        <v>2.38</v>
      </c>
      <c r="F76" s="60">
        <v>0.71</v>
      </c>
      <c r="G76" s="60">
        <v>8</v>
      </c>
      <c r="H76" s="215" t="s">
        <v>36</v>
      </c>
      <c r="I76" s="60">
        <v>4.26</v>
      </c>
      <c r="J76" s="60">
        <v>0.21</v>
      </c>
      <c r="K76" s="60">
        <v>342.3</v>
      </c>
      <c r="L76" s="60">
        <v>50.44</v>
      </c>
      <c r="M76" s="60">
        <v>61.35</v>
      </c>
      <c r="N76" s="60">
        <v>165.8</v>
      </c>
      <c r="O76" s="60">
        <v>0</v>
      </c>
      <c r="P76" s="60">
        <v>3.61</v>
      </c>
      <c r="Q76" s="60">
        <v>20.350000000000001</v>
      </c>
      <c r="R76" s="197"/>
      <c r="S76" s="197"/>
      <c r="T76" s="197"/>
      <c r="U76" s="197"/>
    </row>
    <row r="77" spans="1:21" s="12" customFormat="1" x14ac:dyDescent="0.25">
      <c r="A77" s="200" t="s">
        <v>1948</v>
      </c>
      <c r="B77" s="60">
        <v>4.8099999999999996</v>
      </c>
      <c r="C77" s="60">
        <v>13.08</v>
      </c>
      <c r="D77" s="60">
        <v>17.899999999999999</v>
      </c>
      <c r="E77" s="60">
        <v>2.3199999999999998</v>
      </c>
      <c r="F77" s="60">
        <v>0.73</v>
      </c>
      <c r="G77" s="60">
        <v>8</v>
      </c>
      <c r="H77" s="215" t="s">
        <v>36</v>
      </c>
      <c r="I77" s="60">
        <v>4.34</v>
      </c>
      <c r="J77" s="60">
        <v>0.18</v>
      </c>
      <c r="K77" s="60">
        <v>30.99</v>
      </c>
      <c r="L77" s="60">
        <v>41.73</v>
      </c>
      <c r="M77" s="60">
        <v>62.19</v>
      </c>
      <c r="N77" s="60">
        <v>119.1</v>
      </c>
      <c r="O77" s="60">
        <v>0</v>
      </c>
      <c r="P77" s="60">
        <v>3.64</v>
      </c>
      <c r="Q77" s="60">
        <v>20.51</v>
      </c>
      <c r="R77" s="197"/>
      <c r="S77" s="197"/>
      <c r="T77" s="197"/>
      <c r="U77" s="197"/>
    </row>
    <row r="78" spans="1:21" s="12" customFormat="1" x14ac:dyDescent="0.25">
      <c r="A78" s="200" t="s">
        <v>1949</v>
      </c>
      <c r="B78" s="60">
        <v>4.4400000000000004</v>
      </c>
      <c r="C78" s="60">
        <v>14.25</v>
      </c>
      <c r="D78" s="60">
        <v>18.7</v>
      </c>
      <c r="E78" s="60">
        <v>2.2799999999999998</v>
      </c>
      <c r="F78" s="60">
        <v>0.34</v>
      </c>
      <c r="G78" s="60">
        <v>5.87</v>
      </c>
      <c r="H78" s="60">
        <v>3.69</v>
      </c>
      <c r="I78" s="60">
        <v>4.3600000000000003</v>
      </c>
      <c r="J78" s="60">
        <v>0.12</v>
      </c>
      <c r="K78" s="60">
        <v>358.14</v>
      </c>
      <c r="L78" s="60">
        <v>37.909999999999997</v>
      </c>
      <c r="M78" s="60">
        <v>62.41</v>
      </c>
      <c r="N78" s="60">
        <v>114</v>
      </c>
      <c r="O78" s="60">
        <v>0</v>
      </c>
      <c r="P78" s="60">
        <v>3.65</v>
      </c>
      <c r="Q78" s="60">
        <v>20.52</v>
      </c>
      <c r="R78" s="197"/>
      <c r="S78" s="197"/>
      <c r="T78" s="197"/>
      <c r="U78" s="197"/>
    </row>
    <row r="79" spans="1:21" s="12" customFormat="1" x14ac:dyDescent="0.25">
      <c r="A79" s="200" t="s">
        <v>1950</v>
      </c>
      <c r="B79" s="60">
        <v>4.28</v>
      </c>
      <c r="C79" s="60">
        <v>15.28</v>
      </c>
      <c r="D79" s="60">
        <v>19.559999999999999</v>
      </c>
      <c r="E79" s="60">
        <v>2.23</v>
      </c>
      <c r="F79" s="60">
        <v>0.89</v>
      </c>
      <c r="G79" s="60">
        <v>5.6</v>
      </c>
      <c r="H79" s="60">
        <v>4.42</v>
      </c>
      <c r="I79" s="60">
        <v>4.5599999999999996</v>
      </c>
      <c r="J79" s="60">
        <v>0.08</v>
      </c>
      <c r="K79" s="60">
        <v>82.51</v>
      </c>
      <c r="L79" s="60">
        <v>37.57</v>
      </c>
      <c r="M79" s="60">
        <v>65.25</v>
      </c>
      <c r="N79" s="60">
        <v>89</v>
      </c>
      <c r="O79" s="60">
        <v>0</v>
      </c>
      <c r="P79" s="60">
        <v>3.67</v>
      </c>
      <c r="Q79" s="60">
        <v>21.09</v>
      </c>
      <c r="R79" s="197"/>
      <c r="S79" s="197"/>
      <c r="T79" s="197"/>
      <c r="U79" s="197"/>
    </row>
    <row r="80" spans="1:21" s="12" customFormat="1" x14ac:dyDescent="0.25">
      <c r="A80" s="200" t="s">
        <v>1951</v>
      </c>
      <c r="B80" s="60">
        <v>3.66</v>
      </c>
      <c r="C80" s="60">
        <v>16.510000000000002</v>
      </c>
      <c r="D80" s="60">
        <v>20.16</v>
      </c>
      <c r="E80" s="60">
        <v>2.77</v>
      </c>
      <c r="F80" s="60">
        <v>0.87</v>
      </c>
      <c r="G80" s="60">
        <v>5.6</v>
      </c>
      <c r="H80" s="60">
        <v>4.42</v>
      </c>
      <c r="I80" s="60">
        <v>4.78</v>
      </c>
      <c r="J80" s="60">
        <v>0.08</v>
      </c>
      <c r="K80" s="60">
        <v>27.44</v>
      </c>
      <c r="L80" s="60">
        <v>37.24</v>
      </c>
      <c r="M80" s="60">
        <v>66.92</v>
      </c>
      <c r="N80" s="60">
        <v>60.4</v>
      </c>
      <c r="O80" s="60">
        <v>0</v>
      </c>
      <c r="P80" s="60">
        <v>3.71</v>
      </c>
      <c r="Q80" s="60">
        <v>21.4</v>
      </c>
      <c r="R80" s="197"/>
      <c r="S80" s="197"/>
      <c r="T80" s="197"/>
      <c r="U80" s="197"/>
    </row>
    <row r="81" spans="1:26" s="12" customFormat="1" x14ac:dyDescent="0.25">
      <c r="A81" s="200" t="s">
        <v>1952</v>
      </c>
      <c r="B81" s="60">
        <v>3.14</v>
      </c>
      <c r="C81" s="60">
        <v>15.89</v>
      </c>
      <c r="D81" s="60">
        <v>19.03</v>
      </c>
      <c r="E81" s="60">
        <v>2.5499999999999998</v>
      </c>
      <c r="F81" s="60">
        <v>0.63</v>
      </c>
      <c r="G81" s="60">
        <v>5.6</v>
      </c>
      <c r="H81" s="60">
        <v>4.42</v>
      </c>
      <c r="I81" s="60">
        <v>4.63</v>
      </c>
      <c r="J81" s="60">
        <v>0.01</v>
      </c>
      <c r="K81" s="60">
        <v>199.71</v>
      </c>
      <c r="L81" s="60">
        <v>37.11</v>
      </c>
      <c r="M81" s="60">
        <v>68.53</v>
      </c>
      <c r="N81" s="60">
        <v>36.700000000000003</v>
      </c>
      <c r="O81" s="60">
        <v>0</v>
      </c>
      <c r="P81" s="60">
        <v>3.71</v>
      </c>
      <c r="Q81" s="60">
        <v>21.45</v>
      </c>
      <c r="R81" s="197"/>
      <c r="S81" s="197"/>
      <c r="T81" s="197"/>
      <c r="U81" s="197"/>
    </row>
    <row r="82" spans="1:26" s="12" customFormat="1" x14ac:dyDescent="0.25">
      <c r="A82" s="200" t="s">
        <v>1953</v>
      </c>
      <c r="B82" s="60">
        <v>2.86</v>
      </c>
      <c r="C82" s="60">
        <v>14.9</v>
      </c>
      <c r="D82" s="60">
        <v>17.760000000000002</v>
      </c>
      <c r="E82" s="60">
        <v>2.44</v>
      </c>
      <c r="F82" s="60">
        <v>0.28000000000000003</v>
      </c>
      <c r="G82" s="10" t="s">
        <v>43</v>
      </c>
      <c r="H82" s="60">
        <v>31.13</v>
      </c>
      <c r="I82" s="60">
        <v>4.84</v>
      </c>
      <c r="J82" s="60">
        <v>7.0000000000000007E-2</v>
      </c>
      <c r="K82" s="60">
        <v>0.42</v>
      </c>
      <c r="L82" s="60">
        <v>43.21</v>
      </c>
      <c r="M82" s="60">
        <v>69.37</v>
      </c>
      <c r="N82" s="60">
        <v>20.2</v>
      </c>
      <c r="O82" s="60">
        <v>0</v>
      </c>
      <c r="P82" s="60">
        <v>3.73</v>
      </c>
      <c r="Q82" s="60">
        <v>21.51</v>
      </c>
      <c r="R82" s="197"/>
      <c r="S82" s="197"/>
      <c r="T82" s="197"/>
      <c r="U82" s="197"/>
    </row>
    <row r="83" spans="1:26" s="12" customFormat="1" x14ac:dyDescent="0.25">
      <c r="A83" s="200" t="s">
        <v>1954</v>
      </c>
      <c r="B83" s="60">
        <v>2.78</v>
      </c>
      <c r="C83" s="60">
        <v>14.35</v>
      </c>
      <c r="D83" s="60">
        <v>17.14</v>
      </c>
      <c r="E83" s="60">
        <v>2.89</v>
      </c>
      <c r="F83" s="60">
        <v>0.63</v>
      </c>
      <c r="G83" s="10" t="s">
        <v>43</v>
      </c>
      <c r="H83" s="60">
        <v>36.47</v>
      </c>
      <c r="I83" s="60">
        <v>5.04</v>
      </c>
      <c r="J83" s="60">
        <v>0.11</v>
      </c>
      <c r="K83" s="60">
        <v>21.07</v>
      </c>
      <c r="L83" s="60">
        <v>43.56</v>
      </c>
      <c r="M83" s="60">
        <v>69.849999999999994</v>
      </c>
      <c r="N83" s="60">
        <v>15.9</v>
      </c>
      <c r="O83" s="60">
        <v>0</v>
      </c>
      <c r="P83" s="60">
        <v>3.73</v>
      </c>
      <c r="Q83" s="60">
        <v>22.25</v>
      </c>
      <c r="R83" s="197"/>
      <c r="S83" s="197"/>
      <c r="T83" s="197"/>
      <c r="U83" s="197"/>
    </row>
    <row r="84" spans="1:26" s="12" customFormat="1" x14ac:dyDescent="0.25">
      <c r="A84" s="200" t="s">
        <v>1955</v>
      </c>
      <c r="B84" s="60">
        <v>2.76</v>
      </c>
      <c r="C84" s="60">
        <v>14.26</v>
      </c>
      <c r="D84" s="60">
        <v>17.010000000000002</v>
      </c>
      <c r="E84" s="60">
        <v>2.97</v>
      </c>
      <c r="F84" s="60">
        <v>0.57999999999999996</v>
      </c>
      <c r="G84" s="10" t="s">
        <v>43</v>
      </c>
      <c r="H84" s="60">
        <v>36.47</v>
      </c>
      <c r="I84" s="60">
        <v>5.43</v>
      </c>
      <c r="J84" s="60">
        <v>0.04</v>
      </c>
      <c r="K84" s="60">
        <v>25.1</v>
      </c>
      <c r="L84" s="60">
        <v>43.09</v>
      </c>
      <c r="M84" s="60">
        <v>70.31</v>
      </c>
      <c r="N84" s="60">
        <v>15</v>
      </c>
      <c r="O84" s="60">
        <v>0</v>
      </c>
      <c r="P84" s="60">
        <v>3.76</v>
      </c>
      <c r="Q84" s="60">
        <v>22.23</v>
      </c>
      <c r="R84" s="197"/>
      <c r="S84" s="197"/>
      <c r="T84" s="197"/>
      <c r="U84" s="197"/>
    </row>
    <row r="85" spans="1:26" s="12" customFormat="1" x14ac:dyDescent="0.25">
      <c r="A85" s="200" t="s">
        <v>1956</v>
      </c>
      <c r="B85" s="60">
        <v>2.95</v>
      </c>
      <c r="C85" s="60">
        <v>13.92</v>
      </c>
      <c r="D85" s="60">
        <v>16.87</v>
      </c>
      <c r="E85" s="60">
        <v>2.74</v>
      </c>
      <c r="F85" s="60">
        <v>0.56999999999999995</v>
      </c>
      <c r="G85" s="10" t="s">
        <v>43</v>
      </c>
      <c r="H85" s="60">
        <v>36.47</v>
      </c>
      <c r="I85" s="60">
        <v>5.75</v>
      </c>
      <c r="J85" s="60">
        <v>0.23</v>
      </c>
      <c r="K85" s="60">
        <v>12.81</v>
      </c>
      <c r="L85" s="60">
        <v>42.79</v>
      </c>
      <c r="M85" s="60">
        <v>70.81</v>
      </c>
      <c r="N85" s="60">
        <v>15</v>
      </c>
      <c r="O85" s="60">
        <v>0</v>
      </c>
      <c r="P85" s="60">
        <v>3.79</v>
      </c>
      <c r="Q85" s="60">
        <v>23.05</v>
      </c>
      <c r="R85" s="197"/>
      <c r="S85" s="197"/>
      <c r="T85" s="197"/>
      <c r="U85" s="197"/>
    </row>
    <row r="86" spans="1:26" s="12" customFormat="1" x14ac:dyDescent="0.25">
      <c r="A86" s="200" t="s">
        <v>1957</v>
      </c>
      <c r="B86" s="60">
        <v>3.49</v>
      </c>
      <c r="C86" s="60">
        <v>13.94</v>
      </c>
      <c r="D86" s="60">
        <v>17.43</v>
      </c>
      <c r="E86" s="60">
        <v>2.76</v>
      </c>
      <c r="F86" s="60">
        <v>0.59</v>
      </c>
      <c r="G86" s="10" t="s">
        <v>43</v>
      </c>
      <c r="H86" s="60">
        <v>50.82</v>
      </c>
      <c r="I86" s="60">
        <v>5.63</v>
      </c>
      <c r="J86" s="60">
        <v>0.16</v>
      </c>
      <c r="K86" s="60">
        <v>32.78</v>
      </c>
      <c r="L86" s="60">
        <v>44.89</v>
      </c>
      <c r="M86" s="60">
        <v>71.099999999999994</v>
      </c>
      <c r="N86" s="60">
        <v>14.9</v>
      </c>
      <c r="O86" s="60">
        <v>0</v>
      </c>
      <c r="P86" s="60">
        <v>3.82</v>
      </c>
      <c r="Q86" s="60">
        <v>22.98</v>
      </c>
      <c r="R86" s="197"/>
      <c r="S86" s="197"/>
      <c r="T86" s="197"/>
      <c r="U86" s="197"/>
    </row>
    <row r="87" spans="1:26" s="12" customFormat="1" x14ac:dyDescent="0.25">
      <c r="A87" s="200" t="s">
        <v>1958</v>
      </c>
      <c r="B87" s="60">
        <v>3.69</v>
      </c>
      <c r="C87" s="60">
        <v>13.89</v>
      </c>
      <c r="D87" s="60">
        <v>17.57</v>
      </c>
      <c r="E87" s="60">
        <v>3.08</v>
      </c>
      <c r="F87" s="60">
        <v>0.55000000000000004</v>
      </c>
      <c r="G87" s="10" t="s">
        <v>43</v>
      </c>
      <c r="H87" s="60">
        <v>53.69</v>
      </c>
      <c r="I87" s="60">
        <v>5.98</v>
      </c>
      <c r="J87" s="60">
        <v>0.19</v>
      </c>
      <c r="K87" s="60">
        <v>30.46</v>
      </c>
      <c r="L87" s="60">
        <v>50.43</v>
      </c>
      <c r="M87" s="60">
        <v>71.84</v>
      </c>
      <c r="N87" s="60">
        <v>15</v>
      </c>
      <c r="O87" s="60">
        <v>0</v>
      </c>
      <c r="P87" s="60">
        <v>3.85</v>
      </c>
      <c r="Q87" s="60">
        <v>22.57</v>
      </c>
      <c r="R87" s="197"/>
      <c r="S87" s="197"/>
      <c r="T87" s="197"/>
      <c r="U87" s="197"/>
    </row>
    <row r="88" spans="1:26" s="12" customFormat="1" x14ac:dyDescent="0.25">
      <c r="A88" s="200" t="s">
        <v>1959</v>
      </c>
      <c r="B88" s="60">
        <v>3.96</v>
      </c>
      <c r="C88" s="60">
        <v>14.62</v>
      </c>
      <c r="D88" s="60">
        <v>18.579999999999998</v>
      </c>
      <c r="E88" s="60">
        <v>1.41</v>
      </c>
      <c r="F88" s="60">
        <v>0.71</v>
      </c>
      <c r="G88" s="10" t="s">
        <v>43</v>
      </c>
      <c r="H88" s="60">
        <v>53.69</v>
      </c>
      <c r="I88" s="60">
        <v>6.02</v>
      </c>
      <c r="J88" s="60">
        <v>0.09</v>
      </c>
      <c r="K88" s="60">
        <v>38.200000000000003</v>
      </c>
      <c r="L88" s="60">
        <v>49</v>
      </c>
      <c r="M88" s="60">
        <v>72.790000000000006</v>
      </c>
      <c r="N88" s="60">
        <v>15</v>
      </c>
      <c r="O88" s="60">
        <v>0</v>
      </c>
      <c r="P88" s="60">
        <v>3.88</v>
      </c>
      <c r="Q88" s="60">
        <v>23.06</v>
      </c>
      <c r="R88" s="197"/>
      <c r="S88" s="197"/>
      <c r="T88" s="197"/>
      <c r="U88" s="197"/>
    </row>
    <row r="89" spans="1:26" s="12" customFormat="1" x14ac:dyDescent="0.25">
      <c r="A89" s="200" t="s">
        <v>1960</v>
      </c>
      <c r="B89" s="60">
        <v>4.47</v>
      </c>
      <c r="C89" s="60">
        <v>14.86</v>
      </c>
      <c r="D89" s="60">
        <v>19.329999999999998</v>
      </c>
      <c r="E89" s="60">
        <v>3.64</v>
      </c>
      <c r="F89" s="60">
        <v>0.54</v>
      </c>
      <c r="G89" s="10" t="s">
        <v>43</v>
      </c>
      <c r="H89" s="60">
        <v>53.69</v>
      </c>
      <c r="I89" s="60">
        <v>6.25</v>
      </c>
      <c r="J89" s="60">
        <v>0.09</v>
      </c>
      <c r="K89" s="60">
        <v>331.84</v>
      </c>
      <c r="L89" s="60">
        <v>48.97</v>
      </c>
      <c r="M89" s="60">
        <v>74.16</v>
      </c>
      <c r="N89" s="60">
        <v>14.9</v>
      </c>
      <c r="O89" s="60">
        <v>0</v>
      </c>
      <c r="P89" s="60">
        <v>3.94</v>
      </c>
      <c r="Q89" s="60">
        <v>23.03</v>
      </c>
      <c r="R89" s="197"/>
      <c r="S89" s="197"/>
      <c r="T89" s="197"/>
      <c r="U89" s="197"/>
    </row>
    <row r="90" spans="1:26" s="12" customFormat="1" x14ac:dyDescent="0.25">
      <c r="A90" s="200" t="s">
        <v>1961</v>
      </c>
      <c r="B90" s="60">
        <v>5.03</v>
      </c>
      <c r="C90" s="60">
        <v>15.23</v>
      </c>
      <c r="D90" s="60">
        <v>20.260000000000002</v>
      </c>
      <c r="E90" s="60">
        <v>3.62</v>
      </c>
      <c r="F90" s="60">
        <v>0.25</v>
      </c>
      <c r="G90" s="10" t="s">
        <v>43</v>
      </c>
      <c r="H90" s="10" t="s">
        <v>43</v>
      </c>
      <c r="I90" s="60">
        <v>6.61</v>
      </c>
      <c r="J90" s="60">
        <v>0.03</v>
      </c>
      <c r="K90" s="60">
        <v>311.24</v>
      </c>
      <c r="L90" s="60">
        <v>46.3</v>
      </c>
      <c r="M90" s="60">
        <v>75.900000000000006</v>
      </c>
      <c r="N90" s="60">
        <v>15</v>
      </c>
      <c r="O90" s="60">
        <v>0</v>
      </c>
      <c r="P90" s="60">
        <v>3.96</v>
      </c>
      <c r="Q90" s="60">
        <v>22.44</v>
      </c>
      <c r="R90" s="197"/>
      <c r="S90" s="197"/>
      <c r="T90" s="197"/>
      <c r="U90" s="197"/>
    </row>
    <row r="91" spans="1:26" s="12" customFormat="1" x14ac:dyDescent="0.25">
      <c r="A91" s="200" t="s">
        <v>1962</v>
      </c>
      <c r="B91" s="60">
        <v>5.23</v>
      </c>
      <c r="C91" s="60">
        <v>15.33</v>
      </c>
      <c r="D91" s="60">
        <v>20.57</v>
      </c>
      <c r="E91" s="60">
        <v>3.71</v>
      </c>
      <c r="F91" s="60">
        <v>0.2</v>
      </c>
      <c r="G91" s="10" t="s">
        <v>43</v>
      </c>
      <c r="H91" s="10" t="s">
        <v>43</v>
      </c>
      <c r="I91" s="60">
        <v>7.07</v>
      </c>
      <c r="J91" s="60">
        <v>0.17</v>
      </c>
      <c r="K91" s="60">
        <v>351.15</v>
      </c>
      <c r="L91" s="60">
        <v>46.11</v>
      </c>
      <c r="M91" s="60">
        <v>77.010000000000005</v>
      </c>
      <c r="N91" s="60">
        <v>14.9</v>
      </c>
      <c r="O91" s="60">
        <v>0</v>
      </c>
      <c r="P91" s="60">
        <v>4</v>
      </c>
      <c r="Q91" s="60">
        <v>21.75</v>
      </c>
      <c r="R91" s="197"/>
      <c r="S91" s="197"/>
      <c r="T91" s="197"/>
      <c r="U91" s="197"/>
    </row>
    <row r="92" spans="1:26" s="12" customFormat="1" x14ac:dyDescent="0.25">
      <c r="A92" s="200" t="s">
        <v>1963</v>
      </c>
      <c r="B92" s="60">
        <v>5.87</v>
      </c>
      <c r="C92" s="60">
        <v>15.32</v>
      </c>
      <c r="D92" s="60">
        <v>21.2</v>
      </c>
      <c r="E92" s="60">
        <v>4</v>
      </c>
      <c r="F92" s="60">
        <v>0.13</v>
      </c>
      <c r="G92" s="10" t="s">
        <v>43</v>
      </c>
      <c r="H92" s="10" t="s">
        <v>43</v>
      </c>
      <c r="I92" s="60">
        <v>7.36</v>
      </c>
      <c r="J92" s="60">
        <v>0.1</v>
      </c>
      <c r="K92" s="60">
        <v>4.22</v>
      </c>
      <c r="L92" s="60">
        <v>42.72</v>
      </c>
      <c r="M92" s="60">
        <v>77.489999999999995</v>
      </c>
      <c r="N92" s="60">
        <v>14.9</v>
      </c>
      <c r="O92" s="60">
        <v>0</v>
      </c>
      <c r="P92" s="60">
        <v>4.03</v>
      </c>
      <c r="Q92" s="60">
        <v>21.74</v>
      </c>
      <c r="R92" s="197"/>
      <c r="S92" s="197"/>
      <c r="T92" s="197"/>
      <c r="U92" s="197"/>
    </row>
    <row r="93" spans="1:26" s="12" customFormat="1" x14ac:dyDescent="0.25">
      <c r="A93" s="200" t="s">
        <v>1964</v>
      </c>
      <c r="B93" s="60">
        <v>6.76</v>
      </c>
      <c r="C93" s="60">
        <v>15.57</v>
      </c>
      <c r="D93" s="60">
        <v>22.33</v>
      </c>
      <c r="E93" s="60">
        <v>4.0599999999999996</v>
      </c>
      <c r="F93" s="60">
        <v>0.25</v>
      </c>
      <c r="G93" s="10" t="s">
        <v>43</v>
      </c>
      <c r="H93" s="10" t="s">
        <v>43</v>
      </c>
      <c r="I93" s="60">
        <v>7.46</v>
      </c>
      <c r="J93" s="60">
        <v>0.13</v>
      </c>
      <c r="K93" s="60">
        <v>51.62</v>
      </c>
      <c r="L93" s="60">
        <v>34.979999999999997</v>
      </c>
      <c r="M93" s="60">
        <v>77.7</v>
      </c>
      <c r="N93" s="60">
        <v>14.8</v>
      </c>
      <c r="O93" s="60">
        <v>0</v>
      </c>
      <c r="P93" s="60">
        <v>4.04</v>
      </c>
      <c r="Q93" s="60">
        <v>22.08</v>
      </c>
      <c r="R93" s="197"/>
      <c r="S93" s="197"/>
      <c r="T93" s="197"/>
      <c r="U93" s="197"/>
    </row>
    <row r="94" spans="1:26" s="12" customFormat="1" x14ac:dyDescent="0.25">
      <c r="A94" s="200" t="s">
        <v>1965</v>
      </c>
      <c r="B94" s="60">
        <v>7.45</v>
      </c>
      <c r="C94" s="60">
        <v>16.47</v>
      </c>
      <c r="D94" s="60">
        <v>23.91</v>
      </c>
      <c r="E94" s="60">
        <v>4.04</v>
      </c>
      <c r="F94" s="60">
        <v>0.1</v>
      </c>
      <c r="G94" s="10" t="s">
        <v>43</v>
      </c>
      <c r="H94" s="10" t="s">
        <v>43</v>
      </c>
      <c r="I94" s="60">
        <v>7.54</v>
      </c>
      <c r="J94" s="60">
        <v>0.15</v>
      </c>
      <c r="K94" s="60">
        <v>45.23</v>
      </c>
      <c r="L94" s="60">
        <v>34.76</v>
      </c>
      <c r="M94" s="60">
        <v>78.33</v>
      </c>
      <c r="N94" s="60">
        <v>14.9</v>
      </c>
      <c r="O94" s="60">
        <v>0</v>
      </c>
      <c r="P94" s="60">
        <v>4.05</v>
      </c>
      <c r="Q94" s="60">
        <v>21.94</v>
      </c>
      <c r="R94" s="197"/>
      <c r="S94" s="197"/>
      <c r="T94" s="197"/>
      <c r="U94" s="197"/>
    </row>
    <row r="95" spans="1:26" s="12" customFormat="1" x14ac:dyDescent="0.25">
      <c r="A95" s="200" t="s">
        <v>1966</v>
      </c>
      <c r="B95" s="60">
        <v>7.47</v>
      </c>
      <c r="C95" s="60">
        <v>16.36</v>
      </c>
      <c r="D95" s="60">
        <v>23.83</v>
      </c>
      <c r="E95" s="60">
        <v>3.95</v>
      </c>
      <c r="F95" s="60">
        <v>0.25</v>
      </c>
      <c r="G95" s="10" t="s">
        <v>43</v>
      </c>
      <c r="H95" s="10" t="s">
        <v>43</v>
      </c>
      <c r="I95" s="60">
        <v>7.57</v>
      </c>
      <c r="J95" s="60">
        <v>0.09</v>
      </c>
      <c r="K95" s="60">
        <v>75.16</v>
      </c>
      <c r="L95" s="60">
        <v>34.01</v>
      </c>
      <c r="M95" s="60">
        <v>79.69</v>
      </c>
      <c r="N95" s="60">
        <v>15</v>
      </c>
      <c r="O95" s="60">
        <v>0</v>
      </c>
      <c r="P95" s="60">
        <v>4.05</v>
      </c>
      <c r="Q95" s="60">
        <v>22.02</v>
      </c>
      <c r="R95" s="197"/>
      <c r="S95" s="197"/>
      <c r="T95" s="197"/>
      <c r="U95" s="197"/>
    </row>
    <row r="96" spans="1:26" s="12" customFormat="1" x14ac:dyDescent="0.25">
      <c r="A96" s="200" t="s">
        <v>1967</v>
      </c>
      <c r="B96" s="60">
        <v>7.78</v>
      </c>
      <c r="C96" s="60">
        <v>15.58</v>
      </c>
      <c r="D96" s="60">
        <v>23.36</v>
      </c>
      <c r="E96" s="60">
        <v>3.5</v>
      </c>
      <c r="F96" s="60">
        <v>0.37</v>
      </c>
      <c r="G96" s="10" t="s">
        <v>43</v>
      </c>
      <c r="H96" s="10" t="s">
        <v>43</v>
      </c>
      <c r="I96" s="60">
        <v>7.54</v>
      </c>
      <c r="J96" s="60">
        <v>0.21</v>
      </c>
      <c r="K96" s="60">
        <v>27.31</v>
      </c>
      <c r="L96" s="60">
        <v>33.92</v>
      </c>
      <c r="M96" s="60">
        <v>80.16</v>
      </c>
      <c r="N96" s="60">
        <v>14.9</v>
      </c>
      <c r="O96" s="60">
        <v>0</v>
      </c>
      <c r="P96" s="60">
        <v>4.0599999999999996</v>
      </c>
      <c r="Q96" s="60">
        <v>22.78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1968</v>
      </c>
      <c r="B97" s="60">
        <v>8.0500000000000007</v>
      </c>
      <c r="C97" s="60">
        <v>15.24</v>
      </c>
      <c r="D97" s="60">
        <v>23.28</v>
      </c>
      <c r="E97" s="60">
        <v>3.83</v>
      </c>
      <c r="F97" s="60">
        <v>0.42</v>
      </c>
      <c r="G97" s="10" t="s">
        <v>43</v>
      </c>
      <c r="H97" s="10" t="s">
        <v>43</v>
      </c>
      <c r="I97" s="60">
        <v>7.03</v>
      </c>
      <c r="J97" s="60">
        <v>0.17</v>
      </c>
      <c r="K97" s="60">
        <v>21.59</v>
      </c>
      <c r="L97" s="60">
        <v>33.85</v>
      </c>
      <c r="M97" s="60">
        <v>80.849999999999994</v>
      </c>
      <c r="N97" s="60">
        <v>15</v>
      </c>
      <c r="O97" s="60">
        <v>0</v>
      </c>
      <c r="P97" s="60">
        <v>4.0599999999999996</v>
      </c>
      <c r="Q97" s="60">
        <v>23.18</v>
      </c>
      <c r="R97" s="197"/>
      <c r="S97" s="197"/>
      <c r="T97" s="197"/>
      <c r="U97" s="197"/>
    </row>
    <row r="98" spans="1:33" s="12" customFormat="1" x14ac:dyDescent="0.25">
      <c r="A98" s="200" t="s">
        <v>1969</v>
      </c>
      <c r="B98" s="60">
        <v>7.91</v>
      </c>
      <c r="C98" s="60">
        <v>14.59</v>
      </c>
      <c r="D98" s="60">
        <v>22.5</v>
      </c>
      <c r="E98" s="60">
        <v>4.4400000000000004</v>
      </c>
      <c r="F98" s="60">
        <v>0.33</v>
      </c>
      <c r="G98" s="10" t="s">
        <v>43</v>
      </c>
      <c r="H98" s="10" t="s">
        <v>43</v>
      </c>
      <c r="I98" s="60">
        <v>7.54</v>
      </c>
      <c r="J98" s="60">
        <v>0.18</v>
      </c>
      <c r="K98" s="60">
        <v>359.84</v>
      </c>
      <c r="L98" s="60">
        <v>33.74</v>
      </c>
      <c r="M98" s="60">
        <v>82.21</v>
      </c>
      <c r="N98" s="60">
        <v>15</v>
      </c>
      <c r="O98" s="60">
        <v>0</v>
      </c>
      <c r="P98" s="60">
        <v>4.05</v>
      </c>
      <c r="Q98" s="60">
        <v>23.04</v>
      </c>
      <c r="R98" s="197"/>
      <c r="S98" s="197"/>
      <c r="T98" s="197"/>
      <c r="U98" s="197"/>
    </row>
    <row r="99" spans="1:33" s="12" customFormat="1" x14ac:dyDescent="0.25">
      <c r="A99" s="200" t="s">
        <v>1970</v>
      </c>
      <c r="B99" s="60">
        <v>8.02</v>
      </c>
      <c r="C99" s="60">
        <v>14.04</v>
      </c>
      <c r="D99" s="60">
        <v>22.06</v>
      </c>
      <c r="E99" s="60">
        <v>4.0999999999999996</v>
      </c>
      <c r="F99" s="60">
        <v>0.34</v>
      </c>
      <c r="G99" s="10" t="s">
        <v>43</v>
      </c>
      <c r="H99" s="10" t="s">
        <v>43</v>
      </c>
      <c r="I99" s="60">
        <v>7.45</v>
      </c>
      <c r="J99" s="60">
        <v>0.2</v>
      </c>
      <c r="K99" s="60">
        <v>330.42</v>
      </c>
      <c r="L99" s="60">
        <v>33.65</v>
      </c>
      <c r="M99" s="60">
        <v>83.23</v>
      </c>
      <c r="N99" s="60">
        <v>15</v>
      </c>
      <c r="O99" s="60">
        <v>0</v>
      </c>
      <c r="P99" s="60">
        <v>4.04</v>
      </c>
      <c r="Q99" s="60">
        <v>23.16</v>
      </c>
      <c r="R99" s="197"/>
      <c r="S99" s="197"/>
      <c r="T99" s="197"/>
      <c r="U99" s="197"/>
    </row>
    <row r="100" spans="1:33" s="12" customFormat="1" x14ac:dyDescent="0.25">
      <c r="A100" s="200" t="s">
        <v>1971</v>
      </c>
      <c r="B100" s="60">
        <v>8.17</v>
      </c>
      <c r="C100" s="60">
        <v>13.52</v>
      </c>
      <c r="D100" s="60">
        <v>21.69</v>
      </c>
      <c r="E100" s="60">
        <v>4.55</v>
      </c>
      <c r="F100" s="60">
        <v>0.32</v>
      </c>
      <c r="G100" s="10" t="s">
        <v>43</v>
      </c>
      <c r="H100" s="10" t="s">
        <v>43</v>
      </c>
      <c r="I100" s="60">
        <v>7.41</v>
      </c>
      <c r="J100" s="60">
        <v>0.69</v>
      </c>
      <c r="K100" s="60">
        <v>312.11</v>
      </c>
      <c r="L100" s="60">
        <v>33.64</v>
      </c>
      <c r="M100" s="60">
        <v>82.53</v>
      </c>
      <c r="N100" s="60">
        <v>14.9</v>
      </c>
      <c r="O100" s="60">
        <v>0</v>
      </c>
      <c r="P100" s="60">
        <v>4.04</v>
      </c>
      <c r="Q100" s="60">
        <v>23.75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1972</v>
      </c>
      <c r="B101" s="60">
        <v>7.92</v>
      </c>
      <c r="C101" s="60">
        <v>13.16</v>
      </c>
      <c r="D101" s="60">
        <v>21.08</v>
      </c>
      <c r="E101" s="60">
        <v>4.49</v>
      </c>
      <c r="F101" s="60">
        <v>0.56999999999999995</v>
      </c>
      <c r="G101" s="10" t="s">
        <v>43</v>
      </c>
      <c r="H101" s="10" t="s">
        <v>43</v>
      </c>
      <c r="I101" s="60">
        <v>7.18</v>
      </c>
      <c r="J101" s="60">
        <v>0.73</v>
      </c>
      <c r="K101" s="60">
        <v>314.12</v>
      </c>
      <c r="L101" s="60">
        <v>33.659999999999997</v>
      </c>
      <c r="M101" s="60">
        <v>81.430000000000007</v>
      </c>
      <c r="N101" s="60">
        <v>15.1</v>
      </c>
      <c r="O101" s="60">
        <v>0</v>
      </c>
      <c r="P101" s="60">
        <v>4.0199999999999996</v>
      </c>
      <c r="Q101" s="60">
        <v>23.7</v>
      </c>
      <c r="R101" s="197"/>
      <c r="S101" s="197"/>
      <c r="T101" s="197"/>
      <c r="U101" s="197"/>
    </row>
    <row r="102" spans="1:33" s="12" customFormat="1" x14ac:dyDescent="0.25">
      <c r="A102" s="200" t="s">
        <v>1973</v>
      </c>
      <c r="B102" s="60">
        <v>7.53</v>
      </c>
      <c r="C102" s="60">
        <v>13.12</v>
      </c>
      <c r="D102" s="60">
        <v>20.64</v>
      </c>
      <c r="E102" s="60">
        <v>4.6900000000000004</v>
      </c>
      <c r="F102" s="60">
        <v>0.3</v>
      </c>
      <c r="G102" s="10" t="s">
        <v>43</v>
      </c>
      <c r="H102" s="10" t="s">
        <v>43</v>
      </c>
      <c r="I102" s="60">
        <v>8.2799999999999994</v>
      </c>
      <c r="J102" s="60">
        <v>1.01</v>
      </c>
      <c r="K102" s="60">
        <v>311.58999999999997</v>
      </c>
      <c r="L102" s="60">
        <v>33.76</v>
      </c>
      <c r="M102" s="60">
        <v>79.650000000000006</v>
      </c>
      <c r="N102" s="60">
        <v>15.1</v>
      </c>
      <c r="O102" s="60">
        <v>0</v>
      </c>
      <c r="P102" s="60">
        <v>3.99</v>
      </c>
      <c r="Q102" s="60">
        <v>22.62</v>
      </c>
      <c r="R102" s="197"/>
      <c r="S102" s="197"/>
      <c r="T102" s="197"/>
      <c r="U102" s="197"/>
    </row>
    <row r="103" spans="1:33" s="12" customFormat="1" x14ac:dyDescent="0.25">
      <c r="A103" s="200" t="s">
        <v>1974</v>
      </c>
      <c r="B103" s="60">
        <v>7.11</v>
      </c>
      <c r="C103" s="60">
        <v>12.86</v>
      </c>
      <c r="D103" s="60">
        <v>19.98</v>
      </c>
      <c r="E103" s="60">
        <v>4.63</v>
      </c>
      <c r="F103" s="60">
        <v>0.42</v>
      </c>
      <c r="G103" s="10" t="s">
        <v>43</v>
      </c>
      <c r="H103" s="10" t="s">
        <v>43</v>
      </c>
      <c r="I103" s="60">
        <v>8.2200000000000006</v>
      </c>
      <c r="J103" s="60">
        <v>0.8</v>
      </c>
      <c r="K103" s="60">
        <v>317.02999999999997</v>
      </c>
      <c r="L103" s="60">
        <v>33.630000000000003</v>
      </c>
      <c r="M103" s="60">
        <v>82.16</v>
      </c>
      <c r="N103" s="60">
        <v>15.4</v>
      </c>
      <c r="O103" s="60">
        <v>0</v>
      </c>
      <c r="P103" s="60">
        <v>3.94</v>
      </c>
      <c r="Q103" s="60">
        <v>21.67</v>
      </c>
      <c r="R103" s="197"/>
      <c r="S103" s="197"/>
      <c r="T103" s="197"/>
      <c r="U103" s="197"/>
    </row>
    <row r="104" spans="1:33" s="12" customFormat="1" x14ac:dyDescent="0.25">
      <c r="A104" s="200" t="s">
        <v>1975</v>
      </c>
      <c r="B104" s="60">
        <v>6.35</v>
      </c>
      <c r="C104" s="60">
        <v>12.8</v>
      </c>
      <c r="D104" s="60">
        <v>19.149999999999999</v>
      </c>
      <c r="E104" s="60">
        <v>2.39</v>
      </c>
      <c r="F104" s="60">
        <v>0.25</v>
      </c>
      <c r="G104" s="10" t="s">
        <v>43</v>
      </c>
      <c r="H104" s="10" t="s">
        <v>43</v>
      </c>
      <c r="I104" s="60">
        <v>7.97</v>
      </c>
      <c r="J104" s="60">
        <v>0.6</v>
      </c>
      <c r="K104" s="60">
        <v>317.73</v>
      </c>
      <c r="L104" s="60">
        <v>33.04</v>
      </c>
      <c r="M104" s="60">
        <v>85.7</v>
      </c>
      <c r="N104" s="60">
        <v>15</v>
      </c>
      <c r="O104" s="60">
        <v>0</v>
      </c>
      <c r="P104" s="60">
        <v>3.89</v>
      </c>
      <c r="Q104" s="60">
        <v>20.48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5" t="s">
        <v>59</v>
      </c>
      <c r="B106" s="67">
        <f>MIN(B9:B104)</f>
        <v>1.61</v>
      </c>
      <c r="C106" s="67">
        <f>MIN(C9:C104)</f>
        <v>9.8699999999999992</v>
      </c>
      <c r="D106" s="67">
        <f t="shared" ref="D106:Q106" si="0">MIN(D9:D104)</f>
        <v>12.38</v>
      </c>
      <c r="E106" s="67">
        <f t="shared" si="0"/>
        <v>0.56000000000000005</v>
      </c>
      <c r="F106" s="67">
        <f t="shared" si="0"/>
        <v>0.04</v>
      </c>
      <c r="G106" s="67">
        <f t="shared" si="0"/>
        <v>5.6</v>
      </c>
      <c r="H106" s="67">
        <f t="shared" si="0"/>
        <v>3.69</v>
      </c>
      <c r="I106" s="67">
        <f t="shared" si="0"/>
        <v>3.78</v>
      </c>
      <c r="J106" s="67">
        <f t="shared" si="0"/>
        <v>0.01</v>
      </c>
      <c r="K106" s="67">
        <f t="shared" si="0"/>
        <v>0.42</v>
      </c>
      <c r="L106" s="67">
        <f t="shared" si="0"/>
        <v>33.04</v>
      </c>
      <c r="M106" s="67">
        <f t="shared" si="0"/>
        <v>52.92</v>
      </c>
      <c r="N106" s="67">
        <f t="shared" si="0"/>
        <v>14.6</v>
      </c>
      <c r="O106" s="67">
        <f t="shared" si="0"/>
        <v>0</v>
      </c>
      <c r="P106" s="67">
        <f t="shared" si="0"/>
        <v>3.55</v>
      </c>
      <c r="Q106" s="67">
        <f t="shared" si="0"/>
        <v>9.2799999999999994</v>
      </c>
      <c r="R106" s="198"/>
      <c r="S106" s="198"/>
      <c r="T106" s="198"/>
      <c r="U106" s="198"/>
    </row>
    <row r="107" spans="1:33" x14ac:dyDescent="0.25">
      <c r="A107" s="65" t="s">
        <v>60</v>
      </c>
      <c r="B107" s="66">
        <f>MAX(B9:B104)</f>
        <v>12.95</v>
      </c>
      <c r="C107" s="66">
        <f t="shared" ref="C107:Q107" si="1">MAX(C9:C104)</f>
        <v>20.22</v>
      </c>
      <c r="D107" s="66">
        <f t="shared" si="1"/>
        <v>27.04</v>
      </c>
      <c r="E107" s="66">
        <f t="shared" si="1"/>
        <v>7.58</v>
      </c>
      <c r="F107" s="66">
        <f t="shared" si="1"/>
        <v>3.45</v>
      </c>
      <c r="G107" s="66">
        <f t="shared" si="1"/>
        <v>20.53</v>
      </c>
      <c r="H107" s="66">
        <f t="shared" si="1"/>
        <v>53.69</v>
      </c>
      <c r="I107" s="66">
        <f t="shared" si="1"/>
        <v>8.2799999999999994</v>
      </c>
      <c r="J107" s="66">
        <f t="shared" si="1"/>
        <v>1.48</v>
      </c>
      <c r="K107" s="66">
        <f t="shared" si="1"/>
        <v>359.84</v>
      </c>
      <c r="L107" s="66">
        <f t="shared" si="1"/>
        <v>52.38</v>
      </c>
      <c r="M107" s="66">
        <f t="shared" si="1"/>
        <v>92.23</v>
      </c>
      <c r="N107" s="66">
        <f t="shared" si="1"/>
        <v>994.2</v>
      </c>
      <c r="O107" s="66">
        <f t="shared" si="1"/>
        <v>0</v>
      </c>
      <c r="P107" s="66">
        <f t="shared" si="1"/>
        <v>4.0599999999999996</v>
      </c>
      <c r="Q107" s="66">
        <f t="shared" si="1"/>
        <v>366.95</v>
      </c>
      <c r="R107" s="199"/>
      <c r="S107" s="199"/>
      <c r="T107" s="199"/>
      <c r="U107" s="199"/>
    </row>
    <row r="108" spans="1:33" x14ac:dyDescent="0.25">
      <c r="A108" s="65" t="s">
        <v>61</v>
      </c>
      <c r="B108" s="67">
        <f>AVERAGE(B9:B104)</f>
        <v>6.4029166666666653</v>
      </c>
      <c r="C108" s="67">
        <f t="shared" ref="C108:Q108" si="2">AVERAGE(C9:C104)</f>
        <v>13.259166666666658</v>
      </c>
      <c r="D108" s="67">
        <f t="shared" si="2"/>
        <v>19.661562499999999</v>
      </c>
      <c r="E108" s="67">
        <f t="shared" si="2"/>
        <v>4.076249999999999</v>
      </c>
      <c r="F108" s="67">
        <f t="shared" si="2"/>
        <v>0.66572916666666682</v>
      </c>
      <c r="G108" s="67">
        <f t="shared" si="2"/>
        <v>12.081500000000002</v>
      </c>
      <c r="H108" s="67">
        <f t="shared" si="2"/>
        <v>15.54016393442623</v>
      </c>
      <c r="I108" s="67">
        <f t="shared" si="2"/>
        <v>5.5510869565217398</v>
      </c>
      <c r="J108" s="67">
        <f t="shared" si="2"/>
        <v>0.36052631578947375</v>
      </c>
      <c r="K108" s="67">
        <f t="shared" si="2"/>
        <v>204.97562499999995</v>
      </c>
      <c r="L108" s="67">
        <f t="shared" si="2"/>
        <v>41.802187500000009</v>
      </c>
      <c r="M108" s="67">
        <f t="shared" si="2"/>
        <v>73.522916666666646</v>
      </c>
      <c r="N108" s="67">
        <f t="shared" si="2"/>
        <v>255.26979166666672</v>
      </c>
      <c r="O108" s="67">
        <f t="shared" si="2"/>
        <v>0</v>
      </c>
      <c r="P108" s="67">
        <f t="shared" si="2"/>
        <v>3.7193750000000008</v>
      </c>
      <c r="Q108" s="67">
        <f t="shared" si="2"/>
        <v>84.402395833333316</v>
      </c>
      <c r="R108" s="198"/>
      <c r="S108" s="198"/>
      <c r="T108" s="198"/>
      <c r="U108" s="198"/>
    </row>
    <row r="109" spans="1:33" x14ac:dyDescent="0.25">
      <c r="A109" s="65" t="s">
        <v>77</v>
      </c>
      <c r="B109" s="67">
        <f>STDEV(B9:B104)</f>
        <v>3.1644791428628576</v>
      </c>
      <c r="C109" s="67">
        <f t="shared" ref="C109:Q109" si="3">STDEV(C9:C104)</f>
        <v>2.7084397010152137</v>
      </c>
      <c r="D109" s="67">
        <f t="shared" si="3"/>
        <v>3.6776311964504234</v>
      </c>
      <c r="E109" s="67">
        <f t="shared" si="3"/>
        <v>1.7254090285464134</v>
      </c>
      <c r="F109" s="67">
        <f t="shared" si="3"/>
        <v>0.77461534738443505</v>
      </c>
      <c r="G109" s="67">
        <f t="shared" si="3"/>
        <v>5.2308882963050412</v>
      </c>
      <c r="H109" s="67">
        <f t="shared" si="3"/>
        <v>11.92010199785825</v>
      </c>
      <c r="I109" s="67">
        <f t="shared" si="3"/>
        <v>1.5076180304055327</v>
      </c>
      <c r="J109" s="67">
        <f t="shared" si="3"/>
        <v>0.36552023089526653</v>
      </c>
      <c r="K109" s="67">
        <f t="shared" si="3"/>
        <v>141.62111383482261</v>
      </c>
      <c r="L109" s="67">
        <f t="shared" si="3"/>
        <v>5.7263768618808717</v>
      </c>
      <c r="M109" s="67">
        <f t="shared" si="3"/>
        <v>13.735006134282431</v>
      </c>
      <c r="N109" s="67">
        <f t="shared" si="3"/>
        <v>313.69699262682451</v>
      </c>
      <c r="O109" s="67">
        <f t="shared" si="3"/>
        <v>0</v>
      </c>
      <c r="P109" s="67">
        <f t="shared" si="3"/>
        <v>0.15162844129821523</v>
      </c>
      <c r="Q109" s="67">
        <f t="shared" si="3"/>
        <v>97.363218081841353</v>
      </c>
      <c r="R109" s="198"/>
      <c r="S109" s="198"/>
      <c r="T109" s="198"/>
      <c r="U109" s="198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COUNT(G9:G104)+53</f>
        <v>73</v>
      </c>
      <c r="H110" s="66">
        <f>COUNT(H9:H104)+20</f>
        <v>81</v>
      </c>
      <c r="I110" s="66">
        <f>COUNT(I9:I104)+50</f>
        <v>96</v>
      </c>
      <c r="J110" s="66">
        <f>COUNT(J9:J104)+1</f>
        <v>96</v>
      </c>
      <c r="K110" s="66">
        <f t="shared" si="4"/>
        <v>96</v>
      </c>
      <c r="L110" s="66">
        <f t="shared" si="4"/>
        <v>64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9"/>
      <c r="S110" s="199"/>
      <c r="T110" s="199"/>
      <c r="U110" s="199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&lt;90%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LESS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218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0" sqref="G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19-08-2022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234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1976</v>
      </c>
      <c r="B9" s="60">
        <v>5.48</v>
      </c>
      <c r="C9" s="60">
        <v>12.39</v>
      </c>
      <c r="D9" s="60">
        <v>17.87</v>
      </c>
      <c r="E9" s="60">
        <v>3.25</v>
      </c>
      <c r="F9" s="60">
        <v>0.23</v>
      </c>
      <c r="G9" s="60">
        <v>0.87</v>
      </c>
      <c r="H9" s="60">
        <v>202.14</v>
      </c>
      <c r="I9" s="6" t="s">
        <v>42</v>
      </c>
      <c r="J9" s="60">
        <v>0.47</v>
      </c>
      <c r="K9" s="60">
        <v>321.87</v>
      </c>
      <c r="L9" s="60">
        <v>39.64</v>
      </c>
      <c r="M9" s="60">
        <v>89.66</v>
      </c>
      <c r="N9" s="60">
        <v>14.7</v>
      </c>
      <c r="O9" s="60">
        <v>0.2</v>
      </c>
      <c r="P9" s="60">
        <v>3.86</v>
      </c>
      <c r="Q9" s="60">
        <v>18.989999999999998</v>
      </c>
      <c r="R9" s="197"/>
      <c r="S9" s="197"/>
      <c r="T9" s="197"/>
      <c r="U9" s="197"/>
    </row>
    <row r="10" spans="1:21" s="12" customFormat="1" x14ac:dyDescent="0.25">
      <c r="A10" s="200" t="s">
        <v>1977</v>
      </c>
      <c r="B10" s="60">
        <v>4.7699999999999996</v>
      </c>
      <c r="C10" s="60">
        <v>11.75</v>
      </c>
      <c r="D10" s="60">
        <v>16.52</v>
      </c>
      <c r="E10" s="60">
        <v>3.82</v>
      </c>
      <c r="F10" s="60">
        <v>0.21</v>
      </c>
      <c r="G10" s="60">
        <v>0.71</v>
      </c>
      <c r="H10" s="60">
        <v>84.17</v>
      </c>
      <c r="I10" s="6" t="s">
        <v>42</v>
      </c>
      <c r="J10" s="60">
        <v>0.51</v>
      </c>
      <c r="K10" s="60">
        <v>321.81</v>
      </c>
      <c r="L10" s="60">
        <v>33.58</v>
      </c>
      <c r="M10" s="60">
        <v>89.12</v>
      </c>
      <c r="N10" s="60">
        <v>14.6</v>
      </c>
      <c r="O10" s="60">
        <v>0</v>
      </c>
      <c r="P10" s="60">
        <v>3.81</v>
      </c>
      <c r="Q10" s="60">
        <v>17.75</v>
      </c>
      <c r="R10" s="197"/>
      <c r="S10" s="197"/>
      <c r="T10" s="197"/>
      <c r="U10" s="197"/>
    </row>
    <row r="11" spans="1:21" s="12" customFormat="1" x14ac:dyDescent="0.25">
      <c r="A11" s="200" t="s">
        <v>1978</v>
      </c>
      <c r="B11" s="60">
        <v>4.16</v>
      </c>
      <c r="C11" s="60">
        <v>11.42</v>
      </c>
      <c r="D11" s="60">
        <v>15.58</v>
      </c>
      <c r="E11" s="60">
        <v>4.0999999999999996</v>
      </c>
      <c r="F11" s="60">
        <v>0.02</v>
      </c>
      <c r="G11" s="60">
        <v>0.69</v>
      </c>
      <c r="H11" s="60">
        <v>60.58</v>
      </c>
      <c r="I11" s="6" t="s">
        <v>42</v>
      </c>
      <c r="J11" s="60">
        <v>0.61</v>
      </c>
      <c r="K11" s="60">
        <v>313.73</v>
      </c>
      <c r="L11" s="60">
        <v>32.06</v>
      </c>
      <c r="M11" s="60">
        <v>89.96</v>
      </c>
      <c r="N11" s="60">
        <v>14.6</v>
      </c>
      <c r="O11" s="60">
        <v>0</v>
      </c>
      <c r="P11" s="60">
        <v>3.77</v>
      </c>
      <c r="Q11" s="60">
        <v>16.77</v>
      </c>
      <c r="R11" s="197"/>
      <c r="S11" s="197"/>
      <c r="T11" s="197"/>
      <c r="U11" s="197"/>
    </row>
    <row r="12" spans="1:21" s="12" customFormat="1" x14ac:dyDescent="0.25">
      <c r="A12" s="200" t="s">
        <v>1979</v>
      </c>
      <c r="B12" s="60">
        <v>3.87</v>
      </c>
      <c r="C12" s="60">
        <v>10.89</v>
      </c>
      <c r="D12" s="60">
        <v>14.76</v>
      </c>
      <c r="E12" s="60">
        <v>4.16</v>
      </c>
      <c r="F12" s="60">
        <v>0.13</v>
      </c>
      <c r="G12" s="60">
        <v>0.69</v>
      </c>
      <c r="H12" s="60">
        <v>60.58</v>
      </c>
      <c r="I12" s="6" t="s">
        <v>42</v>
      </c>
      <c r="J12" s="60">
        <v>0.55000000000000004</v>
      </c>
      <c r="K12" s="60">
        <v>312.61</v>
      </c>
      <c r="L12" s="60">
        <v>31.85</v>
      </c>
      <c r="M12" s="60">
        <v>91.12</v>
      </c>
      <c r="N12" s="60">
        <v>14.7</v>
      </c>
      <c r="O12" s="60">
        <v>0.2</v>
      </c>
      <c r="P12" s="60">
        <v>3.75</v>
      </c>
      <c r="Q12" s="60">
        <v>16.66</v>
      </c>
      <c r="R12" s="197"/>
      <c r="S12" s="197"/>
      <c r="T12" s="197"/>
      <c r="U12" s="197"/>
    </row>
    <row r="13" spans="1:21" s="12" customFormat="1" x14ac:dyDescent="0.25">
      <c r="A13" s="200" t="s">
        <v>1980</v>
      </c>
      <c r="B13" s="60">
        <v>3.8</v>
      </c>
      <c r="C13" s="60">
        <v>10.92</v>
      </c>
      <c r="D13" s="60">
        <v>14.72</v>
      </c>
      <c r="E13" s="60">
        <v>4.16</v>
      </c>
      <c r="F13" s="60">
        <v>0.12</v>
      </c>
      <c r="G13" s="60">
        <v>0.69</v>
      </c>
      <c r="H13" s="60">
        <v>60.58</v>
      </c>
      <c r="I13" s="6" t="s">
        <v>42</v>
      </c>
      <c r="J13" s="60">
        <v>7.0000000000000007E-2</v>
      </c>
      <c r="K13" s="60">
        <v>306.27999999999997</v>
      </c>
      <c r="L13" s="60">
        <v>31.63</v>
      </c>
      <c r="M13" s="60">
        <v>92.93</v>
      </c>
      <c r="N13" s="60">
        <v>14.7</v>
      </c>
      <c r="O13" s="60">
        <v>0</v>
      </c>
      <c r="P13" s="60">
        <v>3.73</v>
      </c>
      <c r="Q13" s="60">
        <v>16.11</v>
      </c>
      <c r="R13" s="197"/>
      <c r="S13" s="197"/>
      <c r="T13" s="197"/>
      <c r="U13" s="197"/>
    </row>
    <row r="14" spans="1:21" s="12" customFormat="1" x14ac:dyDescent="0.25">
      <c r="A14" s="200" t="s">
        <v>1981</v>
      </c>
      <c r="B14" s="60">
        <v>3.77</v>
      </c>
      <c r="C14" s="60">
        <v>10.25</v>
      </c>
      <c r="D14" s="60">
        <v>14.02</v>
      </c>
      <c r="E14" s="60">
        <v>4.1399999999999997</v>
      </c>
      <c r="F14" s="60">
        <v>0.02</v>
      </c>
      <c r="G14" s="60">
        <v>0.57999999999999996</v>
      </c>
      <c r="H14" s="60">
        <v>13.77</v>
      </c>
      <c r="I14" s="6" t="s">
        <v>42</v>
      </c>
      <c r="J14" s="60">
        <v>0.02</v>
      </c>
      <c r="K14" s="60">
        <v>92.58</v>
      </c>
      <c r="L14" s="60">
        <v>31.76</v>
      </c>
      <c r="M14" s="60">
        <v>94.61</v>
      </c>
      <c r="N14" s="60">
        <v>14.7</v>
      </c>
      <c r="O14" s="60">
        <v>0.2</v>
      </c>
      <c r="P14" s="60">
        <v>3.71</v>
      </c>
      <c r="Q14" s="60">
        <v>16.29</v>
      </c>
      <c r="R14" s="197"/>
      <c r="S14" s="197"/>
      <c r="T14" s="197"/>
      <c r="U14" s="197"/>
    </row>
    <row r="15" spans="1:21" s="12" customFormat="1" x14ac:dyDescent="0.25">
      <c r="A15" s="200" t="s">
        <v>1982</v>
      </c>
      <c r="B15" s="60">
        <v>3.83</v>
      </c>
      <c r="C15" s="60">
        <v>9.6</v>
      </c>
      <c r="D15" s="60">
        <v>13.43</v>
      </c>
      <c r="E15" s="60">
        <v>3.86</v>
      </c>
      <c r="F15" s="60">
        <v>0.09</v>
      </c>
      <c r="G15" s="60">
        <v>0.56999999999999995</v>
      </c>
      <c r="H15" s="60">
        <v>3.65</v>
      </c>
      <c r="I15" s="6" t="s">
        <v>42</v>
      </c>
      <c r="J15" s="60">
        <v>0.13</v>
      </c>
      <c r="K15" s="60">
        <v>196.04</v>
      </c>
      <c r="L15" s="60">
        <v>42.77</v>
      </c>
      <c r="M15" s="60">
        <v>94.1</v>
      </c>
      <c r="N15" s="60">
        <v>15</v>
      </c>
      <c r="O15" s="60">
        <v>0</v>
      </c>
      <c r="P15" s="60">
        <v>3.71</v>
      </c>
      <c r="Q15" s="60">
        <v>17.18</v>
      </c>
      <c r="R15" s="197"/>
      <c r="S15" s="197"/>
      <c r="T15" s="197"/>
      <c r="U15" s="197"/>
    </row>
    <row r="16" spans="1:21" s="12" customFormat="1" x14ac:dyDescent="0.25">
      <c r="A16" s="200" t="s">
        <v>1983</v>
      </c>
      <c r="B16" s="60">
        <v>3.92</v>
      </c>
      <c r="C16" s="60">
        <v>9.19</v>
      </c>
      <c r="D16" s="60">
        <v>13.11</v>
      </c>
      <c r="E16" s="60">
        <v>4.28</v>
      </c>
      <c r="F16" s="60">
        <v>0.37</v>
      </c>
      <c r="G16" s="60">
        <v>0.56999999999999995</v>
      </c>
      <c r="H16" s="60">
        <v>3.65</v>
      </c>
      <c r="I16" s="6" t="s">
        <v>42</v>
      </c>
      <c r="J16" s="60">
        <v>0.13</v>
      </c>
      <c r="K16" s="60">
        <v>225.05</v>
      </c>
      <c r="L16" s="60">
        <v>45.73</v>
      </c>
      <c r="M16" s="60">
        <v>93.82</v>
      </c>
      <c r="N16" s="60">
        <v>15.3</v>
      </c>
      <c r="O16" s="60">
        <v>0</v>
      </c>
      <c r="P16" s="60">
        <v>3.74</v>
      </c>
      <c r="Q16" s="60">
        <v>18.05</v>
      </c>
      <c r="R16" s="197"/>
      <c r="S16" s="197"/>
      <c r="T16" s="197"/>
      <c r="U16" s="197"/>
    </row>
    <row r="17" spans="1:21" s="12" customFormat="1" x14ac:dyDescent="0.25">
      <c r="A17" s="200" t="s">
        <v>1984</v>
      </c>
      <c r="B17" s="60">
        <v>4.08</v>
      </c>
      <c r="C17" s="60">
        <v>8.91</v>
      </c>
      <c r="D17" s="60">
        <v>12.99</v>
      </c>
      <c r="E17" s="60">
        <v>4.49</v>
      </c>
      <c r="F17" s="60">
        <v>0.3</v>
      </c>
      <c r="G17" s="60">
        <v>0.56999999999999995</v>
      </c>
      <c r="H17" s="60">
        <v>3.65</v>
      </c>
      <c r="I17" s="6" t="s">
        <v>42</v>
      </c>
      <c r="J17" s="60">
        <v>0.08</v>
      </c>
      <c r="K17" s="60">
        <v>11.34</v>
      </c>
      <c r="L17" s="60">
        <v>47.13</v>
      </c>
      <c r="M17" s="60">
        <v>94.26</v>
      </c>
      <c r="N17" s="60">
        <v>15.1</v>
      </c>
      <c r="O17" s="60">
        <v>0</v>
      </c>
      <c r="P17" s="60">
        <v>3.77</v>
      </c>
      <c r="Q17" s="60">
        <v>18.82</v>
      </c>
      <c r="R17" s="197"/>
      <c r="S17" s="197"/>
      <c r="T17" s="197"/>
      <c r="U17" s="197"/>
    </row>
    <row r="18" spans="1:21" s="12" customFormat="1" x14ac:dyDescent="0.25">
      <c r="A18" s="200" t="s">
        <v>1985</v>
      </c>
      <c r="B18" s="60">
        <v>4.22</v>
      </c>
      <c r="C18" s="60">
        <v>8.7899999999999991</v>
      </c>
      <c r="D18" s="60">
        <v>13.01</v>
      </c>
      <c r="E18" s="60">
        <v>4.7699999999999996</v>
      </c>
      <c r="F18" s="60">
        <v>0.12</v>
      </c>
      <c r="G18" s="60">
        <v>0.49</v>
      </c>
      <c r="H18" s="60">
        <v>4.51</v>
      </c>
      <c r="I18" s="6" t="s">
        <v>42</v>
      </c>
      <c r="J18" s="60">
        <v>0.18</v>
      </c>
      <c r="K18" s="60">
        <v>352.58</v>
      </c>
      <c r="L18" s="60">
        <v>47.29</v>
      </c>
      <c r="M18" s="60">
        <v>91.98</v>
      </c>
      <c r="N18" s="60">
        <v>15.2</v>
      </c>
      <c r="O18" s="60">
        <v>0</v>
      </c>
      <c r="P18" s="60">
        <v>3.79</v>
      </c>
      <c r="Q18" s="60">
        <v>18.96</v>
      </c>
      <c r="R18" s="197"/>
      <c r="S18" s="197"/>
      <c r="T18" s="197"/>
      <c r="U18" s="197"/>
    </row>
    <row r="19" spans="1:21" s="12" customFormat="1" x14ac:dyDescent="0.25">
      <c r="A19" s="200" t="s">
        <v>1986</v>
      </c>
      <c r="B19" s="60">
        <v>4.13</v>
      </c>
      <c r="C19" s="60">
        <v>8.68</v>
      </c>
      <c r="D19" s="60">
        <v>12.81</v>
      </c>
      <c r="E19" s="60">
        <v>4.58</v>
      </c>
      <c r="F19" s="60">
        <v>0.1</v>
      </c>
      <c r="G19" s="60">
        <v>0.48</v>
      </c>
      <c r="H19" s="60">
        <v>4.7</v>
      </c>
      <c r="I19" s="6" t="s">
        <v>42</v>
      </c>
      <c r="J19" s="60">
        <v>0.35</v>
      </c>
      <c r="K19" s="60">
        <v>326.68</v>
      </c>
      <c r="L19" s="60">
        <v>46.97</v>
      </c>
      <c r="M19" s="60">
        <v>90.17</v>
      </c>
      <c r="N19" s="60">
        <v>15.4</v>
      </c>
      <c r="O19" s="60">
        <v>0</v>
      </c>
      <c r="P19" s="60">
        <v>3.77</v>
      </c>
      <c r="Q19" s="60">
        <v>18.690000000000001</v>
      </c>
      <c r="R19" s="197"/>
      <c r="S19" s="197"/>
      <c r="T19" s="197"/>
      <c r="U19" s="197"/>
    </row>
    <row r="20" spans="1:21" s="12" customFormat="1" x14ac:dyDescent="0.25">
      <c r="A20" s="200" t="s">
        <v>1987</v>
      </c>
      <c r="B20" s="60">
        <v>3.99</v>
      </c>
      <c r="C20" s="60">
        <v>8.58</v>
      </c>
      <c r="D20" s="60">
        <v>12.57</v>
      </c>
      <c r="E20" s="60">
        <v>4.78</v>
      </c>
      <c r="F20" s="60">
        <v>0.36</v>
      </c>
      <c r="G20" s="60">
        <v>0.48</v>
      </c>
      <c r="H20" s="60">
        <v>4.7</v>
      </c>
      <c r="I20" s="6" t="s">
        <v>42</v>
      </c>
      <c r="J20" s="60">
        <v>0.1</v>
      </c>
      <c r="K20" s="60">
        <v>172.22</v>
      </c>
      <c r="L20" s="60">
        <v>46.94</v>
      </c>
      <c r="M20" s="60">
        <v>91.09</v>
      </c>
      <c r="N20" s="60">
        <v>15.4</v>
      </c>
      <c r="O20" s="60">
        <v>0</v>
      </c>
      <c r="P20" s="60">
        <v>3.76</v>
      </c>
      <c r="Q20" s="60">
        <v>18.41</v>
      </c>
      <c r="R20" s="197"/>
      <c r="S20" s="197"/>
      <c r="T20" s="197"/>
      <c r="U20" s="197"/>
    </row>
    <row r="21" spans="1:21" s="12" customFormat="1" x14ac:dyDescent="0.25">
      <c r="A21" s="200" t="s">
        <v>1988</v>
      </c>
      <c r="B21" s="60">
        <v>4.01</v>
      </c>
      <c r="C21" s="60">
        <v>8.9499999999999993</v>
      </c>
      <c r="D21" s="60">
        <v>12.96</v>
      </c>
      <c r="E21" s="60">
        <v>4.7699999999999996</v>
      </c>
      <c r="F21" s="60">
        <v>0.17</v>
      </c>
      <c r="G21" s="60">
        <v>0.48</v>
      </c>
      <c r="H21" s="60">
        <v>4.7</v>
      </c>
      <c r="I21" s="6" t="s">
        <v>42</v>
      </c>
      <c r="J21" s="60">
        <v>0.28000000000000003</v>
      </c>
      <c r="K21" s="60">
        <v>210.01</v>
      </c>
      <c r="L21" s="60">
        <v>45.6</v>
      </c>
      <c r="M21" s="60">
        <v>92.77</v>
      </c>
      <c r="N21" s="60">
        <v>15.5</v>
      </c>
      <c r="O21" s="60">
        <v>0</v>
      </c>
      <c r="P21" s="60">
        <v>3.78</v>
      </c>
      <c r="Q21" s="60">
        <v>18.54</v>
      </c>
      <c r="R21" s="197"/>
      <c r="S21" s="197"/>
      <c r="T21" s="197"/>
      <c r="U21" s="197"/>
    </row>
    <row r="22" spans="1:21" s="12" customFormat="1" x14ac:dyDescent="0.25">
      <c r="A22" s="200" t="s">
        <v>1989</v>
      </c>
      <c r="B22" s="60">
        <v>4.03</v>
      </c>
      <c r="C22" s="60">
        <v>8.76</v>
      </c>
      <c r="D22" s="60">
        <v>12.79</v>
      </c>
      <c r="E22" s="60">
        <v>4.8099999999999996</v>
      </c>
      <c r="F22" s="60">
        <v>0.18</v>
      </c>
      <c r="G22" s="60">
        <v>0.42</v>
      </c>
      <c r="H22" s="60">
        <v>89.78</v>
      </c>
      <c r="I22" s="6" t="s">
        <v>42</v>
      </c>
      <c r="J22" s="60">
        <v>0.49</v>
      </c>
      <c r="K22" s="60">
        <v>188.66</v>
      </c>
      <c r="L22" s="60">
        <v>42.31</v>
      </c>
      <c r="M22" s="60">
        <v>95.2</v>
      </c>
      <c r="N22" s="60">
        <v>15.7</v>
      </c>
      <c r="O22" s="60">
        <v>0</v>
      </c>
      <c r="P22" s="60">
        <v>3.81</v>
      </c>
      <c r="Q22" s="60">
        <v>18.79</v>
      </c>
      <c r="R22" s="197"/>
      <c r="S22" s="197"/>
      <c r="T22" s="197"/>
      <c r="U22" s="197"/>
    </row>
    <row r="23" spans="1:21" s="12" customFormat="1" x14ac:dyDescent="0.25">
      <c r="A23" s="200" t="s">
        <v>1990</v>
      </c>
      <c r="B23" s="60">
        <v>3.99</v>
      </c>
      <c r="C23" s="60">
        <v>8.44</v>
      </c>
      <c r="D23" s="60">
        <v>12.44</v>
      </c>
      <c r="E23" s="60">
        <v>4.78</v>
      </c>
      <c r="F23" s="60">
        <v>0.11</v>
      </c>
      <c r="G23" s="60">
        <v>0.41</v>
      </c>
      <c r="H23" s="60">
        <v>106.79</v>
      </c>
      <c r="I23" s="6" t="s">
        <v>42</v>
      </c>
      <c r="J23" s="60">
        <v>0.76</v>
      </c>
      <c r="K23" s="60">
        <v>159.07</v>
      </c>
      <c r="L23" s="60">
        <v>40.82</v>
      </c>
      <c r="M23" s="60">
        <v>96.41</v>
      </c>
      <c r="N23" s="60">
        <v>15.6</v>
      </c>
      <c r="O23" s="60">
        <v>0</v>
      </c>
      <c r="P23" s="60">
        <v>3.8</v>
      </c>
      <c r="Q23" s="60">
        <v>18.25</v>
      </c>
      <c r="R23" s="197"/>
      <c r="S23" s="197"/>
      <c r="T23" s="197"/>
      <c r="U23" s="197"/>
    </row>
    <row r="24" spans="1:21" s="12" customFormat="1" x14ac:dyDescent="0.25">
      <c r="A24" s="200" t="s">
        <v>1991</v>
      </c>
      <c r="B24" s="60">
        <v>3.85</v>
      </c>
      <c r="C24" s="60">
        <v>8.44</v>
      </c>
      <c r="D24" s="60">
        <v>12.29</v>
      </c>
      <c r="E24" s="60">
        <v>2.65</v>
      </c>
      <c r="F24" s="60">
        <v>0</v>
      </c>
      <c r="G24" s="60">
        <v>0.41</v>
      </c>
      <c r="H24" s="60">
        <v>106.79</v>
      </c>
      <c r="I24" s="6" t="s">
        <v>42</v>
      </c>
      <c r="J24" s="60">
        <v>0.35</v>
      </c>
      <c r="K24" s="60">
        <v>185.84</v>
      </c>
      <c r="L24" s="60">
        <v>41.39</v>
      </c>
      <c r="M24" s="60">
        <v>96.93</v>
      </c>
      <c r="N24" s="60">
        <v>15.2</v>
      </c>
      <c r="O24" s="60">
        <v>0</v>
      </c>
      <c r="P24" s="60">
        <v>3.8</v>
      </c>
      <c r="Q24" s="60">
        <v>17.84</v>
      </c>
      <c r="R24" s="197"/>
      <c r="S24" s="197"/>
      <c r="T24" s="197"/>
      <c r="U24" s="197"/>
    </row>
    <row r="25" spans="1:21" s="12" customFormat="1" x14ac:dyDescent="0.25">
      <c r="A25" s="200" t="s">
        <v>1992</v>
      </c>
      <c r="B25" s="60">
        <v>3.74</v>
      </c>
      <c r="C25" s="60">
        <v>8.1199999999999992</v>
      </c>
      <c r="D25" s="60">
        <v>11.86</v>
      </c>
      <c r="E25" s="60">
        <v>5.13</v>
      </c>
      <c r="F25" s="60">
        <v>0.12</v>
      </c>
      <c r="G25" s="60">
        <v>0.41</v>
      </c>
      <c r="H25" s="60">
        <v>106.79</v>
      </c>
      <c r="I25" s="6" t="s">
        <v>42</v>
      </c>
      <c r="J25" s="60">
        <v>0.06</v>
      </c>
      <c r="K25" s="60">
        <v>183.46</v>
      </c>
      <c r="L25" s="60">
        <v>41.32</v>
      </c>
      <c r="M25" s="60">
        <v>97.19</v>
      </c>
      <c r="N25" s="60">
        <v>15</v>
      </c>
      <c r="O25" s="60">
        <v>0</v>
      </c>
      <c r="P25" s="60">
        <v>3.8</v>
      </c>
      <c r="Q25" s="60">
        <v>17.600000000000001</v>
      </c>
      <c r="R25" s="197"/>
      <c r="S25" s="197"/>
      <c r="T25" s="197"/>
      <c r="U25" s="197"/>
    </row>
    <row r="26" spans="1:21" s="12" customFormat="1" x14ac:dyDescent="0.25">
      <c r="A26" s="200" t="s">
        <v>1993</v>
      </c>
      <c r="B26" s="60">
        <v>3.66</v>
      </c>
      <c r="C26" s="60">
        <v>8.18</v>
      </c>
      <c r="D26" s="60">
        <v>11.85</v>
      </c>
      <c r="E26" s="60">
        <v>5.27</v>
      </c>
      <c r="F26" s="60">
        <v>0.02</v>
      </c>
      <c r="G26" s="60">
        <v>0.37</v>
      </c>
      <c r="H26" s="60">
        <v>39.619999999999997</v>
      </c>
      <c r="I26" s="6" t="s">
        <v>42</v>
      </c>
      <c r="J26" s="60">
        <v>0.09</v>
      </c>
      <c r="K26" s="60">
        <v>245.38</v>
      </c>
      <c r="L26" s="60">
        <v>41.71</v>
      </c>
      <c r="M26" s="60">
        <v>94.8</v>
      </c>
      <c r="N26" s="60">
        <v>15</v>
      </c>
      <c r="O26" s="60">
        <v>0</v>
      </c>
      <c r="P26" s="60">
        <v>3.79</v>
      </c>
      <c r="Q26" s="60">
        <v>17.22</v>
      </c>
      <c r="R26" s="197"/>
      <c r="S26" s="197"/>
      <c r="T26" s="197"/>
      <c r="U26" s="197"/>
    </row>
    <row r="27" spans="1:21" s="12" customFormat="1" x14ac:dyDescent="0.25">
      <c r="A27" s="200" t="s">
        <v>1994</v>
      </c>
      <c r="B27" s="60">
        <v>3.62</v>
      </c>
      <c r="C27" s="60">
        <v>8.1199999999999992</v>
      </c>
      <c r="D27" s="60">
        <v>11.74</v>
      </c>
      <c r="E27" s="60">
        <v>5.07</v>
      </c>
      <c r="F27" s="60">
        <v>0.5</v>
      </c>
      <c r="G27" s="60">
        <v>0.36</v>
      </c>
      <c r="H27" s="60">
        <v>25.09</v>
      </c>
      <c r="I27" s="6" t="s">
        <v>42</v>
      </c>
      <c r="J27" s="60">
        <v>0.08</v>
      </c>
      <c r="K27" s="60">
        <v>222.2</v>
      </c>
      <c r="L27" s="60">
        <v>41.15</v>
      </c>
      <c r="M27" s="60">
        <v>94.4</v>
      </c>
      <c r="N27" s="60">
        <v>15</v>
      </c>
      <c r="O27" s="60">
        <v>0</v>
      </c>
      <c r="P27" s="60">
        <v>3.78</v>
      </c>
      <c r="Q27" s="60">
        <v>17.07</v>
      </c>
      <c r="R27" s="197"/>
      <c r="S27" s="197"/>
      <c r="T27" s="197"/>
      <c r="U27" s="197"/>
    </row>
    <row r="28" spans="1:21" s="12" customFormat="1" x14ac:dyDescent="0.25">
      <c r="A28" s="200" t="s">
        <v>1995</v>
      </c>
      <c r="B28" s="60">
        <v>3.65</v>
      </c>
      <c r="C28" s="60">
        <v>8.0500000000000007</v>
      </c>
      <c r="D28" s="60">
        <v>11.7</v>
      </c>
      <c r="E28" s="60">
        <v>5.03</v>
      </c>
      <c r="F28" s="60">
        <v>0.73</v>
      </c>
      <c r="G28" s="60">
        <v>0.36</v>
      </c>
      <c r="H28" s="60">
        <v>25.09</v>
      </c>
      <c r="I28" s="6" t="s">
        <v>42</v>
      </c>
      <c r="J28" s="60">
        <v>0.05</v>
      </c>
      <c r="K28" s="60">
        <v>157.03</v>
      </c>
      <c r="L28" s="60">
        <v>42.28</v>
      </c>
      <c r="M28" s="60">
        <v>95.03</v>
      </c>
      <c r="N28" s="60">
        <v>14.9</v>
      </c>
      <c r="O28" s="60">
        <v>0</v>
      </c>
      <c r="P28" s="60">
        <v>3.77</v>
      </c>
      <c r="Q28" s="60">
        <v>17.41</v>
      </c>
      <c r="R28" s="197"/>
      <c r="S28" s="197"/>
      <c r="T28" s="197"/>
      <c r="U28" s="197"/>
    </row>
    <row r="29" spans="1:21" s="12" customFormat="1" x14ac:dyDescent="0.25">
      <c r="A29" s="200" t="s">
        <v>1996</v>
      </c>
      <c r="B29" s="60">
        <v>3.91</v>
      </c>
      <c r="C29" s="60">
        <v>7.92</v>
      </c>
      <c r="D29" s="60">
        <v>11.83</v>
      </c>
      <c r="E29" s="60">
        <v>5.47</v>
      </c>
      <c r="F29" s="60">
        <v>0.18</v>
      </c>
      <c r="G29" s="60">
        <v>0.36</v>
      </c>
      <c r="H29" s="60">
        <v>25.09</v>
      </c>
      <c r="I29" s="6" t="s">
        <v>42</v>
      </c>
      <c r="J29" s="60">
        <v>0.02</v>
      </c>
      <c r="K29" s="60">
        <v>206.69</v>
      </c>
      <c r="L29" s="60">
        <v>41.9</v>
      </c>
      <c r="M29" s="60">
        <v>94.64</v>
      </c>
      <c r="N29" s="60">
        <v>15</v>
      </c>
      <c r="O29" s="60">
        <v>0</v>
      </c>
      <c r="P29" s="60">
        <v>3.76</v>
      </c>
      <c r="Q29" s="60">
        <v>18.53</v>
      </c>
      <c r="R29" s="197"/>
      <c r="S29" s="197"/>
      <c r="T29" s="197"/>
      <c r="U29" s="197"/>
    </row>
    <row r="30" spans="1:21" s="12" customFormat="1" x14ac:dyDescent="0.25">
      <c r="A30" s="200" t="s">
        <v>1997</v>
      </c>
      <c r="B30" s="60">
        <v>4.2300000000000004</v>
      </c>
      <c r="C30" s="60">
        <v>7.87</v>
      </c>
      <c r="D30" s="60">
        <v>12.09</v>
      </c>
      <c r="E30" s="60">
        <v>5.68</v>
      </c>
      <c r="F30" s="60">
        <v>0.05</v>
      </c>
      <c r="G30" s="60">
        <v>0.33</v>
      </c>
      <c r="H30" s="60">
        <v>13.31</v>
      </c>
      <c r="I30" s="6" t="s">
        <v>42</v>
      </c>
      <c r="J30" s="60">
        <v>7.0000000000000007E-2</v>
      </c>
      <c r="K30" s="60">
        <v>219.82</v>
      </c>
      <c r="L30" s="60">
        <v>43.51</v>
      </c>
      <c r="M30" s="60">
        <v>95.22</v>
      </c>
      <c r="N30" s="60">
        <v>15</v>
      </c>
      <c r="O30" s="60">
        <v>0</v>
      </c>
      <c r="P30" s="60">
        <v>3.76</v>
      </c>
      <c r="Q30" s="60">
        <v>19.670000000000002</v>
      </c>
      <c r="R30" s="197"/>
      <c r="S30" s="197"/>
      <c r="T30" s="197"/>
      <c r="U30" s="197"/>
    </row>
    <row r="31" spans="1:21" s="12" customFormat="1" x14ac:dyDescent="0.25">
      <c r="A31" s="200" t="s">
        <v>1998</v>
      </c>
      <c r="B31" s="60">
        <v>4.57</v>
      </c>
      <c r="C31" s="60">
        <v>7.76</v>
      </c>
      <c r="D31" s="60">
        <v>12.32</v>
      </c>
      <c r="E31" s="60">
        <v>5.71</v>
      </c>
      <c r="F31" s="60">
        <v>0.79</v>
      </c>
      <c r="G31" s="60">
        <v>0.33</v>
      </c>
      <c r="H31" s="60">
        <v>10.95</v>
      </c>
      <c r="I31" s="6" t="s">
        <v>42</v>
      </c>
      <c r="J31" s="60">
        <v>0.15</v>
      </c>
      <c r="K31" s="60">
        <v>27.82</v>
      </c>
      <c r="L31" s="60">
        <v>41.7</v>
      </c>
      <c r="M31" s="60">
        <v>95.26</v>
      </c>
      <c r="N31" s="60">
        <v>16.399999999999999</v>
      </c>
      <c r="O31" s="60">
        <v>0</v>
      </c>
      <c r="P31" s="60">
        <v>3.77</v>
      </c>
      <c r="Q31" s="60">
        <v>20.96</v>
      </c>
      <c r="R31" s="197"/>
      <c r="S31" s="197"/>
      <c r="T31" s="197"/>
      <c r="U31" s="197"/>
    </row>
    <row r="32" spans="1:21" s="12" customFormat="1" x14ac:dyDescent="0.25">
      <c r="A32" s="200" t="s">
        <v>1999</v>
      </c>
      <c r="B32" s="60">
        <v>5.07</v>
      </c>
      <c r="C32" s="60">
        <v>7.74</v>
      </c>
      <c r="D32" s="60">
        <v>12.81</v>
      </c>
      <c r="E32" s="60">
        <v>6.13</v>
      </c>
      <c r="F32" s="60">
        <v>0.81</v>
      </c>
      <c r="G32" s="60">
        <v>0.33</v>
      </c>
      <c r="H32" s="60">
        <v>10.95</v>
      </c>
      <c r="I32" s="6" t="s">
        <v>42</v>
      </c>
      <c r="J32" s="60">
        <v>0</v>
      </c>
      <c r="K32" s="60">
        <v>105.43</v>
      </c>
      <c r="L32" s="60">
        <v>42.02</v>
      </c>
      <c r="M32" s="60">
        <v>94.21</v>
      </c>
      <c r="N32" s="60">
        <v>26.1</v>
      </c>
      <c r="O32" s="60">
        <v>0</v>
      </c>
      <c r="P32" s="60">
        <v>3.77</v>
      </c>
      <c r="Q32" s="60">
        <v>21.76</v>
      </c>
      <c r="R32" s="197"/>
      <c r="S32" s="197"/>
      <c r="T32" s="197"/>
      <c r="U32" s="197"/>
    </row>
    <row r="33" spans="1:21" s="12" customFormat="1" x14ac:dyDescent="0.25">
      <c r="A33" s="200" t="s">
        <v>2000</v>
      </c>
      <c r="B33" s="60">
        <v>5.66</v>
      </c>
      <c r="C33" s="60">
        <v>7.8</v>
      </c>
      <c r="D33" s="60">
        <v>13.46</v>
      </c>
      <c r="E33" s="60">
        <v>6.12</v>
      </c>
      <c r="F33" s="60">
        <v>0.53</v>
      </c>
      <c r="G33" s="60">
        <v>0.33</v>
      </c>
      <c r="H33" s="60">
        <v>10.95</v>
      </c>
      <c r="I33" s="6" t="s">
        <v>42</v>
      </c>
      <c r="J33" s="60">
        <v>7.0000000000000007E-2</v>
      </c>
      <c r="K33" s="60">
        <v>66.040000000000006</v>
      </c>
      <c r="L33" s="60">
        <v>43.54</v>
      </c>
      <c r="M33" s="60">
        <v>92.87</v>
      </c>
      <c r="N33" s="60">
        <v>43.7</v>
      </c>
      <c r="O33" s="60">
        <v>0</v>
      </c>
      <c r="P33" s="60">
        <v>3.78</v>
      </c>
      <c r="Q33" s="60">
        <v>22.59</v>
      </c>
      <c r="R33" s="197"/>
      <c r="S33" s="197"/>
      <c r="T33" s="197"/>
      <c r="U33" s="197"/>
    </row>
    <row r="34" spans="1:21" s="12" customFormat="1" x14ac:dyDescent="0.25">
      <c r="A34" s="200" t="s">
        <v>2001</v>
      </c>
      <c r="B34" s="60">
        <v>6.34</v>
      </c>
      <c r="C34" s="60">
        <v>7.95</v>
      </c>
      <c r="D34" s="60">
        <v>14.29</v>
      </c>
      <c r="E34" s="60">
        <v>6.2</v>
      </c>
      <c r="F34" s="60">
        <v>0</v>
      </c>
      <c r="G34" s="60">
        <v>0.3</v>
      </c>
      <c r="H34" s="60">
        <v>186.42</v>
      </c>
      <c r="I34" s="6" t="s">
        <v>42</v>
      </c>
      <c r="J34" s="60">
        <v>0.2</v>
      </c>
      <c r="K34" s="60">
        <v>322.63</v>
      </c>
      <c r="L34" s="60">
        <v>43.61</v>
      </c>
      <c r="M34" s="60">
        <v>92.74</v>
      </c>
      <c r="N34" s="60">
        <v>61.9</v>
      </c>
      <c r="O34" s="60">
        <v>0</v>
      </c>
      <c r="P34" s="60">
        <v>3.8</v>
      </c>
      <c r="Q34" s="60">
        <v>23.52</v>
      </c>
      <c r="R34" s="197"/>
      <c r="S34" s="197"/>
      <c r="T34" s="197"/>
      <c r="U34" s="197"/>
    </row>
    <row r="35" spans="1:21" s="12" customFormat="1" x14ac:dyDescent="0.25">
      <c r="A35" s="200" t="s">
        <v>2002</v>
      </c>
      <c r="B35" s="60">
        <v>7.07</v>
      </c>
      <c r="C35" s="60">
        <v>8.06</v>
      </c>
      <c r="D35" s="60">
        <v>15.14</v>
      </c>
      <c r="E35" s="60">
        <v>6.49</v>
      </c>
      <c r="F35" s="60">
        <v>0.02</v>
      </c>
      <c r="G35" s="60">
        <v>0.3</v>
      </c>
      <c r="H35" s="60">
        <v>224.36</v>
      </c>
      <c r="I35" s="6" t="s">
        <v>42</v>
      </c>
      <c r="J35" s="60">
        <v>0.23</v>
      </c>
      <c r="K35" s="60">
        <v>322.86</v>
      </c>
      <c r="L35" s="60">
        <v>43.02</v>
      </c>
      <c r="M35" s="60">
        <v>90.27</v>
      </c>
      <c r="N35" s="60">
        <v>86.5</v>
      </c>
      <c r="O35" s="60">
        <v>0</v>
      </c>
      <c r="P35" s="60">
        <v>3.81</v>
      </c>
      <c r="Q35" s="60">
        <v>24.27</v>
      </c>
      <c r="R35" s="197"/>
      <c r="S35" s="197"/>
      <c r="T35" s="197"/>
      <c r="U35" s="197"/>
    </row>
    <row r="36" spans="1:21" s="12" customFormat="1" x14ac:dyDescent="0.25">
      <c r="A36" s="200" t="s">
        <v>2003</v>
      </c>
      <c r="B36" s="60">
        <v>8.2100000000000009</v>
      </c>
      <c r="C36" s="60">
        <v>8.39</v>
      </c>
      <c r="D36" s="60">
        <v>16.600000000000001</v>
      </c>
      <c r="E36" s="60">
        <v>6.01</v>
      </c>
      <c r="F36" s="60">
        <v>0.14000000000000001</v>
      </c>
      <c r="G36" s="60">
        <v>0.3</v>
      </c>
      <c r="H36" s="60">
        <v>224.36</v>
      </c>
      <c r="I36" s="6" t="s">
        <v>42</v>
      </c>
      <c r="J36" s="60">
        <v>0.25</v>
      </c>
      <c r="K36" s="60">
        <v>322.95</v>
      </c>
      <c r="L36" s="60">
        <v>43.66</v>
      </c>
      <c r="M36" s="60">
        <v>87.85</v>
      </c>
      <c r="N36" s="60">
        <v>111.8</v>
      </c>
      <c r="O36" s="60">
        <v>0</v>
      </c>
      <c r="P36" s="60">
        <v>3.81</v>
      </c>
      <c r="Q36" s="60">
        <v>24.82</v>
      </c>
      <c r="R36" s="197"/>
      <c r="S36" s="197"/>
      <c r="T36" s="197"/>
      <c r="U36" s="197"/>
    </row>
    <row r="37" spans="1:21" s="12" customFormat="1" x14ac:dyDescent="0.25">
      <c r="A37" s="200" t="s">
        <v>2004</v>
      </c>
      <c r="B37" s="60">
        <v>9.33</v>
      </c>
      <c r="C37" s="60">
        <v>8.8000000000000007</v>
      </c>
      <c r="D37" s="60">
        <v>18.13</v>
      </c>
      <c r="E37" s="60">
        <v>6.02</v>
      </c>
      <c r="F37" s="60">
        <v>0.16</v>
      </c>
      <c r="G37" s="60">
        <v>0.3</v>
      </c>
      <c r="H37" s="60">
        <v>224.36</v>
      </c>
      <c r="I37" s="6" t="s">
        <v>42</v>
      </c>
      <c r="J37" s="60">
        <v>0.19</v>
      </c>
      <c r="K37" s="60">
        <v>330.79</v>
      </c>
      <c r="L37" s="60">
        <v>46.56</v>
      </c>
      <c r="M37" s="60">
        <v>85.61</v>
      </c>
      <c r="N37" s="60">
        <v>160.69999999999999</v>
      </c>
      <c r="O37" s="60">
        <v>0</v>
      </c>
      <c r="P37" s="60">
        <v>3.83</v>
      </c>
      <c r="Q37" s="60">
        <v>24.5</v>
      </c>
      <c r="R37" s="197"/>
      <c r="S37" s="197"/>
      <c r="T37" s="197"/>
      <c r="U37" s="197"/>
    </row>
    <row r="38" spans="1:21" s="12" customFormat="1" x14ac:dyDescent="0.25">
      <c r="A38" s="200" t="s">
        <v>2005</v>
      </c>
      <c r="B38" s="60">
        <v>10.5</v>
      </c>
      <c r="C38" s="60">
        <v>9.49</v>
      </c>
      <c r="D38" s="60">
        <v>19.989999999999998</v>
      </c>
      <c r="E38" s="60">
        <v>6.18</v>
      </c>
      <c r="F38" s="60">
        <v>0.03</v>
      </c>
      <c r="G38" s="60">
        <v>0.31</v>
      </c>
      <c r="H38" s="60">
        <v>236.18</v>
      </c>
      <c r="I38" s="6" t="s">
        <v>42</v>
      </c>
      <c r="J38" s="60">
        <v>0.38</v>
      </c>
      <c r="K38" s="60">
        <v>318.73</v>
      </c>
      <c r="L38" s="60">
        <v>47.83</v>
      </c>
      <c r="M38" s="60">
        <v>82.99</v>
      </c>
      <c r="N38" s="60">
        <v>192.9</v>
      </c>
      <c r="O38" s="60">
        <v>0</v>
      </c>
      <c r="P38" s="60">
        <v>3.84</v>
      </c>
      <c r="Q38" s="60">
        <v>23.73</v>
      </c>
      <c r="R38" s="197"/>
      <c r="S38" s="197"/>
      <c r="T38" s="197"/>
      <c r="U38" s="197"/>
    </row>
    <row r="39" spans="1:21" s="12" customFormat="1" x14ac:dyDescent="0.25">
      <c r="A39" s="200" t="s">
        <v>2006</v>
      </c>
      <c r="B39" s="60">
        <v>10.85</v>
      </c>
      <c r="C39" s="60">
        <v>9.82</v>
      </c>
      <c r="D39" s="60">
        <v>20.66</v>
      </c>
      <c r="E39" s="60">
        <v>5.94</v>
      </c>
      <c r="F39" s="60">
        <v>0.94</v>
      </c>
      <c r="G39" s="60">
        <v>0.31</v>
      </c>
      <c r="H39" s="60">
        <v>238.74</v>
      </c>
      <c r="I39" s="6" t="s">
        <v>42</v>
      </c>
      <c r="J39" s="60">
        <v>0.42</v>
      </c>
      <c r="K39" s="60">
        <v>315.77</v>
      </c>
      <c r="L39" s="60">
        <v>43.72</v>
      </c>
      <c r="M39" s="60">
        <v>82.04</v>
      </c>
      <c r="N39" s="60">
        <v>197.2</v>
      </c>
      <c r="O39" s="60">
        <v>0</v>
      </c>
      <c r="P39" s="60">
        <v>3.83</v>
      </c>
      <c r="Q39" s="60">
        <v>22.7</v>
      </c>
      <c r="R39" s="197"/>
      <c r="S39" s="197"/>
      <c r="T39" s="197"/>
      <c r="U39" s="197"/>
    </row>
    <row r="40" spans="1:21" s="12" customFormat="1" x14ac:dyDescent="0.25">
      <c r="A40" s="200" t="s">
        <v>2007</v>
      </c>
      <c r="B40" s="60">
        <v>10.9</v>
      </c>
      <c r="C40" s="60">
        <v>10.24</v>
      </c>
      <c r="D40" s="60">
        <v>21.13</v>
      </c>
      <c r="E40" s="60">
        <v>2.99</v>
      </c>
      <c r="F40" s="60">
        <v>0.19</v>
      </c>
      <c r="G40" s="60">
        <v>0.31</v>
      </c>
      <c r="H40" s="60">
        <v>238.74</v>
      </c>
      <c r="I40" s="6" t="s">
        <v>42</v>
      </c>
      <c r="J40" s="60">
        <v>0.4</v>
      </c>
      <c r="K40" s="60">
        <v>319.45</v>
      </c>
      <c r="L40" s="60">
        <v>30.71</v>
      </c>
      <c r="M40" s="60">
        <v>81.56</v>
      </c>
      <c r="N40" s="60">
        <v>223.7</v>
      </c>
      <c r="O40" s="60">
        <v>0</v>
      </c>
      <c r="P40" s="60">
        <v>3.83</v>
      </c>
      <c r="Q40" s="60">
        <v>21.85</v>
      </c>
      <c r="R40" s="197"/>
      <c r="S40" s="197"/>
      <c r="T40" s="197"/>
      <c r="U40" s="197"/>
    </row>
    <row r="41" spans="1:21" s="12" customFormat="1" x14ac:dyDescent="0.25">
      <c r="A41" s="200" t="s">
        <v>2008</v>
      </c>
      <c r="B41" s="60">
        <v>11.05</v>
      </c>
      <c r="C41" s="60">
        <v>10.45</v>
      </c>
      <c r="D41" s="60">
        <v>21.5</v>
      </c>
      <c r="E41" s="60">
        <v>5.5</v>
      </c>
      <c r="F41" s="60">
        <v>0.17</v>
      </c>
      <c r="G41" s="60">
        <v>0.31</v>
      </c>
      <c r="H41" s="60">
        <v>238.74</v>
      </c>
      <c r="I41" s="6" t="s">
        <v>42</v>
      </c>
      <c r="J41" s="60">
        <v>0.79</v>
      </c>
      <c r="K41" s="60">
        <v>311.08999999999997</v>
      </c>
      <c r="L41" s="60">
        <v>31.39</v>
      </c>
      <c r="M41" s="60">
        <v>78.25</v>
      </c>
      <c r="N41" s="60">
        <v>322</v>
      </c>
      <c r="O41" s="60">
        <v>0</v>
      </c>
      <c r="P41" s="60">
        <v>3.83</v>
      </c>
      <c r="Q41" s="60">
        <v>21.33</v>
      </c>
      <c r="R41" s="197"/>
      <c r="S41" s="197"/>
      <c r="T41" s="197"/>
      <c r="U41" s="197"/>
    </row>
    <row r="42" spans="1:21" s="12" customFormat="1" x14ac:dyDescent="0.25">
      <c r="A42" s="200" t="s">
        <v>2009</v>
      </c>
      <c r="B42" s="60">
        <v>10.94</v>
      </c>
      <c r="C42" s="60">
        <v>11.11</v>
      </c>
      <c r="D42" s="60">
        <v>22.05</v>
      </c>
      <c r="E42" s="60">
        <v>5.49</v>
      </c>
      <c r="F42" s="60">
        <v>0.02</v>
      </c>
      <c r="G42" s="60">
        <v>0.32</v>
      </c>
      <c r="H42" s="60">
        <v>229.82</v>
      </c>
      <c r="I42" s="6" t="s">
        <v>42</v>
      </c>
      <c r="J42" s="60">
        <v>1.04</v>
      </c>
      <c r="K42" s="60">
        <v>310.91000000000003</v>
      </c>
      <c r="L42" s="60">
        <v>32.630000000000003</v>
      </c>
      <c r="M42" s="60">
        <v>73.900000000000006</v>
      </c>
      <c r="N42" s="60">
        <v>409.7</v>
      </c>
      <c r="O42" s="60">
        <v>0</v>
      </c>
      <c r="P42" s="60">
        <v>3.82</v>
      </c>
      <c r="Q42" s="60">
        <v>20.350000000000001</v>
      </c>
      <c r="R42" s="197"/>
      <c r="S42" s="197"/>
      <c r="T42" s="197"/>
      <c r="U42" s="197"/>
    </row>
    <row r="43" spans="1:21" s="12" customFormat="1" x14ac:dyDescent="0.25">
      <c r="A43" s="200" t="s">
        <v>2010</v>
      </c>
      <c r="B43" s="60">
        <v>10.63</v>
      </c>
      <c r="C43" s="60">
        <v>11.34</v>
      </c>
      <c r="D43" s="60">
        <v>21.96</v>
      </c>
      <c r="E43" s="60">
        <v>5.91</v>
      </c>
      <c r="F43" s="60">
        <v>0.06</v>
      </c>
      <c r="G43" s="60">
        <v>0.32</v>
      </c>
      <c r="H43" s="60">
        <v>227.89</v>
      </c>
      <c r="I43" s="6" t="s">
        <v>42</v>
      </c>
      <c r="J43" s="60">
        <v>0.83</v>
      </c>
      <c r="K43" s="60">
        <v>311.62</v>
      </c>
      <c r="L43" s="60">
        <v>32.82</v>
      </c>
      <c r="M43" s="60">
        <v>73.13</v>
      </c>
      <c r="N43" s="60">
        <v>299</v>
      </c>
      <c r="O43" s="60">
        <v>0</v>
      </c>
      <c r="P43" s="60">
        <v>3.8</v>
      </c>
      <c r="Q43" s="60">
        <v>19.55</v>
      </c>
      <c r="R43" s="197"/>
      <c r="S43" s="197"/>
      <c r="T43" s="197"/>
      <c r="U43" s="197"/>
    </row>
    <row r="44" spans="1:21" s="12" customFormat="1" x14ac:dyDescent="0.25">
      <c r="A44" s="200" t="s">
        <v>2011</v>
      </c>
      <c r="B44" s="60">
        <v>10.6</v>
      </c>
      <c r="C44" s="60">
        <v>11.33</v>
      </c>
      <c r="D44" s="60">
        <v>21.93</v>
      </c>
      <c r="E44" s="60">
        <v>5.98</v>
      </c>
      <c r="F44" s="60">
        <v>0.54</v>
      </c>
      <c r="G44" s="60">
        <v>0.32</v>
      </c>
      <c r="H44" s="60">
        <v>227.89</v>
      </c>
      <c r="I44" s="6" t="s">
        <v>42</v>
      </c>
      <c r="J44" s="60">
        <v>0.73</v>
      </c>
      <c r="K44" s="60">
        <v>314.47000000000003</v>
      </c>
      <c r="L44" s="60">
        <v>32.5</v>
      </c>
      <c r="M44" s="60">
        <v>74.06</v>
      </c>
      <c r="N44" s="60">
        <v>236</v>
      </c>
      <c r="O44" s="60">
        <v>0</v>
      </c>
      <c r="P44" s="60">
        <v>3.78</v>
      </c>
      <c r="Q44" s="60">
        <v>19.11</v>
      </c>
      <c r="R44" s="197"/>
      <c r="S44" s="197"/>
      <c r="T44" s="197"/>
      <c r="U44" s="197"/>
    </row>
    <row r="45" spans="1:21" s="12" customFormat="1" x14ac:dyDescent="0.25">
      <c r="A45" s="200" t="s">
        <v>2012</v>
      </c>
      <c r="B45" s="60">
        <v>10.73</v>
      </c>
      <c r="C45" s="60">
        <v>11.24</v>
      </c>
      <c r="D45" s="60">
        <v>21.97</v>
      </c>
      <c r="E45" s="60">
        <v>6.06</v>
      </c>
      <c r="F45" s="60">
        <v>0.73</v>
      </c>
      <c r="G45" s="60">
        <v>0.32</v>
      </c>
      <c r="H45" s="60">
        <v>227.89</v>
      </c>
      <c r="I45" s="6" t="s">
        <v>42</v>
      </c>
      <c r="J45" s="60">
        <v>0.63</v>
      </c>
      <c r="K45" s="60">
        <v>313.02</v>
      </c>
      <c r="L45" s="60">
        <v>32.159999999999997</v>
      </c>
      <c r="M45" s="60">
        <v>75.44</v>
      </c>
      <c r="N45" s="60">
        <v>269.39999999999998</v>
      </c>
      <c r="O45" s="60">
        <v>0</v>
      </c>
      <c r="P45" s="60">
        <v>3.78</v>
      </c>
      <c r="Q45" s="60">
        <v>18.84</v>
      </c>
      <c r="R45" s="197"/>
      <c r="S45" s="197"/>
      <c r="T45" s="197"/>
      <c r="U45" s="197"/>
    </row>
    <row r="46" spans="1:21" s="12" customFormat="1" x14ac:dyDescent="0.25">
      <c r="A46" s="200" t="s">
        <v>2013</v>
      </c>
      <c r="B46" s="60">
        <v>10.57</v>
      </c>
      <c r="C46" s="60">
        <v>11.49</v>
      </c>
      <c r="D46" s="60">
        <v>22.06</v>
      </c>
      <c r="E46" s="60">
        <v>6.11</v>
      </c>
      <c r="F46" s="60">
        <v>0.18</v>
      </c>
      <c r="G46" s="60">
        <v>0.39</v>
      </c>
      <c r="H46" s="60">
        <v>43.56</v>
      </c>
      <c r="I46" s="6" t="s">
        <v>42</v>
      </c>
      <c r="J46" s="60">
        <v>0.45</v>
      </c>
      <c r="K46" s="60">
        <v>321.95999999999998</v>
      </c>
      <c r="L46" s="60">
        <v>32.28</v>
      </c>
      <c r="M46" s="60">
        <v>74.23</v>
      </c>
      <c r="N46" s="60">
        <v>284.3</v>
      </c>
      <c r="O46" s="60">
        <v>0</v>
      </c>
      <c r="P46" s="60">
        <v>3.78</v>
      </c>
      <c r="Q46" s="60">
        <v>18.13</v>
      </c>
      <c r="R46" s="197"/>
      <c r="S46" s="197"/>
      <c r="T46" s="197"/>
      <c r="U46" s="197"/>
    </row>
    <row r="47" spans="1:21" s="12" customFormat="1" x14ac:dyDescent="0.25">
      <c r="A47" s="200" t="s">
        <v>2014</v>
      </c>
      <c r="B47" s="60">
        <v>10.52</v>
      </c>
      <c r="C47" s="60">
        <v>11.73</v>
      </c>
      <c r="D47" s="60">
        <v>22.25</v>
      </c>
      <c r="E47" s="60">
        <v>6.06</v>
      </c>
      <c r="F47" s="60">
        <v>0.24</v>
      </c>
      <c r="G47" s="60">
        <v>0.39</v>
      </c>
      <c r="H47" s="60">
        <v>3.7</v>
      </c>
      <c r="I47" s="6" t="s">
        <v>42</v>
      </c>
      <c r="J47" s="60">
        <v>0.68</v>
      </c>
      <c r="K47" s="60">
        <v>310.33999999999997</v>
      </c>
      <c r="L47" s="60">
        <v>32.770000000000003</v>
      </c>
      <c r="M47" s="60">
        <v>72.680000000000007</v>
      </c>
      <c r="N47" s="60">
        <v>348.2</v>
      </c>
      <c r="O47" s="60">
        <v>0</v>
      </c>
      <c r="P47" s="60">
        <v>3.77</v>
      </c>
      <c r="Q47" s="60">
        <v>17.59</v>
      </c>
      <c r="R47" s="197"/>
      <c r="S47" s="197"/>
      <c r="T47" s="197"/>
      <c r="U47" s="197"/>
    </row>
    <row r="48" spans="1:21" s="12" customFormat="1" x14ac:dyDescent="0.25">
      <c r="A48" s="200" t="s">
        <v>2015</v>
      </c>
      <c r="B48" s="60">
        <v>10.85</v>
      </c>
      <c r="C48" s="60">
        <v>12.03</v>
      </c>
      <c r="D48" s="60">
        <v>22.89</v>
      </c>
      <c r="E48" s="60">
        <v>6.17</v>
      </c>
      <c r="F48" s="60">
        <v>0.28999999999999998</v>
      </c>
      <c r="G48" s="60">
        <v>0.39</v>
      </c>
      <c r="H48" s="60">
        <v>3.7</v>
      </c>
      <c r="I48" s="6" t="s">
        <v>42</v>
      </c>
      <c r="J48" s="60">
        <v>0.74</v>
      </c>
      <c r="K48" s="60">
        <v>311.05</v>
      </c>
      <c r="L48" s="60">
        <v>32.869999999999997</v>
      </c>
      <c r="M48" s="60">
        <v>71.37</v>
      </c>
      <c r="N48" s="60">
        <v>269.39999999999998</v>
      </c>
      <c r="O48" s="60">
        <v>0</v>
      </c>
      <c r="P48" s="60">
        <v>3.78</v>
      </c>
      <c r="Q48" s="60">
        <v>17.47</v>
      </c>
      <c r="R48" s="197"/>
      <c r="S48" s="197"/>
      <c r="T48" s="197"/>
      <c r="U48" s="197"/>
    </row>
    <row r="49" spans="1:21" s="12" customFormat="1" x14ac:dyDescent="0.25">
      <c r="A49" s="200" t="s">
        <v>2016</v>
      </c>
      <c r="B49" s="60">
        <v>10.54</v>
      </c>
      <c r="C49" s="60">
        <v>12.29</v>
      </c>
      <c r="D49" s="60">
        <v>22.83</v>
      </c>
      <c r="E49" s="60">
        <v>6.07</v>
      </c>
      <c r="F49" s="60">
        <v>0.4</v>
      </c>
      <c r="G49" s="60">
        <v>0.39</v>
      </c>
      <c r="H49" s="60">
        <v>3.7</v>
      </c>
      <c r="I49" s="6" t="s">
        <v>42</v>
      </c>
      <c r="J49" s="60">
        <v>0.83</v>
      </c>
      <c r="K49" s="60">
        <v>313.33999999999997</v>
      </c>
      <c r="L49" s="60">
        <v>33.21</v>
      </c>
      <c r="M49" s="60">
        <v>70.569999999999993</v>
      </c>
      <c r="N49" s="60">
        <v>473</v>
      </c>
      <c r="O49" s="60">
        <v>0</v>
      </c>
      <c r="P49" s="60">
        <v>3.78</v>
      </c>
      <c r="Q49" s="60">
        <v>16.97</v>
      </c>
      <c r="R49" s="197"/>
      <c r="S49" s="197"/>
      <c r="T49" s="197"/>
      <c r="U49" s="197"/>
    </row>
    <row r="50" spans="1:21" s="12" customFormat="1" x14ac:dyDescent="0.25">
      <c r="A50" s="200" t="s">
        <v>2017</v>
      </c>
      <c r="B50" s="60">
        <v>10.039999999999999</v>
      </c>
      <c r="C50" s="60">
        <v>12.83</v>
      </c>
      <c r="D50" s="60">
        <v>22.87</v>
      </c>
      <c r="E50" s="60">
        <v>5.92</v>
      </c>
      <c r="F50" s="60">
        <v>0.5</v>
      </c>
      <c r="G50" s="60">
        <v>0.43</v>
      </c>
      <c r="H50" s="60">
        <v>130.91</v>
      </c>
      <c r="I50" s="6" t="s">
        <v>42</v>
      </c>
      <c r="J50" s="60">
        <v>0.87</v>
      </c>
      <c r="K50" s="60">
        <v>310.67</v>
      </c>
      <c r="L50" s="60">
        <v>33.549999999999997</v>
      </c>
      <c r="M50" s="60">
        <v>69.59</v>
      </c>
      <c r="N50" s="60">
        <v>371.9</v>
      </c>
      <c r="O50" s="60">
        <v>0</v>
      </c>
      <c r="P50" s="60">
        <v>3.77</v>
      </c>
      <c r="Q50" s="60">
        <v>16.39</v>
      </c>
      <c r="R50" s="197"/>
      <c r="S50" s="197"/>
      <c r="T50" s="197"/>
      <c r="U50" s="197"/>
    </row>
    <row r="51" spans="1:21" s="12" customFormat="1" x14ac:dyDescent="0.25">
      <c r="A51" s="200" t="s">
        <v>2018</v>
      </c>
      <c r="B51" s="60">
        <v>9.3800000000000008</v>
      </c>
      <c r="C51" s="60">
        <v>13.13</v>
      </c>
      <c r="D51" s="60">
        <v>22.5</v>
      </c>
      <c r="E51" s="60">
        <v>5.84</v>
      </c>
      <c r="F51" s="60">
        <v>0.35</v>
      </c>
      <c r="G51" s="60">
        <v>0.44</v>
      </c>
      <c r="H51" s="60">
        <v>158.41</v>
      </c>
      <c r="I51" s="6" t="s">
        <v>42</v>
      </c>
      <c r="J51" s="60">
        <v>0.82</v>
      </c>
      <c r="K51" s="60">
        <v>313.27</v>
      </c>
      <c r="L51" s="60">
        <v>33.31</v>
      </c>
      <c r="M51" s="60">
        <v>70.430000000000007</v>
      </c>
      <c r="N51" s="60">
        <v>298.10000000000002</v>
      </c>
      <c r="O51" s="60">
        <v>0</v>
      </c>
      <c r="P51" s="60">
        <v>3.77</v>
      </c>
      <c r="Q51" s="60">
        <v>15.48</v>
      </c>
      <c r="R51" s="197"/>
      <c r="S51" s="197"/>
      <c r="T51" s="197"/>
      <c r="U51" s="197"/>
    </row>
    <row r="52" spans="1:21" s="12" customFormat="1" x14ac:dyDescent="0.25">
      <c r="A52" s="200" t="s">
        <v>2019</v>
      </c>
      <c r="B52" s="60">
        <v>8.8800000000000008</v>
      </c>
      <c r="C52" s="60">
        <v>13.1</v>
      </c>
      <c r="D52" s="60">
        <v>21.99</v>
      </c>
      <c r="E52" s="60">
        <v>5.71</v>
      </c>
      <c r="F52" s="60">
        <v>0.21</v>
      </c>
      <c r="G52" s="60">
        <v>0.44</v>
      </c>
      <c r="H52" s="60">
        <v>158.41</v>
      </c>
      <c r="I52" s="6" t="s">
        <v>42</v>
      </c>
      <c r="J52" s="60">
        <v>0.85</v>
      </c>
      <c r="K52" s="60">
        <v>308.79000000000002</v>
      </c>
      <c r="L52" s="60">
        <v>44.03</v>
      </c>
      <c r="M52" s="60">
        <v>70</v>
      </c>
      <c r="N52" s="60">
        <v>298.7</v>
      </c>
      <c r="O52" s="60">
        <v>0</v>
      </c>
      <c r="P52" s="60">
        <v>3.78</v>
      </c>
      <c r="Q52" s="60">
        <v>14.65</v>
      </c>
      <c r="R52" s="197"/>
      <c r="S52" s="197"/>
      <c r="T52" s="197"/>
      <c r="U52" s="197"/>
    </row>
    <row r="53" spans="1:21" s="12" customFormat="1" x14ac:dyDescent="0.25">
      <c r="A53" s="200" t="s">
        <v>2020</v>
      </c>
      <c r="B53" s="60">
        <v>8.6999999999999993</v>
      </c>
      <c r="C53" s="60">
        <v>13.36</v>
      </c>
      <c r="D53" s="60">
        <v>22.06</v>
      </c>
      <c r="E53" s="60">
        <v>5.83</v>
      </c>
      <c r="F53" s="60">
        <v>0.17</v>
      </c>
      <c r="G53" s="60">
        <v>0.44</v>
      </c>
      <c r="H53" s="60">
        <v>158.41</v>
      </c>
      <c r="I53" s="6" t="s">
        <v>42</v>
      </c>
      <c r="J53" s="60">
        <v>0.65</v>
      </c>
      <c r="K53" s="60">
        <v>313.17</v>
      </c>
      <c r="L53" s="60">
        <v>52.37</v>
      </c>
      <c r="M53" s="60">
        <v>70.489999999999995</v>
      </c>
      <c r="N53" s="60">
        <v>325.8</v>
      </c>
      <c r="O53" s="60">
        <v>0</v>
      </c>
      <c r="P53" s="60">
        <v>3.78</v>
      </c>
      <c r="Q53" s="60">
        <v>13.97</v>
      </c>
      <c r="R53" s="197"/>
      <c r="S53" s="197"/>
      <c r="T53" s="197"/>
      <c r="U53" s="197"/>
    </row>
    <row r="54" spans="1:21" s="12" customFormat="1" x14ac:dyDescent="0.25">
      <c r="A54" s="200" t="s">
        <v>2021</v>
      </c>
      <c r="B54" s="60">
        <v>8.86</v>
      </c>
      <c r="C54" s="60">
        <v>13.61</v>
      </c>
      <c r="D54" s="60">
        <v>22.47</v>
      </c>
      <c r="E54" s="60">
        <v>5.68</v>
      </c>
      <c r="F54" s="60">
        <v>0.11</v>
      </c>
      <c r="G54" s="60">
        <v>0.51</v>
      </c>
      <c r="H54" s="60">
        <v>92.96</v>
      </c>
      <c r="I54" s="6" t="s">
        <v>42</v>
      </c>
      <c r="J54" s="60">
        <v>0.9</v>
      </c>
      <c r="K54" s="60">
        <v>309.18</v>
      </c>
      <c r="L54" s="60">
        <v>48.87</v>
      </c>
      <c r="M54" s="60">
        <v>69.09</v>
      </c>
      <c r="N54" s="60">
        <v>432.9</v>
      </c>
      <c r="O54" s="60">
        <v>0</v>
      </c>
      <c r="P54" s="60">
        <v>3.79</v>
      </c>
      <c r="Q54" s="60">
        <v>13.6</v>
      </c>
      <c r="R54" s="197"/>
      <c r="S54" s="197"/>
      <c r="T54" s="197"/>
      <c r="U54" s="197"/>
    </row>
    <row r="55" spans="1:21" s="12" customFormat="1" x14ac:dyDescent="0.25">
      <c r="A55" s="200" t="s">
        <v>2022</v>
      </c>
      <c r="B55" s="60">
        <v>8.4700000000000006</v>
      </c>
      <c r="C55" s="60">
        <v>13.81</v>
      </c>
      <c r="D55" s="60">
        <v>22.28</v>
      </c>
      <c r="E55" s="60">
        <v>4.9000000000000004</v>
      </c>
      <c r="F55" s="60">
        <v>0.36</v>
      </c>
      <c r="G55" s="60">
        <v>0.52</v>
      </c>
      <c r="H55" s="60">
        <v>78.81</v>
      </c>
      <c r="I55" s="6" t="s">
        <v>42</v>
      </c>
      <c r="J55" s="60">
        <v>1.37</v>
      </c>
      <c r="K55" s="60">
        <v>312.85000000000002</v>
      </c>
      <c r="L55" s="60">
        <v>49.03</v>
      </c>
      <c r="M55" s="60">
        <v>68.319999999999993</v>
      </c>
      <c r="N55" s="60">
        <v>426.1</v>
      </c>
      <c r="O55" s="60">
        <v>0</v>
      </c>
      <c r="P55" s="60">
        <v>3.79</v>
      </c>
      <c r="Q55" s="60">
        <v>13.01</v>
      </c>
      <c r="R55" s="197"/>
      <c r="S55" s="197"/>
      <c r="T55" s="197"/>
      <c r="U55" s="197"/>
    </row>
    <row r="56" spans="1:21" s="12" customFormat="1" x14ac:dyDescent="0.25">
      <c r="A56" s="200" t="s">
        <v>2023</v>
      </c>
      <c r="B56" s="60">
        <v>7.76</v>
      </c>
      <c r="C56" s="60">
        <v>14.05</v>
      </c>
      <c r="D56" s="60">
        <v>21.81</v>
      </c>
      <c r="E56" s="60">
        <v>1.9</v>
      </c>
      <c r="F56" s="60">
        <v>0.3</v>
      </c>
      <c r="G56" s="60">
        <v>0.52</v>
      </c>
      <c r="H56" s="60">
        <v>78.81</v>
      </c>
      <c r="I56" s="6" t="s">
        <v>42</v>
      </c>
      <c r="J56" s="60">
        <v>1.49</v>
      </c>
      <c r="K56" s="60">
        <v>318.93</v>
      </c>
      <c r="L56" s="60">
        <v>51.4</v>
      </c>
      <c r="M56" s="60">
        <v>66.08</v>
      </c>
      <c r="N56" s="60">
        <v>467.8</v>
      </c>
      <c r="O56" s="60">
        <v>0</v>
      </c>
      <c r="P56" s="60">
        <v>3.79</v>
      </c>
      <c r="Q56" s="60">
        <v>12.57</v>
      </c>
      <c r="R56" s="197"/>
      <c r="S56" s="197"/>
      <c r="T56" s="197"/>
      <c r="U56" s="197"/>
    </row>
    <row r="57" spans="1:21" s="12" customFormat="1" x14ac:dyDescent="0.25">
      <c r="A57" s="200" t="s">
        <v>2024</v>
      </c>
      <c r="B57" s="60">
        <v>7.15</v>
      </c>
      <c r="C57" s="60">
        <v>14.44</v>
      </c>
      <c r="D57" s="60">
        <v>21.59</v>
      </c>
      <c r="E57" s="60">
        <v>4.25</v>
      </c>
      <c r="F57" s="60">
        <v>0.38</v>
      </c>
      <c r="G57" s="60">
        <v>0.52</v>
      </c>
      <c r="H57" s="60">
        <v>78.81</v>
      </c>
      <c r="I57" s="6" t="s">
        <v>42</v>
      </c>
      <c r="J57" s="60">
        <v>1.0900000000000001</v>
      </c>
      <c r="K57" s="60">
        <v>309.44</v>
      </c>
      <c r="L57" s="60">
        <v>50.24</v>
      </c>
      <c r="M57" s="60">
        <v>65.819999999999993</v>
      </c>
      <c r="N57" s="60">
        <v>457.1</v>
      </c>
      <c r="O57" s="60">
        <v>0</v>
      </c>
      <c r="P57" s="60">
        <v>3.78</v>
      </c>
      <c r="Q57" s="60">
        <v>12.52</v>
      </c>
      <c r="R57" s="197"/>
      <c r="S57" s="197"/>
      <c r="T57" s="197"/>
      <c r="U57" s="197"/>
    </row>
    <row r="58" spans="1:21" s="12" customFormat="1" x14ac:dyDescent="0.25">
      <c r="A58" s="200" t="s">
        <v>2025</v>
      </c>
      <c r="B58" s="60">
        <v>6.98</v>
      </c>
      <c r="C58" s="60">
        <v>14.45</v>
      </c>
      <c r="D58" s="60">
        <v>21.43</v>
      </c>
      <c r="E58" s="60">
        <v>5.0999999999999996</v>
      </c>
      <c r="F58" s="60">
        <v>0.19</v>
      </c>
      <c r="G58" s="60">
        <v>0.56000000000000005</v>
      </c>
      <c r="H58" s="60">
        <v>182.22</v>
      </c>
      <c r="I58" s="6" t="s">
        <v>42</v>
      </c>
      <c r="J58" s="60">
        <v>1.03</v>
      </c>
      <c r="K58" s="60">
        <v>318.45999999999998</v>
      </c>
      <c r="L58" s="60">
        <v>42.67</v>
      </c>
      <c r="M58" s="60">
        <v>64.31</v>
      </c>
      <c r="N58" s="60">
        <v>454.5</v>
      </c>
      <c r="O58" s="60">
        <v>0</v>
      </c>
      <c r="P58" s="60">
        <v>3.79</v>
      </c>
      <c r="Q58" s="60">
        <v>12.57</v>
      </c>
      <c r="R58" s="197"/>
      <c r="S58" s="197"/>
      <c r="T58" s="197"/>
      <c r="U58" s="197"/>
    </row>
    <row r="59" spans="1:21" s="12" customFormat="1" x14ac:dyDescent="0.25">
      <c r="A59" s="200" t="s">
        <v>2026</v>
      </c>
      <c r="B59" s="60">
        <v>6.92</v>
      </c>
      <c r="C59" s="60">
        <v>14.14</v>
      </c>
      <c r="D59" s="60">
        <v>21.07</v>
      </c>
      <c r="E59" s="60">
        <v>4.9400000000000004</v>
      </c>
      <c r="F59" s="60">
        <v>0.31</v>
      </c>
      <c r="G59" s="60">
        <v>0.26</v>
      </c>
      <c r="H59" s="60">
        <v>204.58</v>
      </c>
      <c r="I59" s="6" t="s">
        <v>42</v>
      </c>
      <c r="J59" s="60">
        <v>1</v>
      </c>
      <c r="K59" s="60">
        <v>313.88</v>
      </c>
      <c r="L59" s="60">
        <v>42.83</v>
      </c>
      <c r="M59" s="60">
        <v>63.53</v>
      </c>
      <c r="N59" s="60">
        <v>524.1</v>
      </c>
      <c r="O59" s="60">
        <v>0</v>
      </c>
      <c r="P59" s="60">
        <v>3.79</v>
      </c>
      <c r="Q59" s="60">
        <v>12.63</v>
      </c>
      <c r="R59" s="197"/>
      <c r="S59" s="197"/>
      <c r="T59" s="197"/>
      <c r="U59" s="197"/>
    </row>
    <row r="60" spans="1:21" s="12" customFormat="1" x14ac:dyDescent="0.25">
      <c r="A60" s="200" t="s">
        <v>2027</v>
      </c>
      <c r="B60" s="60">
        <v>6.68</v>
      </c>
      <c r="C60" s="60">
        <v>13.94</v>
      </c>
      <c r="D60" s="60">
        <v>20.62</v>
      </c>
      <c r="E60" s="60">
        <v>5.67</v>
      </c>
      <c r="F60" s="60">
        <v>0.23</v>
      </c>
      <c r="G60" s="6" t="s">
        <v>42</v>
      </c>
      <c r="H60" s="60">
        <v>204.58</v>
      </c>
      <c r="I60" s="6" t="s">
        <v>42</v>
      </c>
      <c r="J60" s="60">
        <v>0.61</v>
      </c>
      <c r="K60" s="60">
        <v>318.91000000000003</v>
      </c>
      <c r="L60" s="60">
        <v>43.02</v>
      </c>
      <c r="M60" s="60">
        <v>63.43</v>
      </c>
      <c r="N60" s="60">
        <v>447.1</v>
      </c>
      <c r="O60" s="60">
        <v>0</v>
      </c>
      <c r="P60" s="60">
        <v>3.79</v>
      </c>
      <c r="Q60" s="60">
        <v>12.56</v>
      </c>
      <c r="R60" s="197"/>
      <c r="S60" s="197"/>
      <c r="T60" s="197"/>
      <c r="U60" s="197"/>
    </row>
    <row r="61" spans="1:21" s="12" customFormat="1" x14ac:dyDescent="0.25">
      <c r="A61" s="200" t="s">
        <v>2028</v>
      </c>
      <c r="B61" s="60">
        <v>6.79</v>
      </c>
      <c r="C61" s="60">
        <v>13.93</v>
      </c>
      <c r="D61" s="60">
        <v>20.72</v>
      </c>
      <c r="E61" s="60">
        <v>5</v>
      </c>
      <c r="F61" s="60">
        <v>0.37</v>
      </c>
      <c r="G61" s="6" t="s">
        <v>42</v>
      </c>
      <c r="H61" s="60">
        <v>204.58</v>
      </c>
      <c r="I61" s="6" t="s">
        <v>42</v>
      </c>
      <c r="J61" s="60">
        <v>0.99</v>
      </c>
      <c r="K61" s="60">
        <v>318.39</v>
      </c>
      <c r="L61" s="60">
        <v>44.16</v>
      </c>
      <c r="M61" s="60">
        <v>62.72</v>
      </c>
      <c r="N61" s="60">
        <v>431.8</v>
      </c>
      <c r="O61" s="60">
        <v>0</v>
      </c>
      <c r="P61" s="60">
        <v>3.79</v>
      </c>
      <c r="Q61" s="60">
        <v>12.7</v>
      </c>
      <c r="R61" s="197"/>
      <c r="S61" s="197"/>
      <c r="T61" s="197"/>
      <c r="U61" s="197"/>
    </row>
    <row r="62" spans="1:21" s="12" customFormat="1" x14ac:dyDescent="0.25">
      <c r="A62" s="200" t="s">
        <v>2029</v>
      </c>
      <c r="B62" s="60">
        <v>6.86</v>
      </c>
      <c r="C62" s="60">
        <v>13.94</v>
      </c>
      <c r="D62" s="60">
        <v>20.81</v>
      </c>
      <c r="E62" s="60">
        <v>5.51</v>
      </c>
      <c r="F62" s="60">
        <v>0.56000000000000005</v>
      </c>
      <c r="G62" s="6" t="s">
        <v>42</v>
      </c>
      <c r="H62" s="60">
        <v>49.75</v>
      </c>
      <c r="I62" s="6" t="s">
        <v>42</v>
      </c>
      <c r="J62" s="60">
        <v>1.1599999999999999</v>
      </c>
      <c r="K62" s="60">
        <v>321.63</v>
      </c>
      <c r="L62" s="60">
        <v>45.21</v>
      </c>
      <c r="M62" s="60">
        <v>62.41</v>
      </c>
      <c r="N62" s="60">
        <v>400.1</v>
      </c>
      <c r="O62" s="60">
        <v>0</v>
      </c>
      <c r="P62" s="60">
        <v>3.8</v>
      </c>
      <c r="Q62" s="60">
        <v>12.94</v>
      </c>
      <c r="R62" s="197"/>
      <c r="S62" s="197"/>
      <c r="T62" s="197"/>
      <c r="U62" s="197"/>
    </row>
    <row r="63" spans="1:21" s="12" customFormat="1" x14ac:dyDescent="0.25">
      <c r="A63" s="200" t="s">
        <v>2030</v>
      </c>
      <c r="B63" s="60">
        <v>6.92</v>
      </c>
      <c r="C63" s="60">
        <v>13.75</v>
      </c>
      <c r="D63" s="60">
        <v>20.67</v>
      </c>
      <c r="E63" s="60">
        <v>5.4</v>
      </c>
      <c r="F63" s="60">
        <v>0.3</v>
      </c>
      <c r="G63" s="6" t="s">
        <v>42</v>
      </c>
      <c r="H63" s="60">
        <v>18.78</v>
      </c>
      <c r="I63" s="6" t="s">
        <v>42</v>
      </c>
      <c r="J63" s="60">
        <v>1.4</v>
      </c>
      <c r="K63" s="60">
        <v>316.17</v>
      </c>
      <c r="L63" s="60">
        <v>53.38</v>
      </c>
      <c r="M63" s="60">
        <v>63.82</v>
      </c>
      <c r="N63" s="60">
        <v>402</v>
      </c>
      <c r="O63" s="60">
        <v>0</v>
      </c>
      <c r="P63" s="60">
        <v>3.81</v>
      </c>
      <c r="Q63" s="60">
        <v>13.02</v>
      </c>
      <c r="R63" s="197"/>
      <c r="S63" s="197"/>
      <c r="T63" s="197"/>
      <c r="U63" s="197"/>
    </row>
    <row r="64" spans="1:21" s="12" customFormat="1" x14ac:dyDescent="0.25">
      <c r="A64" s="200" t="s">
        <v>2031</v>
      </c>
      <c r="B64" s="60">
        <v>6.54</v>
      </c>
      <c r="C64" s="60">
        <v>13.99</v>
      </c>
      <c r="D64" s="60">
        <v>20.53</v>
      </c>
      <c r="E64" s="60">
        <v>5.46</v>
      </c>
      <c r="F64" s="60">
        <v>0.28000000000000003</v>
      </c>
      <c r="G64" s="6" t="s">
        <v>42</v>
      </c>
      <c r="H64" s="60">
        <v>18.78</v>
      </c>
      <c r="I64" s="6" t="s">
        <v>42</v>
      </c>
      <c r="J64" s="60">
        <v>1.58</v>
      </c>
      <c r="K64" s="60">
        <v>313.86</v>
      </c>
      <c r="L64" s="60">
        <v>54.4</v>
      </c>
      <c r="M64" s="60">
        <v>60.74</v>
      </c>
      <c r="N64" s="60">
        <v>654.4</v>
      </c>
      <c r="O64" s="60">
        <v>0</v>
      </c>
      <c r="P64" s="60">
        <v>3.8</v>
      </c>
      <c r="Q64" s="60">
        <v>12.89</v>
      </c>
      <c r="R64" s="197"/>
      <c r="S64" s="197"/>
      <c r="T64" s="197"/>
      <c r="U64" s="197"/>
    </row>
    <row r="65" spans="1:21" s="12" customFormat="1" x14ac:dyDescent="0.25">
      <c r="A65" s="200" t="s">
        <v>2032</v>
      </c>
      <c r="B65" s="60">
        <v>5.98</v>
      </c>
      <c r="C65" s="60">
        <v>13.55</v>
      </c>
      <c r="D65" s="60">
        <v>19.53</v>
      </c>
      <c r="E65" s="60">
        <v>5.36</v>
      </c>
      <c r="F65" s="60">
        <v>0.69</v>
      </c>
      <c r="G65" s="6" t="s">
        <v>42</v>
      </c>
      <c r="H65" s="60">
        <v>18.78</v>
      </c>
      <c r="I65" s="6" t="s">
        <v>42</v>
      </c>
      <c r="J65" s="60">
        <v>1.21</v>
      </c>
      <c r="K65" s="60">
        <v>313.29000000000002</v>
      </c>
      <c r="L65" s="60">
        <v>52.5</v>
      </c>
      <c r="M65" s="60">
        <v>57.92</v>
      </c>
      <c r="N65" s="60">
        <v>669.7</v>
      </c>
      <c r="O65" s="60">
        <v>0</v>
      </c>
      <c r="P65" s="60">
        <v>3.78</v>
      </c>
      <c r="Q65" s="60">
        <v>12.39</v>
      </c>
      <c r="R65" s="197"/>
      <c r="S65" s="197"/>
      <c r="T65" s="197"/>
      <c r="U65" s="197"/>
    </row>
    <row r="66" spans="1:21" s="12" customFormat="1" x14ac:dyDescent="0.25">
      <c r="A66" s="200" t="s">
        <v>2033</v>
      </c>
      <c r="B66" s="60">
        <v>5.18</v>
      </c>
      <c r="C66" s="60">
        <v>13.42</v>
      </c>
      <c r="D66" s="60">
        <v>18.61</v>
      </c>
      <c r="E66" s="60">
        <v>5.0599999999999996</v>
      </c>
      <c r="F66" s="60">
        <v>0.73</v>
      </c>
      <c r="G66" s="6" t="s">
        <v>42</v>
      </c>
      <c r="H66" s="60">
        <v>59.66</v>
      </c>
      <c r="I66" s="6" t="s">
        <v>42</v>
      </c>
      <c r="J66" s="60">
        <v>1.1599999999999999</v>
      </c>
      <c r="K66" s="60">
        <v>313.76</v>
      </c>
      <c r="L66" s="60">
        <v>52.07</v>
      </c>
      <c r="M66" s="60">
        <v>58.32</v>
      </c>
      <c r="N66" s="60">
        <v>464.1</v>
      </c>
      <c r="O66" s="60">
        <v>0</v>
      </c>
      <c r="P66" s="60">
        <v>3.78</v>
      </c>
      <c r="Q66" s="60">
        <v>11.57</v>
      </c>
      <c r="R66" s="197"/>
      <c r="S66" s="197"/>
      <c r="T66" s="197"/>
      <c r="U66" s="197"/>
    </row>
    <row r="67" spans="1:21" s="12" customFormat="1" x14ac:dyDescent="0.25">
      <c r="A67" s="200" t="s">
        <v>2034</v>
      </c>
      <c r="B67" s="60">
        <v>4.5999999999999996</v>
      </c>
      <c r="C67" s="60">
        <v>13.29</v>
      </c>
      <c r="D67" s="60">
        <v>17.89</v>
      </c>
      <c r="E67" s="60">
        <v>5.0199999999999996</v>
      </c>
      <c r="F67" s="60">
        <v>0.83</v>
      </c>
      <c r="G67" s="6" t="s">
        <v>42</v>
      </c>
      <c r="H67" s="60">
        <v>67.84</v>
      </c>
      <c r="I67" s="6" t="s">
        <v>42</v>
      </c>
      <c r="J67" s="60">
        <v>1.2</v>
      </c>
      <c r="K67" s="60">
        <v>311.94</v>
      </c>
      <c r="L67" s="60">
        <v>51.27</v>
      </c>
      <c r="M67" s="60">
        <v>60.26</v>
      </c>
      <c r="N67" s="60">
        <v>363.4</v>
      </c>
      <c r="O67" s="60">
        <v>0</v>
      </c>
      <c r="P67" s="60">
        <v>3.78</v>
      </c>
      <c r="Q67" s="60">
        <v>10.66</v>
      </c>
      <c r="R67" s="197"/>
      <c r="S67" s="197"/>
      <c r="T67" s="197"/>
      <c r="U67" s="197"/>
    </row>
    <row r="68" spans="1:21" s="12" customFormat="1" x14ac:dyDescent="0.25">
      <c r="A68" s="200" t="s">
        <v>2035</v>
      </c>
      <c r="B68" s="60">
        <v>4.2699999999999996</v>
      </c>
      <c r="C68" s="60">
        <v>13.52</v>
      </c>
      <c r="D68" s="60">
        <v>17.79</v>
      </c>
      <c r="E68" s="60">
        <v>4.93</v>
      </c>
      <c r="F68" s="60">
        <v>0.61</v>
      </c>
      <c r="G68" s="6" t="s">
        <v>42</v>
      </c>
      <c r="H68" s="60">
        <v>67.84</v>
      </c>
      <c r="I68" s="6" t="s">
        <v>42</v>
      </c>
      <c r="J68" s="60">
        <v>1.8</v>
      </c>
      <c r="K68" s="60">
        <v>325.31</v>
      </c>
      <c r="L68" s="60">
        <v>51.07</v>
      </c>
      <c r="M68" s="60">
        <v>61.1</v>
      </c>
      <c r="N68" s="60">
        <v>296.3</v>
      </c>
      <c r="O68" s="60">
        <v>0</v>
      </c>
      <c r="P68" s="60">
        <v>3.76</v>
      </c>
      <c r="Q68" s="60">
        <v>10.01</v>
      </c>
      <c r="R68" s="197"/>
      <c r="S68" s="197"/>
      <c r="T68" s="197"/>
      <c r="U68" s="197"/>
    </row>
    <row r="69" spans="1:21" s="12" customFormat="1" x14ac:dyDescent="0.25">
      <c r="A69" s="200" t="s">
        <v>2036</v>
      </c>
      <c r="B69" s="60">
        <v>4.41</v>
      </c>
      <c r="C69" s="60">
        <v>13.54</v>
      </c>
      <c r="D69" s="60">
        <v>17.95</v>
      </c>
      <c r="E69" s="60">
        <v>4.51</v>
      </c>
      <c r="F69" s="60">
        <v>0.22</v>
      </c>
      <c r="G69" s="6" t="s">
        <v>42</v>
      </c>
      <c r="H69" s="60">
        <v>67.84</v>
      </c>
      <c r="I69" s="6" t="s">
        <v>42</v>
      </c>
      <c r="J69" s="60">
        <v>1.94</v>
      </c>
      <c r="K69" s="60">
        <v>320.20999999999998</v>
      </c>
      <c r="L69" s="60">
        <v>49.52</v>
      </c>
      <c r="M69" s="60">
        <v>62.68</v>
      </c>
      <c r="N69" s="60">
        <v>266.60000000000002</v>
      </c>
      <c r="O69" s="60">
        <v>0</v>
      </c>
      <c r="P69" s="60">
        <v>3.76</v>
      </c>
      <c r="Q69" s="60">
        <v>9.73</v>
      </c>
      <c r="R69" s="197"/>
      <c r="S69" s="197"/>
      <c r="T69" s="197"/>
      <c r="U69" s="197"/>
    </row>
    <row r="70" spans="1:21" s="12" customFormat="1" x14ac:dyDescent="0.25">
      <c r="A70" s="200" t="s">
        <v>2037</v>
      </c>
      <c r="B70" s="60">
        <v>4.8499999999999996</v>
      </c>
      <c r="C70" s="60">
        <v>13.6</v>
      </c>
      <c r="D70" s="60">
        <v>18.45</v>
      </c>
      <c r="E70" s="60">
        <v>4.9000000000000004</v>
      </c>
      <c r="F70" s="60">
        <v>0.3</v>
      </c>
      <c r="G70" s="6" t="s">
        <v>42</v>
      </c>
      <c r="H70" s="60">
        <v>117.4</v>
      </c>
      <c r="I70" s="6" t="s">
        <v>42</v>
      </c>
      <c r="J70" s="60">
        <v>1.39</v>
      </c>
      <c r="K70" s="60">
        <v>313.69</v>
      </c>
      <c r="L70" s="60">
        <v>48.36</v>
      </c>
      <c r="M70" s="60">
        <v>63.69</v>
      </c>
      <c r="N70" s="60">
        <v>232</v>
      </c>
      <c r="O70" s="60">
        <v>0</v>
      </c>
      <c r="P70" s="60">
        <v>3.76</v>
      </c>
      <c r="Q70" s="60">
        <v>9.69</v>
      </c>
      <c r="R70" s="197"/>
      <c r="S70" s="197"/>
      <c r="T70" s="197"/>
      <c r="U70" s="197"/>
    </row>
    <row r="71" spans="1:21" s="12" customFormat="1" x14ac:dyDescent="0.25">
      <c r="A71" s="200" t="s">
        <v>2038</v>
      </c>
      <c r="B71" s="60">
        <v>5.36</v>
      </c>
      <c r="C71" s="60">
        <v>13.72</v>
      </c>
      <c r="D71" s="60">
        <v>19.07</v>
      </c>
      <c r="E71" s="60">
        <v>5.23</v>
      </c>
      <c r="F71" s="60">
        <v>0.26</v>
      </c>
      <c r="G71" s="6" t="s">
        <v>42</v>
      </c>
      <c r="H71" s="60">
        <v>127.31</v>
      </c>
      <c r="I71" s="6" t="s">
        <v>42</v>
      </c>
      <c r="J71" s="60">
        <v>0.94</v>
      </c>
      <c r="K71" s="60">
        <v>312.73</v>
      </c>
      <c r="L71" s="60">
        <v>49.21</v>
      </c>
      <c r="M71" s="60">
        <v>64.63</v>
      </c>
      <c r="N71" s="60">
        <v>193.3</v>
      </c>
      <c r="O71" s="60">
        <v>0</v>
      </c>
      <c r="P71" s="60">
        <v>3.77</v>
      </c>
      <c r="Q71" s="60">
        <v>9.75</v>
      </c>
      <c r="R71" s="197"/>
      <c r="S71" s="197"/>
      <c r="T71" s="197"/>
      <c r="U71" s="197"/>
    </row>
    <row r="72" spans="1:21" s="12" customFormat="1" x14ac:dyDescent="0.25">
      <c r="A72" s="200" t="s">
        <v>2039</v>
      </c>
      <c r="B72" s="60">
        <v>5.8</v>
      </c>
      <c r="C72" s="60">
        <v>13.66</v>
      </c>
      <c r="D72" s="60">
        <v>19.46</v>
      </c>
      <c r="E72" s="60">
        <v>3.4</v>
      </c>
      <c r="F72" s="60">
        <v>0.13</v>
      </c>
      <c r="G72" s="6" t="s">
        <v>42</v>
      </c>
      <c r="H72" s="60">
        <v>127.31</v>
      </c>
      <c r="I72" s="6" t="s">
        <v>42</v>
      </c>
      <c r="J72" s="60">
        <v>0.5</v>
      </c>
      <c r="K72" s="60">
        <v>316.86</v>
      </c>
      <c r="L72" s="60">
        <v>50.62</v>
      </c>
      <c r="M72" s="60">
        <v>66.84</v>
      </c>
      <c r="N72" s="60">
        <v>167</v>
      </c>
      <c r="O72" s="60">
        <v>0</v>
      </c>
      <c r="P72" s="60">
        <v>3.78</v>
      </c>
      <c r="Q72" s="60">
        <v>9.9</v>
      </c>
      <c r="R72" s="197"/>
      <c r="S72" s="197"/>
      <c r="T72" s="197"/>
      <c r="U72" s="197"/>
    </row>
    <row r="73" spans="1:21" s="12" customFormat="1" x14ac:dyDescent="0.25">
      <c r="A73" s="200" t="s">
        <v>2040</v>
      </c>
      <c r="B73" s="60">
        <v>6.03</v>
      </c>
      <c r="C73" s="60">
        <v>13.3</v>
      </c>
      <c r="D73" s="60">
        <v>19.329999999999998</v>
      </c>
      <c r="E73" s="60">
        <v>6.12</v>
      </c>
      <c r="F73" s="60">
        <v>0.23</v>
      </c>
      <c r="G73" s="6" t="s">
        <v>42</v>
      </c>
      <c r="H73" s="60">
        <v>127.31</v>
      </c>
      <c r="I73" s="6" t="s">
        <v>42</v>
      </c>
      <c r="J73" s="60">
        <v>0.34</v>
      </c>
      <c r="K73" s="60">
        <v>325.12</v>
      </c>
      <c r="L73" s="60">
        <v>50.18</v>
      </c>
      <c r="M73" s="60">
        <v>69.61</v>
      </c>
      <c r="N73" s="60">
        <v>152.1</v>
      </c>
      <c r="O73" s="60">
        <v>0</v>
      </c>
      <c r="P73" s="60">
        <v>3.79</v>
      </c>
      <c r="Q73" s="60">
        <v>10.08</v>
      </c>
      <c r="R73" s="197"/>
      <c r="S73" s="197"/>
      <c r="T73" s="197"/>
      <c r="U73" s="197"/>
    </row>
    <row r="74" spans="1:21" s="12" customFormat="1" x14ac:dyDescent="0.25">
      <c r="A74" s="200" t="s">
        <v>2041</v>
      </c>
      <c r="B74" s="60">
        <v>6.18</v>
      </c>
      <c r="C74" s="60">
        <v>13.11</v>
      </c>
      <c r="D74" s="60">
        <v>19.3</v>
      </c>
      <c r="E74" s="60">
        <v>6.13</v>
      </c>
      <c r="F74" s="60">
        <v>0.25</v>
      </c>
      <c r="G74" s="6" t="s">
        <v>42</v>
      </c>
      <c r="H74" s="60">
        <v>164.39</v>
      </c>
      <c r="I74" s="6" t="s">
        <v>42</v>
      </c>
      <c r="J74" s="60">
        <v>0.96</v>
      </c>
      <c r="K74" s="60">
        <v>316.3</v>
      </c>
      <c r="L74" s="60">
        <v>49.49</v>
      </c>
      <c r="M74" s="60">
        <v>71.94</v>
      </c>
      <c r="N74" s="60">
        <v>89.4</v>
      </c>
      <c r="O74" s="60">
        <v>0.2</v>
      </c>
      <c r="P74" s="60">
        <v>3.8</v>
      </c>
      <c r="Q74" s="60">
        <v>10.130000000000001</v>
      </c>
      <c r="R74" s="197"/>
      <c r="S74" s="197"/>
      <c r="T74" s="197"/>
      <c r="U74" s="197"/>
    </row>
    <row r="75" spans="1:21" s="12" customFormat="1" x14ac:dyDescent="0.25">
      <c r="A75" s="200" t="s">
        <v>2042</v>
      </c>
      <c r="B75" s="60">
        <v>6.25</v>
      </c>
      <c r="C75" s="60">
        <v>12.89</v>
      </c>
      <c r="D75" s="60">
        <v>19.14</v>
      </c>
      <c r="E75" s="60">
        <v>6.2</v>
      </c>
      <c r="F75" s="60">
        <v>0.37</v>
      </c>
      <c r="G75" s="6" t="s">
        <v>42</v>
      </c>
      <c r="H75" s="60">
        <v>172.41</v>
      </c>
      <c r="I75" s="6" t="s">
        <v>42</v>
      </c>
      <c r="J75" s="60">
        <v>1.94</v>
      </c>
      <c r="K75" s="60">
        <v>347.87</v>
      </c>
      <c r="L75" s="60">
        <v>42.57</v>
      </c>
      <c r="M75" s="60">
        <v>94.82</v>
      </c>
      <c r="N75" s="60">
        <v>36.799999999999997</v>
      </c>
      <c r="O75" s="60">
        <v>4.8</v>
      </c>
      <c r="P75" s="60">
        <v>3.77</v>
      </c>
      <c r="Q75" s="60">
        <v>10.34</v>
      </c>
      <c r="R75" s="197"/>
      <c r="S75" s="197"/>
      <c r="T75" s="197"/>
      <c r="U75" s="197"/>
    </row>
    <row r="76" spans="1:21" s="12" customFormat="1" x14ac:dyDescent="0.25">
      <c r="A76" s="200" t="s">
        <v>2043</v>
      </c>
      <c r="B76" s="60">
        <v>6.16</v>
      </c>
      <c r="C76" s="60">
        <v>13.09</v>
      </c>
      <c r="D76" s="60">
        <v>19.25</v>
      </c>
      <c r="E76" s="60">
        <v>6.27</v>
      </c>
      <c r="F76" s="60">
        <v>0.22</v>
      </c>
      <c r="G76" s="6" t="s">
        <v>42</v>
      </c>
      <c r="H76" s="60">
        <v>172.41</v>
      </c>
      <c r="I76" s="6" t="s">
        <v>42</v>
      </c>
      <c r="J76" s="60">
        <v>0.6</v>
      </c>
      <c r="K76" s="60">
        <v>151.59</v>
      </c>
      <c r="L76" s="60">
        <v>43.32</v>
      </c>
      <c r="M76" s="60">
        <v>99.15</v>
      </c>
      <c r="N76" s="60">
        <v>35.9</v>
      </c>
      <c r="O76" s="60">
        <v>1.4</v>
      </c>
      <c r="P76" s="60">
        <v>3.78</v>
      </c>
      <c r="Q76" s="60">
        <v>10.88</v>
      </c>
      <c r="R76" s="197"/>
      <c r="S76" s="197"/>
      <c r="T76" s="197"/>
      <c r="U76" s="197"/>
    </row>
    <row r="77" spans="1:21" s="12" customFormat="1" x14ac:dyDescent="0.25">
      <c r="A77" s="200" t="s">
        <v>2044</v>
      </c>
      <c r="B77" s="60">
        <v>6.37</v>
      </c>
      <c r="C77" s="60">
        <v>12.34</v>
      </c>
      <c r="D77" s="60">
        <v>18.71</v>
      </c>
      <c r="E77" s="60">
        <v>6.71</v>
      </c>
      <c r="F77" s="60">
        <v>0.2</v>
      </c>
      <c r="G77" s="6" t="s">
        <v>42</v>
      </c>
      <c r="H77" s="60">
        <v>172.41</v>
      </c>
      <c r="I77" s="6" t="s">
        <v>42</v>
      </c>
      <c r="J77" s="60">
        <v>0.57999999999999996</v>
      </c>
      <c r="K77" s="60">
        <v>89.15</v>
      </c>
      <c r="L77" s="60">
        <v>40.47</v>
      </c>
      <c r="M77" s="60">
        <v>99.15</v>
      </c>
      <c r="N77" s="60">
        <v>45.4</v>
      </c>
      <c r="O77" s="60">
        <v>0</v>
      </c>
      <c r="P77" s="60">
        <v>3.77</v>
      </c>
      <c r="Q77" s="60">
        <v>12.54</v>
      </c>
      <c r="R77" s="197"/>
      <c r="S77" s="197"/>
      <c r="T77" s="197"/>
      <c r="U77" s="197"/>
    </row>
    <row r="78" spans="1:21" s="12" customFormat="1" x14ac:dyDescent="0.25">
      <c r="A78" s="200" t="s">
        <v>2045</v>
      </c>
      <c r="B78" s="60">
        <v>6.61</v>
      </c>
      <c r="C78" s="60">
        <v>11.45</v>
      </c>
      <c r="D78" s="60">
        <v>18.059999999999999</v>
      </c>
      <c r="E78" s="60">
        <v>7.07</v>
      </c>
      <c r="F78" s="60">
        <v>0.25</v>
      </c>
      <c r="G78" s="6" t="s">
        <v>42</v>
      </c>
      <c r="H78" s="60">
        <v>82.13</v>
      </c>
      <c r="I78" s="6" t="s">
        <v>42</v>
      </c>
      <c r="J78" s="60">
        <v>0.31</v>
      </c>
      <c r="K78" s="60">
        <v>118.3</v>
      </c>
      <c r="L78" s="60">
        <v>34.69</v>
      </c>
      <c r="M78" s="60">
        <v>99.15</v>
      </c>
      <c r="N78" s="60">
        <v>34.700000000000003</v>
      </c>
      <c r="O78" s="60">
        <v>0</v>
      </c>
      <c r="P78" s="60">
        <v>3.77</v>
      </c>
      <c r="Q78" s="60">
        <v>14.87</v>
      </c>
      <c r="R78" s="197"/>
      <c r="S78" s="197"/>
      <c r="T78" s="197"/>
      <c r="U78" s="197"/>
    </row>
    <row r="79" spans="1:21" s="12" customFormat="1" x14ac:dyDescent="0.25">
      <c r="A79" s="200" t="s">
        <v>2046</v>
      </c>
      <c r="B79" s="60">
        <v>7.87</v>
      </c>
      <c r="C79" s="60">
        <v>11.03</v>
      </c>
      <c r="D79" s="60">
        <v>18.89</v>
      </c>
      <c r="E79" s="60">
        <v>7.4</v>
      </c>
      <c r="F79" s="60">
        <v>0.11</v>
      </c>
      <c r="G79" s="6" t="s">
        <v>42</v>
      </c>
      <c r="H79" s="60">
        <v>62.61</v>
      </c>
      <c r="I79" s="6" t="s">
        <v>42</v>
      </c>
      <c r="J79" s="60">
        <v>0.49</v>
      </c>
      <c r="K79" s="60">
        <v>356.58</v>
      </c>
      <c r="L79" s="60">
        <v>35.1</v>
      </c>
      <c r="M79" s="60">
        <v>99.15</v>
      </c>
      <c r="N79" s="60">
        <v>24.7</v>
      </c>
      <c r="O79" s="60">
        <v>0.4</v>
      </c>
      <c r="P79" s="60">
        <v>3.83</v>
      </c>
      <c r="Q79" s="60">
        <v>17.010000000000002</v>
      </c>
      <c r="R79" s="197"/>
      <c r="S79" s="197"/>
      <c r="T79" s="197"/>
      <c r="U79" s="197"/>
    </row>
    <row r="80" spans="1:21" s="12" customFormat="1" x14ac:dyDescent="0.25">
      <c r="A80" s="200" t="s">
        <v>2047</v>
      </c>
      <c r="B80" s="60">
        <v>10.58</v>
      </c>
      <c r="C80" s="60">
        <v>11.56</v>
      </c>
      <c r="D80" s="60">
        <v>22.14</v>
      </c>
      <c r="E80" s="60">
        <v>7.23</v>
      </c>
      <c r="F80" s="60">
        <v>0.03</v>
      </c>
      <c r="G80" s="6" t="s">
        <v>42</v>
      </c>
      <c r="H80" s="60">
        <v>62.61</v>
      </c>
      <c r="I80" s="6" t="s">
        <v>42</v>
      </c>
      <c r="J80" s="60">
        <v>0.45</v>
      </c>
      <c r="K80" s="60">
        <v>353.69</v>
      </c>
      <c r="L80" s="60">
        <v>35.130000000000003</v>
      </c>
      <c r="M80" s="60">
        <v>99.15</v>
      </c>
      <c r="N80" s="60">
        <v>19.3</v>
      </c>
      <c r="O80" s="60">
        <v>0.2</v>
      </c>
      <c r="P80" s="60">
        <v>3.91</v>
      </c>
      <c r="Q80" s="60">
        <v>18.82</v>
      </c>
      <c r="R80" s="197"/>
      <c r="S80" s="197"/>
      <c r="T80" s="197"/>
      <c r="U80" s="197"/>
    </row>
    <row r="81" spans="1:26" s="12" customFormat="1" x14ac:dyDescent="0.25">
      <c r="A81" s="200" t="s">
        <v>2048</v>
      </c>
      <c r="B81" s="60">
        <v>13.41</v>
      </c>
      <c r="C81" s="60">
        <v>12.27</v>
      </c>
      <c r="D81" s="60">
        <v>25.68</v>
      </c>
      <c r="E81" s="60">
        <v>7.34</v>
      </c>
      <c r="F81" s="60">
        <v>7.0000000000000007E-2</v>
      </c>
      <c r="G81" s="6" t="s">
        <v>42</v>
      </c>
      <c r="H81" s="60">
        <v>62.61</v>
      </c>
      <c r="I81" s="6" t="s">
        <v>42</v>
      </c>
      <c r="J81" s="60">
        <v>0.32</v>
      </c>
      <c r="K81" s="60">
        <v>336.91</v>
      </c>
      <c r="L81" s="60">
        <v>34.97</v>
      </c>
      <c r="M81" s="60">
        <v>99.15</v>
      </c>
      <c r="N81" s="60">
        <v>16.899999999999999</v>
      </c>
      <c r="O81" s="60">
        <v>1.6</v>
      </c>
      <c r="P81" s="60">
        <v>3.97</v>
      </c>
      <c r="Q81" s="60">
        <v>20.079999999999998</v>
      </c>
      <c r="R81" s="197"/>
      <c r="S81" s="197"/>
      <c r="T81" s="197"/>
      <c r="U81" s="197"/>
    </row>
    <row r="82" spans="1:26" s="12" customFormat="1" x14ac:dyDescent="0.25">
      <c r="A82" s="200" t="s">
        <v>2049</v>
      </c>
      <c r="B82" s="60">
        <v>14.73</v>
      </c>
      <c r="C82" s="60">
        <v>12.59</v>
      </c>
      <c r="D82" s="60">
        <v>27.32</v>
      </c>
      <c r="E82" s="60">
        <v>7.13</v>
      </c>
      <c r="F82" s="60">
        <v>0</v>
      </c>
      <c r="G82" s="6" t="s">
        <v>42</v>
      </c>
      <c r="H82" s="60">
        <v>222.56</v>
      </c>
      <c r="I82" s="6" t="s">
        <v>42</v>
      </c>
      <c r="J82" s="60">
        <v>0.21</v>
      </c>
      <c r="K82" s="60">
        <v>225.26</v>
      </c>
      <c r="L82" s="60">
        <v>34.74</v>
      </c>
      <c r="M82" s="60">
        <v>99.15</v>
      </c>
      <c r="N82" s="60">
        <v>16.8</v>
      </c>
      <c r="O82" s="60">
        <v>0</v>
      </c>
      <c r="P82" s="60">
        <v>4.01</v>
      </c>
      <c r="Q82" s="60">
        <v>20.48</v>
      </c>
      <c r="R82" s="197"/>
      <c r="S82" s="197"/>
      <c r="T82" s="197"/>
      <c r="U82" s="197"/>
    </row>
    <row r="83" spans="1:26" s="12" customFormat="1" x14ac:dyDescent="0.25">
      <c r="A83" s="200" t="s">
        <v>2050</v>
      </c>
      <c r="B83" s="60">
        <v>15.01</v>
      </c>
      <c r="C83" s="60">
        <v>12.75</v>
      </c>
      <c r="D83" s="60">
        <v>27.76</v>
      </c>
      <c r="E83" s="60">
        <v>7.18</v>
      </c>
      <c r="F83" s="60">
        <v>0</v>
      </c>
      <c r="G83" s="6" t="s">
        <v>42</v>
      </c>
      <c r="H83" s="60">
        <v>254.54</v>
      </c>
      <c r="I83" s="6" t="s">
        <v>42</v>
      </c>
      <c r="J83" s="60">
        <v>0.21</v>
      </c>
      <c r="K83" s="60">
        <v>218.42</v>
      </c>
      <c r="L83" s="60">
        <v>30.76</v>
      </c>
      <c r="M83" s="60">
        <v>99.14</v>
      </c>
      <c r="N83" s="60">
        <v>15.9</v>
      </c>
      <c r="O83" s="60">
        <v>0</v>
      </c>
      <c r="P83" s="60">
        <v>4.03</v>
      </c>
      <c r="Q83" s="60">
        <v>20.47</v>
      </c>
      <c r="R83" s="197"/>
      <c r="S83" s="197"/>
      <c r="T83" s="197"/>
      <c r="U83" s="197"/>
    </row>
    <row r="84" spans="1:26" s="12" customFormat="1" x14ac:dyDescent="0.25">
      <c r="A84" s="200" t="s">
        <v>2051</v>
      </c>
      <c r="B84" s="60">
        <v>15.01</v>
      </c>
      <c r="C84" s="60">
        <v>12.91</v>
      </c>
      <c r="D84" s="60">
        <v>27.93</v>
      </c>
      <c r="E84" s="60">
        <v>7.84</v>
      </c>
      <c r="F84" s="60">
        <v>0.05</v>
      </c>
      <c r="G84" s="6" t="s">
        <v>42</v>
      </c>
      <c r="H84" s="60">
        <v>254.54</v>
      </c>
      <c r="I84" s="6" t="s">
        <v>42</v>
      </c>
      <c r="J84" s="60">
        <v>0.26</v>
      </c>
      <c r="K84" s="60">
        <v>210.32</v>
      </c>
      <c r="L84" s="60">
        <v>28.33</v>
      </c>
      <c r="M84" s="60">
        <v>99.15</v>
      </c>
      <c r="N84" s="60">
        <v>15.1</v>
      </c>
      <c r="O84" s="60">
        <v>0</v>
      </c>
      <c r="P84" s="60">
        <v>4.05</v>
      </c>
      <c r="Q84" s="60">
        <v>20.6</v>
      </c>
      <c r="R84" s="197"/>
      <c r="S84" s="197"/>
      <c r="T84" s="197"/>
      <c r="U84" s="197"/>
    </row>
    <row r="85" spans="1:26" s="12" customFormat="1" x14ac:dyDescent="0.25">
      <c r="A85" s="200" t="s">
        <v>2052</v>
      </c>
      <c r="B85" s="60">
        <v>15.01</v>
      </c>
      <c r="C85" s="60">
        <v>12.94</v>
      </c>
      <c r="D85" s="60">
        <v>27.95</v>
      </c>
      <c r="E85" s="60">
        <v>7.38</v>
      </c>
      <c r="F85" s="60">
        <v>0.02</v>
      </c>
      <c r="G85" s="6" t="s">
        <v>42</v>
      </c>
      <c r="H85" s="60">
        <v>254.54</v>
      </c>
      <c r="I85" s="6" t="s">
        <v>42</v>
      </c>
      <c r="J85" s="60">
        <v>0.05</v>
      </c>
      <c r="K85" s="60">
        <v>225.56</v>
      </c>
      <c r="L85" s="60">
        <v>28.5</v>
      </c>
      <c r="M85" s="60">
        <v>99.15</v>
      </c>
      <c r="N85" s="60">
        <v>15.3</v>
      </c>
      <c r="O85" s="60">
        <v>0</v>
      </c>
      <c r="P85" s="60">
        <v>4.0599999999999996</v>
      </c>
      <c r="Q85" s="60">
        <v>20.5</v>
      </c>
      <c r="R85" s="197"/>
      <c r="S85" s="197"/>
      <c r="T85" s="197"/>
      <c r="U85" s="197"/>
    </row>
    <row r="86" spans="1:26" s="12" customFormat="1" x14ac:dyDescent="0.25">
      <c r="A86" s="200" t="s">
        <v>2053</v>
      </c>
      <c r="B86" s="60">
        <v>14.92</v>
      </c>
      <c r="C86" s="60">
        <v>13.09</v>
      </c>
      <c r="D86" s="60">
        <v>28</v>
      </c>
      <c r="E86" s="60">
        <v>7.4</v>
      </c>
      <c r="F86" s="60">
        <v>0.03</v>
      </c>
      <c r="G86" s="6" t="s">
        <v>42</v>
      </c>
      <c r="H86" s="60">
        <v>206.74</v>
      </c>
      <c r="I86" s="6" t="s">
        <v>42</v>
      </c>
      <c r="J86" s="60">
        <v>0.08</v>
      </c>
      <c r="K86" s="60">
        <v>240.61</v>
      </c>
      <c r="L86" s="60">
        <v>28.51</v>
      </c>
      <c r="M86" s="60">
        <v>99.15</v>
      </c>
      <c r="N86" s="60">
        <v>15.5</v>
      </c>
      <c r="O86" s="60">
        <v>0</v>
      </c>
      <c r="P86" s="60">
        <v>4.08</v>
      </c>
      <c r="Q86" s="60">
        <v>20.61</v>
      </c>
      <c r="R86" s="197"/>
      <c r="S86" s="197"/>
      <c r="T86" s="197"/>
      <c r="U86" s="197"/>
    </row>
    <row r="87" spans="1:26" s="12" customFormat="1" x14ac:dyDescent="0.25">
      <c r="A87" s="200" t="s">
        <v>2054</v>
      </c>
      <c r="B87" s="60">
        <v>14.95</v>
      </c>
      <c r="C87" s="60">
        <v>12.39</v>
      </c>
      <c r="D87" s="60">
        <v>27.35</v>
      </c>
      <c r="E87" s="60">
        <v>7.31</v>
      </c>
      <c r="F87" s="60">
        <v>0.1</v>
      </c>
      <c r="G87" s="6" t="s">
        <v>42</v>
      </c>
      <c r="H87" s="60">
        <v>197.17</v>
      </c>
      <c r="I87" s="6" t="s">
        <v>42</v>
      </c>
      <c r="J87" s="60">
        <v>0.09</v>
      </c>
      <c r="K87" s="60">
        <v>209.99</v>
      </c>
      <c r="L87" s="60">
        <v>28.57</v>
      </c>
      <c r="M87" s="60">
        <v>99.14</v>
      </c>
      <c r="N87" s="60">
        <v>15.7</v>
      </c>
      <c r="O87" s="60">
        <v>0</v>
      </c>
      <c r="P87" s="60">
        <v>4.0999999999999996</v>
      </c>
      <c r="Q87" s="60">
        <v>21.74</v>
      </c>
      <c r="R87" s="197"/>
      <c r="S87" s="197"/>
      <c r="T87" s="197"/>
      <c r="U87" s="197"/>
    </row>
    <row r="88" spans="1:26" s="12" customFormat="1" x14ac:dyDescent="0.25">
      <c r="A88" s="200" t="s">
        <v>2055</v>
      </c>
      <c r="B88" s="60">
        <v>14.91</v>
      </c>
      <c r="C88" s="60">
        <v>11.85</v>
      </c>
      <c r="D88" s="60">
        <v>26.76</v>
      </c>
      <c r="E88" s="60">
        <v>2.59</v>
      </c>
      <c r="F88" s="60">
        <v>0.24</v>
      </c>
      <c r="G88" s="6" t="s">
        <v>42</v>
      </c>
      <c r="H88" s="60">
        <v>197.17</v>
      </c>
      <c r="I88" s="6" t="s">
        <v>42</v>
      </c>
      <c r="J88" s="60">
        <v>0.02</v>
      </c>
      <c r="K88" s="60">
        <v>312.72000000000003</v>
      </c>
      <c r="L88" s="60">
        <v>28.67</v>
      </c>
      <c r="M88" s="60">
        <v>99.12</v>
      </c>
      <c r="N88" s="60">
        <v>15.5</v>
      </c>
      <c r="O88" s="60">
        <v>0</v>
      </c>
      <c r="P88" s="60">
        <v>4.09</v>
      </c>
      <c r="Q88" s="60">
        <v>22.79</v>
      </c>
      <c r="R88" s="197"/>
      <c r="S88" s="197"/>
      <c r="T88" s="197"/>
      <c r="U88" s="197"/>
    </row>
    <row r="89" spans="1:26" s="12" customFormat="1" x14ac:dyDescent="0.25">
      <c r="A89" s="200" t="s">
        <v>2056</v>
      </c>
      <c r="B89" s="60">
        <v>15.06</v>
      </c>
      <c r="C89" s="60">
        <v>11.38</v>
      </c>
      <c r="D89" s="60">
        <v>26.43</v>
      </c>
      <c r="E89" s="60">
        <v>5.41</v>
      </c>
      <c r="F89" s="60">
        <v>0.06</v>
      </c>
      <c r="G89" s="6" t="s">
        <v>42</v>
      </c>
      <c r="H89" s="60">
        <v>197.17</v>
      </c>
      <c r="I89" s="6" t="s">
        <v>42</v>
      </c>
      <c r="J89" s="60">
        <v>0.09</v>
      </c>
      <c r="K89" s="60">
        <v>28.81</v>
      </c>
      <c r="L89" s="60">
        <v>28.72</v>
      </c>
      <c r="M89" s="60">
        <v>98.89</v>
      </c>
      <c r="N89" s="60">
        <v>15.9</v>
      </c>
      <c r="O89" s="60">
        <v>0</v>
      </c>
      <c r="P89" s="60">
        <v>4.12</v>
      </c>
      <c r="Q89" s="60">
        <v>23.78</v>
      </c>
      <c r="R89" s="197"/>
      <c r="S89" s="197"/>
      <c r="T89" s="197"/>
      <c r="U89" s="197"/>
    </row>
    <row r="90" spans="1:26" s="12" customFormat="1" x14ac:dyDescent="0.25">
      <c r="A90" s="200" t="s">
        <v>2057</v>
      </c>
      <c r="B90" s="60">
        <v>15.2</v>
      </c>
      <c r="C90" s="60">
        <v>11.3</v>
      </c>
      <c r="D90" s="60">
        <v>26.51</v>
      </c>
      <c r="E90" s="60">
        <v>5.73</v>
      </c>
      <c r="F90" s="60">
        <v>0.19</v>
      </c>
      <c r="G90" s="6" t="s">
        <v>42</v>
      </c>
      <c r="H90" s="60">
        <v>154.06</v>
      </c>
      <c r="I90" s="6" t="s">
        <v>42</v>
      </c>
      <c r="J90" s="60">
        <v>0.08</v>
      </c>
      <c r="K90" s="60">
        <v>86.19</v>
      </c>
      <c r="L90" s="60">
        <v>28.79</v>
      </c>
      <c r="M90" s="60">
        <v>98.14</v>
      </c>
      <c r="N90" s="60">
        <v>16</v>
      </c>
      <c r="O90" s="60">
        <v>0</v>
      </c>
      <c r="P90" s="60">
        <v>4.13</v>
      </c>
      <c r="Q90" s="60">
        <v>24.09</v>
      </c>
      <c r="R90" s="197"/>
      <c r="S90" s="197"/>
      <c r="T90" s="197"/>
      <c r="U90" s="197"/>
    </row>
    <row r="91" spans="1:26" s="12" customFormat="1" x14ac:dyDescent="0.25">
      <c r="A91" s="200" t="s">
        <v>2058</v>
      </c>
      <c r="B91" s="60">
        <v>15.11</v>
      </c>
      <c r="C91" s="60">
        <v>11.14</v>
      </c>
      <c r="D91" s="60">
        <v>26.25</v>
      </c>
      <c r="E91" s="60">
        <v>6.31</v>
      </c>
      <c r="F91" s="60">
        <v>0.19</v>
      </c>
      <c r="G91" s="6" t="s">
        <v>42</v>
      </c>
      <c r="H91" s="60">
        <v>145.43</v>
      </c>
      <c r="I91" s="6" t="s">
        <v>42</v>
      </c>
      <c r="J91" s="60">
        <v>0.05</v>
      </c>
      <c r="K91" s="60">
        <v>302.77</v>
      </c>
      <c r="L91" s="60">
        <v>28.59</v>
      </c>
      <c r="M91" s="60">
        <v>98.71</v>
      </c>
      <c r="N91" s="60">
        <v>15.9</v>
      </c>
      <c r="O91" s="60">
        <v>0</v>
      </c>
      <c r="P91" s="60">
        <v>4.12</v>
      </c>
      <c r="Q91" s="60">
        <v>24.2</v>
      </c>
      <c r="R91" s="197"/>
      <c r="S91" s="197"/>
      <c r="T91" s="197"/>
      <c r="U91" s="197"/>
    </row>
    <row r="92" spans="1:26" s="12" customFormat="1" x14ac:dyDescent="0.25">
      <c r="A92" s="200" t="s">
        <v>2059</v>
      </c>
      <c r="B92" s="60">
        <v>14.97</v>
      </c>
      <c r="C92" s="60">
        <v>10.95</v>
      </c>
      <c r="D92" s="60">
        <v>25.92</v>
      </c>
      <c r="E92" s="60">
        <v>6.23</v>
      </c>
      <c r="F92" s="60">
        <v>0.31</v>
      </c>
      <c r="G92" s="6" t="s">
        <v>42</v>
      </c>
      <c r="H92" s="60">
        <v>145.43</v>
      </c>
      <c r="I92" s="6" t="s">
        <v>42</v>
      </c>
      <c r="J92" s="60">
        <v>0.03</v>
      </c>
      <c r="K92" s="60">
        <v>332.44</v>
      </c>
      <c r="L92" s="60">
        <v>28.64</v>
      </c>
      <c r="M92" s="60">
        <v>98.53</v>
      </c>
      <c r="N92" s="60">
        <v>15.8</v>
      </c>
      <c r="O92" s="60">
        <v>0</v>
      </c>
      <c r="P92" s="60">
        <v>4.12</v>
      </c>
      <c r="Q92" s="60">
        <v>24.9</v>
      </c>
      <c r="R92" s="197"/>
      <c r="S92" s="197"/>
      <c r="T92" s="197"/>
      <c r="U92" s="197"/>
    </row>
    <row r="93" spans="1:26" s="12" customFormat="1" x14ac:dyDescent="0.25">
      <c r="A93" s="200" t="s">
        <v>2060</v>
      </c>
      <c r="B93" s="60">
        <v>14.82</v>
      </c>
      <c r="C93" s="60">
        <v>10.81</v>
      </c>
      <c r="D93" s="60">
        <v>25.63</v>
      </c>
      <c r="E93" s="60">
        <v>5.86</v>
      </c>
      <c r="F93" s="60">
        <v>0.23</v>
      </c>
      <c r="G93" s="6" t="s">
        <v>42</v>
      </c>
      <c r="H93" s="60">
        <v>145.43</v>
      </c>
      <c r="I93" s="6" t="s">
        <v>42</v>
      </c>
      <c r="J93" s="60">
        <v>0.13</v>
      </c>
      <c r="K93" s="60">
        <v>38.340000000000003</v>
      </c>
      <c r="L93" s="60">
        <v>29.13</v>
      </c>
      <c r="M93" s="60">
        <v>98.59</v>
      </c>
      <c r="N93" s="60">
        <v>15.7</v>
      </c>
      <c r="O93" s="60">
        <v>0</v>
      </c>
      <c r="P93" s="60">
        <v>4.1100000000000003</v>
      </c>
      <c r="Q93" s="60">
        <v>25.56</v>
      </c>
      <c r="R93" s="197"/>
      <c r="S93" s="197"/>
      <c r="T93" s="197"/>
      <c r="U93" s="197"/>
    </row>
    <row r="94" spans="1:26" s="12" customFormat="1" x14ac:dyDescent="0.25">
      <c r="A94" s="200" t="s">
        <v>2061</v>
      </c>
      <c r="B94" s="60">
        <v>15.17</v>
      </c>
      <c r="C94" s="60">
        <v>10.68</v>
      </c>
      <c r="D94" s="60">
        <v>25.85</v>
      </c>
      <c r="E94" s="60">
        <v>5.78</v>
      </c>
      <c r="F94" s="60">
        <v>0.1</v>
      </c>
      <c r="G94" s="6" t="s">
        <v>42</v>
      </c>
      <c r="H94" s="60">
        <v>152.9</v>
      </c>
      <c r="I94" s="6" t="s">
        <v>42</v>
      </c>
      <c r="J94" s="60">
        <v>0.12</v>
      </c>
      <c r="K94" s="60">
        <v>33.729999999999997</v>
      </c>
      <c r="L94" s="60">
        <v>28.19</v>
      </c>
      <c r="M94" s="60">
        <v>99</v>
      </c>
      <c r="N94" s="60">
        <v>15.6</v>
      </c>
      <c r="O94" s="60">
        <v>0</v>
      </c>
      <c r="P94" s="60">
        <v>4.12</v>
      </c>
      <c r="Q94" s="60">
        <v>25.6</v>
      </c>
      <c r="R94" s="197"/>
      <c r="S94" s="197"/>
      <c r="T94" s="197"/>
      <c r="U94" s="197"/>
    </row>
    <row r="95" spans="1:26" s="12" customFormat="1" x14ac:dyDescent="0.25">
      <c r="A95" s="200" t="s">
        <v>2062</v>
      </c>
      <c r="B95" s="60">
        <v>15.63</v>
      </c>
      <c r="C95" s="60">
        <v>10.87</v>
      </c>
      <c r="D95" s="60">
        <v>26.5</v>
      </c>
      <c r="E95" s="60">
        <v>6.16</v>
      </c>
      <c r="F95" s="60">
        <v>0.16</v>
      </c>
      <c r="G95" s="6" t="s">
        <v>42</v>
      </c>
      <c r="H95" s="60">
        <v>154.38999999999999</v>
      </c>
      <c r="I95" s="6" t="s">
        <v>42</v>
      </c>
      <c r="J95" s="60">
        <v>7.0000000000000007E-2</v>
      </c>
      <c r="K95" s="60">
        <v>44.53</v>
      </c>
      <c r="L95" s="60">
        <v>28.19</v>
      </c>
      <c r="M95" s="60">
        <v>99.06</v>
      </c>
      <c r="N95" s="60">
        <v>15.6</v>
      </c>
      <c r="O95" s="60">
        <v>0</v>
      </c>
      <c r="P95" s="60">
        <v>4.13</v>
      </c>
      <c r="Q95" s="60">
        <v>24.88</v>
      </c>
      <c r="R95" s="197"/>
      <c r="S95" s="197"/>
      <c r="T95" s="197"/>
      <c r="U95" s="197"/>
    </row>
    <row r="96" spans="1:26" s="12" customFormat="1" x14ac:dyDescent="0.25">
      <c r="A96" s="200" t="s">
        <v>2063</v>
      </c>
      <c r="B96" s="60">
        <v>15.81</v>
      </c>
      <c r="C96" s="60">
        <v>11.28</v>
      </c>
      <c r="D96" s="60">
        <v>27.09</v>
      </c>
      <c r="E96" s="60">
        <v>5.6</v>
      </c>
      <c r="F96" s="60">
        <v>0</v>
      </c>
      <c r="G96" s="6" t="s">
        <v>42</v>
      </c>
      <c r="H96" s="60">
        <v>154.38999999999999</v>
      </c>
      <c r="I96" s="6" t="s">
        <v>42</v>
      </c>
      <c r="J96" s="60">
        <v>0.19</v>
      </c>
      <c r="K96" s="60">
        <v>19</v>
      </c>
      <c r="L96" s="60">
        <v>28.27</v>
      </c>
      <c r="M96" s="60">
        <v>98.94</v>
      </c>
      <c r="N96" s="60">
        <v>15.6</v>
      </c>
      <c r="O96" s="60">
        <v>0</v>
      </c>
      <c r="P96" s="60">
        <v>4.13</v>
      </c>
      <c r="Q96" s="60">
        <v>23.74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2064</v>
      </c>
      <c r="B97" s="60">
        <v>15.4</v>
      </c>
      <c r="C97" s="60">
        <v>11.33</v>
      </c>
      <c r="D97" s="60">
        <v>26.72</v>
      </c>
      <c r="E97" s="60">
        <v>5.64</v>
      </c>
      <c r="F97" s="60">
        <v>0</v>
      </c>
      <c r="G97" s="6" t="s">
        <v>42</v>
      </c>
      <c r="H97" s="60">
        <v>154.38999999999999</v>
      </c>
      <c r="I97" s="6" t="s">
        <v>42</v>
      </c>
      <c r="J97" s="60">
        <v>0.19</v>
      </c>
      <c r="K97" s="60">
        <v>9.07</v>
      </c>
      <c r="L97" s="60">
        <v>28.31</v>
      </c>
      <c r="M97" s="60">
        <v>99.01</v>
      </c>
      <c r="N97" s="60">
        <v>15.4</v>
      </c>
      <c r="O97" s="60">
        <v>0</v>
      </c>
      <c r="P97" s="60">
        <v>4.0999999999999996</v>
      </c>
      <c r="Q97" s="60">
        <v>22.46</v>
      </c>
      <c r="R97" s="197"/>
      <c r="S97" s="197"/>
      <c r="T97" s="197"/>
      <c r="U97" s="197"/>
    </row>
    <row r="98" spans="1:33" s="12" customFormat="1" x14ac:dyDescent="0.25">
      <c r="A98" s="200" t="s">
        <v>2065</v>
      </c>
      <c r="B98" s="60">
        <v>14.86</v>
      </c>
      <c r="C98" s="60">
        <v>11.24</v>
      </c>
      <c r="D98" s="60">
        <v>26.1</v>
      </c>
      <c r="E98" s="60">
        <v>5.84</v>
      </c>
      <c r="F98" s="60">
        <v>0.27</v>
      </c>
      <c r="G98" s="6" t="s">
        <v>42</v>
      </c>
      <c r="H98" s="60">
        <v>219.92</v>
      </c>
      <c r="I98" s="6" t="s">
        <v>42</v>
      </c>
      <c r="J98" s="60">
        <v>0.21</v>
      </c>
      <c r="K98" s="60">
        <v>324.7</v>
      </c>
      <c r="L98" s="60">
        <v>28.36</v>
      </c>
      <c r="M98" s="60">
        <v>99.02</v>
      </c>
      <c r="N98" s="60">
        <v>15.4</v>
      </c>
      <c r="O98" s="60">
        <v>0</v>
      </c>
      <c r="P98" s="60">
        <v>4.08</v>
      </c>
      <c r="Q98" s="60">
        <v>21.34</v>
      </c>
      <c r="R98" s="197"/>
      <c r="S98" s="197"/>
      <c r="T98" s="197"/>
      <c r="U98" s="197"/>
    </row>
    <row r="99" spans="1:33" s="12" customFormat="1" x14ac:dyDescent="0.25">
      <c r="A99" s="200" t="s">
        <v>2066</v>
      </c>
      <c r="B99" s="60">
        <v>14.44</v>
      </c>
      <c r="C99" s="60">
        <v>11.12</v>
      </c>
      <c r="D99" s="60">
        <v>25.56</v>
      </c>
      <c r="E99" s="60">
        <v>5.56</v>
      </c>
      <c r="F99" s="60">
        <v>0.08</v>
      </c>
      <c r="G99" s="6" t="s">
        <v>42</v>
      </c>
      <c r="H99" s="60">
        <v>233.03</v>
      </c>
      <c r="I99" s="6" t="s">
        <v>42</v>
      </c>
      <c r="J99" s="60">
        <v>0.36</v>
      </c>
      <c r="K99" s="60">
        <v>329.31</v>
      </c>
      <c r="L99" s="60">
        <v>28.48</v>
      </c>
      <c r="M99" s="60">
        <v>96.1</v>
      </c>
      <c r="N99" s="60">
        <v>16</v>
      </c>
      <c r="O99" s="60">
        <v>0</v>
      </c>
      <c r="P99" s="60">
        <v>4.08</v>
      </c>
      <c r="Q99" s="60">
        <v>20.54</v>
      </c>
      <c r="R99" s="197"/>
      <c r="S99" s="197"/>
      <c r="T99" s="197"/>
      <c r="U99" s="197"/>
    </row>
    <row r="100" spans="1:33" s="12" customFormat="1" x14ac:dyDescent="0.25">
      <c r="A100" s="200" t="s">
        <v>2067</v>
      </c>
      <c r="B100" s="60">
        <v>13.54</v>
      </c>
      <c r="C100" s="60">
        <v>11.46</v>
      </c>
      <c r="D100" s="60">
        <v>25.01</v>
      </c>
      <c r="E100" s="60">
        <v>5.17</v>
      </c>
      <c r="F100" s="60">
        <v>0</v>
      </c>
      <c r="G100" s="6" t="s">
        <v>42</v>
      </c>
      <c r="H100" s="60">
        <v>233.03</v>
      </c>
      <c r="I100" s="6" t="s">
        <v>42</v>
      </c>
      <c r="J100" s="60">
        <v>0.27</v>
      </c>
      <c r="K100" s="60">
        <v>335.63</v>
      </c>
      <c r="L100" s="60">
        <v>28.3</v>
      </c>
      <c r="M100" s="60">
        <v>94.22</v>
      </c>
      <c r="N100" s="60">
        <v>15.7</v>
      </c>
      <c r="O100" s="60">
        <v>0</v>
      </c>
      <c r="P100" s="60">
        <v>4.05</v>
      </c>
      <c r="Q100" s="60">
        <v>19.3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2068</v>
      </c>
      <c r="B101" s="60">
        <v>12.88</v>
      </c>
      <c r="C101" s="60">
        <v>11.57</v>
      </c>
      <c r="D101" s="60">
        <v>24.44</v>
      </c>
      <c r="E101" s="60">
        <v>5.22</v>
      </c>
      <c r="F101" s="60">
        <v>0.09</v>
      </c>
      <c r="G101" s="6" t="s">
        <v>42</v>
      </c>
      <c r="H101" s="60">
        <v>233.03</v>
      </c>
      <c r="I101" s="6" t="s">
        <v>42</v>
      </c>
      <c r="J101" s="60">
        <v>0.16</v>
      </c>
      <c r="K101" s="60">
        <v>49.63</v>
      </c>
      <c r="L101" s="60">
        <v>28.26</v>
      </c>
      <c r="M101" s="60">
        <v>94.45</v>
      </c>
      <c r="N101" s="60">
        <v>15.6</v>
      </c>
      <c r="O101" s="60">
        <v>0</v>
      </c>
      <c r="P101" s="60">
        <v>4.03</v>
      </c>
      <c r="Q101" s="60">
        <v>19.010000000000002</v>
      </c>
      <c r="R101" s="197"/>
      <c r="S101" s="197"/>
      <c r="T101" s="197"/>
      <c r="U101" s="197"/>
    </row>
    <row r="102" spans="1:33" s="12" customFormat="1" x14ac:dyDescent="0.25">
      <c r="A102" s="200" t="s">
        <v>2069</v>
      </c>
      <c r="B102" s="60">
        <v>12.59</v>
      </c>
      <c r="C102" s="60">
        <v>11.57</v>
      </c>
      <c r="D102" s="60">
        <v>24.16</v>
      </c>
      <c r="E102" s="60">
        <v>5.39</v>
      </c>
      <c r="F102" s="60">
        <v>0</v>
      </c>
      <c r="G102" s="6" t="s">
        <v>42</v>
      </c>
      <c r="H102" s="60">
        <v>54.92</v>
      </c>
      <c r="I102" s="6" t="s">
        <v>42</v>
      </c>
      <c r="J102" s="60">
        <v>0.14000000000000001</v>
      </c>
      <c r="K102" s="60">
        <v>45.27</v>
      </c>
      <c r="L102" s="60">
        <v>28.4</v>
      </c>
      <c r="M102" s="60">
        <v>96.18</v>
      </c>
      <c r="N102" s="60">
        <v>15.5</v>
      </c>
      <c r="O102" s="60">
        <v>0</v>
      </c>
      <c r="P102" s="60">
        <v>4.01</v>
      </c>
      <c r="Q102" s="60">
        <v>18.89</v>
      </c>
      <c r="R102" s="197"/>
      <c r="S102" s="197"/>
      <c r="T102" s="197"/>
      <c r="U102" s="197"/>
    </row>
    <row r="103" spans="1:33" s="12" customFormat="1" x14ac:dyDescent="0.25">
      <c r="A103" s="200" t="s">
        <v>2070</v>
      </c>
      <c r="B103" s="60">
        <v>12.43</v>
      </c>
      <c r="C103" s="60">
        <v>11.54</v>
      </c>
      <c r="D103" s="60">
        <v>23.98</v>
      </c>
      <c r="E103" s="60">
        <v>5.55</v>
      </c>
      <c r="F103" s="60">
        <v>0.02</v>
      </c>
      <c r="G103" s="6" t="s">
        <v>42</v>
      </c>
      <c r="H103" s="60">
        <v>19.3</v>
      </c>
      <c r="I103" s="6" t="s">
        <v>42</v>
      </c>
      <c r="J103" s="60">
        <v>0.18</v>
      </c>
      <c r="K103" s="60">
        <v>50.8</v>
      </c>
      <c r="L103" s="60">
        <v>30.39</v>
      </c>
      <c r="M103" s="60">
        <v>96.27</v>
      </c>
      <c r="N103" s="60">
        <v>15.7</v>
      </c>
      <c r="O103" s="60">
        <v>0</v>
      </c>
      <c r="P103" s="60">
        <v>4.01</v>
      </c>
      <c r="Q103" s="60">
        <v>18.940000000000001</v>
      </c>
      <c r="R103" s="197"/>
      <c r="S103" s="197"/>
      <c r="T103" s="197"/>
      <c r="U103" s="197"/>
    </row>
    <row r="104" spans="1:33" s="12" customFormat="1" x14ac:dyDescent="0.25">
      <c r="A104" s="200" t="s">
        <v>2071</v>
      </c>
      <c r="B104" s="60">
        <v>11.93</v>
      </c>
      <c r="C104" s="60">
        <v>11.81</v>
      </c>
      <c r="D104" s="60">
        <v>23.74</v>
      </c>
      <c r="E104" s="60">
        <v>2.69</v>
      </c>
      <c r="F104" s="60">
        <v>7.0000000000000007E-2</v>
      </c>
      <c r="G104" s="6" t="s">
        <v>42</v>
      </c>
      <c r="H104" s="60">
        <v>19.3</v>
      </c>
      <c r="I104" s="6" t="s">
        <v>42</v>
      </c>
      <c r="J104" s="60">
        <v>0.16</v>
      </c>
      <c r="K104" s="60">
        <v>61.47</v>
      </c>
      <c r="L104" s="60">
        <v>28.32</v>
      </c>
      <c r="M104" s="60">
        <v>95.59</v>
      </c>
      <c r="N104" s="60">
        <v>15.9</v>
      </c>
      <c r="O104" s="60">
        <v>0</v>
      </c>
      <c r="P104" s="60">
        <v>3.98</v>
      </c>
      <c r="Q104" s="60">
        <v>18.34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5" t="s">
        <v>59</v>
      </c>
      <c r="B106" s="67">
        <f>MIN(B9:B104)</f>
        <v>3.62</v>
      </c>
      <c r="C106" s="67">
        <f>MIN(C9:C104)</f>
        <v>7.74</v>
      </c>
      <c r="D106" s="67">
        <f t="shared" ref="D106:Q106" si="0">MIN(D9:D104)</f>
        <v>11.7</v>
      </c>
      <c r="E106" s="67">
        <f t="shared" si="0"/>
        <v>1.9</v>
      </c>
      <c r="F106" s="67">
        <f t="shared" si="0"/>
        <v>0</v>
      </c>
      <c r="G106" s="67">
        <f t="shared" si="0"/>
        <v>0.26</v>
      </c>
      <c r="H106" s="67">
        <f t="shared" si="0"/>
        <v>3.65</v>
      </c>
      <c r="I106" s="67">
        <f t="shared" si="0"/>
        <v>0</v>
      </c>
      <c r="J106" s="67">
        <f t="shared" si="0"/>
        <v>0</v>
      </c>
      <c r="K106" s="67">
        <f t="shared" si="0"/>
        <v>9.07</v>
      </c>
      <c r="L106" s="67">
        <f t="shared" si="0"/>
        <v>28.19</v>
      </c>
      <c r="M106" s="67">
        <f t="shared" si="0"/>
        <v>57.92</v>
      </c>
      <c r="N106" s="67">
        <f t="shared" si="0"/>
        <v>14.6</v>
      </c>
      <c r="O106" s="67">
        <f t="shared" si="0"/>
        <v>0</v>
      </c>
      <c r="P106" s="67">
        <f t="shared" si="0"/>
        <v>3.71</v>
      </c>
      <c r="Q106" s="67">
        <f t="shared" si="0"/>
        <v>9.69</v>
      </c>
      <c r="R106" s="198"/>
      <c r="S106" s="198"/>
      <c r="T106" s="198"/>
      <c r="U106" s="198"/>
    </row>
    <row r="107" spans="1:33" x14ac:dyDescent="0.25">
      <c r="A107" s="65" t="s">
        <v>60</v>
      </c>
      <c r="B107" s="66">
        <f>MAX(B9:B104)</f>
        <v>15.81</v>
      </c>
      <c r="C107" s="66">
        <f t="shared" ref="C107:Q107" si="1">MAX(C9:C104)</f>
        <v>14.45</v>
      </c>
      <c r="D107" s="66">
        <f t="shared" si="1"/>
        <v>28</v>
      </c>
      <c r="E107" s="66">
        <f t="shared" si="1"/>
        <v>7.84</v>
      </c>
      <c r="F107" s="66">
        <f t="shared" si="1"/>
        <v>0.94</v>
      </c>
      <c r="G107" s="66">
        <f t="shared" si="1"/>
        <v>0.87</v>
      </c>
      <c r="H107" s="66">
        <f t="shared" si="1"/>
        <v>254.54</v>
      </c>
      <c r="I107" s="66">
        <f t="shared" si="1"/>
        <v>0</v>
      </c>
      <c r="J107" s="66">
        <f t="shared" si="1"/>
        <v>1.94</v>
      </c>
      <c r="K107" s="66">
        <f t="shared" si="1"/>
        <v>356.58</v>
      </c>
      <c r="L107" s="66">
        <f t="shared" si="1"/>
        <v>54.4</v>
      </c>
      <c r="M107" s="66">
        <f t="shared" si="1"/>
        <v>99.15</v>
      </c>
      <c r="N107" s="66">
        <f t="shared" si="1"/>
        <v>669.7</v>
      </c>
      <c r="O107" s="66">
        <f t="shared" si="1"/>
        <v>4.8</v>
      </c>
      <c r="P107" s="66">
        <f t="shared" si="1"/>
        <v>4.13</v>
      </c>
      <c r="Q107" s="66">
        <f t="shared" si="1"/>
        <v>25.6</v>
      </c>
      <c r="R107" s="199"/>
      <c r="S107" s="199"/>
      <c r="T107" s="199"/>
      <c r="U107" s="199"/>
    </row>
    <row r="108" spans="1:33" x14ac:dyDescent="0.25">
      <c r="A108" s="65" t="s">
        <v>61</v>
      </c>
      <c r="B108" s="67">
        <f>AVERAGE(B9:B104)</f>
        <v>8.592291666666668</v>
      </c>
      <c r="C108" s="67">
        <f t="shared" ref="C108:Q108" si="2">AVERAGE(C9:C104)</f>
        <v>11.329791666666663</v>
      </c>
      <c r="D108" s="67">
        <f t="shared" si="2"/>
        <v>19.922291666666666</v>
      </c>
      <c r="E108" s="67">
        <f t="shared" si="2"/>
        <v>5.4286458333333334</v>
      </c>
      <c r="F108" s="67">
        <f t="shared" si="2"/>
        <v>0.23645833333333333</v>
      </c>
      <c r="G108" s="67">
        <f t="shared" si="2"/>
        <v>0.43549019607843159</v>
      </c>
      <c r="H108" s="67">
        <f t="shared" si="2"/>
        <v>118.93416666666666</v>
      </c>
      <c r="I108" s="67" t="e">
        <f t="shared" si="2"/>
        <v>#DIV/0!</v>
      </c>
      <c r="J108" s="67">
        <f t="shared" si="2"/>
        <v>0.51822916666666663</v>
      </c>
      <c r="K108" s="67">
        <f t="shared" si="2"/>
        <v>245.59052083333333</v>
      </c>
      <c r="L108" s="67">
        <f t="shared" si="2"/>
        <v>38.987187500000012</v>
      </c>
      <c r="M108" s="67">
        <f t="shared" si="2"/>
        <v>85.173229166666658</v>
      </c>
      <c r="N108" s="67">
        <f t="shared" si="2"/>
        <v>148.16979166666667</v>
      </c>
      <c r="O108" s="67">
        <f t="shared" si="2"/>
        <v>9.583333333333334E-2</v>
      </c>
      <c r="P108" s="67">
        <f t="shared" si="2"/>
        <v>3.8576041666666665</v>
      </c>
      <c r="Q108" s="67">
        <f t="shared" si="2"/>
        <v>17.774479166666666</v>
      </c>
      <c r="R108" s="198"/>
      <c r="S108" s="198"/>
      <c r="T108" s="198"/>
      <c r="U108" s="198"/>
    </row>
    <row r="109" spans="1:33" x14ac:dyDescent="0.25">
      <c r="A109" s="65" t="s">
        <v>77</v>
      </c>
      <c r="B109" s="67">
        <f>STDEV(B9:B104)</f>
        <v>4.0920555841176869</v>
      </c>
      <c r="C109" s="67">
        <f t="shared" ref="C109:Q109" si="3">STDEV(C9:C104)</f>
        <v>1.9902366847698336</v>
      </c>
      <c r="D109" s="67">
        <f t="shared" si="3"/>
        <v>4.9681970634631174</v>
      </c>
      <c r="E109" s="67">
        <f t="shared" si="3"/>
        <v>1.1360435682820778</v>
      </c>
      <c r="F109" s="67">
        <f t="shared" si="3"/>
        <v>0.21859349037674414</v>
      </c>
      <c r="G109" s="67">
        <f t="shared" si="3"/>
        <v>0.13282038586738351</v>
      </c>
      <c r="H109" s="67">
        <f t="shared" si="3"/>
        <v>83.824851140768061</v>
      </c>
      <c r="I109" s="67" t="e">
        <f t="shared" si="3"/>
        <v>#DIV/0!</v>
      </c>
      <c r="J109" s="67">
        <f t="shared" si="3"/>
        <v>0.47622638312304372</v>
      </c>
      <c r="K109" s="67">
        <f t="shared" si="3"/>
        <v>105.34648875691148</v>
      </c>
      <c r="L109" s="67">
        <f t="shared" si="3"/>
        <v>8.2553988335704016</v>
      </c>
      <c r="M109" s="67">
        <f t="shared" si="3"/>
        <v>14.056459425046558</v>
      </c>
      <c r="N109" s="67">
        <f t="shared" si="3"/>
        <v>178.24518011925491</v>
      </c>
      <c r="O109" s="67">
        <f t="shared" si="3"/>
        <v>0.5334923008701431</v>
      </c>
      <c r="P109" s="67">
        <f t="shared" si="3"/>
        <v>0.1291163880638963</v>
      </c>
      <c r="Q109" s="67">
        <f t="shared" si="3"/>
        <v>4.4085977887214103</v>
      </c>
      <c r="R109" s="198"/>
      <c r="S109" s="198"/>
      <c r="T109" s="198"/>
      <c r="U109" s="198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COUNT(G9:G104)+45</f>
        <v>96</v>
      </c>
      <c r="H110" s="66">
        <f>COUNT(H9:H104)</f>
        <v>96</v>
      </c>
      <c r="I110" s="66">
        <f>COUNT(I9:I104)+96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9"/>
      <c r="S110" s="199"/>
      <c r="T110" s="199"/>
      <c r="U110" s="199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217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0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0" sqref="G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20-08-2022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234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2072</v>
      </c>
      <c r="B9" s="60">
        <v>11.38</v>
      </c>
      <c r="C9" s="60">
        <v>11.7</v>
      </c>
      <c r="D9" s="60">
        <v>23.08</v>
      </c>
      <c r="E9" s="60">
        <v>5.82</v>
      </c>
      <c r="F9" s="60">
        <v>0.06</v>
      </c>
      <c r="G9" s="9" t="s">
        <v>36</v>
      </c>
      <c r="H9" s="60">
        <v>19.3</v>
      </c>
      <c r="I9" s="6" t="s">
        <v>42</v>
      </c>
      <c r="J9" s="60">
        <v>0.14000000000000001</v>
      </c>
      <c r="K9" s="60">
        <v>39.08</v>
      </c>
      <c r="L9" s="60">
        <v>28.26</v>
      </c>
      <c r="M9" s="60">
        <v>96.3</v>
      </c>
      <c r="N9" s="60">
        <v>15.8</v>
      </c>
      <c r="O9" s="60">
        <v>0</v>
      </c>
      <c r="P9" s="60">
        <v>3.97</v>
      </c>
      <c r="Q9" s="60">
        <v>17.66</v>
      </c>
      <c r="R9" s="197"/>
      <c r="S9" s="197"/>
      <c r="T9" s="197"/>
      <c r="U9" s="197"/>
    </row>
    <row r="10" spans="1:21" s="12" customFormat="1" x14ac:dyDescent="0.25">
      <c r="A10" s="200" t="s">
        <v>2073</v>
      </c>
      <c r="B10" s="60">
        <v>10.94</v>
      </c>
      <c r="C10" s="60">
        <v>11.45</v>
      </c>
      <c r="D10" s="60">
        <v>22.39</v>
      </c>
      <c r="E10" s="60">
        <v>6.05</v>
      </c>
      <c r="F10" s="60">
        <v>0.04</v>
      </c>
      <c r="G10" s="9" t="s">
        <v>36</v>
      </c>
      <c r="H10" s="60">
        <v>102.76</v>
      </c>
      <c r="I10" s="6" t="s">
        <v>42</v>
      </c>
      <c r="J10" s="60">
        <v>0.14000000000000001</v>
      </c>
      <c r="K10" s="60">
        <v>351.28</v>
      </c>
      <c r="L10" s="60">
        <v>28.2</v>
      </c>
      <c r="M10" s="60">
        <v>95.78</v>
      </c>
      <c r="N10" s="60">
        <v>15.8</v>
      </c>
      <c r="O10" s="60">
        <v>0</v>
      </c>
      <c r="P10" s="60">
        <v>3.95</v>
      </c>
      <c r="Q10" s="60">
        <v>17.190000000000001</v>
      </c>
      <c r="R10" s="197"/>
      <c r="S10" s="197"/>
      <c r="T10" s="197"/>
      <c r="U10" s="197"/>
    </row>
    <row r="11" spans="1:21" s="12" customFormat="1" x14ac:dyDescent="0.25">
      <c r="A11" s="200" t="s">
        <v>2074</v>
      </c>
      <c r="B11" s="60">
        <v>10.57</v>
      </c>
      <c r="C11" s="60">
        <v>11.15</v>
      </c>
      <c r="D11" s="60">
        <v>21.71</v>
      </c>
      <c r="E11" s="60">
        <v>6.06</v>
      </c>
      <c r="F11" s="60">
        <v>7.0000000000000007E-2</v>
      </c>
      <c r="G11" s="9" t="s">
        <v>36</v>
      </c>
      <c r="H11" s="60">
        <v>119.45</v>
      </c>
      <c r="I11" s="6" t="s">
        <v>42</v>
      </c>
      <c r="J11" s="60">
        <v>0.11</v>
      </c>
      <c r="K11" s="60">
        <v>65.66</v>
      </c>
      <c r="L11" s="60">
        <v>28.16</v>
      </c>
      <c r="M11" s="60">
        <v>95.58</v>
      </c>
      <c r="N11" s="60">
        <v>15.7</v>
      </c>
      <c r="O11" s="60">
        <v>0</v>
      </c>
      <c r="P11" s="60">
        <v>3.94</v>
      </c>
      <c r="Q11" s="60">
        <v>16.850000000000001</v>
      </c>
      <c r="R11" s="197"/>
      <c r="S11" s="197"/>
      <c r="T11" s="197"/>
      <c r="U11" s="197"/>
    </row>
    <row r="12" spans="1:21" s="12" customFormat="1" x14ac:dyDescent="0.25">
      <c r="A12" s="200" t="s">
        <v>2075</v>
      </c>
      <c r="B12" s="60">
        <v>10.4</v>
      </c>
      <c r="C12" s="60">
        <v>10.65</v>
      </c>
      <c r="D12" s="60">
        <v>21.05</v>
      </c>
      <c r="E12" s="60">
        <v>6.03</v>
      </c>
      <c r="F12" s="60">
        <v>0.51</v>
      </c>
      <c r="G12" s="9" t="s">
        <v>36</v>
      </c>
      <c r="H12" s="60">
        <v>119.45</v>
      </c>
      <c r="I12" s="6" t="s">
        <v>42</v>
      </c>
      <c r="J12" s="60">
        <v>0.16</v>
      </c>
      <c r="K12" s="60">
        <v>47.37</v>
      </c>
      <c r="L12" s="60">
        <v>28.14</v>
      </c>
      <c r="M12" s="60">
        <v>95.22</v>
      </c>
      <c r="N12" s="60">
        <v>15.7</v>
      </c>
      <c r="O12" s="60">
        <v>0</v>
      </c>
      <c r="P12" s="60">
        <v>3.94</v>
      </c>
      <c r="Q12" s="60">
        <v>17.14</v>
      </c>
      <c r="R12" s="197"/>
      <c r="S12" s="197"/>
      <c r="T12" s="197"/>
      <c r="U12" s="197"/>
    </row>
    <row r="13" spans="1:21" s="12" customFormat="1" x14ac:dyDescent="0.25">
      <c r="A13" s="200" t="s">
        <v>2076</v>
      </c>
      <c r="B13" s="60">
        <v>9.99</v>
      </c>
      <c r="C13" s="60">
        <v>10.31</v>
      </c>
      <c r="D13" s="60">
        <v>20.3</v>
      </c>
      <c r="E13" s="60">
        <v>5.85</v>
      </c>
      <c r="F13" s="60">
        <v>0.1</v>
      </c>
      <c r="G13" s="9" t="s">
        <v>36</v>
      </c>
      <c r="H13" s="60">
        <v>119.45</v>
      </c>
      <c r="I13" s="6" t="s">
        <v>42</v>
      </c>
      <c r="J13" s="60">
        <v>0.15</v>
      </c>
      <c r="K13" s="60">
        <v>315.52999999999997</v>
      </c>
      <c r="L13" s="60">
        <v>27.95</v>
      </c>
      <c r="M13" s="60">
        <v>98.06</v>
      </c>
      <c r="N13" s="60">
        <v>15.1</v>
      </c>
      <c r="O13" s="60">
        <v>0.2</v>
      </c>
      <c r="P13" s="60">
        <v>3.95</v>
      </c>
      <c r="Q13" s="60">
        <v>16.64</v>
      </c>
      <c r="R13" s="197"/>
      <c r="S13" s="197"/>
      <c r="T13" s="197"/>
      <c r="U13" s="197"/>
    </row>
    <row r="14" spans="1:21" s="12" customFormat="1" x14ac:dyDescent="0.25">
      <c r="A14" s="200" t="s">
        <v>2077</v>
      </c>
      <c r="B14" s="60">
        <v>9.61</v>
      </c>
      <c r="C14" s="60">
        <v>10.16</v>
      </c>
      <c r="D14" s="60">
        <v>19.77</v>
      </c>
      <c r="E14" s="60">
        <v>6.12</v>
      </c>
      <c r="F14" s="60">
        <v>0.03</v>
      </c>
      <c r="G14" s="9" t="s">
        <v>36</v>
      </c>
      <c r="H14" s="60">
        <v>267.82</v>
      </c>
      <c r="I14" s="6" t="s">
        <v>42</v>
      </c>
      <c r="J14" s="60">
        <v>0.11</v>
      </c>
      <c r="K14" s="60">
        <v>51.71</v>
      </c>
      <c r="L14" s="60">
        <v>27.78</v>
      </c>
      <c r="M14" s="60">
        <v>98.94</v>
      </c>
      <c r="N14" s="60">
        <v>15</v>
      </c>
      <c r="O14" s="60">
        <v>0.2</v>
      </c>
      <c r="P14" s="60">
        <v>3.94</v>
      </c>
      <c r="Q14" s="60">
        <v>15.76</v>
      </c>
      <c r="R14" s="197"/>
      <c r="S14" s="197"/>
      <c r="T14" s="197"/>
      <c r="U14" s="197"/>
    </row>
    <row r="15" spans="1:21" s="12" customFormat="1" x14ac:dyDescent="0.25">
      <c r="A15" s="200" t="s">
        <v>2078</v>
      </c>
      <c r="B15" s="60">
        <v>9.23</v>
      </c>
      <c r="C15" s="60">
        <v>10.039999999999999</v>
      </c>
      <c r="D15" s="60">
        <v>19.28</v>
      </c>
      <c r="E15" s="60">
        <v>6.11</v>
      </c>
      <c r="F15" s="60">
        <v>0.01</v>
      </c>
      <c r="G15" s="9" t="s">
        <v>36</v>
      </c>
      <c r="H15" s="60">
        <v>297.49</v>
      </c>
      <c r="I15" s="6" t="s">
        <v>42</v>
      </c>
      <c r="J15" s="60">
        <v>7.0000000000000007E-2</v>
      </c>
      <c r="K15" s="60">
        <v>80.98</v>
      </c>
      <c r="L15" s="60">
        <v>27.7</v>
      </c>
      <c r="M15" s="60">
        <v>98.94</v>
      </c>
      <c r="N15" s="60">
        <v>15.1</v>
      </c>
      <c r="O15" s="60">
        <v>0</v>
      </c>
      <c r="P15" s="60">
        <v>3.93</v>
      </c>
      <c r="Q15" s="60">
        <v>14.94</v>
      </c>
      <c r="R15" s="197"/>
      <c r="S15" s="197"/>
      <c r="T15" s="197"/>
      <c r="U15" s="197"/>
    </row>
    <row r="16" spans="1:21" s="12" customFormat="1" x14ac:dyDescent="0.25">
      <c r="A16" s="200" t="s">
        <v>2079</v>
      </c>
      <c r="B16" s="60">
        <v>8.89</v>
      </c>
      <c r="C16" s="60">
        <v>9.8699999999999992</v>
      </c>
      <c r="D16" s="60">
        <v>18.760000000000002</v>
      </c>
      <c r="E16" s="60">
        <v>6.13</v>
      </c>
      <c r="F16" s="60">
        <v>0.06</v>
      </c>
      <c r="G16" s="9" t="s">
        <v>36</v>
      </c>
      <c r="H16" s="60">
        <v>297.49</v>
      </c>
      <c r="I16" s="6" t="s">
        <v>42</v>
      </c>
      <c r="J16" s="60">
        <v>0.1</v>
      </c>
      <c r="K16" s="60">
        <v>86.55</v>
      </c>
      <c r="L16" s="60">
        <v>27.71</v>
      </c>
      <c r="M16" s="60">
        <v>98.91</v>
      </c>
      <c r="N16" s="60">
        <v>15</v>
      </c>
      <c r="O16" s="60">
        <v>0</v>
      </c>
      <c r="P16" s="60">
        <v>3.93</v>
      </c>
      <c r="Q16" s="60">
        <v>14.44</v>
      </c>
      <c r="R16" s="197"/>
      <c r="S16" s="197"/>
      <c r="T16" s="197"/>
      <c r="U16" s="197"/>
    </row>
    <row r="17" spans="1:21" s="12" customFormat="1" x14ac:dyDescent="0.25">
      <c r="A17" s="200" t="s">
        <v>2080</v>
      </c>
      <c r="B17" s="60">
        <v>8.58</v>
      </c>
      <c r="C17" s="60">
        <v>9.75</v>
      </c>
      <c r="D17" s="60">
        <v>18.329999999999998</v>
      </c>
      <c r="E17" s="60">
        <v>5.83</v>
      </c>
      <c r="F17" s="60">
        <v>0.04</v>
      </c>
      <c r="G17" s="9" t="s">
        <v>36</v>
      </c>
      <c r="H17" s="60">
        <v>297.49</v>
      </c>
      <c r="I17" s="6" t="s">
        <v>42</v>
      </c>
      <c r="J17" s="60">
        <v>0.09</v>
      </c>
      <c r="K17" s="60">
        <v>280.52999999999997</v>
      </c>
      <c r="L17" s="60">
        <v>27.71</v>
      </c>
      <c r="M17" s="60">
        <v>98.99</v>
      </c>
      <c r="N17" s="60">
        <v>15</v>
      </c>
      <c r="O17" s="60">
        <v>0</v>
      </c>
      <c r="P17" s="60">
        <v>3.96</v>
      </c>
      <c r="Q17" s="60">
        <v>14</v>
      </c>
      <c r="R17" s="197"/>
      <c r="S17" s="197"/>
      <c r="T17" s="197"/>
      <c r="U17" s="197"/>
    </row>
    <row r="18" spans="1:21" s="12" customFormat="1" x14ac:dyDescent="0.25">
      <c r="A18" s="200" t="s">
        <v>2081</v>
      </c>
      <c r="B18" s="60">
        <v>8.49</v>
      </c>
      <c r="C18" s="60">
        <v>9.85</v>
      </c>
      <c r="D18" s="60">
        <v>18.34</v>
      </c>
      <c r="E18" s="60">
        <v>6.1</v>
      </c>
      <c r="F18" s="60">
        <v>0</v>
      </c>
      <c r="G18" s="9" t="s">
        <v>36</v>
      </c>
      <c r="H18" s="60">
        <v>72.67</v>
      </c>
      <c r="I18" s="6" t="s">
        <v>42</v>
      </c>
      <c r="J18" s="60">
        <v>0.22</v>
      </c>
      <c r="K18" s="60">
        <v>330.1</v>
      </c>
      <c r="L18" s="60">
        <v>27.79</v>
      </c>
      <c r="M18" s="60">
        <v>98.47</v>
      </c>
      <c r="N18" s="60">
        <v>15.3</v>
      </c>
      <c r="O18" s="60">
        <v>0</v>
      </c>
      <c r="P18" s="60">
        <v>3.98</v>
      </c>
      <c r="Q18" s="60">
        <v>13.76</v>
      </c>
      <c r="R18" s="197"/>
      <c r="S18" s="197"/>
      <c r="T18" s="197"/>
      <c r="U18" s="197"/>
    </row>
    <row r="19" spans="1:21" s="12" customFormat="1" x14ac:dyDescent="0.25">
      <c r="A19" s="200" t="s">
        <v>2082</v>
      </c>
      <c r="B19" s="60">
        <v>8.34</v>
      </c>
      <c r="C19" s="60">
        <v>10.24</v>
      </c>
      <c r="D19" s="60">
        <v>18.579999999999998</v>
      </c>
      <c r="E19" s="60">
        <v>5.8</v>
      </c>
      <c r="F19" s="60">
        <v>0</v>
      </c>
      <c r="G19" s="9" t="s">
        <v>36</v>
      </c>
      <c r="H19" s="60">
        <v>27.71</v>
      </c>
      <c r="I19" s="6" t="s">
        <v>42</v>
      </c>
      <c r="J19" s="60">
        <v>0.15</v>
      </c>
      <c r="K19" s="60">
        <v>359.03</v>
      </c>
      <c r="L19" s="60">
        <v>27.9</v>
      </c>
      <c r="M19" s="60">
        <v>97.24</v>
      </c>
      <c r="N19" s="60">
        <v>15.7</v>
      </c>
      <c r="O19" s="60">
        <v>0</v>
      </c>
      <c r="P19" s="60">
        <v>3.98</v>
      </c>
      <c r="Q19" s="60">
        <v>13.53</v>
      </c>
      <c r="R19" s="197"/>
      <c r="S19" s="197"/>
      <c r="T19" s="197"/>
      <c r="U19" s="197"/>
    </row>
    <row r="20" spans="1:21" s="12" customFormat="1" x14ac:dyDescent="0.25">
      <c r="A20" s="200" t="s">
        <v>2083</v>
      </c>
      <c r="B20" s="60">
        <v>8.0399999999999991</v>
      </c>
      <c r="C20" s="60">
        <v>10.039999999999999</v>
      </c>
      <c r="D20" s="60">
        <v>18.079999999999998</v>
      </c>
      <c r="E20" s="60">
        <v>6.36</v>
      </c>
      <c r="F20" s="60">
        <v>0.01</v>
      </c>
      <c r="G20" s="9" t="s">
        <v>36</v>
      </c>
      <c r="H20" s="60">
        <v>27.71</v>
      </c>
      <c r="I20" s="6" t="s">
        <v>42</v>
      </c>
      <c r="J20" s="60">
        <v>0.17</v>
      </c>
      <c r="K20" s="60">
        <v>21.88</v>
      </c>
      <c r="L20" s="60">
        <v>28</v>
      </c>
      <c r="M20" s="60">
        <v>95.36</v>
      </c>
      <c r="N20" s="60">
        <v>15.8</v>
      </c>
      <c r="O20" s="60">
        <v>0</v>
      </c>
      <c r="P20" s="60">
        <v>3.96</v>
      </c>
      <c r="Q20" s="60">
        <v>13.26</v>
      </c>
      <c r="R20" s="197"/>
      <c r="S20" s="197"/>
      <c r="T20" s="197"/>
      <c r="U20" s="197"/>
    </row>
    <row r="21" spans="1:21" s="12" customFormat="1" x14ac:dyDescent="0.25">
      <c r="A21" s="200" t="s">
        <v>2084</v>
      </c>
      <c r="B21" s="60">
        <v>7.61</v>
      </c>
      <c r="C21" s="60">
        <v>9.89</v>
      </c>
      <c r="D21" s="60">
        <v>17.510000000000002</v>
      </c>
      <c r="E21" s="60">
        <v>5.69</v>
      </c>
      <c r="F21" s="60">
        <v>0.08</v>
      </c>
      <c r="G21" s="9" t="s">
        <v>36</v>
      </c>
      <c r="H21" s="60">
        <v>27.71</v>
      </c>
      <c r="I21" s="6" t="s">
        <v>42</v>
      </c>
      <c r="J21" s="60">
        <v>0.12</v>
      </c>
      <c r="K21" s="60">
        <v>5.82</v>
      </c>
      <c r="L21" s="60">
        <v>27.99</v>
      </c>
      <c r="M21" s="60">
        <v>95.16</v>
      </c>
      <c r="N21" s="60">
        <v>15.8</v>
      </c>
      <c r="O21" s="60">
        <v>0</v>
      </c>
      <c r="P21" s="60">
        <v>3.93</v>
      </c>
      <c r="Q21" s="60">
        <v>13.04</v>
      </c>
      <c r="R21" s="197"/>
      <c r="S21" s="197"/>
      <c r="T21" s="197"/>
      <c r="U21" s="197"/>
    </row>
    <row r="22" spans="1:21" s="12" customFormat="1" x14ac:dyDescent="0.25">
      <c r="A22" s="200" t="s">
        <v>2085</v>
      </c>
      <c r="B22" s="60">
        <v>7.33</v>
      </c>
      <c r="C22" s="60">
        <v>9.77</v>
      </c>
      <c r="D22" s="60">
        <v>17.100000000000001</v>
      </c>
      <c r="E22" s="60">
        <v>6.05</v>
      </c>
      <c r="F22" s="60">
        <v>0.04</v>
      </c>
      <c r="G22" s="9" t="s">
        <v>36</v>
      </c>
      <c r="H22" s="60">
        <v>64.36</v>
      </c>
      <c r="I22" s="6" t="s">
        <v>42</v>
      </c>
      <c r="J22" s="60">
        <v>0.13</v>
      </c>
      <c r="K22" s="60">
        <v>24.19</v>
      </c>
      <c r="L22" s="60">
        <v>27.98</v>
      </c>
      <c r="M22" s="60">
        <v>95.49</v>
      </c>
      <c r="N22" s="60">
        <v>15.6</v>
      </c>
      <c r="O22" s="60">
        <v>0</v>
      </c>
      <c r="P22" s="60">
        <v>3.9</v>
      </c>
      <c r="Q22" s="60">
        <v>12.67</v>
      </c>
      <c r="R22" s="197"/>
      <c r="S22" s="197"/>
      <c r="T22" s="197"/>
      <c r="U22" s="197"/>
    </row>
    <row r="23" spans="1:21" s="12" customFormat="1" x14ac:dyDescent="0.25">
      <c r="A23" s="200" t="s">
        <v>2086</v>
      </c>
      <c r="B23" s="60">
        <v>7.09</v>
      </c>
      <c r="C23" s="60">
        <v>9.8000000000000007</v>
      </c>
      <c r="D23" s="60">
        <v>16.89</v>
      </c>
      <c r="E23" s="60">
        <v>6.14</v>
      </c>
      <c r="F23" s="60">
        <v>0.1</v>
      </c>
      <c r="G23" s="9" t="s">
        <v>36</v>
      </c>
      <c r="H23" s="60">
        <v>71.69</v>
      </c>
      <c r="I23" s="6" t="s">
        <v>42</v>
      </c>
      <c r="J23" s="60">
        <v>0.18</v>
      </c>
      <c r="K23" s="60">
        <v>26.66</v>
      </c>
      <c r="L23" s="60">
        <v>27.94</v>
      </c>
      <c r="M23" s="60">
        <v>95.72</v>
      </c>
      <c r="N23" s="60">
        <v>15.2</v>
      </c>
      <c r="O23" s="60">
        <v>0</v>
      </c>
      <c r="P23" s="60">
        <v>3.88</v>
      </c>
      <c r="Q23" s="60">
        <v>12.45</v>
      </c>
      <c r="R23" s="197"/>
      <c r="S23" s="197"/>
      <c r="T23" s="197"/>
      <c r="U23" s="197"/>
    </row>
    <row r="24" spans="1:21" s="12" customFormat="1" x14ac:dyDescent="0.25">
      <c r="A24" s="200" t="s">
        <v>2087</v>
      </c>
      <c r="B24" s="60">
        <v>6.93</v>
      </c>
      <c r="C24" s="60">
        <v>9.73</v>
      </c>
      <c r="D24" s="60">
        <v>16.66</v>
      </c>
      <c r="E24" s="60">
        <v>2.17</v>
      </c>
      <c r="F24" s="60">
        <v>0.56000000000000005</v>
      </c>
      <c r="G24" s="9" t="s">
        <v>36</v>
      </c>
      <c r="H24" s="60">
        <v>71.69</v>
      </c>
      <c r="I24" s="6" t="s">
        <v>42</v>
      </c>
      <c r="J24" s="60">
        <v>0.06</v>
      </c>
      <c r="K24" s="60">
        <v>31.85</v>
      </c>
      <c r="L24" s="60">
        <v>27.95</v>
      </c>
      <c r="M24" s="60">
        <v>95.07</v>
      </c>
      <c r="N24" s="60">
        <v>15.3</v>
      </c>
      <c r="O24" s="60">
        <v>0</v>
      </c>
      <c r="P24" s="60">
        <v>3.86</v>
      </c>
      <c r="Q24" s="60">
        <v>12.29</v>
      </c>
      <c r="R24" s="197"/>
      <c r="S24" s="197"/>
      <c r="T24" s="197"/>
      <c r="U24" s="197"/>
    </row>
    <row r="25" spans="1:21" s="12" customFormat="1" x14ac:dyDescent="0.25">
      <c r="A25" s="200" t="s">
        <v>2088</v>
      </c>
      <c r="B25" s="60">
        <v>6.83</v>
      </c>
      <c r="C25" s="60">
        <v>9.5399999999999991</v>
      </c>
      <c r="D25" s="60">
        <v>16.38</v>
      </c>
      <c r="E25" s="60">
        <v>5.05</v>
      </c>
      <c r="F25" s="60">
        <v>0.73</v>
      </c>
      <c r="G25" s="9" t="s">
        <v>36</v>
      </c>
      <c r="H25" s="60">
        <v>71.69</v>
      </c>
      <c r="I25" s="6" t="s">
        <v>42</v>
      </c>
      <c r="J25" s="60">
        <v>0.14000000000000001</v>
      </c>
      <c r="K25" s="60">
        <v>192.66</v>
      </c>
      <c r="L25" s="60">
        <v>27.96</v>
      </c>
      <c r="M25" s="60">
        <v>94.33</v>
      </c>
      <c r="N25" s="60">
        <v>15.5</v>
      </c>
      <c r="O25" s="60">
        <v>0</v>
      </c>
      <c r="P25" s="60">
        <v>3.84</v>
      </c>
      <c r="Q25" s="60">
        <v>12.12</v>
      </c>
      <c r="R25" s="197"/>
      <c r="S25" s="197"/>
      <c r="T25" s="197"/>
      <c r="U25" s="197"/>
    </row>
    <row r="26" spans="1:21" s="12" customFormat="1" x14ac:dyDescent="0.25">
      <c r="A26" s="200" t="s">
        <v>2089</v>
      </c>
      <c r="B26" s="60">
        <v>6.78</v>
      </c>
      <c r="C26" s="60">
        <v>9.66</v>
      </c>
      <c r="D26" s="60">
        <v>16.43</v>
      </c>
      <c r="E26" s="60">
        <v>5.21</v>
      </c>
      <c r="F26" s="60">
        <v>0.1</v>
      </c>
      <c r="G26" s="9" t="s">
        <v>36</v>
      </c>
      <c r="H26" s="60">
        <v>186.88</v>
      </c>
      <c r="I26" s="6" t="s">
        <v>42</v>
      </c>
      <c r="J26" s="60">
        <v>0.11</v>
      </c>
      <c r="K26" s="60">
        <v>355.49</v>
      </c>
      <c r="L26" s="60">
        <v>27.91</v>
      </c>
      <c r="M26" s="60">
        <v>94.65</v>
      </c>
      <c r="N26" s="60">
        <v>15.7</v>
      </c>
      <c r="O26" s="60">
        <v>0</v>
      </c>
      <c r="P26" s="60">
        <v>3.83</v>
      </c>
      <c r="Q26" s="60">
        <v>11.87</v>
      </c>
      <c r="R26" s="197"/>
      <c r="S26" s="197"/>
      <c r="T26" s="197"/>
      <c r="U26" s="197"/>
    </row>
    <row r="27" spans="1:21" s="12" customFormat="1" x14ac:dyDescent="0.25">
      <c r="A27" s="200" t="s">
        <v>2090</v>
      </c>
      <c r="B27" s="60">
        <v>6.69</v>
      </c>
      <c r="C27" s="60">
        <v>9.7100000000000009</v>
      </c>
      <c r="D27" s="60">
        <v>16.399999999999999</v>
      </c>
      <c r="E27" s="60">
        <v>5.39</v>
      </c>
      <c r="F27" s="60">
        <v>0.01</v>
      </c>
      <c r="G27" s="9" t="s">
        <v>36</v>
      </c>
      <c r="H27" s="60">
        <v>211.79</v>
      </c>
      <c r="I27" s="6" t="s">
        <v>42</v>
      </c>
      <c r="J27" s="60">
        <v>0.12</v>
      </c>
      <c r="K27" s="60">
        <v>41.63</v>
      </c>
      <c r="L27" s="60">
        <v>27.94</v>
      </c>
      <c r="M27" s="60">
        <v>94.15</v>
      </c>
      <c r="N27" s="60">
        <v>15.7</v>
      </c>
      <c r="O27" s="60">
        <v>0</v>
      </c>
      <c r="P27" s="60">
        <v>3.81</v>
      </c>
      <c r="Q27" s="60">
        <v>11.65</v>
      </c>
      <c r="R27" s="197"/>
      <c r="S27" s="197"/>
      <c r="T27" s="197"/>
      <c r="U27" s="197"/>
    </row>
    <row r="28" spans="1:21" s="12" customFormat="1" x14ac:dyDescent="0.25">
      <c r="A28" s="200" t="s">
        <v>2091</v>
      </c>
      <c r="B28" s="60">
        <v>6.62</v>
      </c>
      <c r="C28" s="60">
        <v>9.57</v>
      </c>
      <c r="D28" s="60">
        <v>16.18</v>
      </c>
      <c r="E28" s="60">
        <v>5.47</v>
      </c>
      <c r="F28" s="60">
        <v>0.18</v>
      </c>
      <c r="G28" s="9" t="s">
        <v>36</v>
      </c>
      <c r="H28" s="60">
        <v>211.79</v>
      </c>
      <c r="I28" s="6" t="s">
        <v>42</v>
      </c>
      <c r="J28" s="60">
        <v>0.12</v>
      </c>
      <c r="K28" s="60">
        <v>37.21</v>
      </c>
      <c r="L28" s="60">
        <v>27.97</v>
      </c>
      <c r="M28" s="60">
        <v>93.9</v>
      </c>
      <c r="N28" s="60">
        <v>15.8</v>
      </c>
      <c r="O28" s="60">
        <v>0</v>
      </c>
      <c r="P28" s="60">
        <v>3.79</v>
      </c>
      <c r="Q28" s="60">
        <v>11.18</v>
      </c>
      <c r="R28" s="197"/>
      <c r="S28" s="197"/>
      <c r="T28" s="197"/>
      <c r="U28" s="197"/>
    </row>
    <row r="29" spans="1:21" s="12" customFormat="1" x14ac:dyDescent="0.25">
      <c r="A29" s="200" t="s">
        <v>2092</v>
      </c>
      <c r="B29" s="60">
        <v>6.53</v>
      </c>
      <c r="C29" s="60">
        <v>9.68</v>
      </c>
      <c r="D29" s="60">
        <v>16.2</v>
      </c>
      <c r="E29" s="60">
        <v>4.79</v>
      </c>
      <c r="F29" s="60">
        <v>0</v>
      </c>
      <c r="G29" s="9" t="s">
        <v>36</v>
      </c>
      <c r="H29" s="60">
        <v>211.79</v>
      </c>
      <c r="I29" s="6" t="s">
        <v>42</v>
      </c>
      <c r="J29" s="60">
        <v>0.16</v>
      </c>
      <c r="K29" s="60">
        <v>27.64</v>
      </c>
      <c r="L29" s="60">
        <v>27.97</v>
      </c>
      <c r="M29" s="60">
        <v>93.48</v>
      </c>
      <c r="N29" s="60">
        <v>16</v>
      </c>
      <c r="O29" s="60">
        <v>0</v>
      </c>
      <c r="P29" s="60">
        <v>3.77</v>
      </c>
      <c r="Q29" s="60">
        <v>10.68</v>
      </c>
      <c r="R29" s="197"/>
      <c r="S29" s="197"/>
      <c r="T29" s="197"/>
      <c r="U29" s="197"/>
    </row>
    <row r="30" spans="1:21" s="12" customFormat="1" x14ac:dyDescent="0.25">
      <c r="A30" s="200" t="s">
        <v>2093</v>
      </c>
      <c r="B30" s="60">
        <v>6.56</v>
      </c>
      <c r="C30" s="60">
        <v>9.83</v>
      </c>
      <c r="D30" s="60">
        <v>16.39</v>
      </c>
      <c r="E30" s="60">
        <v>4.8499999999999996</v>
      </c>
      <c r="F30" s="60">
        <v>0.45</v>
      </c>
      <c r="G30" s="9" t="s">
        <v>36</v>
      </c>
      <c r="H30" s="60">
        <v>126.24</v>
      </c>
      <c r="I30" s="6" t="s">
        <v>42</v>
      </c>
      <c r="J30" s="60">
        <v>0.19</v>
      </c>
      <c r="K30" s="60">
        <v>22.05</v>
      </c>
      <c r="L30" s="60">
        <v>27.99</v>
      </c>
      <c r="M30" s="60">
        <v>92.78</v>
      </c>
      <c r="N30" s="60">
        <v>16.100000000000001</v>
      </c>
      <c r="O30" s="60">
        <v>0</v>
      </c>
      <c r="P30" s="60">
        <v>3.75</v>
      </c>
      <c r="Q30" s="60">
        <v>10.27</v>
      </c>
      <c r="R30" s="197"/>
      <c r="S30" s="197"/>
      <c r="T30" s="197"/>
      <c r="U30" s="197"/>
    </row>
    <row r="31" spans="1:21" s="12" customFormat="1" x14ac:dyDescent="0.25">
      <c r="A31" s="200" t="s">
        <v>2094</v>
      </c>
      <c r="B31" s="60">
        <v>6.68</v>
      </c>
      <c r="C31" s="60">
        <v>9.93</v>
      </c>
      <c r="D31" s="60">
        <v>16.61</v>
      </c>
      <c r="E31" s="60">
        <v>4.96</v>
      </c>
      <c r="F31" s="60">
        <v>0.05</v>
      </c>
      <c r="G31" s="9" t="s">
        <v>36</v>
      </c>
      <c r="H31" s="60">
        <v>107.75</v>
      </c>
      <c r="I31" s="6" t="s">
        <v>42</v>
      </c>
      <c r="J31" s="60">
        <v>0.15</v>
      </c>
      <c r="K31" s="60">
        <v>10.51</v>
      </c>
      <c r="L31" s="60">
        <v>28.01</v>
      </c>
      <c r="M31" s="60">
        <v>92.34</v>
      </c>
      <c r="N31" s="60">
        <v>16.7</v>
      </c>
      <c r="O31" s="60">
        <v>0</v>
      </c>
      <c r="P31" s="60">
        <v>3.73</v>
      </c>
      <c r="Q31" s="60">
        <v>9.9499999999999993</v>
      </c>
      <c r="R31" s="197"/>
      <c r="S31" s="197"/>
      <c r="T31" s="197"/>
      <c r="U31" s="197"/>
    </row>
    <row r="32" spans="1:21" s="12" customFormat="1" x14ac:dyDescent="0.25">
      <c r="A32" s="200" t="s">
        <v>2095</v>
      </c>
      <c r="B32" s="60">
        <v>6.93</v>
      </c>
      <c r="C32" s="60">
        <v>10.08</v>
      </c>
      <c r="D32" s="60">
        <v>17</v>
      </c>
      <c r="E32" s="60">
        <v>4.6100000000000003</v>
      </c>
      <c r="F32" s="60">
        <v>0.26</v>
      </c>
      <c r="G32" s="9" t="s">
        <v>36</v>
      </c>
      <c r="H32" s="60">
        <v>107.75</v>
      </c>
      <c r="I32" s="6" t="s">
        <v>42</v>
      </c>
      <c r="J32" s="60">
        <v>0.24</v>
      </c>
      <c r="K32" s="60">
        <v>335.19</v>
      </c>
      <c r="L32" s="60">
        <v>28.05</v>
      </c>
      <c r="M32" s="60">
        <v>91.86</v>
      </c>
      <c r="N32" s="60">
        <v>19.7</v>
      </c>
      <c r="O32" s="60">
        <v>0</v>
      </c>
      <c r="P32" s="60">
        <v>3.72</v>
      </c>
      <c r="Q32" s="60">
        <v>9.7899999999999991</v>
      </c>
      <c r="R32" s="197"/>
      <c r="S32" s="197"/>
      <c r="T32" s="197"/>
      <c r="U32" s="197"/>
    </row>
    <row r="33" spans="1:21" s="12" customFormat="1" x14ac:dyDescent="0.25">
      <c r="A33" s="200" t="s">
        <v>2096</v>
      </c>
      <c r="B33" s="60">
        <v>7.13</v>
      </c>
      <c r="C33" s="60">
        <v>10.130000000000001</v>
      </c>
      <c r="D33" s="60">
        <v>17.260000000000002</v>
      </c>
      <c r="E33" s="60">
        <v>4.53</v>
      </c>
      <c r="F33" s="60">
        <v>0.48</v>
      </c>
      <c r="G33" s="9" t="s">
        <v>36</v>
      </c>
      <c r="H33" s="60">
        <v>107.75</v>
      </c>
      <c r="I33" s="6" t="s">
        <v>42</v>
      </c>
      <c r="J33" s="60">
        <v>0.23</v>
      </c>
      <c r="K33" s="60">
        <v>333.12</v>
      </c>
      <c r="L33" s="60">
        <v>28.1</v>
      </c>
      <c r="M33" s="60">
        <v>91.34</v>
      </c>
      <c r="N33" s="60">
        <v>27.9</v>
      </c>
      <c r="O33" s="60">
        <v>0</v>
      </c>
      <c r="P33" s="60">
        <v>3.72</v>
      </c>
      <c r="Q33" s="60">
        <v>9.69</v>
      </c>
      <c r="R33" s="197"/>
      <c r="S33" s="197"/>
      <c r="T33" s="197"/>
      <c r="U33" s="197"/>
    </row>
    <row r="34" spans="1:21" s="12" customFormat="1" x14ac:dyDescent="0.25">
      <c r="A34" s="200" t="s">
        <v>2097</v>
      </c>
      <c r="B34" s="60">
        <v>7.4</v>
      </c>
      <c r="C34" s="60">
        <v>9.9700000000000006</v>
      </c>
      <c r="D34" s="60">
        <v>17.37</v>
      </c>
      <c r="E34" s="60">
        <v>4.3</v>
      </c>
      <c r="F34" s="60">
        <v>0.14000000000000001</v>
      </c>
      <c r="G34" s="9" t="s">
        <v>36</v>
      </c>
      <c r="H34" s="60">
        <v>147.91999999999999</v>
      </c>
      <c r="I34" s="6" t="s">
        <v>42</v>
      </c>
      <c r="J34" s="60">
        <v>0.26</v>
      </c>
      <c r="K34" s="60">
        <v>336.37</v>
      </c>
      <c r="L34" s="60">
        <v>28.25</v>
      </c>
      <c r="M34" s="60">
        <v>90.74</v>
      </c>
      <c r="N34" s="60">
        <v>54.7</v>
      </c>
      <c r="O34" s="60">
        <v>0</v>
      </c>
      <c r="P34" s="60">
        <v>3.7</v>
      </c>
      <c r="Q34" s="60">
        <v>9.4499999999999993</v>
      </c>
      <c r="R34" s="197"/>
      <c r="S34" s="197"/>
      <c r="T34" s="197"/>
      <c r="U34" s="197"/>
    </row>
    <row r="35" spans="1:21" s="12" customFormat="1" x14ac:dyDescent="0.25">
      <c r="A35" s="200" t="s">
        <v>2098</v>
      </c>
      <c r="B35" s="60">
        <v>7.72</v>
      </c>
      <c r="C35" s="60">
        <v>9.99</v>
      </c>
      <c r="D35" s="60">
        <v>17.72</v>
      </c>
      <c r="E35" s="60">
        <v>4.99</v>
      </c>
      <c r="F35" s="60">
        <v>0.06</v>
      </c>
      <c r="G35" s="9" t="s">
        <v>36</v>
      </c>
      <c r="H35" s="60">
        <v>156.6</v>
      </c>
      <c r="I35" s="6" t="s">
        <v>42</v>
      </c>
      <c r="J35" s="60">
        <v>0.33</v>
      </c>
      <c r="K35" s="60">
        <v>329.81</v>
      </c>
      <c r="L35" s="60">
        <v>28.47</v>
      </c>
      <c r="M35" s="60">
        <v>89.59</v>
      </c>
      <c r="N35" s="60">
        <v>74.8</v>
      </c>
      <c r="O35" s="60">
        <v>0</v>
      </c>
      <c r="P35" s="60">
        <v>3.7</v>
      </c>
      <c r="Q35" s="60">
        <v>9.6199999999999992</v>
      </c>
      <c r="R35" s="197"/>
      <c r="S35" s="197"/>
      <c r="T35" s="197"/>
      <c r="U35" s="197"/>
    </row>
    <row r="36" spans="1:21" s="12" customFormat="1" x14ac:dyDescent="0.25">
      <c r="A36" s="200" t="s">
        <v>2099</v>
      </c>
      <c r="B36" s="60">
        <v>8.1199999999999992</v>
      </c>
      <c r="C36" s="60">
        <v>10.3</v>
      </c>
      <c r="D36" s="60">
        <v>18.420000000000002</v>
      </c>
      <c r="E36" s="60">
        <v>4.8899999999999997</v>
      </c>
      <c r="F36" s="60">
        <v>0.02</v>
      </c>
      <c r="G36" s="9" t="s">
        <v>36</v>
      </c>
      <c r="H36" s="60">
        <v>156.6</v>
      </c>
      <c r="I36" s="6" t="s">
        <v>42</v>
      </c>
      <c r="J36" s="60">
        <v>0.33</v>
      </c>
      <c r="K36" s="60">
        <v>337.02</v>
      </c>
      <c r="L36" s="60">
        <v>28.66</v>
      </c>
      <c r="M36" s="60">
        <v>88.28</v>
      </c>
      <c r="N36" s="60">
        <v>70.400000000000006</v>
      </c>
      <c r="O36" s="60">
        <v>0</v>
      </c>
      <c r="P36" s="60">
        <v>3.7</v>
      </c>
      <c r="Q36" s="60">
        <v>9.9</v>
      </c>
      <c r="R36" s="197"/>
      <c r="S36" s="197"/>
      <c r="T36" s="197"/>
      <c r="U36" s="197"/>
    </row>
    <row r="37" spans="1:21" s="12" customFormat="1" x14ac:dyDescent="0.25">
      <c r="A37" s="200" t="s">
        <v>2100</v>
      </c>
      <c r="B37" s="60">
        <v>8.1300000000000008</v>
      </c>
      <c r="C37" s="60">
        <v>10.59</v>
      </c>
      <c r="D37" s="60">
        <v>18.73</v>
      </c>
      <c r="E37" s="60">
        <v>4.9400000000000004</v>
      </c>
      <c r="F37" s="60">
        <v>0.06</v>
      </c>
      <c r="G37" s="9" t="s">
        <v>36</v>
      </c>
      <c r="H37" s="60">
        <v>156.6</v>
      </c>
      <c r="I37" s="6" t="s">
        <v>42</v>
      </c>
      <c r="J37" s="60">
        <v>0.43</v>
      </c>
      <c r="K37" s="60">
        <v>322.89</v>
      </c>
      <c r="L37" s="60">
        <v>28.69</v>
      </c>
      <c r="M37" s="60">
        <v>88.85</v>
      </c>
      <c r="N37" s="60">
        <v>74.099999999999994</v>
      </c>
      <c r="O37" s="60">
        <v>0</v>
      </c>
      <c r="P37" s="60">
        <v>3.69</v>
      </c>
      <c r="Q37" s="60">
        <v>9.77</v>
      </c>
      <c r="R37" s="197"/>
      <c r="S37" s="197"/>
      <c r="T37" s="197"/>
      <c r="U37" s="197"/>
    </row>
    <row r="38" spans="1:21" s="12" customFormat="1" x14ac:dyDescent="0.25">
      <c r="A38" s="200" t="s">
        <v>2101</v>
      </c>
      <c r="B38" s="60">
        <v>8.24</v>
      </c>
      <c r="C38" s="60">
        <v>10.63</v>
      </c>
      <c r="D38" s="60">
        <v>18.87</v>
      </c>
      <c r="E38" s="60">
        <v>5.0999999999999996</v>
      </c>
      <c r="F38" s="60">
        <v>0.02</v>
      </c>
      <c r="G38" s="9" t="s">
        <v>36</v>
      </c>
      <c r="H38" s="60">
        <v>33.26</v>
      </c>
      <c r="I38" s="6" t="s">
        <v>42</v>
      </c>
      <c r="J38" s="60">
        <v>0.41</v>
      </c>
      <c r="K38" s="60">
        <v>322.55</v>
      </c>
      <c r="L38" s="60">
        <v>28.69</v>
      </c>
      <c r="M38" s="60">
        <v>89.37</v>
      </c>
      <c r="N38" s="60">
        <v>49.7</v>
      </c>
      <c r="O38" s="60">
        <v>0.2</v>
      </c>
      <c r="P38" s="60">
        <v>3.69</v>
      </c>
      <c r="Q38" s="60">
        <v>9.5299999999999994</v>
      </c>
      <c r="R38" s="197"/>
      <c r="S38" s="197"/>
      <c r="T38" s="197"/>
      <c r="U38" s="197"/>
    </row>
    <row r="39" spans="1:21" s="12" customFormat="1" x14ac:dyDescent="0.25">
      <c r="A39" s="200" t="s">
        <v>2102</v>
      </c>
      <c r="B39" s="60">
        <v>8.23</v>
      </c>
      <c r="C39" s="60">
        <v>10.52</v>
      </c>
      <c r="D39" s="60">
        <v>18.75</v>
      </c>
      <c r="E39" s="60">
        <v>5.19</v>
      </c>
      <c r="F39" s="60">
        <v>0.1</v>
      </c>
      <c r="G39" s="9" t="s">
        <v>36</v>
      </c>
      <c r="H39" s="60">
        <v>8.59</v>
      </c>
      <c r="I39" s="6" t="s">
        <v>42</v>
      </c>
      <c r="J39" s="60">
        <v>0.3</v>
      </c>
      <c r="K39" s="60">
        <v>329.1</v>
      </c>
      <c r="L39" s="60">
        <v>28.36</v>
      </c>
      <c r="M39" s="60">
        <v>92.2</v>
      </c>
      <c r="N39" s="60">
        <v>53.6</v>
      </c>
      <c r="O39" s="60">
        <v>0</v>
      </c>
      <c r="P39" s="60">
        <v>3.69</v>
      </c>
      <c r="Q39" s="60">
        <v>9.2899999999999991</v>
      </c>
      <c r="R39" s="197"/>
      <c r="S39" s="197"/>
      <c r="T39" s="197"/>
      <c r="U39" s="197"/>
    </row>
    <row r="40" spans="1:21" s="12" customFormat="1" x14ac:dyDescent="0.25">
      <c r="A40" s="200" t="s">
        <v>2103</v>
      </c>
      <c r="B40" s="60">
        <v>8.3800000000000008</v>
      </c>
      <c r="C40" s="60">
        <v>10.39</v>
      </c>
      <c r="D40" s="60">
        <v>18.77</v>
      </c>
      <c r="E40" s="60">
        <v>2.5499999999999998</v>
      </c>
      <c r="F40" s="60">
        <v>7.0000000000000007E-2</v>
      </c>
      <c r="G40" s="9" t="s">
        <v>36</v>
      </c>
      <c r="H40" s="60">
        <v>8.59</v>
      </c>
      <c r="I40" s="6" t="s">
        <v>42</v>
      </c>
      <c r="J40" s="60">
        <v>0.33</v>
      </c>
      <c r="K40" s="60">
        <v>328.74</v>
      </c>
      <c r="L40" s="60">
        <v>28.46</v>
      </c>
      <c r="M40" s="60">
        <v>91.95</v>
      </c>
      <c r="N40" s="60">
        <v>57.9</v>
      </c>
      <c r="O40" s="60">
        <v>0</v>
      </c>
      <c r="P40" s="60">
        <v>3.69</v>
      </c>
      <c r="Q40" s="60">
        <v>9.1</v>
      </c>
      <c r="R40" s="197"/>
      <c r="S40" s="197"/>
      <c r="T40" s="197"/>
      <c r="U40" s="197"/>
    </row>
    <row r="41" spans="1:21" s="12" customFormat="1" x14ac:dyDescent="0.25">
      <c r="A41" s="200" t="s">
        <v>2104</v>
      </c>
      <c r="B41" s="60">
        <v>8.75</v>
      </c>
      <c r="C41" s="60">
        <v>10.37</v>
      </c>
      <c r="D41" s="60">
        <v>19.12</v>
      </c>
      <c r="E41" s="60">
        <v>4.8099999999999996</v>
      </c>
      <c r="F41" s="60">
        <v>0.13</v>
      </c>
      <c r="G41" s="9" t="s">
        <v>36</v>
      </c>
      <c r="H41" s="60">
        <v>8.59</v>
      </c>
      <c r="I41" s="6" t="s">
        <v>42</v>
      </c>
      <c r="J41" s="60">
        <v>0.74</v>
      </c>
      <c r="K41" s="60">
        <v>310.11</v>
      </c>
      <c r="L41" s="60">
        <v>42.19</v>
      </c>
      <c r="M41" s="60">
        <v>90.73</v>
      </c>
      <c r="N41" s="60">
        <v>103.3</v>
      </c>
      <c r="O41" s="60">
        <v>0</v>
      </c>
      <c r="P41" s="60">
        <v>3.7</v>
      </c>
      <c r="Q41" s="60">
        <v>9.17</v>
      </c>
      <c r="R41" s="197"/>
      <c r="S41" s="197"/>
      <c r="T41" s="197"/>
      <c r="U41" s="197"/>
    </row>
    <row r="42" spans="1:21" s="12" customFormat="1" x14ac:dyDescent="0.25">
      <c r="A42" s="200" t="s">
        <v>2105</v>
      </c>
      <c r="B42" s="60">
        <v>9.08</v>
      </c>
      <c r="C42" s="60">
        <v>10.55</v>
      </c>
      <c r="D42" s="60">
        <v>19.63</v>
      </c>
      <c r="E42" s="60">
        <v>4.96</v>
      </c>
      <c r="F42" s="60">
        <v>0.1</v>
      </c>
      <c r="G42" s="9" t="s">
        <v>36</v>
      </c>
      <c r="H42" s="60">
        <v>156.08000000000001</v>
      </c>
      <c r="I42" s="6" t="s">
        <v>42</v>
      </c>
      <c r="J42" s="60">
        <v>1.1499999999999999</v>
      </c>
      <c r="K42" s="60">
        <v>314.11</v>
      </c>
      <c r="L42" s="60">
        <v>43.01</v>
      </c>
      <c r="M42" s="60">
        <v>89.19</v>
      </c>
      <c r="N42" s="60">
        <v>114.3</v>
      </c>
      <c r="O42" s="60">
        <v>0</v>
      </c>
      <c r="P42" s="60">
        <v>3.7</v>
      </c>
      <c r="Q42" s="60">
        <v>9.0299999999999994</v>
      </c>
      <c r="R42" s="197"/>
      <c r="S42" s="197"/>
      <c r="T42" s="197"/>
      <c r="U42" s="197"/>
    </row>
    <row r="43" spans="1:21" s="12" customFormat="1" x14ac:dyDescent="0.25">
      <c r="A43" s="200" t="s">
        <v>2106</v>
      </c>
      <c r="B43" s="60">
        <v>9.15</v>
      </c>
      <c r="C43" s="60">
        <v>10.84</v>
      </c>
      <c r="D43" s="60">
        <v>19.989999999999998</v>
      </c>
      <c r="E43" s="60">
        <v>5.14</v>
      </c>
      <c r="F43" s="60">
        <v>0.06</v>
      </c>
      <c r="G43" s="9" t="s">
        <v>36</v>
      </c>
      <c r="H43" s="60">
        <v>187.97</v>
      </c>
      <c r="I43" s="6" t="s">
        <v>42</v>
      </c>
      <c r="J43" s="60">
        <v>1.03</v>
      </c>
      <c r="K43" s="60">
        <v>308.33</v>
      </c>
      <c r="L43" s="60">
        <v>43.63</v>
      </c>
      <c r="M43" s="60">
        <v>89.03</v>
      </c>
      <c r="N43" s="60">
        <v>155.6</v>
      </c>
      <c r="O43" s="60">
        <v>0</v>
      </c>
      <c r="P43" s="60">
        <v>3.71</v>
      </c>
      <c r="Q43" s="60">
        <v>8.7200000000000006</v>
      </c>
      <c r="R43" s="197"/>
      <c r="S43" s="197"/>
      <c r="T43" s="197"/>
      <c r="U43" s="197"/>
    </row>
    <row r="44" spans="1:21" s="12" customFormat="1" x14ac:dyDescent="0.25">
      <c r="A44" s="200" t="s">
        <v>2107</v>
      </c>
      <c r="B44" s="60">
        <v>9.16</v>
      </c>
      <c r="C44" s="60">
        <v>11.07</v>
      </c>
      <c r="D44" s="60">
        <v>20.239999999999998</v>
      </c>
      <c r="E44" s="60">
        <v>5.41</v>
      </c>
      <c r="F44" s="60">
        <v>0.1</v>
      </c>
      <c r="G44" s="9" t="s">
        <v>36</v>
      </c>
      <c r="H44" s="60">
        <v>187.97</v>
      </c>
      <c r="I44" s="6" t="s">
        <v>42</v>
      </c>
      <c r="J44" s="60">
        <v>0.61</v>
      </c>
      <c r="K44" s="60">
        <v>311.33999999999997</v>
      </c>
      <c r="L44" s="60">
        <v>45.38</v>
      </c>
      <c r="M44" s="60">
        <v>87.16</v>
      </c>
      <c r="N44" s="60">
        <v>194.7</v>
      </c>
      <c r="O44" s="60">
        <v>0</v>
      </c>
      <c r="P44" s="60">
        <v>3.72</v>
      </c>
      <c r="Q44" s="60">
        <v>8.49</v>
      </c>
      <c r="R44" s="197"/>
      <c r="S44" s="197"/>
      <c r="T44" s="197"/>
      <c r="U44" s="197"/>
    </row>
    <row r="45" spans="1:21" s="12" customFormat="1" x14ac:dyDescent="0.25">
      <c r="A45" s="200" t="s">
        <v>2108</v>
      </c>
      <c r="B45" s="60">
        <v>9.15</v>
      </c>
      <c r="C45" s="60">
        <v>11.25</v>
      </c>
      <c r="D45" s="60">
        <v>20.399999999999999</v>
      </c>
      <c r="E45" s="60">
        <v>5.33</v>
      </c>
      <c r="F45" s="60">
        <v>0.16</v>
      </c>
      <c r="G45" s="9" t="s">
        <v>36</v>
      </c>
      <c r="H45" s="60">
        <v>187.97</v>
      </c>
      <c r="I45" s="6" t="s">
        <v>42</v>
      </c>
      <c r="J45" s="60">
        <v>0.77</v>
      </c>
      <c r="K45" s="60">
        <v>312.43</v>
      </c>
      <c r="L45" s="60">
        <v>46.43</v>
      </c>
      <c r="M45" s="60">
        <v>85.35</v>
      </c>
      <c r="N45" s="60">
        <v>154.5</v>
      </c>
      <c r="O45" s="60">
        <v>0</v>
      </c>
      <c r="P45" s="60">
        <v>3.72</v>
      </c>
      <c r="Q45" s="60">
        <v>8.33</v>
      </c>
      <c r="R45" s="197"/>
      <c r="S45" s="197"/>
      <c r="T45" s="197"/>
      <c r="U45" s="197"/>
    </row>
    <row r="46" spans="1:21" s="12" customFormat="1" x14ac:dyDescent="0.25">
      <c r="A46" s="200" t="s">
        <v>2109</v>
      </c>
      <c r="B46" s="60">
        <v>9.2799999999999994</v>
      </c>
      <c r="C46" s="60">
        <v>11.5</v>
      </c>
      <c r="D46" s="60">
        <v>20.78</v>
      </c>
      <c r="E46" s="60">
        <v>5.13</v>
      </c>
      <c r="F46" s="60">
        <v>0.06</v>
      </c>
      <c r="G46" s="9" t="s">
        <v>36</v>
      </c>
      <c r="H46" s="60">
        <v>100.11</v>
      </c>
      <c r="I46" s="6" t="s">
        <v>42</v>
      </c>
      <c r="J46" s="60">
        <v>0.9</v>
      </c>
      <c r="K46" s="60">
        <v>308.07</v>
      </c>
      <c r="L46" s="60">
        <v>47.65</v>
      </c>
      <c r="M46" s="60">
        <v>84.21</v>
      </c>
      <c r="N46" s="60">
        <v>158.69999999999999</v>
      </c>
      <c r="O46" s="60">
        <v>0</v>
      </c>
      <c r="P46" s="60">
        <v>3.74</v>
      </c>
      <c r="Q46" s="60">
        <v>8.1300000000000008</v>
      </c>
      <c r="R46" s="197"/>
      <c r="S46" s="197"/>
      <c r="T46" s="197"/>
      <c r="U46" s="197"/>
    </row>
    <row r="47" spans="1:21" s="12" customFormat="1" x14ac:dyDescent="0.25">
      <c r="A47" s="200" t="s">
        <v>2110</v>
      </c>
      <c r="B47" s="60">
        <v>9.15</v>
      </c>
      <c r="C47" s="60">
        <v>12.6</v>
      </c>
      <c r="D47" s="60">
        <v>21.75</v>
      </c>
      <c r="E47" s="60">
        <v>5.03</v>
      </c>
      <c r="F47" s="60">
        <v>0.31</v>
      </c>
      <c r="G47" s="9" t="s">
        <v>36</v>
      </c>
      <c r="H47" s="60">
        <v>82.53</v>
      </c>
      <c r="I47" s="6" t="s">
        <v>42</v>
      </c>
      <c r="J47" s="60">
        <v>1.91</v>
      </c>
      <c r="K47" s="60">
        <v>315.45</v>
      </c>
      <c r="L47" s="60">
        <v>48.1</v>
      </c>
      <c r="M47" s="60">
        <v>81.58</v>
      </c>
      <c r="N47" s="60">
        <v>218.3</v>
      </c>
      <c r="O47" s="60">
        <v>0</v>
      </c>
      <c r="P47" s="60">
        <v>3.74</v>
      </c>
      <c r="Q47" s="60">
        <v>8.0399999999999991</v>
      </c>
      <c r="R47" s="197"/>
      <c r="S47" s="197"/>
      <c r="T47" s="197"/>
      <c r="U47" s="197"/>
    </row>
    <row r="48" spans="1:21" s="12" customFormat="1" x14ac:dyDescent="0.25">
      <c r="A48" s="200" t="s">
        <v>2111</v>
      </c>
      <c r="B48" s="60">
        <v>6.46</v>
      </c>
      <c r="C48" s="60">
        <v>15.93</v>
      </c>
      <c r="D48" s="60">
        <v>22.39</v>
      </c>
      <c r="E48" s="60">
        <v>4.07</v>
      </c>
      <c r="F48" s="60">
        <v>1.1200000000000001</v>
      </c>
      <c r="G48" s="9" t="s">
        <v>36</v>
      </c>
      <c r="H48" s="60">
        <v>82.53</v>
      </c>
      <c r="I48" s="6" t="s">
        <v>42</v>
      </c>
      <c r="J48" s="60">
        <v>2.06</v>
      </c>
      <c r="K48" s="60">
        <v>310.82</v>
      </c>
      <c r="L48" s="60">
        <v>50.43</v>
      </c>
      <c r="M48" s="60">
        <v>78.19</v>
      </c>
      <c r="N48" s="60">
        <v>292</v>
      </c>
      <c r="O48" s="60">
        <v>0</v>
      </c>
      <c r="P48" s="60">
        <v>3.71</v>
      </c>
      <c r="Q48" s="60">
        <v>7.15</v>
      </c>
      <c r="R48" s="197"/>
      <c r="S48" s="197"/>
      <c r="T48" s="197"/>
      <c r="U48" s="197"/>
    </row>
    <row r="49" spans="1:21" s="12" customFormat="1" x14ac:dyDescent="0.25">
      <c r="A49" s="200" t="s">
        <v>2112</v>
      </c>
      <c r="B49" s="60">
        <v>4.32</v>
      </c>
      <c r="C49" s="60">
        <v>17.86</v>
      </c>
      <c r="D49" s="60">
        <v>22.18</v>
      </c>
      <c r="E49" s="60">
        <v>3.67</v>
      </c>
      <c r="F49" s="60">
        <v>1.91</v>
      </c>
      <c r="G49" s="9" t="s">
        <v>36</v>
      </c>
      <c r="H49" s="60">
        <v>82.53</v>
      </c>
      <c r="I49" s="6" t="s">
        <v>42</v>
      </c>
      <c r="J49" s="60">
        <v>1.44</v>
      </c>
      <c r="K49" s="60">
        <v>308.48</v>
      </c>
      <c r="L49" s="60">
        <v>43.34</v>
      </c>
      <c r="M49" s="60">
        <v>76.819999999999993</v>
      </c>
      <c r="N49" s="60">
        <v>317.5</v>
      </c>
      <c r="O49" s="60">
        <v>0</v>
      </c>
      <c r="P49" s="60">
        <v>3.7</v>
      </c>
      <c r="Q49" s="60">
        <v>6.62</v>
      </c>
      <c r="R49" s="197"/>
      <c r="S49" s="197"/>
      <c r="T49" s="197"/>
      <c r="U49" s="197"/>
    </row>
    <row r="50" spans="1:21" s="12" customFormat="1" x14ac:dyDescent="0.25">
      <c r="A50" s="200" t="s">
        <v>2113</v>
      </c>
      <c r="B50" s="60">
        <v>3.03</v>
      </c>
      <c r="C50" s="60">
        <v>20.12</v>
      </c>
      <c r="D50" s="60">
        <v>23.15</v>
      </c>
      <c r="E50" s="60">
        <v>2.3199999999999998</v>
      </c>
      <c r="F50" s="60">
        <v>2.95</v>
      </c>
      <c r="G50" s="9" t="s">
        <v>36</v>
      </c>
      <c r="H50" s="60">
        <v>42.08</v>
      </c>
      <c r="I50" s="6" t="s">
        <v>42</v>
      </c>
      <c r="J50" s="60">
        <v>1.05</v>
      </c>
      <c r="K50" s="60">
        <v>310.8</v>
      </c>
      <c r="L50" s="60">
        <v>33.32</v>
      </c>
      <c r="M50" s="60">
        <v>77.319999999999993</v>
      </c>
      <c r="N50" s="60">
        <v>311.60000000000002</v>
      </c>
      <c r="O50" s="60">
        <v>0</v>
      </c>
      <c r="P50" s="60">
        <v>3.69</v>
      </c>
      <c r="Q50" s="60">
        <v>5.93</v>
      </c>
      <c r="R50" s="197"/>
      <c r="S50" s="197"/>
      <c r="T50" s="197"/>
      <c r="U50" s="197"/>
    </row>
    <row r="51" spans="1:21" s="12" customFormat="1" x14ac:dyDescent="0.25">
      <c r="A51" s="200" t="s">
        <v>2114</v>
      </c>
      <c r="B51" s="60">
        <v>2.76</v>
      </c>
      <c r="C51" s="60">
        <v>20.76</v>
      </c>
      <c r="D51" s="60">
        <v>23.52</v>
      </c>
      <c r="E51" s="60">
        <v>1.92</v>
      </c>
      <c r="F51" s="60">
        <v>2.48</v>
      </c>
      <c r="G51" s="9" t="s">
        <v>36</v>
      </c>
      <c r="H51" s="60">
        <v>33.99</v>
      </c>
      <c r="I51" s="60">
        <v>0.51</v>
      </c>
      <c r="J51" s="60">
        <v>0.67</v>
      </c>
      <c r="K51" s="60">
        <v>312.02999999999997</v>
      </c>
      <c r="L51" s="60">
        <v>33.21</v>
      </c>
      <c r="M51" s="60">
        <v>78.06</v>
      </c>
      <c r="N51" s="60">
        <v>343.6</v>
      </c>
      <c r="O51" s="60">
        <v>0</v>
      </c>
      <c r="P51" s="60">
        <v>3.69</v>
      </c>
      <c r="Q51" s="60">
        <v>5.71</v>
      </c>
      <c r="R51" s="197"/>
      <c r="S51" s="197"/>
      <c r="T51" s="197"/>
      <c r="U51" s="197"/>
    </row>
    <row r="52" spans="1:21" s="12" customFormat="1" x14ac:dyDescent="0.25">
      <c r="A52" s="200" t="s">
        <v>2115</v>
      </c>
      <c r="B52" s="60">
        <v>2.73</v>
      </c>
      <c r="C52" s="60">
        <v>19.78</v>
      </c>
      <c r="D52" s="60">
        <v>22.51</v>
      </c>
      <c r="E52" s="60">
        <v>2.15</v>
      </c>
      <c r="F52" s="60">
        <v>2.06</v>
      </c>
      <c r="G52" s="9" t="s">
        <v>36</v>
      </c>
      <c r="H52" s="60">
        <v>33.99</v>
      </c>
      <c r="I52" s="60">
        <v>4.5599999999999996</v>
      </c>
      <c r="J52" s="60">
        <v>0.56000000000000005</v>
      </c>
      <c r="K52" s="60">
        <v>323.27</v>
      </c>
      <c r="L52" s="60">
        <v>33.200000000000003</v>
      </c>
      <c r="M52" s="60">
        <v>78.290000000000006</v>
      </c>
      <c r="N52" s="60">
        <v>348.2</v>
      </c>
      <c r="O52" s="60">
        <v>0</v>
      </c>
      <c r="P52" s="60">
        <v>3.7</v>
      </c>
      <c r="Q52" s="60">
        <v>5.29</v>
      </c>
      <c r="R52" s="197"/>
      <c r="S52" s="197"/>
      <c r="T52" s="197"/>
      <c r="U52" s="197"/>
    </row>
    <row r="53" spans="1:21" s="12" customFormat="1" x14ac:dyDescent="0.25">
      <c r="A53" s="200" t="s">
        <v>2116</v>
      </c>
      <c r="B53" s="60">
        <v>2.76</v>
      </c>
      <c r="C53" s="60">
        <v>18.63</v>
      </c>
      <c r="D53" s="60">
        <v>21.39</v>
      </c>
      <c r="E53" s="60">
        <v>1.82</v>
      </c>
      <c r="F53" s="60">
        <v>1.94</v>
      </c>
      <c r="G53" s="9" t="s">
        <v>36</v>
      </c>
      <c r="H53" s="60">
        <v>33.99</v>
      </c>
      <c r="I53" s="60">
        <v>3.98</v>
      </c>
      <c r="J53" s="60">
        <v>0.49</v>
      </c>
      <c r="K53" s="60">
        <v>320.24</v>
      </c>
      <c r="L53" s="60">
        <v>33.18</v>
      </c>
      <c r="M53" s="60">
        <v>78.709999999999994</v>
      </c>
      <c r="N53" s="60">
        <v>479.1</v>
      </c>
      <c r="O53" s="60">
        <v>0</v>
      </c>
      <c r="P53" s="60">
        <v>3.7</v>
      </c>
      <c r="Q53" s="60">
        <v>4.93</v>
      </c>
      <c r="R53" s="197"/>
      <c r="S53" s="197"/>
      <c r="T53" s="197"/>
      <c r="U53" s="197"/>
    </row>
    <row r="54" spans="1:21" s="12" customFormat="1" x14ac:dyDescent="0.25">
      <c r="A54" s="200" t="s">
        <v>2117</v>
      </c>
      <c r="B54" s="60">
        <v>2.91</v>
      </c>
      <c r="C54" s="60">
        <v>18.37</v>
      </c>
      <c r="D54" s="60">
        <v>21.28</v>
      </c>
      <c r="E54" s="60">
        <v>1.28</v>
      </c>
      <c r="F54" s="60">
        <v>2.16</v>
      </c>
      <c r="G54" s="9" t="s">
        <v>36</v>
      </c>
      <c r="H54" s="60">
        <v>17.059999999999999</v>
      </c>
      <c r="I54" s="60">
        <v>1.48</v>
      </c>
      <c r="J54" s="60">
        <v>0.44</v>
      </c>
      <c r="K54" s="60">
        <v>328.93</v>
      </c>
      <c r="L54" s="60">
        <v>33.46</v>
      </c>
      <c r="M54" s="60">
        <v>77.489999999999995</v>
      </c>
      <c r="N54" s="60">
        <v>505.3</v>
      </c>
      <c r="O54" s="60">
        <v>0</v>
      </c>
      <c r="P54" s="60">
        <v>3.68</v>
      </c>
      <c r="Q54" s="60">
        <v>4.8600000000000003</v>
      </c>
      <c r="R54" s="197"/>
      <c r="S54" s="197"/>
      <c r="T54" s="197"/>
      <c r="U54" s="197"/>
    </row>
    <row r="55" spans="1:21" s="12" customFormat="1" x14ac:dyDescent="0.25">
      <c r="A55" s="200" t="s">
        <v>2118</v>
      </c>
      <c r="B55" s="60">
        <v>2.86</v>
      </c>
      <c r="C55" s="60">
        <v>17.87</v>
      </c>
      <c r="D55" s="60">
        <v>20.73</v>
      </c>
      <c r="E55" s="60">
        <v>0.99</v>
      </c>
      <c r="F55" s="60">
        <v>1.49</v>
      </c>
      <c r="G55" s="9" t="s">
        <v>36</v>
      </c>
      <c r="H55" s="60">
        <v>13.68</v>
      </c>
      <c r="I55" s="9" t="s">
        <v>36</v>
      </c>
      <c r="J55" s="60">
        <v>0.98</v>
      </c>
      <c r="K55" s="60">
        <v>310.5</v>
      </c>
      <c r="L55" s="60">
        <v>34.01</v>
      </c>
      <c r="M55" s="60">
        <v>75.89</v>
      </c>
      <c r="N55" s="60">
        <v>551.1</v>
      </c>
      <c r="O55" s="60">
        <v>0</v>
      </c>
      <c r="P55" s="60">
        <v>3.67</v>
      </c>
      <c r="Q55" s="60">
        <v>4.72</v>
      </c>
      <c r="R55" s="197"/>
      <c r="S55" s="197"/>
      <c r="T55" s="197"/>
      <c r="U55" s="197"/>
    </row>
    <row r="56" spans="1:21" s="12" customFormat="1" x14ac:dyDescent="0.25">
      <c r="A56" s="200" t="s">
        <v>2119</v>
      </c>
      <c r="B56" s="60">
        <v>3.06</v>
      </c>
      <c r="C56" s="60">
        <v>16.670000000000002</v>
      </c>
      <c r="D56" s="60">
        <v>19.73</v>
      </c>
      <c r="E56" s="60">
        <v>1.44</v>
      </c>
      <c r="F56" s="60">
        <v>1.1399999999999999</v>
      </c>
      <c r="G56" s="9" t="s">
        <v>36</v>
      </c>
      <c r="H56" s="60">
        <v>13.68</v>
      </c>
      <c r="I56" s="9" t="s">
        <v>36</v>
      </c>
      <c r="J56" s="60">
        <v>0.88</v>
      </c>
      <c r="K56" s="60">
        <v>310.93</v>
      </c>
      <c r="L56" s="60">
        <v>34.78</v>
      </c>
      <c r="M56" s="60">
        <v>72.78</v>
      </c>
      <c r="N56" s="60">
        <v>567.6</v>
      </c>
      <c r="O56" s="60">
        <v>0</v>
      </c>
      <c r="P56" s="60">
        <v>3.67</v>
      </c>
      <c r="Q56" s="60">
        <v>4.5999999999999996</v>
      </c>
      <c r="R56" s="197"/>
      <c r="S56" s="197"/>
      <c r="T56" s="197"/>
      <c r="U56" s="197"/>
    </row>
    <row r="57" spans="1:21" s="12" customFormat="1" x14ac:dyDescent="0.25">
      <c r="A57" s="200" t="s">
        <v>2120</v>
      </c>
      <c r="B57" s="60">
        <v>3.16</v>
      </c>
      <c r="C57" s="60">
        <v>14.89</v>
      </c>
      <c r="D57" s="60">
        <v>18.05</v>
      </c>
      <c r="E57" s="60">
        <v>3.09</v>
      </c>
      <c r="F57" s="60">
        <v>1.04</v>
      </c>
      <c r="G57" s="9" t="s">
        <v>36</v>
      </c>
      <c r="H57" s="60">
        <v>13.68</v>
      </c>
      <c r="I57" s="60">
        <v>1.94</v>
      </c>
      <c r="J57" s="60">
        <v>1.05</v>
      </c>
      <c r="K57" s="60">
        <v>311.63</v>
      </c>
      <c r="L57" s="60">
        <v>35.56</v>
      </c>
      <c r="M57" s="60">
        <v>70.98</v>
      </c>
      <c r="N57" s="60">
        <v>678</v>
      </c>
      <c r="O57" s="60">
        <v>0</v>
      </c>
      <c r="P57" s="60">
        <v>3.67</v>
      </c>
      <c r="Q57" s="60">
        <v>4.3899999999999997</v>
      </c>
      <c r="R57" s="197"/>
      <c r="S57" s="197"/>
      <c r="T57" s="197"/>
      <c r="U57" s="197"/>
    </row>
    <row r="58" spans="1:21" s="12" customFormat="1" x14ac:dyDescent="0.25">
      <c r="A58" s="200" t="s">
        <v>2121</v>
      </c>
      <c r="B58" s="60">
        <v>3.28</v>
      </c>
      <c r="C58" s="60">
        <v>13.99</v>
      </c>
      <c r="D58" s="60">
        <v>17.260000000000002</v>
      </c>
      <c r="E58" s="60">
        <v>3.47</v>
      </c>
      <c r="F58" s="60">
        <v>0.95</v>
      </c>
      <c r="G58" s="9" t="s">
        <v>36</v>
      </c>
      <c r="H58" s="60">
        <v>108.67</v>
      </c>
      <c r="I58" s="60">
        <v>3.11</v>
      </c>
      <c r="J58" s="60">
        <v>1.37</v>
      </c>
      <c r="K58" s="60">
        <v>311.19</v>
      </c>
      <c r="L58" s="60">
        <v>35.96</v>
      </c>
      <c r="M58" s="60">
        <v>69.260000000000005</v>
      </c>
      <c r="N58" s="60">
        <v>561.70000000000005</v>
      </c>
      <c r="O58" s="60">
        <v>0</v>
      </c>
      <c r="P58" s="60">
        <v>3.67</v>
      </c>
      <c r="Q58" s="60">
        <v>4.1399999999999997</v>
      </c>
      <c r="R58" s="197"/>
      <c r="S58" s="197"/>
      <c r="T58" s="197"/>
      <c r="U58" s="197"/>
    </row>
    <row r="59" spans="1:21" s="12" customFormat="1" x14ac:dyDescent="0.25">
      <c r="A59" s="200" t="s">
        <v>2122</v>
      </c>
      <c r="B59" s="60">
        <v>3.26</v>
      </c>
      <c r="C59" s="60">
        <v>13.15</v>
      </c>
      <c r="D59" s="60">
        <v>16.41</v>
      </c>
      <c r="E59" s="60">
        <v>3.61</v>
      </c>
      <c r="F59" s="60">
        <v>1.22</v>
      </c>
      <c r="G59" s="9" t="s">
        <v>36</v>
      </c>
      <c r="H59" s="60">
        <v>127.67</v>
      </c>
      <c r="I59" s="60">
        <v>3.05</v>
      </c>
      <c r="J59" s="60">
        <v>1.32</v>
      </c>
      <c r="K59" s="60">
        <v>309.8</v>
      </c>
      <c r="L59" s="60">
        <v>35.92</v>
      </c>
      <c r="M59" s="60">
        <v>69.62</v>
      </c>
      <c r="N59" s="60">
        <v>644.20000000000005</v>
      </c>
      <c r="O59" s="60">
        <v>0</v>
      </c>
      <c r="P59" s="60">
        <v>3.66</v>
      </c>
      <c r="Q59" s="60">
        <v>3.87</v>
      </c>
      <c r="R59" s="197"/>
      <c r="S59" s="197"/>
      <c r="T59" s="197"/>
      <c r="U59" s="197"/>
    </row>
    <row r="60" spans="1:21" s="12" customFormat="1" x14ac:dyDescent="0.25">
      <c r="A60" s="200" t="s">
        <v>2123</v>
      </c>
      <c r="B60" s="60">
        <v>3.01</v>
      </c>
      <c r="C60" s="60">
        <v>12.86</v>
      </c>
      <c r="D60" s="60">
        <v>15.87</v>
      </c>
      <c r="E60" s="60">
        <v>3.79</v>
      </c>
      <c r="F60" s="60">
        <v>1.42</v>
      </c>
      <c r="G60" s="9" t="s">
        <v>36</v>
      </c>
      <c r="H60" s="60">
        <v>127.67</v>
      </c>
      <c r="I60" s="60">
        <v>3.05</v>
      </c>
      <c r="J60" s="60">
        <v>1.34</v>
      </c>
      <c r="K60" s="60">
        <v>310.85000000000002</v>
      </c>
      <c r="L60" s="60">
        <v>36.24</v>
      </c>
      <c r="M60" s="60">
        <v>68.2</v>
      </c>
      <c r="N60" s="60">
        <v>645.20000000000005</v>
      </c>
      <c r="O60" s="60">
        <v>0</v>
      </c>
      <c r="P60" s="60">
        <v>3.66</v>
      </c>
      <c r="Q60" s="60">
        <v>3.8</v>
      </c>
      <c r="R60" s="197"/>
      <c r="S60" s="197"/>
      <c r="T60" s="197"/>
      <c r="U60" s="197"/>
    </row>
    <row r="61" spans="1:21" s="12" customFormat="1" x14ac:dyDescent="0.25">
      <c r="A61" s="200" t="s">
        <v>2124</v>
      </c>
      <c r="B61" s="60">
        <v>2.75</v>
      </c>
      <c r="C61" s="60">
        <v>13.8</v>
      </c>
      <c r="D61" s="60">
        <v>16.559999999999999</v>
      </c>
      <c r="E61" s="60">
        <v>3.34</v>
      </c>
      <c r="F61" s="60">
        <v>1.89</v>
      </c>
      <c r="G61" s="9" t="s">
        <v>36</v>
      </c>
      <c r="H61" s="60">
        <v>127.67</v>
      </c>
      <c r="I61" s="60">
        <v>3.04</v>
      </c>
      <c r="J61" s="60">
        <v>0.98</v>
      </c>
      <c r="K61" s="60">
        <v>315.25</v>
      </c>
      <c r="L61" s="60">
        <v>36.18</v>
      </c>
      <c r="M61" s="60">
        <v>68.430000000000007</v>
      </c>
      <c r="N61" s="60">
        <v>551.9</v>
      </c>
      <c r="O61" s="60">
        <v>0</v>
      </c>
      <c r="P61" s="60">
        <v>3.64</v>
      </c>
      <c r="Q61" s="60">
        <v>4.13</v>
      </c>
      <c r="R61" s="197"/>
      <c r="S61" s="197"/>
      <c r="T61" s="197"/>
      <c r="U61" s="197"/>
    </row>
    <row r="62" spans="1:21" s="12" customFormat="1" x14ac:dyDescent="0.25">
      <c r="A62" s="200" t="s">
        <v>2125</v>
      </c>
      <c r="B62" s="60">
        <v>2.64</v>
      </c>
      <c r="C62" s="60">
        <v>14.19</v>
      </c>
      <c r="D62" s="60">
        <v>16.82</v>
      </c>
      <c r="E62" s="60">
        <v>3.09</v>
      </c>
      <c r="F62" s="60">
        <v>2.0499999999999998</v>
      </c>
      <c r="G62" s="9" t="s">
        <v>36</v>
      </c>
      <c r="H62" s="60">
        <v>48.55</v>
      </c>
      <c r="I62" s="60">
        <v>2.99</v>
      </c>
      <c r="J62" s="60">
        <v>1.0900000000000001</v>
      </c>
      <c r="K62" s="60">
        <v>311.83</v>
      </c>
      <c r="L62" s="60">
        <v>36.29</v>
      </c>
      <c r="M62" s="60">
        <v>68.39</v>
      </c>
      <c r="N62" s="60">
        <v>578.4</v>
      </c>
      <c r="O62" s="60">
        <v>0</v>
      </c>
      <c r="P62" s="60">
        <v>3.65</v>
      </c>
      <c r="Q62" s="60">
        <v>4.46</v>
      </c>
      <c r="R62" s="197"/>
      <c r="S62" s="197"/>
      <c r="T62" s="197"/>
      <c r="U62" s="197"/>
    </row>
    <row r="63" spans="1:21" s="12" customFormat="1" x14ac:dyDescent="0.25">
      <c r="A63" s="200" t="s">
        <v>2126</v>
      </c>
      <c r="B63" s="60">
        <v>2.84</v>
      </c>
      <c r="C63" s="60">
        <v>14.92</v>
      </c>
      <c r="D63" s="60">
        <v>17.760000000000002</v>
      </c>
      <c r="E63" s="60">
        <v>3.25</v>
      </c>
      <c r="F63" s="60">
        <v>2.44</v>
      </c>
      <c r="G63" s="9" t="s">
        <v>36</v>
      </c>
      <c r="H63" s="60">
        <v>32.729999999999997</v>
      </c>
      <c r="I63" s="60">
        <v>2.82</v>
      </c>
      <c r="J63" s="60">
        <v>1.18</v>
      </c>
      <c r="K63" s="60">
        <v>310.52999999999997</v>
      </c>
      <c r="L63" s="60">
        <v>35.97</v>
      </c>
      <c r="M63" s="60">
        <v>69.05</v>
      </c>
      <c r="N63" s="60">
        <v>367.7</v>
      </c>
      <c r="O63" s="60">
        <v>0</v>
      </c>
      <c r="P63" s="60">
        <v>3.62</v>
      </c>
      <c r="Q63" s="60">
        <v>4.62</v>
      </c>
      <c r="R63" s="197"/>
      <c r="S63" s="197"/>
      <c r="T63" s="197"/>
      <c r="U63" s="197"/>
    </row>
    <row r="64" spans="1:21" s="12" customFormat="1" x14ac:dyDescent="0.25">
      <c r="A64" s="200" t="s">
        <v>2127</v>
      </c>
      <c r="B64" s="60">
        <v>2.66</v>
      </c>
      <c r="C64" s="60">
        <v>16.88</v>
      </c>
      <c r="D64" s="60">
        <v>19.55</v>
      </c>
      <c r="E64" s="60">
        <v>2.2999999999999998</v>
      </c>
      <c r="F64" s="60">
        <v>2.57</v>
      </c>
      <c r="G64" s="9" t="s">
        <v>36</v>
      </c>
      <c r="H64" s="60">
        <v>32.729999999999997</v>
      </c>
      <c r="I64" s="60">
        <v>2.68</v>
      </c>
      <c r="J64" s="60">
        <v>0.94</v>
      </c>
      <c r="K64" s="60">
        <v>314.92</v>
      </c>
      <c r="L64" s="60">
        <v>35.159999999999997</v>
      </c>
      <c r="M64" s="60">
        <v>71.540000000000006</v>
      </c>
      <c r="N64" s="60">
        <v>345.1</v>
      </c>
      <c r="O64" s="60">
        <v>0</v>
      </c>
      <c r="P64" s="60">
        <v>3.62</v>
      </c>
      <c r="Q64" s="60">
        <v>4.9400000000000004</v>
      </c>
      <c r="R64" s="197"/>
      <c r="S64" s="197"/>
      <c r="T64" s="197"/>
      <c r="U64" s="197"/>
    </row>
    <row r="65" spans="1:21" s="12" customFormat="1" x14ac:dyDescent="0.25">
      <c r="A65" s="200" t="s">
        <v>2128</v>
      </c>
      <c r="B65" s="60">
        <v>2.77</v>
      </c>
      <c r="C65" s="60">
        <v>17.32</v>
      </c>
      <c r="D65" s="60">
        <v>20.079999999999998</v>
      </c>
      <c r="E65" s="60">
        <v>2.94</v>
      </c>
      <c r="F65" s="60">
        <v>1.67</v>
      </c>
      <c r="G65" s="9" t="s">
        <v>36</v>
      </c>
      <c r="H65" s="60">
        <v>32.729999999999997</v>
      </c>
      <c r="I65" s="60">
        <v>2.4900000000000002</v>
      </c>
      <c r="J65" s="60">
        <v>0.84</v>
      </c>
      <c r="K65" s="60">
        <v>313.24</v>
      </c>
      <c r="L65" s="60">
        <v>34.67</v>
      </c>
      <c r="M65" s="60">
        <v>73.209999999999994</v>
      </c>
      <c r="N65" s="60">
        <v>345.2</v>
      </c>
      <c r="O65" s="60">
        <v>0</v>
      </c>
      <c r="P65" s="60">
        <v>3.62</v>
      </c>
      <c r="Q65" s="60">
        <v>5.01</v>
      </c>
      <c r="R65" s="197"/>
      <c r="S65" s="197"/>
      <c r="T65" s="197"/>
      <c r="U65" s="197"/>
    </row>
    <row r="66" spans="1:21" s="12" customFormat="1" x14ac:dyDescent="0.25">
      <c r="A66" s="200" t="s">
        <v>2129</v>
      </c>
      <c r="B66" s="60">
        <v>2.93</v>
      </c>
      <c r="C66" s="60">
        <v>16.73</v>
      </c>
      <c r="D66" s="60">
        <v>19.66</v>
      </c>
      <c r="E66" s="60">
        <v>3.56</v>
      </c>
      <c r="F66" s="60">
        <v>1.18</v>
      </c>
      <c r="G66" s="9" t="s">
        <v>36</v>
      </c>
      <c r="H66" s="60">
        <v>12.04</v>
      </c>
      <c r="I66" s="60">
        <v>2.2799999999999998</v>
      </c>
      <c r="J66" s="60">
        <v>1.07</v>
      </c>
      <c r="K66" s="60">
        <v>313.08999999999997</v>
      </c>
      <c r="L66" s="60">
        <v>34.21</v>
      </c>
      <c r="M66" s="60">
        <v>72.930000000000007</v>
      </c>
      <c r="N66" s="60">
        <v>265.8</v>
      </c>
      <c r="O66" s="60">
        <v>0</v>
      </c>
      <c r="P66" s="60">
        <v>3.62</v>
      </c>
      <c r="Q66" s="60">
        <v>5.03</v>
      </c>
      <c r="R66" s="197"/>
      <c r="S66" s="197"/>
      <c r="T66" s="197"/>
      <c r="U66" s="197"/>
    </row>
    <row r="67" spans="1:21" s="12" customFormat="1" x14ac:dyDescent="0.25">
      <c r="A67" s="200" t="s">
        <v>2130</v>
      </c>
      <c r="B67" s="60">
        <v>2.61</v>
      </c>
      <c r="C67" s="60">
        <v>15.68</v>
      </c>
      <c r="D67" s="60">
        <v>18.29</v>
      </c>
      <c r="E67" s="60">
        <v>3.91</v>
      </c>
      <c r="F67" s="60">
        <v>1.31</v>
      </c>
      <c r="G67" s="9" t="s">
        <v>36</v>
      </c>
      <c r="H67" s="60">
        <v>7.91</v>
      </c>
      <c r="I67" s="60">
        <v>2.2599999999999998</v>
      </c>
      <c r="J67" s="60">
        <v>0.99</v>
      </c>
      <c r="K67" s="60">
        <v>310.8</v>
      </c>
      <c r="L67" s="60">
        <v>34.21</v>
      </c>
      <c r="M67" s="60">
        <v>72.33</v>
      </c>
      <c r="N67" s="60">
        <v>267.5</v>
      </c>
      <c r="O67" s="60">
        <v>0</v>
      </c>
      <c r="P67" s="60">
        <v>3.62</v>
      </c>
      <c r="Q67" s="60">
        <v>4.87</v>
      </c>
      <c r="R67" s="197"/>
      <c r="S67" s="197"/>
      <c r="T67" s="197"/>
      <c r="U67" s="197"/>
    </row>
    <row r="68" spans="1:21" s="12" customFormat="1" x14ac:dyDescent="0.25">
      <c r="A68" s="200" t="s">
        <v>2131</v>
      </c>
      <c r="B68" s="60">
        <v>2.5099999999999998</v>
      </c>
      <c r="C68" s="60">
        <v>14.76</v>
      </c>
      <c r="D68" s="60">
        <v>17.28</v>
      </c>
      <c r="E68" s="60">
        <v>4.05</v>
      </c>
      <c r="F68" s="60">
        <v>1.18</v>
      </c>
      <c r="G68" s="9" t="s">
        <v>36</v>
      </c>
      <c r="H68" s="60">
        <v>7.91</v>
      </c>
      <c r="I68" s="60">
        <v>2.31</v>
      </c>
      <c r="J68" s="60">
        <v>0.51</v>
      </c>
      <c r="K68" s="60">
        <v>329.52</v>
      </c>
      <c r="L68" s="60">
        <v>34.32</v>
      </c>
      <c r="M68" s="60">
        <v>71.86</v>
      </c>
      <c r="N68" s="60">
        <v>281.2</v>
      </c>
      <c r="O68" s="60">
        <v>0</v>
      </c>
      <c r="P68" s="60">
        <v>3.62</v>
      </c>
      <c r="Q68" s="60">
        <v>4.7699999999999996</v>
      </c>
      <c r="R68" s="197"/>
      <c r="S68" s="197"/>
      <c r="T68" s="197"/>
      <c r="U68" s="197"/>
    </row>
    <row r="69" spans="1:21" s="12" customFormat="1" x14ac:dyDescent="0.25">
      <c r="A69" s="200" t="s">
        <v>2132</v>
      </c>
      <c r="B69" s="60">
        <v>2.4700000000000002</v>
      </c>
      <c r="C69" s="60">
        <v>14.3</v>
      </c>
      <c r="D69" s="60">
        <v>16.77</v>
      </c>
      <c r="E69" s="60">
        <v>3.43</v>
      </c>
      <c r="F69" s="60">
        <v>1.25</v>
      </c>
      <c r="G69" s="9" t="s">
        <v>36</v>
      </c>
      <c r="H69" s="60">
        <v>7.91</v>
      </c>
      <c r="I69" s="60">
        <v>2.33</v>
      </c>
      <c r="J69" s="60">
        <v>0.33</v>
      </c>
      <c r="K69" s="60">
        <v>349.52</v>
      </c>
      <c r="L69" s="60">
        <v>34.28</v>
      </c>
      <c r="M69" s="60">
        <v>71.64</v>
      </c>
      <c r="N69" s="60">
        <v>284.89999999999998</v>
      </c>
      <c r="O69" s="60">
        <v>0</v>
      </c>
      <c r="P69" s="60">
        <v>3.62</v>
      </c>
      <c r="Q69" s="60">
        <v>4.8099999999999996</v>
      </c>
      <c r="R69" s="197"/>
      <c r="S69" s="197"/>
      <c r="T69" s="197"/>
      <c r="U69" s="197"/>
    </row>
    <row r="70" spans="1:21" s="12" customFormat="1" x14ac:dyDescent="0.25">
      <c r="A70" s="200" t="s">
        <v>2133</v>
      </c>
      <c r="B70" s="60">
        <v>2.4700000000000002</v>
      </c>
      <c r="C70" s="60">
        <v>14.72</v>
      </c>
      <c r="D70" s="60">
        <v>17.190000000000001</v>
      </c>
      <c r="E70" s="60">
        <v>3.98</v>
      </c>
      <c r="F70" s="60">
        <v>1.22</v>
      </c>
      <c r="G70" s="9" t="s">
        <v>36</v>
      </c>
      <c r="H70" s="60">
        <v>2.76</v>
      </c>
      <c r="I70" s="60">
        <v>2.31</v>
      </c>
      <c r="J70" s="60">
        <v>0.38</v>
      </c>
      <c r="K70" s="60">
        <v>337.53</v>
      </c>
      <c r="L70" s="60">
        <v>34.049999999999997</v>
      </c>
      <c r="M70" s="60">
        <v>72.72</v>
      </c>
      <c r="N70" s="60">
        <v>255.7</v>
      </c>
      <c r="O70" s="60">
        <v>0</v>
      </c>
      <c r="P70" s="60">
        <v>3.62</v>
      </c>
      <c r="Q70" s="60">
        <v>5.04</v>
      </c>
      <c r="R70" s="197"/>
      <c r="S70" s="197"/>
      <c r="T70" s="197"/>
      <c r="U70" s="197"/>
    </row>
    <row r="71" spans="1:21" s="12" customFormat="1" x14ac:dyDescent="0.25">
      <c r="A71" s="200" t="s">
        <v>2134</v>
      </c>
      <c r="B71" s="60">
        <v>2.44</v>
      </c>
      <c r="C71" s="60">
        <v>14.69</v>
      </c>
      <c r="D71" s="60">
        <v>17.13</v>
      </c>
      <c r="E71" s="60">
        <v>4.0199999999999996</v>
      </c>
      <c r="F71" s="60">
        <v>1.42</v>
      </c>
      <c r="G71" s="9" t="s">
        <v>36</v>
      </c>
      <c r="H71" s="60">
        <v>1.65</v>
      </c>
      <c r="I71" s="60">
        <v>2.36</v>
      </c>
      <c r="J71" s="60">
        <v>0.63</v>
      </c>
      <c r="K71" s="60">
        <v>320.89</v>
      </c>
      <c r="L71" s="60">
        <v>33.840000000000003</v>
      </c>
      <c r="M71" s="60">
        <v>73.400000000000006</v>
      </c>
      <c r="N71" s="60">
        <v>219.4</v>
      </c>
      <c r="O71" s="60">
        <v>0</v>
      </c>
      <c r="P71" s="60">
        <v>3.62</v>
      </c>
      <c r="Q71" s="60">
        <v>5.33</v>
      </c>
      <c r="R71" s="197"/>
      <c r="S71" s="197"/>
      <c r="T71" s="197"/>
      <c r="U71" s="197"/>
    </row>
    <row r="72" spans="1:21" s="12" customFormat="1" x14ac:dyDescent="0.25">
      <c r="A72" s="200" t="s">
        <v>2135</v>
      </c>
      <c r="B72" s="60">
        <v>2.33</v>
      </c>
      <c r="C72" s="60">
        <v>14.27</v>
      </c>
      <c r="D72" s="60">
        <v>16.61</v>
      </c>
      <c r="E72" s="60">
        <v>3.42</v>
      </c>
      <c r="F72" s="60">
        <v>1.02</v>
      </c>
      <c r="G72" s="9" t="s">
        <v>36</v>
      </c>
      <c r="H72" s="60">
        <v>1.65</v>
      </c>
      <c r="I72" s="60">
        <v>2.38</v>
      </c>
      <c r="J72" s="60">
        <v>0.66</v>
      </c>
      <c r="K72" s="60">
        <v>320.29000000000002</v>
      </c>
      <c r="L72" s="60">
        <v>33.53</v>
      </c>
      <c r="M72" s="60">
        <v>74.83</v>
      </c>
      <c r="N72" s="60">
        <v>147.9</v>
      </c>
      <c r="O72" s="60">
        <v>0</v>
      </c>
      <c r="P72" s="60">
        <v>3.63</v>
      </c>
      <c r="Q72" s="60">
        <v>5.54</v>
      </c>
      <c r="R72" s="197"/>
      <c r="S72" s="197"/>
      <c r="T72" s="197"/>
      <c r="U72" s="197"/>
    </row>
    <row r="73" spans="1:21" s="12" customFormat="1" x14ac:dyDescent="0.25">
      <c r="A73" s="200" t="s">
        <v>2136</v>
      </c>
      <c r="B73" s="60">
        <v>2.42</v>
      </c>
      <c r="C73" s="60">
        <v>13.53</v>
      </c>
      <c r="D73" s="60">
        <v>15.96</v>
      </c>
      <c r="E73" s="60">
        <v>4.8899999999999997</v>
      </c>
      <c r="F73" s="60">
        <v>1.17</v>
      </c>
      <c r="G73" s="9" t="s">
        <v>36</v>
      </c>
      <c r="H73" s="60">
        <v>1.65</v>
      </c>
      <c r="I73" s="60">
        <v>2.36</v>
      </c>
      <c r="J73" s="60">
        <v>0.41</v>
      </c>
      <c r="K73" s="60">
        <v>333.49</v>
      </c>
      <c r="L73" s="60">
        <v>33.39</v>
      </c>
      <c r="M73" s="60">
        <v>75.209999999999994</v>
      </c>
      <c r="N73" s="60">
        <v>126.5</v>
      </c>
      <c r="O73" s="60">
        <v>0</v>
      </c>
      <c r="P73" s="60">
        <v>3.61</v>
      </c>
      <c r="Q73" s="60">
        <v>5.74</v>
      </c>
      <c r="R73" s="197"/>
      <c r="S73" s="197"/>
      <c r="T73" s="197"/>
      <c r="U73" s="197"/>
    </row>
    <row r="74" spans="1:21" s="12" customFormat="1" x14ac:dyDescent="0.25">
      <c r="A74" s="200" t="s">
        <v>2137</v>
      </c>
      <c r="B74" s="60">
        <v>2.58</v>
      </c>
      <c r="C74" s="60">
        <v>13.41</v>
      </c>
      <c r="D74" s="60">
        <v>15.98</v>
      </c>
      <c r="E74" s="60">
        <v>5</v>
      </c>
      <c r="F74" s="60">
        <v>0.75</v>
      </c>
      <c r="G74" s="9" t="s">
        <v>36</v>
      </c>
      <c r="H74" s="60">
        <v>13.16</v>
      </c>
      <c r="I74" s="60">
        <v>2.37</v>
      </c>
      <c r="J74" s="60">
        <v>0.35</v>
      </c>
      <c r="K74" s="60">
        <v>341.89</v>
      </c>
      <c r="L74" s="60">
        <v>33.31</v>
      </c>
      <c r="M74" s="60">
        <v>77.010000000000005</v>
      </c>
      <c r="N74" s="60">
        <v>130.19999999999999</v>
      </c>
      <c r="O74" s="60">
        <v>0</v>
      </c>
      <c r="P74" s="60">
        <v>3.64</v>
      </c>
      <c r="Q74" s="60">
        <v>6.02</v>
      </c>
      <c r="R74" s="197"/>
      <c r="S74" s="197"/>
      <c r="T74" s="197"/>
      <c r="U74" s="197"/>
    </row>
    <row r="75" spans="1:21" s="12" customFormat="1" x14ac:dyDescent="0.25">
      <c r="A75" s="200" t="s">
        <v>2138</v>
      </c>
      <c r="B75" s="60">
        <v>3.31</v>
      </c>
      <c r="C75" s="60">
        <v>13.63</v>
      </c>
      <c r="D75" s="60">
        <v>16.940000000000001</v>
      </c>
      <c r="E75" s="60">
        <v>4.9400000000000004</v>
      </c>
      <c r="F75" s="60">
        <v>0.65</v>
      </c>
      <c r="G75" s="9" t="s">
        <v>36</v>
      </c>
      <c r="H75" s="60">
        <v>15.47</v>
      </c>
      <c r="I75" s="60">
        <v>2.41</v>
      </c>
      <c r="J75" s="60">
        <v>0.26</v>
      </c>
      <c r="K75" s="60">
        <v>0.01</v>
      </c>
      <c r="L75" s="60">
        <v>33.22</v>
      </c>
      <c r="M75" s="60">
        <v>77.39</v>
      </c>
      <c r="N75" s="60">
        <v>109.8</v>
      </c>
      <c r="O75" s="60">
        <v>0</v>
      </c>
      <c r="P75" s="60">
        <v>3.64</v>
      </c>
      <c r="Q75" s="60">
        <v>6.58</v>
      </c>
      <c r="R75" s="197"/>
      <c r="S75" s="197"/>
      <c r="T75" s="197"/>
      <c r="U75" s="197"/>
    </row>
    <row r="76" spans="1:21" s="12" customFormat="1" x14ac:dyDescent="0.25">
      <c r="A76" s="200" t="s">
        <v>2139</v>
      </c>
      <c r="B76" s="60">
        <v>3.43</v>
      </c>
      <c r="C76" s="60">
        <v>13.91</v>
      </c>
      <c r="D76" s="60">
        <v>17.34</v>
      </c>
      <c r="E76" s="60">
        <v>5.33</v>
      </c>
      <c r="F76" s="60">
        <v>0.57999999999999996</v>
      </c>
      <c r="G76" s="9" t="s">
        <v>36</v>
      </c>
      <c r="H76" s="60">
        <v>15.47</v>
      </c>
      <c r="I76" s="60">
        <v>2.52</v>
      </c>
      <c r="J76" s="60">
        <v>0.32</v>
      </c>
      <c r="K76" s="60">
        <v>1.49</v>
      </c>
      <c r="L76" s="60">
        <v>32.909999999999997</v>
      </c>
      <c r="M76" s="60">
        <v>78.08</v>
      </c>
      <c r="N76" s="60">
        <v>97.3</v>
      </c>
      <c r="O76" s="60">
        <v>0</v>
      </c>
      <c r="P76" s="60">
        <v>3.67</v>
      </c>
      <c r="Q76" s="60">
        <v>6.76</v>
      </c>
      <c r="R76" s="197"/>
      <c r="S76" s="197"/>
      <c r="T76" s="197"/>
      <c r="U76" s="197"/>
    </row>
    <row r="77" spans="1:21" s="12" customFormat="1" x14ac:dyDescent="0.25">
      <c r="A77" s="200" t="s">
        <v>2140</v>
      </c>
      <c r="B77" s="60">
        <v>3.11</v>
      </c>
      <c r="C77" s="60">
        <v>14.01</v>
      </c>
      <c r="D77" s="60">
        <v>17.12</v>
      </c>
      <c r="E77" s="60">
        <v>4.84</v>
      </c>
      <c r="F77" s="60">
        <v>1.05</v>
      </c>
      <c r="G77" s="9" t="s">
        <v>36</v>
      </c>
      <c r="H77" s="60">
        <v>15.47</v>
      </c>
      <c r="I77" s="60">
        <v>2.65</v>
      </c>
      <c r="J77" s="60">
        <v>0.24</v>
      </c>
      <c r="K77" s="60">
        <v>24.42</v>
      </c>
      <c r="L77" s="60">
        <v>32.869999999999997</v>
      </c>
      <c r="M77" s="60">
        <v>78.290000000000006</v>
      </c>
      <c r="N77" s="60">
        <v>76.599999999999994</v>
      </c>
      <c r="O77" s="60">
        <v>0</v>
      </c>
      <c r="P77" s="60">
        <v>3.66</v>
      </c>
      <c r="Q77" s="60">
        <v>7.11</v>
      </c>
      <c r="R77" s="197"/>
      <c r="S77" s="197"/>
      <c r="T77" s="197"/>
      <c r="U77" s="197"/>
    </row>
    <row r="78" spans="1:21" s="12" customFormat="1" x14ac:dyDescent="0.25">
      <c r="A78" s="200" t="s">
        <v>2141</v>
      </c>
      <c r="B78" s="60">
        <v>2.81</v>
      </c>
      <c r="C78" s="60">
        <v>14.05</v>
      </c>
      <c r="D78" s="60">
        <v>16.86</v>
      </c>
      <c r="E78" s="60">
        <v>5.21</v>
      </c>
      <c r="F78" s="60">
        <v>0.8</v>
      </c>
      <c r="G78" s="9" t="s">
        <v>36</v>
      </c>
      <c r="H78" s="60">
        <v>17.86</v>
      </c>
      <c r="I78" s="60">
        <v>2.74</v>
      </c>
      <c r="J78" s="60">
        <v>0.28000000000000003</v>
      </c>
      <c r="K78" s="60">
        <v>343.54</v>
      </c>
      <c r="L78" s="60">
        <v>32.83</v>
      </c>
      <c r="M78" s="60">
        <v>78.540000000000006</v>
      </c>
      <c r="N78" s="60">
        <v>58.3</v>
      </c>
      <c r="O78" s="60">
        <v>0</v>
      </c>
      <c r="P78" s="60">
        <v>3.68</v>
      </c>
      <c r="Q78" s="60">
        <v>6.59</v>
      </c>
      <c r="R78" s="197"/>
      <c r="S78" s="197"/>
      <c r="T78" s="197"/>
      <c r="U78" s="197"/>
    </row>
    <row r="79" spans="1:21" s="12" customFormat="1" x14ac:dyDescent="0.25">
      <c r="A79" s="200" t="s">
        <v>2142</v>
      </c>
      <c r="B79" s="60">
        <v>3.11</v>
      </c>
      <c r="C79" s="60">
        <v>14.3</v>
      </c>
      <c r="D79" s="60">
        <v>17.420000000000002</v>
      </c>
      <c r="E79" s="60">
        <v>4.8899999999999997</v>
      </c>
      <c r="F79" s="60">
        <v>0.4</v>
      </c>
      <c r="G79" s="9" t="s">
        <v>36</v>
      </c>
      <c r="H79" s="60">
        <v>18.34</v>
      </c>
      <c r="I79" s="60">
        <v>2.78</v>
      </c>
      <c r="J79" s="60">
        <v>0.25</v>
      </c>
      <c r="K79" s="60">
        <v>7.74</v>
      </c>
      <c r="L79" s="60">
        <v>32.71</v>
      </c>
      <c r="M79" s="60">
        <v>77.94</v>
      </c>
      <c r="N79" s="60">
        <v>26.4</v>
      </c>
      <c r="O79" s="60">
        <v>0</v>
      </c>
      <c r="P79" s="60">
        <v>3.69</v>
      </c>
      <c r="Q79" s="60">
        <v>6.43</v>
      </c>
      <c r="R79" s="197"/>
      <c r="S79" s="197"/>
      <c r="T79" s="197"/>
      <c r="U79" s="197"/>
    </row>
    <row r="80" spans="1:21" s="12" customFormat="1" x14ac:dyDescent="0.25">
      <c r="A80" s="200" t="s">
        <v>2143</v>
      </c>
      <c r="B80" s="60">
        <v>3.55</v>
      </c>
      <c r="C80" s="60">
        <v>14.85</v>
      </c>
      <c r="D80" s="60">
        <v>18.399999999999999</v>
      </c>
      <c r="E80" s="60">
        <v>5.07</v>
      </c>
      <c r="F80" s="60">
        <v>0.31</v>
      </c>
      <c r="G80" s="9" t="s">
        <v>36</v>
      </c>
      <c r="H80" s="60">
        <v>18.34</v>
      </c>
      <c r="I80" s="60">
        <v>2.86</v>
      </c>
      <c r="J80" s="60">
        <v>0.37</v>
      </c>
      <c r="K80" s="60">
        <v>352.57</v>
      </c>
      <c r="L80" s="60">
        <v>32.520000000000003</v>
      </c>
      <c r="M80" s="60">
        <v>77.989999999999995</v>
      </c>
      <c r="N80" s="60">
        <v>23.7</v>
      </c>
      <c r="O80" s="60">
        <v>0</v>
      </c>
      <c r="P80" s="60">
        <v>3.71</v>
      </c>
      <c r="Q80" s="60">
        <v>6.69</v>
      </c>
      <c r="R80" s="197"/>
      <c r="S80" s="197"/>
      <c r="T80" s="197"/>
      <c r="U80" s="197"/>
    </row>
    <row r="81" spans="1:26" s="12" customFormat="1" x14ac:dyDescent="0.25">
      <c r="A81" s="200" t="s">
        <v>2144</v>
      </c>
      <c r="B81" s="60">
        <v>3.74</v>
      </c>
      <c r="C81" s="60">
        <v>15.1</v>
      </c>
      <c r="D81" s="60">
        <v>18.84</v>
      </c>
      <c r="E81" s="60">
        <v>5.03</v>
      </c>
      <c r="F81" s="60">
        <v>0.36</v>
      </c>
      <c r="G81" s="9" t="s">
        <v>36</v>
      </c>
      <c r="H81" s="60">
        <v>18.34</v>
      </c>
      <c r="I81" s="60">
        <v>3</v>
      </c>
      <c r="J81" s="60">
        <v>0.35</v>
      </c>
      <c r="K81" s="60">
        <v>6.86</v>
      </c>
      <c r="L81" s="60">
        <v>32.47</v>
      </c>
      <c r="M81" s="60">
        <v>77.19</v>
      </c>
      <c r="N81" s="60">
        <v>19.100000000000001</v>
      </c>
      <c r="O81" s="60">
        <v>0</v>
      </c>
      <c r="P81" s="60">
        <v>3.72</v>
      </c>
      <c r="Q81" s="60">
        <v>6.79</v>
      </c>
      <c r="R81" s="197"/>
      <c r="S81" s="197"/>
      <c r="T81" s="197"/>
      <c r="U81" s="197"/>
    </row>
    <row r="82" spans="1:26" s="12" customFormat="1" x14ac:dyDescent="0.25">
      <c r="A82" s="200" t="s">
        <v>2145</v>
      </c>
      <c r="B82" s="60">
        <v>3.83</v>
      </c>
      <c r="C82" s="60">
        <v>15.39</v>
      </c>
      <c r="D82" s="60">
        <v>19.22</v>
      </c>
      <c r="E82" s="60">
        <v>5.27</v>
      </c>
      <c r="F82" s="60">
        <v>0.3</v>
      </c>
      <c r="G82" s="9" t="s">
        <v>36</v>
      </c>
      <c r="H82" s="60">
        <v>34.880000000000003</v>
      </c>
      <c r="I82" s="60">
        <v>3.14</v>
      </c>
      <c r="J82" s="60">
        <v>0.27</v>
      </c>
      <c r="K82" s="60">
        <v>21.02</v>
      </c>
      <c r="L82" s="60">
        <v>32.340000000000003</v>
      </c>
      <c r="M82" s="60">
        <v>79.430000000000007</v>
      </c>
      <c r="N82" s="60">
        <v>17</v>
      </c>
      <c r="O82" s="60">
        <v>0</v>
      </c>
      <c r="P82" s="60">
        <v>3.74</v>
      </c>
      <c r="Q82" s="60">
        <v>6.87</v>
      </c>
      <c r="R82" s="197"/>
      <c r="S82" s="197"/>
      <c r="T82" s="197"/>
      <c r="U82" s="197"/>
    </row>
    <row r="83" spans="1:26" s="12" customFormat="1" x14ac:dyDescent="0.25">
      <c r="A83" s="200" t="s">
        <v>2146</v>
      </c>
      <c r="B83" s="60">
        <v>4.38</v>
      </c>
      <c r="C83" s="60">
        <v>16.23</v>
      </c>
      <c r="D83" s="60">
        <v>20.61</v>
      </c>
      <c r="E83" s="60">
        <v>5.05</v>
      </c>
      <c r="F83" s="60">
        <v>0.19</v>
      </c>
      <c r="G83" s="9" t="s">
        <v>36</v>
      </c>
      <c r="H83" s="60">
        <v>38.19</v>
      </c>
      <c r="I83" s="60">
        <v>3.25</v>
      </c>
      <c r="J83" s="60">
        <v>0.27</v>
      </c>
      <c r="K83" s="60">
        <v>37.32</v>
      </c>
      <c r="L83" s="60">
        <v>32.24</v>
      </c>
      <c r="M83" s="60">
        <v>80.97</v>
      </c>
      <c r="N83" s="60">
        <v>15.4</v>
      </c>
      <c r="O83" s="60">
        <v>0</v>
      </c>
      <c r="P83" s="60">
        <v>3.83</v>
      </c>
      <c r="Q83" s="60">
        <v>7.3</v>
      </c>
      <c r="R83" s="197"/>
      <c r="S83" s="197"/>
      <c r="T83" s="197"/>
      <c r="U83" s="197"/>
    </row>
    <row r="84" spans="1:26" s="12" customFormat="1" x14ac:dyDescent="0.25">
      <c r="A84" s="200" t="s">
        <v>2147</v>
      </c>
      <c r="B84" s="60">
        <v>4.9400000000000004</v>
      </c>
      <c r="C84" s="60">
        <v>16.89</v>
      </c>
      <c r="D84" s="60">
        <v>21.83</v>
      </c>
      <c r="E84" s="60">
        <v>4.78</v>
      </c>
      <c r="F84" s="60">
        <v>0.37</v>
      </c>
      <c r="G84" s="9" t="s">
        <v>36</v>
      </c>
      <c r="H84" s="60">
        <v>38.19</v>
      </c>
      <c r="I84" s="60">
        <v>3.7</v>
      </c>
      <c r="J84" s="60">
        <v>0.3</v>
      </c>
      <c r="K84" s="60">
        <v>43.1</v>
      </c>
      <c r="L84" s="60">
        <v>32.08</v>
      </c>
      <c r="M84" s="60">
        <v>82.6</v>
      </c>
      <c r="N84" s="60">
        <v>16</v>
      </c>
      <c r="O84" s="60">
        <v>0.2</v>
      </c>
      <c r="P84" s="60">
        <v>3.87</v>
      </c>
      <c r="Q84" s="60">
        <v>7.74</v>
      </c>
      <c r="R84" s="197"/>
      <c r="S84" s="197"/>
      <c r="T84" s="197"/>
      <c r="U84" s="197"/>
    </row>
    <row r="85" spans="1:26" s="12" customFormat="1" x14ac:dyDescent="0.25">
      <c r="A85" s="200" t="s">
        <v>2148</v>
      </c>
      <c r="B85" s="60">
        <v>4.91</v>
      </c>
      <c r="C85" s="60">
        <v>17.239999999999998</v>
      </c>
      <c r="D85" s="60">
        <v>22.15</v>
      </c>
      <c r="E85" s="60">
        <v>4.79</v>
      </c>
      <c r="F85" s="60">
        <v>0.19</v>
      </c>
      <c r="G85" s="9" t="s">
        <v>36</v>
      </c>
      <c r="H85" s="60">
        <v>38.19</v>
      </c>
      <c r="I85" s="60">
        <v>4.9000000000000004</v>
      </c>
      <c r="J85" s="60">
        <v>0.24</v>
      </c>
      <c r="K85" s="60">
        <v>7.49</v>
      </c>
      <c r="L85" s="60">
        <v>31.23</v>
      </c>
      <c r="M85" s="60">
        <v>88.18</v>
      </c>
      <c r="N85" s="60">
        <v>15.5</v>
      </c>
      <c r="O85" s="60">
        <v>0.2</v>
      </c>
      <c r="P85" s="60">
        <v>3.89</v>
      </c>
      <c r="Q85" s="60">
        <v>7.86</v>
      </c>
      <c r="R85" s="197"/>
      <c r="S85" s="197"/>
      <c r="T85" s="197"/>
      <c r="U85" s="197"/>
    </row>
    <row r="86" spans="1:26" s="12" customFormat="1" x14ac:dyDescent="0.25">
      <c r="A86" s="200" t="s">
        <v>2149</v>
      </c>
      <c r="B86" s="60">
        <v>5.0999999999999996</v>
      </c>
      <c r="C86" s="60">
        <v>16.52</v>
      </c>
      <c r="D86" s="60">
        <v>21.61</v>
      </c>
      <c r="E86" s="60">
        <v>4.88</v>
      </c>
      <c r="F86" s="60">
        <v>0.77</v>
      </c>
      <c r="G86" s="9" t="s">
        <v>36</v>
      </c>
      <c r="H86" s="60">
        <v>20.32</v>
      </c>
      <c r="I86" s="60">
        <v>5.85</v>
      </c>
      <c r="J86" s="60">
        <v>0.36</v>
      </c>
      <c r="K86" s="60">
        <v>358.72</v>
      </c>
      <c r="L86" s="60">
        <v>31.11</v>
      </c>
      <c r="M86" s="60">
        <v>87.06</v>
      </c>
      <c r="N86" s="60">
        <v>15.7</v>
      </c>
      <c r="O86" s="60">
        <v>0</v>
      </c>
      <c r="P86" s="60">
        <v>3.89</v>
      </c>
      <c r="Q86" s="60">
        <v>8.56</v>
      </c>
      <c r="R86" s="197"/>
      <c r="S86" s="197"/>
      <c r="T86" s="197"/>
      <c r="U86" s="197"/>
    </row>
    <row r="87" spans="1:26" s="12" customFormat="1" x14ac:dyDescent="0.25">
      <c r="A87" s="200" t="s">
        <v>2150</v>
      </c>
      <c r="B87" s="60">
        <v>4.9000000000000004</v>
      </c>
      <c r="C87" s="60">
        <v>16.21</v>
      </c>
      <c r="D87" s="60">
        <v>21.11</v>
      </c>
      <c r="E87" s="60">
        <v>4.95</v>
      </c>
      <c r="F87" s="60">
        <v>0.25</v>
      </c>
      <c r="G87" s="9" t="s">
        <v>36</v>
      </c>
      <c r="H87" s="60">
        <v>16.739999999999998</v>
      </c>
      <c r="I87" s="60">
        <v>6</v>
      </c>
      <c r="J87" s="60">
        <v>0.28999999999999998</v>
      </c>
      <c r="K87" s="60">
        <v>0.85</v>
      </c>
      <c r="L87" s="60">
        <v>31.19</v>
      </c>
      <c r="M87" s="60">
        <v>86.73</v>
      </c>
      <c r="N87" s="60">
        <v>15.9</v>
      </c>
      <c r="O87" s="60">
        <v>0</v>
      </c>
      <c r="P87" s="60">
        <v>3.91</v>
      </c>
      <c r="Q87" s="60">
        <v>8.32</v>
      </c>
      <c r="R87" s="197"/>
      <c r="S87" s="197"/>
      <c r="T87" s="197"/>
      <c r="U87" s="197"/>
    </row>
    <row r="88" spans="1:26" s="12" customFormat="1" x14ac:dyDescent="0.25">
      <c r="A88" s="200" t="s">
        <v>2151</v>
      </c>
      <c r="B88" s="60">
        <v>5.18</v>
      </c>
      <c r="C88" s="60">
        <v>15.58</v>
      </c>
      <c r="D88" s="60">
        <v>20.76</v>
      </c>
      <c r="E88" s="60">
        <v>1.05</v>
      </c>
      <c r="F88" s="60">
        <v>0.18</v>
      </c>
      <c r="G88" s="9" t="s">
        <v>36</v>
      </c>
      <c r="H88" s="60">
        <v>16.739999999999998</v>
      </c>
      <c r="I88" s="60">
        <v>6</v>
      </c>
      <c r="J88" s="60">
        <v>0.16</v>
      </c>
      <c r="K88" s="60">
        <v>24</v>
      </c>
      <c r="L88" s="60">
        <v>31.24</v>
      </c>
      <c r="M88" s="60">
        <v>88.54</v>
      </c>
      <c r="N88" s="60">
        <v>15.7</v>
      </c>
      <c r="O88" s="60">
        <v>0</v>
      </c>
      <c r="P88" s="60">
        <v>3.93</v>
      </c>
      <c r="Q88" s="60">
        <v>8.6199999999999992</v>
      </c>
      <c r="R88" s="197"/>
      <c r="S88" s="197"/>
      <c r="T88" s="197"/>
      <c r="U88" s="197"/>
    </row>
    <row r="89" spans="1:26" s="12" customFormat="1" x14ac:dyDescent="0.25">
      <c r="A89" s="200" t="s">
        <v>2152</v>
      </c>
      <c r="B89" s="60">
        <v>6.5</v>
      </c>
      <c r="C89" s="60">
        <v>15.29</v>
      </c>
      <c r="D89" s="60">
        <v>21.79</v>
      </c>
      <c r="E89" s="60">
        <v>2.74</v>
      </c>
      <c r="F89" s="60">
        <v>0.02</v>
      </c>
      <c r="G89" s="9" t="s">
        <v>36</v>
      </c>
      <c r="H89" s="60">
        <v>16.739999999999998</v>
      </c>
      <c r="I89" s="60">
        <v>6.01</v>
      </c>
      <c r="J89" s="60">
        <v>0.25</v>
      </c>
      <c r="K89" s="60">
        <v>27.46</v>
      </c>
      <c r="L89" s="60">
        <v>31.24</v>
      </c>
      <c r="M89" s="60">
        <v>88.04</v>
      </c>
      <c r="N89" s="60">
        <v>15.7</v>
      </c>
      <c r="O89" s="60">
        <v>0</v>
      </c>
      <c r="P89" s="60">
        <v>3.98</v>
      </c>
      <c r="Q89" s="60">
        <v>8.83</v>
      </c>
      <c r="R89" s="197"/>
      <c r="S89" s="197"/>
      <c r="T89" s="197"/>
      <c r="U89" s="197"/>
    </row>
    <row r="90" spans="1:26" s="12" customFormat="1" x14ac:dyDescent="0.25">
      <c r="A90" s="200" t="s">
        <v>2153</v>
      </c>
      <c r="B90" s="60">
        <v>7.85</v>
      </c>
      <c r="C90" s="60">
        <v>14.68</v>
      </c>
      <c r="D90" s="60">
        <v>22.53</v>
      </c>
      <c r="E90" s="60">
        <v>2.81</v>
      </c>
      <c r="F90" s="60">
        <v>0.25</v>
      </c>
      <c r="G90" s="9" t="s">
        <v>36</v>
      </c>
      <c r="H90" s="60">
        <v>13.81</v>
      </c>
      <c r="I90" s="60">
        <v>6.29</v>
      </c>
      <c r="J90" s="60">
        <v>0.17</v>
      </c>
      <c r="K90" s="60">
        <v>16.690000000000001</v>
      </c>
      <c r="L90" s="60">
        <v>31.25</v>
      </c>
      <c r="M90" s="60">
        <v>85.5</v>
      </c>
      <c r="N90" s="60">
        <v>15.9</v>
      </c>
      <c r="O90" s="60">
        <v>0</v>
      </c>
      <c r="P90" s="60">
        <v>3.99</v>
      </c>
      <c r="Q90" s="60">
        <v>9.4499999999999993</v>
      </c>
      <c r="R90" s="197"/>
      <c r="S90" s="197"/>
      <c r="T90" s="197"/>
      <c r="U90" s="197"/>
    </row>
    <row r="91" spans="1:26" s="12" customFormat="1" x14ac:dyDescent="0.25">
      <c r="A91" s="200" t="s">
        <v>2154</v>
      </c>
      <c r="B91" s="60">
        <v>7.89</v>
      </c>
      <c r="C91" s="60">
        <v>14.87</v>
      </c>
      <c r="D91" s="60">
        <v>22.76</v>
      </c>
      <c r="E91" s="60">
        <v>3.1</v>
      </c>
      <c r="F91" s="60">
        <v>0.03</v>
      </c>
      <c r="G91" s="9" t="s">
        <v>36</v>
      </c>
      <c r="H91" s="60">
        <v>13.23</v>
      </c>
      <c r="I91" s="60">
        <v>6.79</v>
      </c>
      <c r="J91" s="60">
        <v>0.15</v>
      </c>
      <c r="K91" s="60">
        <v>71.02</v>
      </c>
      <c r="L91" s="60">
        <v>30.97</v>
      </c>
      <c r="M91" s="60">
        <v>87.62</v>
      </c>
      <c r="N91" s="60">
        <v>15.7</v>
      </c>
      <c r="O91" s="60">
        <v>0</v>
      </c>
      <c r="P91" s="60">
        <v>4.01</v>
      </c>
      <c r="Q91" s="60">
        <v>9.16</v>
      </c>
      <c r="R91" s="197"/>
      <c r="S91" s="197"/>
      <c r="T91" s="197"/>
      <c r="U91" s="197"/>
    </row>
    <row r="92" spans="1:26" s="12" customFormat="1" x14ac:dyDescent="0.25">
      <c r="A92" s="200" t="s">
        <v>2155</v>
      </c>
      <c r="B92" s="60">
        <v>7.43</v>
      </c>
      <c r="C92" s="60">
        <v>14.86</v>
      </c>
      <c r="D92" s="60">
        <v>22.28</v>
      </c>
      <c r="E92" s="60">
        <v>3.55</v>
      </c>
      <c r="F92" s="60">
        <v>0.4</v>
      </c>
      <c r="G92" s="9" t="s">
        <v>36</v>
      </c>
      <c r="H92" s="60">
        <v>13.23</v>
      </c>
      <c r="I92" s="60">
        <v>7</v>
      </c>
      <c r="J92" s="60">
        <v>0.14000000000000001</v>
      </c>
      <c r="K92" s="60">
        <v>47.36</v>
      </c>
      <c r="L92" s="60">
        <v>30.78</v>
      </c>
      <c r="M92" s="60">
        <v>88.11</v>
      </c>
      <c r="N92" s="60">
        <v>15.8</v>
      </c>
      <c r="O92" s="60">
        <v>0</v>
      </c>
      <c r="P92" s="60">
        <v>3.98</v>
      </c>
      <c r="Q92" s="60">
        <v>9.19</v>
      </c>
      <c r="R92" s="197"/>
      <c r="S92" s="197"/>
      <c r="T92" s="197"/>
      <c r="U92" s="197"/>
    </row>
    <row r="93" spans="1:26" s="12" customFormat="1" x14ac:dyDescent="0.25">
      <c r="A93" s="200" t="s">
        <v>2156</v>
      </c>
      <c r="B93" s="60">
        <v>7.15</v>
      </c>
      <c r="C93" s="60">
        <v>14.99</v>
      </c>
      <c r="D93" s="60">
        <v>22.14</v>
      </c>
      <c r="E93" s="60">
        <v>3.13</v>
      </c>
      <c r="F93" s="60">
        <v>0.21</v>
      </c>
      <c r="G93" s="9" t="s">
        <v>36</v>
      </c>
      <c r="H93" s="60">
        <v>13.23</v>
      </c>
      <c r="I93" s="60">
        <v>6.97</v>
      </c>
      <c r="J93" s="60">
        <v>0.04</v>
      </c>
      <c r="K93" s="60">
        <v>42.78</v>
      </c>
      <c r="L93" s="60">
        <v>30.68</v>
      </c>
      <c r="M93" s="60">
        <v>87.73</v>
      </c>
      <c r="N93" s="60">
        <v>15.5</v>
      </c>
      <c r="O93" s="60">
        <v>0</v>
      </c>
      <c r="P93" s="60">
        <v>3.98</v>
      </c>
      <c r="Q93" s="60">
        <v>8.81</v>
      </c>
      <c r="R93" s="197"/>
      <c r="S93" s="197"/>
      <c r="T93" s="197"/>
      <c r="U93" s="197"/>
    </row>
    <row r="94" spans="1:26" s="12" customFormat="1" x14ac:dyDescent="0.25">
      <c r="A94" s="200" t="s">
        <v>2157</v>
      </c>
      <c r="B94" s="60">
        <v>7.1</v>
      </c>
      <c r="C94" s="60">
        <v>15.29</v>
      </c>
      <c r="D94" s="60">
        <v>22.39</v>
      </c>
      <c r="E94" s="60">
        <v>3.07</v>
      </c>
      <c r="F94" s="60">
        <v>0.25</v>
      </c>
      <c r="G94" s="9" t="s">
        <v>36</v>
      </c>
      <c r="H94" s="60">
        <v>171.13</v>
      </c>
      <c r="I94" s="60">
        <v>6.73</v>
      </c>
      <c r="J94" s="60">
        <v>0.15</v>
      </c>
      <c r="K94" s="60">
        <v>26.1</v>
      </c>
      <c r="L94" s="60">
        <v>30.58</v>
      </c>
      <c r="M94" s="60">
        <v>87.83</v>
      </c>
      <c r="N94" s="60">
        <v>14.9</v>
      </c>
      <c r="O94" s="60">
        <v>0</v>
      </c>
      <c r="P94" s="60">
        <v>3.96</v>
      </c>
      <c r="Q94" s="60">
        <v>8.5</v>
      </c>
      <c r="R94" s="197"/>
      <c r="S94" s="197"/>
      <c r="T94" s="197"/>
      <c r="U94" s="197"/>
    </row>
    <row r="95" spans="1:26" s="12" customFormat="1" x14ac:dyDescent="0.25">
      <c r="A95" s="200" t="s">
        <v>2158</v>
      </c>
      <c r="B95" s="60">
        <v>6.84</v>
      </c>
      <c r="C95" s="60">
        <v>15.31</v>
      </c>
      <c r="D95" s="60">
        <v>22.16</v>
      </c>
      <c r="E95" s="60">
        <v>2.99</v>
      </c>
      <c r="F95" s="60">
        <v>0.23</v>
      </c>
      <c r="G95" s="9" t="s">
        <v>36</v>
      </c>
      <c r="H95" s="60">
        <v>202.71</v>
      </c>
      <c r="I95" s="60">
        <v>6.52</v>
      </c>
      <c r="J95" s="60">
        <v>0.15</v>
      </c>
      <c r="K95" s="60">
        <v>17.7</v>
      </c>
      <c r="L95" s="60">
        <v>30.64</v>
      </c>
      <c r="M95" s="60">
        <v>87.65</v>
      </c>
      <c r="N95" s="60">
        <v>14.7</v>
      </c>
      <c r="O95" s="60">
        <v>0</v>
      </c>
      <c r="P95" s="60">
        <v>3.95</v>
      </c>
      <c r="Q95" s="60">
        <v>8.3000000000000007</v>
      </c>
      <c r="R95" s="197"/>
      <c r="S95" s="197"/>
      <c r="T95" s="197"/>
      <c r="U95" s="197"/>
    </row>
    <row r="96" spans="1:26" s="12" customFormat="1" x14ac:dyDescent="0.25">
      <c r="A96" s="200" t="s">
        <v>2159</v>
      </c>
      <c r="B96" s="60">
        <v>6.56</v>
      </c>
      <c r="C96" s="60">
        <v>15.34</v>
      </c>
      <c r="D96" s="60">
        <v>21.9</v>
      </c>
      <c r="E96" s="60">
        <v>2.82</v>
      </c>
      <c r="F96" s="60">
        <v>0.23</v>
      </c>
      <c r="G96" s="9" t="s">
        <v>36</v>
      </c>
      <c r="H96" s="60">
        <v>202.71</v>
      </c>
      <c r="I96" s="60">
        <v>6.28</v>
      </c>
      <c r="J96" s="60">
        <v>0.17</v>
      </c>
      <c r="K96" s="60">
        <v>48.43</v>
      </c>
      <c r="L96" s="60">
        <v>30.64</v>
      </c>
      <c r="M96" s="60">
        <v>87.55</v>
      </c>
      <c r="N96" s="60">
        <v>15.4</v>
      </c>
      <c r="O96" s="60">
        <v>0</v>
      </c>
      <c r="P96" s="60">
        <v>3.92</v>
      </c>
      <c r="Q96" s="60">
        <v>8.1199999999999992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2160</v>
      </c>
      <c r="B97" s="60">
        <v>6.12</v>
      </c>
      <c r="C97" s="60">
        <v>15.75</v>
      </c>
      <c r="D97" s="60">
        <v>21.87</v>
      </c>
      <c r="E97" s="60">
        <v>2.64</v>
      </c>
      <c r="F97" s="60">
        <v>0.15</v>
      </c>
      <c r="G97" s="9" t="s">
        <v>36</v>
      </c>
      <c r="H97" s="60">
        <v>202.71</v>
      </c>
      <c r="I97" s="60">
        <v>6.05</v>
      </c>
      <c r="J97" s="60">
        <v>0.18</v>
      </c>
      <c r="K97" s="60">
        <v>40.58</v>
      </c>
      <c r="L97" s="60">
        <v>30.63</v>
      </c>
      <c r="M97" s="60">
        <v>87.11</v>
      </c>
      <c r="N97" s="60">
        <v>15.7</v>
      </c>
      <c r="O97" s="60">
        <v>0</v>
      </c>
      <c r="P97" s="60">
        <v>3.88</v>
      </c>
      <c r="Q97" s="60">
        <v>7.88</v>
      </c>
      <c r="R97" s="197"/>
      <c r="S97" s="197"/>
      <c r="T97" s="197"/>
      <c r="U97" s="197"/>
    </row>
    <row r="98" spans="1:33" s="12" customFormat="1" x14ac:dyDescent="0.25">
      <c r="A98" s="200" t="s">
        <v>2161</v>
      </c>
      <c r="B98" s="60">
        <v>5.59</v>
      </c>
      <c r="C98" s="60">
        <v>15.78</v>
      </c>
      <c r="D98" s="60">
        <v>21.38</v>
      </c>
      <c r="E98" s="60">
        <v>2.94</v>
      </c>
      <c r="F98" s="60">
        <v>0.28000000000000003</v>
      </c>
      <c r="G98" s="9" t="s">
        <v>36</v>
      </c>
      <c r="H98" s="60">
        <v>43.82</v>
      </c>
      <c r="I98" s="60">
        <v>5.72</v>
      </c>
      <c r="J98" s="60">
        <v>0.19</v>
      </c>
      <c r="K98" s="60">
        <v>38.06</v>
      </c>
      <c r="L98" s="60">
        <v>30.6</v>
      </c>
      <c r="M98" s="60">
        <v>87.56</v>
      </c>
      <c r="N98" s="60">
        <v>15.6</v>
      </c>
      <c r="O98" s="60">
        <v>0</v>
      </c>
      <c r="P98" s="60">
        <v>3.85</v>
      </c>
      <c r="Q98" s="60">
        <v>7.55</v>
      </c>
      <c r="R98" s="197"/>
      <c r="S98" s="197"/>
      <c r="T98" s="197"/>
      <c r="U98" s="197"/>
    </row>
    <row r="99" spans="1:33" s="12" customFormat="1" x14ac:dyDescent="0.25">
      <c r="A99" s="200" t="s">
        <v>2162</v>
      </c>
      <c r="B99" s="60">
        <v>5.04</v>
      </c>
      <c r="C99" s="60">
        <v>15.22</v>
      </c>
      <c r="D99" s="60">
        <v>20.260000000000002</v>
      </c>
      <c r="E99" s="60">
        <v>2.74</v>
      </c>
      <c r="F99" s="60">
        <v>0.18</v>
      </c>
      <c r="G99" s="9" t="s">
        <v>36</v>
      </c>
      <c r="H99" s="60">
        <v>12.04</v>
      </c>
      <c r="I99" s="60">
        <v>5.36</v>
      </c>
      <c r="J99" s="60">
        <v>0.26</v>
      </c>
      <c r="K99" s="60">
        <v>32.26</v>
      </c>
      <c r="L99" s="60">
        <v>30.46</v>
      </c>
      <c r="M99" s="60">
        <v>89.23</v>
      </c>
      <c r="N99" s="60">
        <v>15</v>
      </c>
      <c r="O99" s="60">
        <v>0</v>
      </c>
      <c r="P99" s="60">
        <v>3.84</v>
      </c>
      <c r="Q99" s="60">
        <v>7.16</v>
      </c>
      <c r="R99" s="197"/>
      <c r="S99" s="197"/>
      <c r="T99" s="197"/>
      <c r="U99" s="197"/>
    </row>
    <row r="100" spans="1:33" s="12" customFormat="1" x14ac:dyDescent="0.25">
      <c r="A100" s="200" t="s">
        <v>2163</v>
      </c>
      <c r="B100" s="60">
        <v>4.8499999999999996</v>
      </c>
      <c r="C100" s="60">
        <v>14.35</v>
      </c>
      <c r="D100" s="60">
        <v>19.2</v>
      </c>
      <c r="E100" s="60">
        <v>2.9</v>
      </c>
      <c r="F100" s="60">
        <v>0.23</v>
      </c>
      <c r="G100" s="9" t="s">
        <v>36</v>
      </c>
      <c r="H100" s="60">
        <v>12.04</v>
      </c>
      <c r="I100" s="60">
        <v>5.05</v>
      </c>
      <c r="J100" s="60">
        <v>0.27</v>
      </c>
      <c r="K100" s="60">
        <v>48.82</v>
      </c>
      <c r="L100" s="60">
        <v>30.4</v>
      </c>
      <c r="M100" s="60">
        <v>91.13</v>
      </c>
      <c r="N100" s="60">
        <v>14.6</v>
      </c>
      <c r="O100" s="60">
        <v>0</v>
      </c>
      <c r="P100" s="60">
        <v>3.8</v>
      </c>
      <c r="Q100" s="60">
        <v>7.24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2164</v>
      </c>
      <c r="B101" s="60">
        <v>4.59</v>
      </c>
      <c r="C101" s="60">
        <v>13.67</v>
      </c>
      <c r="D101" s="60">
        <v>18.25</v>
      </c>
      <c r="E101" s="60">
        <v>2.65</v>
      </c>
      <c r="F101" s="60">
        <v>7.0000000000000007E-2</v>
      </c>
      <c r="G101" s="9" t="s">
        <v>36</v>
      </c>
      <c r="H101" s="60">
        <v>12.04</v>
      </c>
      <c r="I101" s="60">
        <v>4.8</v>
      </c>
      <c r="J101" s="60">
        <v>0.24</v>
      </c>
      <c r="K101" s="60">
        <v>50.44</v>
      </c>
      <c r="L101" s="60">
        <v>30.76</v>
      </c>
      <c r="M101" s="60">
        <v>94.12</v>
      </c>
      <c r="N101" s="60">
        <v>14.9</v>
      </c>
      <c r="O101" s="60">
        <v>0.4</v>
      </c>
      <c r="P101" s="60">
        <v>3.79</v>
      </c>
      <c r="Q101" s="60">
        <v>7.12</v>
      </c>
      <c r="R101" s="197"/>
      <c r="S101" s="197"/>
      <c r="T101" s="197"/>
      <c r="U101" s="197"/>
    </row>
    <row r="102" spans="1:33" s="12" customFormat="1" x14ac:dyDescent="0.25">
      <c r="A102" s="200" t="s">
        <v>2165</v>
      </c>
      <c r="B102" s="60">
        <v>4.2699999999999996</v>
      </c>
      <c r="C102" s="60">
        <v>12.97</v>
      </c>
      <c r="D102" s="60">
        <v>17.239999999999998</v>
      </c>
      <c r="E102" s="60">
        <v>1.95</v>
      </c>
      <c r="F102" s="60">
        <v>0.39</v>
      </c>
      <c r="G102" s="9" t="s">
        <v>36</v>
      </c>
      <c r="H102" s="60">
        <v>3.73</v>
      </c>
      <c r="I102" s="60">
        <v>4.59</v>
      </c>
      <c r="J102" s="60">
        <v>0.31</v>
      </c>
      <c r="K102" s="60">
        <v>45.57</v>
      </c>
      <c r="L102" s="60">
        <v>31.18</v>
      </c>
      <c r="M102" s="60">
        <v>97.16</v>
      </c>
      <c r="N102" s="60">
        <v>15.2</v>
      </c>
      <c r="O102" s="60">
        <v>0.2</v>
      </c>
      <c r="P102" s="60">
        <v>3.76</v>
      </c>
      <c r="Q102" s="60">
        <v>7.08</v>
      </c>
      <c r="R102" s="197"/>
      <c r="S102" s="197"/>
      <c r="T102" s="197"/>
      <c r="U102" s="197"/>
    </row>
    <row r="103" spans="1:33" s="12" customFormat="1" x14ac:dyDescent="0.25">
      <c r="A103" s="200" t="s">
        <v>2166</v>
      </c>
      <c r="B103" s="60">
        <v>4.1100000000000003</v>
      </c>
      <c r="C103" s="60">
        <v>13.12</v>
      </c>
      <c r="D103" s="60">
        <v>17.23</v>
      </c>
      <c r="E103" s="60">
        <v>2.9</v>
      </c>
      <c r="F103" s="60">
        <v>0.28999999999999998</v>
      </c>
      <c r="G103" s="9" t="s">
        <v>36</v>
      </c>
      <c r="H103" s="60">
        <v>2.06</v>
      </c>
      <c r="I103" s="60">
        <v>4.37</v>
      </c>
      <c r="J103" s="60">
        <v>0.2</v>
      </c>
      <c r="K103" s="60">
        <v>43.23</v>
      </c>
      <c r="L103" s="60">
        <v>30.9</v>
      </c>
      <c r="M103" s="60">
        <v>98.69</v>
      </c>
      <c r="N103" s="60">
        <v>15.1</v>
      </c>
      <c r="O103" s="60">
        <v>0.4</v>
      </c>
      <c r="P103" s="60">
        <v>3.74</v>
      </c>
      <c r="Q103" s="60">
        <v>6.81</v>
      </c>
      <c r="R103" s="197"/>
      <c r="S103" s="197"/>
      <c r="T103" s="197"/>
      <c r="U103" s="197"/>
    </row>
    <row r="104" spans="1:33" s="12" customFormat="1" x14ac:dyDescent="0.25">
      <c r="A104" s="200" t="s">
        <v>2167</v>
      </c>
      <c r="B104" s="60">
        <v>3.96</v>
      </c>
      <c r="C104" s="60">
        <v>12.46</v>
      </c>
      <c r="D104" s="60">
        <v>16.420000000000002</v>
      </c>
      <c r="E104" s="60">
        <v>1.59</v>
      </c>
      <c r="F104" s="60">
        <v>0.43</v>
      </c>
      <c r="G104" s="9" t="s">
        <v>36</v>
      </c>
      <c r="H104" s="60">
        <v>2.06</v>
      </c>
      <c r="I104" s="60">
        <v>4.24</v>
      </c>
      <c r="J104" s="60">
        <v>0.18</v>
      </c>
      <c r="K104" s="60">
        <v>44.7</v>
      </c>
      <c r="L104" s="60">
        <v>30.86</v>
      </c>
      <c r="M104" s="60">
        <v>98.25</v>
      </c>
      <c r="N104" s="60">
        <v>15</v>
      </c>
      <c r="O104" s="60">
        <v>0</v>
      </c>
      <c r="P104" s="60">
        <v>3.74</v>
      </c>
      <c r="Q104" s="60">
        <v>6.78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5" t="s">
        <v>59</v>
      </c>
      <c r="B106" s="67">
        <f>MIN(B9:B104)</f>
        <v>2.33</v>
      </c>
      <c r="C106" s="67">
        <f>MIN(C9:C104)</f>
        <v>9.5399999999999991</v>
      </c>
      <c r="D106" s="67">
        <f t="shared" ref="D106:Q106" si="0">MIN(D9:D104)</f>
        <v>15.87</v>
      </c>
      <c r="E106" s="67">
        <f t="shared" si="0"/>
        <v>0.99</v>
      </c>
      <c r="F106" s="67">
        <f t="shared" si="0"/>
        <v>0</v>
      </c>
      <c r="G106" s="67">
        <f t="shared" si="0"/>
        <v>0</v>
      </c>
      <c r="H106" s="67">
        <f t="shared" si="0"/>
        <v>1.65</v>
      </c>
      <c r="I106" s="67">
        <f t="shared" si="0"/>
        <v>0.51</v>
      </c>
      <c r="J106" s="67">
        <f t="shared" si="0"/>
        <v>0.04</v>
      </c>
      <c r="K106" s="67">
        <f t="shared" si="0"/>
        <v>0.01</v>
      </c>
      <c r="L106" s="67">
        <f t="shared" si="0"/>
        <v>27.7</v>
      </c>
      <c r="M106" s="67">
        <f t="shared" si="0"/>
        <v>68.2</v>
      </c>
      <c r="N106" s="67">
        <f t="shared" si="0"/>
        <v>14.6</v>
      </c>
      <c r="O106" s="67">
        <f t="shared" si="0"/>
        <v>0</v>
      </c>
      <c r="P106" s="67">
        <f t="shared" si="0"/>
        <v>3.61</v>
      </c>
      <c r="Q106" s="67">
        <f t="shared" si="0"/>
        <v>3.8</v>
      </c>
      <c r="R106" s="198"/>
      <c r="S106" s="198"/>
      <c r="T106" s="198"/>
      <c r="U106" s="198"/>
    </row>
    <row r="107" spans="1:33" x14ac:dyDescent="0.25">
      <c r="A107" s="65" t="s">
        <v>60</v>
      </c>
      <c r="B107" s="66">
        <f>MAX(B9:B104)</f>
        <v>11.38</v>
      </c>
      <c r="C107" s="66">
        <f t="shared" ref="C107:Q107" si="1">MAX(C9:C104)</f>
        <v>20.76</v>
      </c>
      <c r="D107" s="66">
        <f t="shared" si="1"/>
        <v>23.52</v>
      </c>
      <c r="E107" s="66">
        <f t="shared" si="1"/>
        <v>6.36</v>
      </c>
      <c r="F107" s="66">
        <f t="shared" si="1"/>
        <v>2.95</v>
      </c>
      <c r="G107" s="66">
        <f t="shared" si="1"/>
        <v>0</v>
      </c>
      <c r="H107" s="66">
        <f t="shared" si="1"/>
        <v>297.49</v>
      </c>
      <c r="I107" s="66">
        <f t="shared" si="1"/>
        <v>7</v>
      </c>
      <c r="J107" s="66">
        <f t="shared" si="1"/>
        <v>2.06</v>
      </c>
      <c r="K107" s="66">
        <f t="shared" si="1"/>
        <v>359.03</v>
      </c>
      <c r="L107" s="66">
        <f t="shared" si="1"/>
        <v>50.43</v>
      </c>
      <c r="M107" s="66">
        <f t="shared" si="1"/>
        <v>98.99</v>
      </c>
      <c r="N107" s="66">
        <f t="shared" si="1"/>
        <v>678</v>
      </c>
      <c r="O107" s="66">
        <f t="shared" si="1"/>
        <v>0.4</v>
      </c>
      <c r="P107" s="66">
        <f t="shared" si="1"/>
        <v>4.01</v>
      </c>
      <c r="Q107" s="66">
        <f t="shared" si="1"/>
        <v>17.66</v>
      </c>
      <c r="R107" s="199"/>
      <c r="S107" s="199"/>
      <c r="T107" s="199"/>
      <c r="U107" s="199"/>
    </row>
    <row r="108" spans="1:33" x14ac:dyDescent="0.25">
      <c r="A108" s="65" t="s">
        <v>61</v>
      </c>
      <c r="B108" s="67">
        <f>AVERAGE(B9:B104)</f>
        <v>5.7945833333333345</v>
      </c>
      <c r="C108" s="67">
        <f t="shared" ref="C108:Q108" si="2">AVERAGE(C9:C104)</f>
        <v>13.344166666666659</v>
      </c>
      <c r="D108" s="67">
        <f t="shared" si="2"/>
        <v>19.138958333333331</v>
      </c>
      <c r="E108" s="67">
        <f t="shared" si="2"/>
        <v>4.1702083333333322</v>
      </c>
      <c r="F108" s="67">
        <f t="shared" si="2"/>
        <v>0.60833333333333317</v>
      </c>
      <c r="G108" s="67" t="e">
        <f t="shared" si="2"/>
        <v>#DIV/0!</v>
      </c>
      <c r="H108" s="67">
        <f t="shared" si="2"/>
        <v>75.511979166666634</v>
      </c>
      <c r="I108" s="67">
        <f t="shared" si="2"/>
        <v>3.8698076923076936</v>
      </c>
      <c r="J108" s="67">
        <f t="shared" si="2"/>
        <v>0.45916666666666672</v>
      </c>
      <c r="K108" s="67">
        <f t="shared" si="2"/>
        <v>192.0065625</v>
      </c>
      <c r="L108" s="67">
        <f t="shared" si="2"/>
        <v>32.443541666666661</v>
      </c>
      <c r="M108" s="67">
        <f t="shared" si="2"/>
        <v>85.340208333333337</v>
      </c>
      <c r="N108" s="67">
        <f t="shared" si="2"/>
        <v>136.66875000000005</v>
      </c>
      <c r="O108" s="67">
        <f t="shared" si="2"/>
        <v>2.0833333333333332E-2</v>
      </c>
      <c r="P108" s="67">
        <f t="shared" si="2"/>
        <v>3.7757291666666668</v>
      </c>
      <c r="Q108" s="67">
        <f t="shared" si="2"/>
        <v>8.6032291666666652</v>
      </c>
      <c r="R108" s="198"/>
      <c r="S108" s="198"/>
      <c r="T108" s="198"/>
      <c r="U108" s="198"/>
    </row>
    <row r="109" spans="1:33" x14ac:dyDescent="0.25">
      <c r="A109" s="65" t="s">
        <v>77</v>
      </c>
      <c r="B109" s="67">
        <f>STDEV(B9:B104)</f>
        <v>2.5679526625685614</v>
      </c>
      <c r="C109" s="67">
        <f t="shared" ref="C109:Q109" si="3">STDEV(C9:C104)</f>
        <v>2.8965219312558035</v>
      </c>
      <c r="D109" s="67">
        <f t="shared" si="3"/>
        <v>2.2019625118309674</v>
      </c>
      <c r="E109" s="67">
        <f t="shared" si="3"/>
        <v>1.3949223552560142</v>
      </c>
      <c r="F109" s="67">
        <f t="shared" si="3"/>
        <v>0.71376933715778712</v>
      </c>
      <c r="G109" s="67" t="e">
        <f t="shared" si="3"/>
        <v>#DIV/0!</v>
      </c>
      <c r="H109" s="67">
        <f t="shared" si="3"/>
        <v>78.539042005868495</v>
      </c>
      <c r="I109" s="67">
        <f t="shared" si="3"/>
        <v>1.7037196795853258</v>
      </c>
      <c r="J109" s="67">
        <f t="shared" si="3"/>
        <v>0.42392319728104344</v>
      </c>
      <c r="K109" s="67">
        <f t="shared" si="3"/>
        <v>145.3398431396177</v>
      </c>
      <c r="L109" s="67">
        <f t="shared" si="3"/>
        <v>5.0377731043465737</v>
      </c>
      <c r="M109" s="67">
        <f t="shared" si="3"/>
        <v>9.2927084012048624</v>
      </c>
      <c r="N109" s="67">
        <f t="shared" si="3"/>
        <v>183.10000966541119</v>
      </c>
      <c r="O109" s="67">
        <f t="shared" si="3"/>
        <v>7.386569129763286E-2</v>
      </c>
      <c r="P109" s="67">
        <f t="shared" si="3"/>
        <v>0.12328610107914943</v>
      </c>
      <c r="Q109" s="67">
        <f t="shared" si="3"/>
        <v>3.4305452980053603</v>
      </c>
      <c r="R109" s="198"/>
      <c r="S109" s="198"/>
      <c r="T109" s="198"/>
      <c r="U109" s="198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COUNT(G9:G104)+96</f>
        <v>96</v>
      </c>
      <c r="H110" s="66">
        <f>COUNT(H9:H104)</f>
        <v>96</v>
      </c>
      <c r="I110" s="66">
        <f>COUNT(I9:I104)+44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9"/>
      <c r="S110" s="199"/>
      <c r="T110" s="199"/>
      <c r="U110" s="199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217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04" sqref="G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21-08-2022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234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2168</v>
      </c>
      <c r="B9" s="60">
        <v>3.56</v>
      </c>
      <c r="C9" s="60">
        <v>12.36</v>
      </c>
      <c r="D9" s="60">
        <v>15.92</v>
      </c>
      <c r="E9" s="60">
        <v>3.58</v>
      </c>
      <c r="F9" s="60">
        <v>0.26</v>
      </c>
      <c r="G9" s="8" t="s">
        <v>34</v>
      </c>
      <c r="H9" s="60">
        <v>2.06</v>
      </c>
      <c r="I9" s="60">
        <v>4.2300000000000004</v>
      </c>
      <c r="J9" s="60">
        <v>0.18</v>
      </c>
      <c r="K9" s="60">
        <v>60.25</v>
      </c>
      <c r="L9" s="60">
        <v>30.95</v>
      </c>
      <c r="M9" s="60">
        <v>98.37</v>
      </c>
      <c r="N9" s="60">
        <v>15</v>
      </c>
      <c r="O9" s="60">
        <v>0.2</v>
      </c>
      <c r="P9" s="60">
        <v>3.71</v>
      </c>
      <c r="Q9" s="60">
        <v>6.37</v>
      </c>
      <c r="R9" s="197"/>
      <c r="S9" s="197"/>
      <c r="T9" s="197"/>
      <c r="U9" s="197"/>
    </row>
    <row r="10" spans="1:21" s="12" customFormat="1" x14ac:dyDescent="0.25">
      <c r="A10" s="200" t="s">
        <v>2169</v>
      </c>
      <c r="B10" s="60">
        <v>3.13</v>
      </c>
      <c r="C10" s="60">
        <v>11.41</v>
      </c>
      <c r="D10" s="60">
        <v>14.54</v>
      </c>
      <c r="E10" s="60">
        <v>3.93</v>
      </c>
      <c r="F10" s="60">
        <v>0.37</v>
      </c>
      <c r="G10" s="8" t="s">
        <v>34</v>
      </c>
      <c r="H10" s="60">
        <v>17.22</v>
      </c>
      <c r="I10" s="60">
        <v>4.0999999999999996</v>
      </c>
      <c r="J10" s="60">
        <v>0.02</v>
      </c>
      <c r="K10" s="60">
        <v>54.61</v>
      </c>
      <c r="L10" s="60">
        <v>30.91</v>
      </c>
      <c r="M10" s="60">
        <v>98.45</v>
      </c>
      <c r="N10" s="60">
        <v>15.1</v>
      </c>
      <c r="O10" s="60">
        <v>0.2</v>
      </c>
      <c r="P10" s="60">
        <v>3.69</v>
      </c>
      <c r="Q10" s="60">
        <v>5.73</v>
      </c>
      <c r="R10" s="197"/>
      <c r="S10" s="197"/>
      <c r="T10" s="197"/>
      <c r="U10" s="197"/>
    </row>
    <row r="11" spans="1:21" s="12" customFormat="1" x14ac:dyDescent="0.25">
      <c r="A11" s="200" t="s">
        <v>2170</v>
      </c>
      <c r="B11" s="60">
        <v>2.52</v>
      </c>
      <c r="C11" s="60">
        <v>10.82</v>
      </c>
      <c r="D11" s="60">
        <v>13.35</v>
      </c>
      <c r="E11" s="60">
        <v>3.38</v>
      </c>
      <c r="F11" s="60">
        <v>0.48</v>
      </c>
      <c r="G11" s="8" t="s">
        <v>34</v>
      </c>
      <c r="H11" s="60">
        <v>20.25</v>
      </c>
      <c r="I11" s="60">
        <v>3.94</v>
      </c>
      <c r="J11" s="60">
        <v>0.02</v>
      </c>
      <c r="K11" s="60">
        <v>211.88</v>
      </c>
      <c r="L11" s="60">
        <v>30.84</v>
      </c>
      <c r="M11" s="60">
        <v>99.05</v>
      </c>
      <c r="N11" s="60">
        <v>15.2</v>
      </c>
      <c r="O11" s="60">
        <v>0.4</v>
      </c>
      <c r="P11" s="60">
        <v>3.66</v>
      </c>
      <c r="Q11" s="60">
        <v>4.82</v>
      </c>
      <c r="R11" s="197"/>
      <c r="S11" s="197"/>
      <c r="T11" s="197"/>
      <c r="U11" s="197"/>
    </row>
    <row r="12" spans="1:21" s="12" customFormat="1" x14ac:dyDescent="0.25">
      <c r="A12" s="200" t="s">
        <v>2171</v>
      </c>
      <c r="B12" s="60">
        <v>1.94</v>
      </c>
      <c r="C12" s="60">
        <v>10.56</v>
      </c>
      <c r="D12" s="60">
        <v>12.5</v>
      </c>
      <c r="E12" s="60">
        <v>3.66</v>
      </c>
      <c r="F12" s="60">
        <v>0.5</v>
      </c>
      <c r="G12" s="8" t="s">
        <v>34</v>
      </c>
      <c r="H12" s="60">
        <v>20.25</v>
      </c>
      <c r="I12" s="60">
        <v>3.77</v>
      </c>
      <c r="J12" s="60">
        <v>0.13</v>
      </c>
      <c r="K12" s="60">
        <v>32.26</v>
      </c>
      <c r="L12" s="60">
        <v>30.76</v>
      </c>
      <c r="M12" s="60">
        <v>98.65</v>
      </c>
      <c r="N12" s="60">
        <v>15.2</v>
      </c>
      <c r="O12" s="60">
        <v>0.2</v>
      </c>
      <c r="P12" s="60">
        <v>3.63</v>
      </c>
      <c r="Q12" s="60">
        <v>4.2300000000000004</v>
      </c>
      <c r="R12" s="197"/>
      <c r="S12" s="197"/>
      <c r="T12" s="197"/>
      <c r="U12" s="197"/>
    </row>
    <row r="13" spans="1:21" s="12" customFormat="1" x14ac:dyDescent="0.25">
      <c r="A13" s="200" t="s">
        <v>2172</v>
      </c>
      <c r="B13" s="60">
        <v>1.52</v>
      </c>
      <c r="C13" s="60">
        <v>10.17</v>
      </c>
      <c r="D13" s="60">
        <v>11.69</v>
      </c>
      <c r="E13" s="60">
        <v>3.8</v>
      </c>
      <c r="F13" s="60">
        <v>0.65</v>
      </c>
      <c r="G13" s="8" t="s">
        <v>34</v>
      </c>
      <c r="H13" s="60">
        <v>20.25</v>
      </c>
      <c r="I13" s="60">
        <v>3.57</v>
      </c>
      <c r="J13" s="60">
        <v>0.11</v>
      </c>
      <c r="K13" s="60">
        <v>20.54</v>
      </c>
      <c r="L13" s="60">
        <v>30.86</v>
      </c>
      <c r="M13" s="60">
        <v>98.68</v>
      </c>
      <c r="N13" s="60">
        <v>15.3</v>
      </c>
      <c r="O13" s="60">
        <v>0.4</v>
      </c>
      <c r="P13" s="60">
        <v>3.61</v>
      </c>
      <c r="Q13" s="60">
        <v>3.76</v>
      </c>
      <c r="R13" s="197"/>
      <c r="S13" s="197"/>
      <c r="T13" s="197"/>
      <c r="U13" s="197"/>
    </row>
    <row r="14" spans="1:21" s="12" customFormat="1" x14ac:dyDescent="0.25">
      <c r="A14" s="200" t="s">
        <v>2173</v>
      </c>
      <c r="B14" s="60">
        <v>1.26</v>
      </c>
      <c r="C14" s="60">
        <v>9.7799999999999994</v>
      </c>
      <c r="D14" s="60">
        <v>11.04</v>
      </c>
      <c r="E14" s="60">
        <v>3.54</v>
      </c>
      <c r="F14" s="60">
        <v>0.57999999999999996</v>
      </c>
      <c r="G14" s="8" t="s">
        <v>34</v>
      </c>
      <c r="H14" s="60">
        <v>23.57</v>
      </c>
      <c r="I14" s="60">
        <v>3.38</v>
      </c>
      <c r="J14" s="60">
        <v>0.17</v>
      </c>
      <c r="K14" s="60">
        <v>34.47</v>
      </c>
      <c r="L14" s="60">
        <v>30.77</v>
      </c>
      <c r="M14" s="60">
        <v>98.9</v>
      </c>
      <c r="N14" s="60">
        <v>15.4</v>
      </c>
      <c r="O14" s="60">
        <v>0.4</v>
      </c>
      <c r="P14" s="60">
        <v>3.59</v>
      </c>
      <c r="Q14" s="60">
        <v>3.4</v>
      </c>
      <c r="R14" s="197"/>
      <c r="S14" s="197"/>
      <c r="T14" s="197"/>
      <c r="U14" s="197"/>
    </row>
    <row r="15" spans="1:21" s="12" customFormat="1" x14ac:dyDescent="0.25">
      <c r="A15" s="200" t="s">
        <v>2174</v>
      </c>
      <c r="B15" s="60">
        <v>1.07</v>
      </c>
      <c r="C15" s="60">
        <v>9.3800000000000008</v>
      </c>
      <c r="D15" s="60">
        <v>10.46</v>
      </c>
      <c r="E15" s="60">
        <v>3.86</v>
      </c>
      <c r="F15" s="60">
        <v>0.44</v>
      </c>
      <c r="G15" s="8" t="s">
        <v>34</v>
      </c>
      <c r="H15" s="60">
        <v>24.29</v>
      </c>
      <c r="I15" s="60">
        <v>3.22</v>
      </c>
      <c r="J15" s="60">
        <v>0.15</v>
      </c>
      <c r="K15" s="60">
        <v>66.86</v>
      </c>
      <c r="L15" s="60">
        <v>30.82</v>
      </c>
      <c r="M15" s="60">
        <v>99.04</v>
      </c>
      <c r="N15" s="60">
        <v>15.3</v>
      </c>
      <c r="O15" s="60">
        <v>0.2</v>
      </c>
      <c r="P15" s="60">
        <v>3.58</v>
      </c>
      <c r="Q15" s="60">
        <v>3.04</v>
      </c>
      <c r="R15" s="197"/>
      <c r="S15" s="197"/>
      <c r="T15" s="197"/>
      <c r="U15" s="197"/>
    </row>
    <row r="16" spans="1:21" s="12" customFormat="1" x14ac:dyDescent="0.25">
      <c r="A16" s="200" t="s">
        <v>2175</v>
      </c>
      <c r="B16" s="60">
        <v>0.94</v>
      </c>
      <c r="C16" s="60">
        <v>9.1199999999999992</v>
      </c>
      <c r="D16" s="60">
        <v>10.06</v>
      </c>
      <c r="E16" s="60">
        <v>3.31</v>
      </c>
      <c r="F16" s="60">
        <v>0.61</v>
      </c>
      <c r="G16" s="8" t="s">
        <v>34</v>
      </c>
      <c r="H16" s="60">
        <v>24.29</v>
      </c>
      <c r="I16" s="60">
        <v>3.08</v>
      </c>
      <c r="J16" s="60">
        <v>7.0000000000000007E-2</v>
      </c>
      <c r="K16" s="60">
        <v>13.51</v>
      </c>
      <c r="L16" s="60">
        <v>30.8</v>
      </c>
      <c r="M16" s="60">
        <v>99.15</v>
      </c>
      <c r="N16" s="60">
        <v>15.3</v>
      </c>
      <c r="O16" s="60">
        <v>0.4</v>
      </c>
      <c r="P16" s="60">
        <v>3.57</v>
      </c>
      <c r="Q16" s="60">
        <v>2.82</v>
      </c>
      <c r="R16" s="197"/>
      <c r="S16" s="197"/>
      <c r="T16" s="197"/>
      <c r="U16" s="197"/>
    </row>
    <row r="17" spans="1:21" s="12" customFormat="1" x14ac:dyDescent="0.25">
      <c r="A17" s="200" t="s">
        <v>2176</v>
      </c>
      <c r="B17" s="60">
        <v>0.81</v>
      </c>
      <c r="C17" s="60">
        <v>8.85</v>
      </c>
      <c r="D17" s="60">
        <v>9.66</v>
      </c>
      <c r="E17" s="60">
        <v>3.45</v>
      </c>
      <c r="F17" s="60">
        <v>0.54</v>
      </c>
      <c r="G17" s="8" t="s">
        <v>34</v>
      </c>
      <c r="H17" s="60">
        <v>24.29</v>
      </c>
      <c r="I17" s="60">
        <v>2.96</v>
      </c>
      <c r="J17" s="60">
        <v>0.09</v>
      </c>
      <c r="K17" s="60">
        <v>42.24</v>
      </c>
      <c r="L17" s="60">
        <v>30.76</v>
      </c>
      <c r="M17" s="60">
        <v>99.15</v>
      </c>
      <c r="N17" s="60">
        <v>15.3</v>
      </c>
      <c r="O17" s="60">
        <v>0.4</v>
      </c>
      <c r="P17" s="60">
        <v>3.54</v>
      </c>
      <c r="Q17" s="60">
        <v>2.58</v>
      </c>
      <c r="R17" s="197"/>
      <c r="S17" s="197"/>
      <c r="T17" s="197"/>
      <c r="U17" s="197"/>
    </row>
    <row r="18" spans="1:21" s="12" customFormat="1" x14ac:dyDescent="0.25">
      <c r="A18" s="200" t="s">
        <v>2177</v>
      </c>
      <c r="B18" s="60">
        <v>0.73</v>
      </c>
      <c r="C18" s="60">
        <v>8.81</v>
      </c>
      <c r="D18" s="60">
        <v>9.5399999999999991</v>
      </c>
      <c r="E18" s="60">
        <v>3.97</v>
      </c>
      <c r="F18" s="60">
        <v>0.5</v>
      </c>
      <c r="G18" s="8" t="s">
        <v>34</v>
      </c>
      <c r="H18" s="60">
        <v>22.73</v>
      </c>
      <c r="I18" s="60">
        <v>2.85</v>
      </c>
      <c r="J18" s="60">
        <v>0.17</v>
      </c>
      <c r="K18" s="60">
        <v>19.190000000000001</v>
      </c>
      <c r="L18" s="60">
        <v>30.74</v>
      </c>
      <c r="M18" s="60">
        <v>99.14</v>
      </c>
      <c r="N18" s="60">
        <v>15.3</v>
      </c>
      <c r="O18" s="60">
        <v>0</v>
      </c>
      <c r="P18" s="60">
        <v>3.54</v>
      </c>
      <c r="Q18" s="60">
        <v>2.48</v>
      </c>
      <c r="R18" s="197"/>
      <c r="S18" s="197"/>
      <c r="T18" s="197"/>
      <c r="U18" s="197"/>
    </row>
    <row r="19" spans="1:21" s="12" customFormat="1" x14ac:dyDescent="0.25">
      <c r="A19" s="200" t="s">
        <v>2178</v>
      </c>
      <c r="B19" s="60">
        <v>0.71</v>
      </c>
      <c r="C19" s="60">
        <v>8.42</v>
      </c>
      <c r="D19" s="60">
        <v>9.1199999999999992</v>
      </c>
      <c r="E19" s="60">
        <v>3.79</v>
      </c>
      <c r="F19" s="60">
        <v>0.48</v>
      </c>
      <c r="G19" s="8" t="s">
        <v>34</v>
      </c>
      <c r="H19" s="60">
        <v>22.39</v>
      </c>
      <c r="I19" s="60">
        <v>2.77</v>
      </c>
      <c r="J19" s="60">
        <v>0.09</v>
      </c>
      <c r="K19" s="60">
        <v>33.61</v>
      </c>
      <c r="L19" s="60">
        <v>30.71</v>
      </c>
      <c r="M19" s="60">
        <v>99.15</v>
      </c>
      <c r="N19" s="60">
        <v>15.4</v>
      </c>
      <c r="O19" s="60">
        <v>0.4</v>
      </c>
      <c r="P19" s="60">
        <v>3.53</v>
      </c>
      <c r="Q19" s="60">
        <v>2.46</v>
      </c>
      <c r="R19" s="197"/>
      <c r="S19" s="197"/>
      <c r="T19" s="197"/>
      <c r="U19" s="197"/>
    </row>
    <row r="20" spans="1:21" s="12" customFormat="1" x14ac:dyDescent="0.25">
      <c r="A20" s="200" t="s">
        <v>2179</v>
      </c>
      <c r="B20" s="60">
        <v>0.69</v>
      </c>
      <c r="C20" s="60">
        <v>7.93</v>
      </c>
      <c r="D20" s="60">
        <v>8.6199999999999992</v>
      </c>
      <c r="E20" s="60">
        <v>3.34</v>
      </c>
      <c r="F20" s="60">
        <v>0.62</v>
      </c>
      <c r="G20" s="8" t="s">
        <v>34</v>
      </c>
      <c r="H20" s="60">
        <v>22.39</v>
      </c>
      <c r="I20" s="60">
        <v>2.65</v>
      </c>
      <c r="J20" s="60">
        <v>0.12</v>
      </c>
      <c r="K20" s="60">
        <v>25.84</v>
      </c>
      <c r="L20" s="60">
        <v>30.36</v>
      </c>
      <c r="M20" s="60">
        <v>99.13</v>
      </c>
      <c r="N20" s="60">
        <v>15.6</v>
      </c>
      <c r="O20" s="60">
        <v>0.4</v>
      </c>
      <c r="P20" s="60">
        <v>3.52</v>
      </c>
      <c r="Q20" s="60">
        <v>2.54</v>
      </c>
      <c r="R20" s="197"/>
      <c r="S20" s="197"/>
      <c r="T20" s="197"/>
      <c r="U20" s="197"/>
    </row>
    <row r="21" spans="1:21" s="12" customFormat="1" x14ac:dyDescent="0.25">
      <c r="A21" s="200" t="s">
        <v>2180</v>
      </c>
      <c r="B21" s="60">
        <v>0.69</v>
      </c>
      <c r="C21" s="60">
        <v>8.0399999999999991</v>
      </c>
      <c r="D21" s="60">
        <v>8.74</v>
      </c>
      <c r="E21" s="60">
        <v>3.48</v>
      </c>
      <c r="F21" s="60">
        <v>0.22</v>
      </c>
      <c r="G21" s="8" t="s">
        <v>34</v>
      </c>
      <c r="H21" s="60">
        <v>22.39</v>
      </c>
      <c r="I21" s="60">
        <v>2.54</v>
      </c>
      <c r="J21" s="60">
        <v>7.0000000000000007E-2</v>
      </c>
      <c r="K21" s="60">
        <v>280.2</v>
      </c>
      <c r="L21" s="60">
        <v>30.17</v>
      </c>
      <c r="M21" s="60">
        <v>99.09</v>
      </c>
      <c r="N21" s="60">
        <v>15.4</v>
      </c>
      <c r="O21" s="60">
        <v>0</v>
      </c>
      <c r="P21" s="60">
        <v>3.53</v>
      </c>
      <c r="Q21" s="60">
        <v>2.52</v>
      </c>
      <c r="R21" s="197"/>
      <c r="S21" s="197"/>
      <c r="T21" s="197"/>
      <c r="U21" s="197"/>
    </row>
    <row r="22" spans="1:21" s="12" customFormat="1" x14ac:dyDescent="0.25">
      <c r="A22" s="200" t="s">
        <v>2181</v>
      </c>
      <c r="B22" s="60">
        <v>0.7</v>
      </c>
      <c r="C22" s="60">
        <v>7.59</v>
      </c>
      <c r="D22" s="60">
        <v>8.2899999999999991</v>
      </c>
      <c r="E22" s="60">
        <v>3.73</v>
      </c>
      <c r="F22" s="60">
        <v>0.45</v>
      </c>
      <c r="G22" s="8" t="s">
        <v>34</v>
      </c>
      <c r="H22" s="60">
        <v>6.21</v>
      </c>
      <c r="I22" s="60">
        <v>2.4900000000000002</v>
      </c>
      <c r="J22" s="60">
        <v>0.08</v>
      </c>
      <c r="K22" s="60">
        <v>265.43</v>
      </c>
      <c r="L22" s="60">
        <v>30.09</v>
      </c>
      <c r="M22" s="60">
        <v>99.04</v>
      </c>
      <c r="N22" s="60">
        <v>15.4</v>
      </c>
      <c r="O22" s="60">
        <v>0.2</v>
      </c>
      <c r="P22" s="60">
        <v>3.51</v>
      </c>
      <c r="Q22" s="60">
        <v>2.41</v>
      </c>
      <c r="R22" s="197"/>
      <c r="S22" s="197"/>
      <c r="T22" s="197"/>
      <c r="U22" s="197"/>
    </row>
    <row r="23" spans="1:21" s="12" customFormat="1" x14ac:dyDescent="0.25">
      <c r="A23" s="200" t="s">
        <v>2182</v>
      </c>
      <c r="B23" s="60">
        <v>0.71</v>
      </c>
      <c r="C23" s="60">
        <v>7.91</v>
      </c>
      <c r="D23" s="60">
        <v>8.6199999999999992</v>
      </c>
      <c r="E23" s="60">
        <v>3.18</v>
      </c>
      <c r="F23" s="60">
        <v>0.38</v>
      </c>
      <c r="G23" s="8" t="s">
        <v>34</v>
      </c>
      <c r="H23" s="60">
        <v>2.97</v>
      </c>
      <c r="I23" s="60">
        <v>2.42</v>
      </c>
      <c r="J23" s="60">
        <v>0.01</v>
      </c>
      <c r="K23" s="60">
        <v>243.27</v>
      </c>
      <c r="L23" s="60">
        <v>30.07</v>
      </c>
      <c r="M23" s="60">
        <v>98.42</v>
      </c>
      <c r="N23" s="60">
        <v>15.4</v>
      </c>
      <c r="O23" s="60">
        <v>0</v>
      </c>
      <c r="P23" s="60">
        <v>3.51</v>
      </c>
      <c r="Q23" s="60">
        <v>2.46</v>
      </c>
      <c r="R23" s="197"/>
      <c r="S23" s="197"/>
      <c r="T23" s="197"/>
      <c r="U23" s="197"/>
    </row>
    <row r="24" spans="1:21" s="12" customFormat="1" x14ac:dyDescent="0.25">
      <c r="A24" s="200" t="s">
        <v>2183</v>
      </c>
      <c r="B24" s="60">
        <v>0.75</v>
      </c>
      <c r="C24" s="60">
        <v>7.67</v>
      </c>
      <c r="D24" s="60">
        <v>8.42</v>
      </c>
      <c r="E24" s="60">
        <v>1.88</v>
      </c>
      <c r="F24" s="60">
        <v>0.31</v>
      </c>
      <c r="G24" s="8" t="s">
        <v>34</v>
      </c>
      <c r="H24" s="60">
        <v>2.97</v>
      </c>
      <c r="I24" s="60">
        <v>2.36</v>
      </c>
      <c r="J24" s="60">
        <v>0.09</v>
      </c>
      <c r="K24" s="60">
        <v>250.02</v>
      </c>
      <c r="L24" s="60">
        <v>30.01</v>
      </c>
      <c r="M24" s="60">
        <v>97.69</v>
      </c>
      <c r="N24" s="60">
        <v>15.4</v>
      </c>
      <c r="O24" s="60">
        <v>0</v>
      </c>
      <c r="P24" s="60">
        <v>3.51</v>
      </c>
      <c r="Q24" s="60">
        <v>2.5099999999999998</v>
      </c>
      <c r="R24" s="197"/>
      <c r="S24" s="197"/>
      <c r="T24" s="197"/>
      <c r="U24" s="197"/>
    </row>
    <row r="25" spans="1:21" s="12" customFormat="1" x14ac:dyDescent="0.25">
      <c r="A25" s="200" t="s">
        <v>2184</v>
      </c>
      <c r="B25" s="60">
        <v>0.77</v>
      </c>
      <c r="C25" s="60">
        <v>8.19</v>
      </c>
      <c r="D25" s="60">
        <v>8.9600000000000009</v>
      </c>
      <c r="E25" s="60">
        <v>3.68</v>
      </c>
      <c r="F25" s="60">
        <v>0.56000000000000005</v>
      </c>
      <c r="G25" s="8" t="s">
        <v>34</v>
      </c>
      <c r="H25" s="60">
        <v>2.97</v>
      </c>
      <c r="I25" s="60">
        <v>2.39</v>
      </c>
      <c r="J25" s="60">
        <v>0.14000000000000001</v>
      </c>
      <c r="K25" s="60">
        <v>250.49</v>
      </c>
      <c r="L25" s="60">
        <v>30.06</v>
      </c>
      <c r="M25" s="60">
        <v>95.64</v>
      </c>
      <c r="N25" s="60">
        <v>15.4</v>
      </c>
      <c r="O25" s="60">
        <v>0</v>
      </c>
      <c r="P25" s="60">
        <v>3.5</v>
      </c>
      <c r="Q25" s="60">
        <v>2.9</v>
      </c>
      <c r="R25" s="197"/>
      <c r="S25" s="197"/>
      <c r="T25" s="197"/>
      <c r="U25" s="197"/>
    </row>
    <row r="26" spans="1:21" s="12" customFormat="1" x14ac:dyDescent="0.25">
      <c r="A26" s="200" t="s">
        <v>2185</v>
      </c>
      <c r="B26" s="60">
        <v>0.75</v>
      </c>
      <c r="C26" s="60">
        <v>8.34</v>
      </c>
      <c r="D26" s="60">
        <v>9.09</v>
      </c>
      <c r="E26" s="60">
        <v>4</v>
      </c>
      <c r="F26" s="60">
        <v>0.51</v>
      </c>
      <c r="G26" s="8" t="s">
        <v>34</v>
      </c>
      <c r="H26" s="60">
        <v>17.100000000000001</v>
      </c>
      <c r="I26" s="60">
        <v>2.38</v>
      </c>
      <c r="J26" s="60">
        <v>0.04</v>
      </c>
      <c r="K26" s="60">
        <v>351.85</v>
      </c>
      <c r="L26" s="60">
        <v>30.11</v>
      </c>
      <c r="M26" s="60">
        <v>93.24</v>
      </c>
      <c r="N26" s="60">
        <v>15.3</v>
      </c>
      <c r="O26" s="60">
        <v>0</v>
      </c>
      <c r="P26" s="60">
        <v>3.49</v>
      </c>
      <c r="Q26" s="60">
        <v>2.86</v>
      </c>
      <c r="R26" s="197"/>
      <c r="S26" s="197"/>
      <c r="T26" s="197"/>
      <c r="U26" s="197"/>
    </row>
    <row r="27" spans="1:21" s="12" customFormat="1" x14ac:dyDescent="0.25">
      <c r="A27" s="200" t="s">
        <v>2186</v>
      </c>
      <c r="B27" s="60">
        <v>0.69</v>
      </c>
      <c r="C27" s="60">
        <v>8.66</v>
      </c>
      <c r="D27" s="60">
        <v>9.35</v>
      </c>
      <c r="E27" s="60">
        <v>3.83</v>
      </c>
      <c r="F27" s="60">
        <v>0.53</v>
      </c>
      <c r="G27" s="8" t="s">
        <v>34</v>
      </c>
      <c r="H27" s="60">
        <v>20.16</v>
      </c>
      <c r="I27" s="60">
        <v>2.4300000000000002</v>
      </c>
      <c r="J27" s="60">
        <v>0.08</v>
      </c>
      <c r="K27" s="60">
        <v>277.39</v>
      </c>
      <c r="L27" s="60">
        <v>29.98</v>
      </c>
      <c r="M27" s="60">
        <v>91.74</v>
      </c>
      <c r="N27" s="60">
        <v>15.4</v>
      </c>
      <c r="O27" s="60">
        <v>0</v>
      </c>
      <c r="P27" s="60">
        <v>3.49</v>
      </c>
      <c r="Q27" s="60">
        <v>2.6</v>
      </c>
      <c r="R27" s="197"/>
      <c r="S27" s="197"/>
      <c r="T27" s="197"/>
      <c r="U27" s="197"/>
    </row>
    <row r="28" spans="1:21" s="12" customFormat="1" x14ac:dyDescent="0.25">
      <c r="A28" s="200" t="s">
        <v>2187</v>
      </c>
      <c r="B28" s="60">
        <v>0.63</v>
      </c>
      <c r="C28" s="60">
        <v>8.91</v>
      </c>
      <c r="D28" s="60">
        <v>9.5399999999999991</v>
      </c>
      <c r="E28" s="60">
        <v>3.98</v>
      </c>
      <c r="F28" s="60">
        <v>0.59</v>
      </c>
      <c r="G28" s="8" t="s">
        <v>34</v>
      </c>
      <c r="H28" s="60">
        <v>20.16</v>
      </c>
      <c r="I28" s="60">
        <v>2.42</v>
      </c>
      <c r="J28" s="60">
        <v>7.0000000000000007E-2</v>
      </c>
      <c r="K28" s="60">
        <v>346.96</v>
      </c>
      <c r="L28" s="60">
        <v>31.91</v>
      </c>
      <c r="M28" s="60">
        <v>90.48</v>
      </c>
      <c r="N28" s="60">
        <v>15.6</v>
      </c>
      <c r="O28" s="60">
        <v>0</v>
      </c>
      <c r="P28" s="60">
        <v>3.49</v>
      </c>
      <c r="Q28" s="60">
        <v>2.44</v>
      </c>
      <c r="R28" s="197"/>
      <c r="S28" s="197"/>
      <c r="T28" s="197"/>
      <c r="U28" s="197"/>
    </row>
    <row r="29" spans="1:21" s="12" customFormat="1" x14ac:dyDescent="0.25">
      <c r="A29" s="200" t="s">
        <v>2188</v>
      </c>
      <c r="B29" s="60">
        <v>0.63</v>
      </c>
      <c r="C29" s="60">
        <v>9</v>
      </c>
      <c r="D29" s="60">
        <v>9.6199999999999992</v>
      </c>
      <c r="E29" s="60">
        <v>4.13</v>
      </c>
      <c r="F29" s="60">
        <v>0.55000000000000004</v>
      </c>
      <c r="G29" s="8" t="s">
        <v>34</v>
      </c>
      <c r="H29" s="60">
        <v>20.16</v>
      </c>
      <c r="I29" s="60">
        <v>2.39</v>
      </c>
      <c r="J29" s="60">
        <v>0.05</v>
      </c>
      <c r="K29" s="60">
        <v>319.33</v>
      </c>
      <c r="L29" s="60">
        <v>32.35</v>
      </c>
      <c r="M29" s="60">
        <v>89.59</v>
      </c>
      <c r="N29" s="60">
        <v>15.8</v>
      </c>
      <c r="O29" s="60">
        <v>0</v>
      </c>
      <c r="P29" s="60">
        <v>3.49</v>
      </c>
      <c r="Q29" s="60">
        <v>2.36</v>
      </c>
      <c r="R29" s="197"/>
      <c r="S29" s="197"/>
      <c r="T29" s="197"/>
      <c r="U29" s="197"/>
    </row>
    <row r="30" spans="1:21" s="12" customFormat="1" x14ac:dyDescent="0.25">
      <c r="A30" s="200" t="s">
        <v>2189</v>
      </c>
      <c r="B30" s="60">
        <v>0.69</v>
      </c>
      <c r="C30" s="60">
        <v>9.2100000000000009</v>
      </c>
      <c r="D30" s="60">
        <v>9.9</v>
      </c>
      <c r="E30" s="60">
        <v>4.2300000000000004</v>
      </c>
      <c r="F30" s="60">
        <v>0.66</v>
      </c>
      <c r="G30" s="8" t="s">
        <v>34</v>
      </c>
      <c r="H30" s="60">
        <v>75.47</v>
      </c>
      <c r="I30" s="60">
        <v>2.38</v>
      </c>
      <c r="J30" s="60">
        <v>0.11</v>
      </c>
      <c r="K30" s="60">
        <v>27.25</v>
      </c>
      <c r="L30" s="60">
        <v>30.41</v>
      </c>
      <c r="M30" s="60">
        <v>89.31</v>
      </c>
      <c r="N30" s="60">
        <v>15.7</v>
      </c>
      <c r="O30" s="60">
        <v>0</v>
      </c>
      <c r="P30" s="60">
        <v>3.49</v>
      </c>
      <c r="Q30" s="60">
        <v>2.37</v>
      </c>
      <c r="R30" s="197"/>
      <c r="S30" s="197"/>
      <c r="T30" s="197"/>
      <c r="U30" s="197"/>
    </row>
    <row r="31" spans="1:21" s="12" customFormat="1" x14ac:dyDescent="0.25">
      <c r="A31" s="200" t="s">
        <v>2190</v>
      </c>
      <c r="B31" s="60">
        <v>0.81</v>
      </c>
      <c r="C31" s="60">
        <v>9.41</v>
      </c>
      <c r="D31" s="60">
        <v>10.220000000000001</v>
      </c>
      <c r="E31" s="60">
        <v>3.94</v>
      </c>
      <c r="F31" s="60">
        <v>0.53</v>
      </c>
      <c r="G31" s="8" t="s">
        <v>34</v>
      </c>
      <c r="H31" s="60">
        <v>87.43</v>
      </c>
      <c r="I31" s="60">
        <v>2.36</v>
      </c>
      <c r="J31" s="60">
        <v>0.06</v>
      </c>
      <c r="K31" s="60">
        <v>305.13</v>
      </c>
      <c r="L31" s="60">
        <v>30.03</v>
      </c>
      <c r="M31" s="60">
        <v>88.53</v>
      </c>
      <c r="N31" s="60">
        <v>16.3</v>
      </c>
      <c r="O31" s="60">
        <v>0</v>
      </c>
      <c r="P31" s="60">
        <v>3.49</v>
      </c>
      <c r="Q31" s="60">
        <v>2.4900000000000002</v>
      </c>
      <c r="R31" s="197"/>
      <c r="S31" s="197"/>
      <c r="T31" s="197"/>
      <c r="U31" s="197"/>
    </row>
    <row r="32" spans="1:21" s="12" customFormat="1" x14ac:dyDescent="0.25">
      <c r="A32" s="200" t="s">
        <v>2191</v>
      </c>
      <c r="B32" s="60">
        <v>0.85</v>
      </c>
      <c r="C32" s="60">
        <v>9.85</v>
      </c>
      <c r="D32" s="60">
        <v>10.7</v>
      </c>
      <c r="E32" s="60">
        <v>4.1900000000000004</v>
      </c>
      <c r="F32" s="60">
        <v>0.49</v>
      </c>
      <c r="G32" s="8" t="s">
        <v>34</v>
      </c>
      <c r="H32" s="60">
        <v>87.43</v>
      </c>
      <c r="I32" s="60">
        <v>2.37</v>
      </c>
      <c r="J32" s="60">
        <v>7.0000000000000007E-2</v>
      </c>
      <c r="K32" s="60">
        <v>266.66000000000003</v>
      </c>
      <c r="L32" s="60">
        <v>29.97</v>
      </c>
      <c r="M32" s="60">
        <v>87.63</v>
      </c>
      <c r="N32" s="60">
        <v>19.2</v>
      </c>
      <c r="O32" s="60">
        <v>0</v>
      </c>
      <c r="P32" s="60">
        <v>3.5</v>
      </c>
      <c r="Q32" s="60">
        <v>2.59</v>
      </c>
      <c r="R32" s="197"/>
      <c r="S32" s="197"/>
      <c r="T32" s="197"/>
      <c r="U32" s="197"/>
    </row>
    <row r="33" spans="1:21" s="12" customFormat="1" x14ac:dyDescent="0.25">
      <c r="A33" s="200" t="s">
        <v>2192</v>
      </c>
      <c r="B33" s="60">
        <v>0.96</v>
      </c>
      <c r="C33" s="60">
        <v>9.69</v>
      </c>
      <c r="D33" s="60">
        <v>10.66</v>
      </c>
      <c r="E33" s="60">
        <v>4.55</v>
      </c>
      <c r="F33" s="60">
        <v>0.64</v>
      </c>
      <c r="G33" s="8" t="s">
        <v>34</v>
      </c>
      <c r="H33" s="60">
        <v>87.43</v>
      </c>
      <c r="I33" s="60">
        <v>2.37</v>
      </c>
      <c r="J33" s="60">
        <v>0.11</v>
      </c>
      <c r="K33" s="60">
        <v>209.57</v>
      </c>
      <c r="L33" s="60">
        <v>29.96</v>
      </c>
      <c r="M33" s="60">
        <v>87.16</v>
      </c>
      <c r="N33" s="60">
        <v>29.3</v>
      </c>
      <c r="O33" s="60">
        <v>0</v>
      </c>
      <c r="P33" s="60">
        <v>3.49</v>
      </c>
      <c r="Q33" s="60">
        <v>2.79</v>
      </c>
      <c r="R33" s="197"/>
      <c r="S33" s="197"/>
      <c r="T33" s="197"/>
      <c r="U33" s="197"/>
    </row>
    <row r="34" spans="1:21" s="12" customFormat="1" x14ac:dyDescent="0.25">
      <c r="A34" s="200" t="s">
        <v>2193</v>
      </c>
      <c r="B34" s="60">
        <v>1.0900000000000001</v>
      </c>
      <c r="C34" s="60">
        <v>9.61</v>
      </c>
      <c r="D34" s="60">
        <v>10.7</v>
      </c>
      <c r="E34" s="60">
        <v>4.3499999999999996</v>
      </c>
      <c r="F34" s="60">
        <v>0.25</v>
      </c>
      <c r="G34" s="8" t="s">
        <v>34</v>
      </c>
      <c r="H34" s="60">
        <v>36.29</v>
      </c>
      <c r="I34" s="60">
        <v>2.36</v>
      </c>
      <c r="J34" s="60">
        <v>0.18</v>
      </c>
      <c r="K34" s="60">
        <v>214.8</v>
      </c>
      <c r="L34" s="60">
        <v>30.05</v>
      </c>
      <c r="M34" s="60">
        <v>86.53</v>
      </c>
      <c r="N34" s="60">
        <v>42.4</v>
      </c>
      <c r="O34" s="60">
        <v>0</v>
      </c>
      <c r="P34" s="60">
        <v>3.51</v>
      </c>
      <c r="Q34" s="60">
        <v>3.06</v>
      </c>
      <c r="R34" s="197"/>
      <c r="S34" s="197"/>
      <c r="T34" s="197"/>
      <c r="U34" s="197"/>
    </row>
    <row r="35" spans="1:21" s="12" customFormat="1" x14ac:dyDescent="0.25">
      <c r="A35" s="200" t="s">
        <v>2194</v>
      </c>
      <c r="B35" s="60">
        <v>1.1399999999999999</v>
      </c>
      <c r="C35" s="60">
        <v>9.4700000000000006</v>
      </c>
      <c r="D35" s="60">
        <v>10.61</v>
      </c>
      <c r="E35" s="60">
        <v>4.6399999999999997</v>
      </c>
      <c r="F35" s="60">
        <v>0.44</v>
      </c>
      <c r="G35" s="8" t="s">
        <v>34</v>
      </c>
      <c r="H35" s="60">
        <v>25.23</v>
      </c>
      <c r="I35" s="60">
        <v>2.39</v>
      </c>
      <c r="J35" s="60">
        <v>0.18</v>
      </c>
      <c r="K35" s="60">
        <v>226.86</v>
      </c>
      <c r="L35" s="60">
        <v>30.12</v>
      </c>
      <c r="M35" s="60">
        <v>86.88</v>
      </c>
      <c r="N35" s="60">
        <v>51.4</v>
      </c>
      <c r="O35" s="60">
        <v>0</v>
      </c>
      <c r="P35" s="60">
        <v>3.5</v>
      </c>
      <c r="Q35" s="60">
        <v>3.12</v>
      </c>
      <c r="R35" s="197"/>
      <c r="S35" s="197"/>
      <c r="T35" s="197"/>
      <c r="U35" s="197"/>
    </row>
    <row r="36" spans="1:21" s="12" customFormat="1" x14ac:dyDescent="0.25">
      <c r="A36" s="200" t="s">
        <v>2195</v>
      </c>
      <c r="B36" s="60">
        <v>1.26</v>
      </c>
      <c r="C36" s="60">
        <v>9.52</v>
      </c>
      <c r="D36" s="60">
        <v>10.78</v>
      </c>
      <c r="E36" s="60">
        <v>4.13</v>
      </c>
      <c r="F36" s="60">
        <v>0.55000000000000004</v>
      </c>
      <c r="G36" s="8" t="s">
        <v>34</v>
      </c>
      <c r="H36" s="60">
        <v>25.23</v>
      </c>
      <c r="I36" s="60">
        <v>2.44</v>
      </c>
      <c r="J36" s="60">
        <v>0.18</v>
      </c>
      <c r="K36" s="60">
        <v>227.91</v>
      </c>
      <c r="L36" s="60">
        <v>30.25</v>
      </c>
      <c r="M36" s="60">
        <v>87.03</v>
      </c>
      <c r="N36" s="60">
        <v>59.1</v>
      </c>
      <c r="O36" s="60">
        <v>0</v>
      </c>
      <c r="P36" s="60">
        <v>3.5</v>
      </c>
      <c r="Q36" s="60">
        <v>3.36</v>
      </c>
      <c r="R36" s="197"/>
      <c r="S36" s="197"/>
      <c r="T36" s="197"/>
      <c r="U36" s="197"/>
    </row>
    <row r="37" spans="1:21" s="12" customFormat="1" x14ac:dyDescent="0.25">
      <c r="A37" s="200" t="s">
        <v>2196</v>
      </c>
      <c r="B37" s="60">
        <v>1.38</v>
      </c>
      <c r="C37" s="60">
        <v>9.36</v>
      </c>
      <c r="D37" s="60">
        <v>10.74</v>
      </c>
      <c r="E37" s="60">
        <v>4.43</v>
      </c>
      <c r="F37" s="60">
        <v>0.44</v>
      </c>
      <c r="G37" s="8" t="s">
        <v>34</v>
      </c>
      <c r="H37" s="60">
        <v>25.23</v>
      </c>
      <c r="I37" s="60">
        <v>2.5099999999999998</v>
      </c>
      <c r="J37" s="60">
        <v>0.17</v>
      </c>
      <c r="K37" s="60">
        <v>226.53</v>
      </c>
      <c r="L37" s="60">
        <v>30.49</v>
      </c>
      <c r="M37" s="60">
        <v>87.1</v>
      </c>
      <c r="N37" s="60">
        <v>86.2</v>
      </c>
      <c r="O37" s="60">
        <v>0</v>
      </c>
      <c r="P37" s="60">
        <v>3.52</v>
      </c>
      <c r="Q37" s="60">
        <v>3.52</v>
      </c>
      <c r="R37" s="197"/>
      <c r="S37" s="197"/>
      <c r="T37" s="197"/>
      <c r="U37" s="197"/>
    </row>
    <row r="38" spans="1:21" s="12" customFormat="1" x14ac:dyDescent="0.25">
      <c r="A38" s="200" t="s">
        <v>2197</v>
      </c>
      <c r="B38" s="60">
        <v>1.55</v>
      </c>
      <c r="C38" s="60">
        <v>9.58</v>
      </c>
      <c r="D38" s="60">
        <v>11.13</v>
      </c>
      <c r="E38" s="60">
        <v>4.33</v>
      </c>
      <c r="F38" s="60">
        <v>0.44</v>
      </c>
      <c r="G38" s="8" t="s">
        <v>34</v>
      </c>
      <c r="H38" s="60">
        <v>48.74</v>
      </c>
      <c r="I38" s="60">
        <v>2.52</v>
      </c>
      <c r="J38" s="60">
        <v>0.17</v>
      </c>
      <c r="K38" s="60">
        <v>248.77</v>
      </c>
      <c r="L38" s="60">
        <v>36.53</v>
      </c>
      <c r="M38" s="60">
        <v>87.39</v>
      </c>
      <c r="N38" s="60">
        <v>107.1</v>
      </c>
      <c r="O38" s="60">
        <v>0</v>
      </c>
      <c r="P38" s="60">
        <v>3.51</v>
      </c>
      <c r="Q38" s="60">
        <v>3.63</v>
      </c>
      <c r="R38" s="197"/>
      <c r="S38" s="197"/>
      <c r="T38" s="197"/>
      <c r="U38" s="197"/>
    </row>
    <row r="39" spans="1:21" s="12" customFormat="1" x14ac:dyDescent="0.25">
      <c r="A39" s="200" t="s">
        <v>2198</v>
      </c>
      <c r="B39" s="60">
        <v>1.75</v>
      </c>
      <c r="C39" s="60">
        <v>9.99</v>
      </c>
      <c r="D39" s="60">
        <v>11.74</v>
      </c>
      <c r="E39" s="60">
        <v>4.4400000000000004</v>
      </c>
      <c r="F39" s="60">
        <v>0.16</v>
      </c>
      <c r="G39" s="8" t="s">
        <v>34</v>
      </c>
      <c r="H39" s="60">
        <v>53.82</v>
      </c>
      <c r="I39" s="60">
        <v>2.58</v>
      </c>
      <c r="J39" s="60">
        <v>0.17</v>
      </c>
      <c r="K39" s="60">
        <v>237.82</v>
      </c>
      <c r="L39" s="60">
        <v>29.92</v>
      </c>
      <c r="M39" s="60">
        <v>87.32</v>
      </c>
      <c r="N39" s="60">
        <v>143.1</v>
      </c>
      <c r="O39" s="60">
        <v>0</v>
      </c>
      <c r="P39" s="60">
        <v>3.53</v>
      </c>
      <c r="Q39" s="60">
        <v>3.83</v>
      </c>
      <c r="R39" s="197"/>
      <c r="S39" s="197"/>
      <c r="T39" s="197"/>
      <c r="U39" s="197"/>
    </row>
    <row r="40" spans="1:21" s="12" customFormat="1" x14ac:dyDescent="0.25">
      <c r="A40" s="200" t="s">
        <v>2199</v>
      </c>
      <c r="B40" s="60">
        <v>1.88</v>
      </c>
      <c r="C40" s="60">
        <v>10.01</v>
      </c>
      <c r="D40" s="60">
        <v>11.89</v>
      </c>
      <c r="E40" s="60">
        <v>2.66</v>
      </c>
      <c r="F40" s="60">
        <v>0.57999999999999996</v>
      </c>
      <c r="G40" s="8" t="s">
        <v>34</v>
      </c>
      <c r="H40" s="60">
        <v>53.82</v>
      </c>
      <c r="I40" s="60">
        <v>2.68</v>
      </c>
      <c r="J40" s="60">
        <v>0.15</v>
      </c>
      <c r="K40" s="60">
        <v>225.1</v>
      </c>
      <c r="L40" s="60">
        <v>30.1</v>
      </c>
      <c r="M40" s="60">
        <v>86.31</v>
      </c>
      <c r="N40" s="60">
        <v>174.5</v>
      </c>
      <c r="O40" s="60">
        <v>0</v>
      </c>
      <c r="P40" s="60">
        <v>3.52</v>
      </c>
      <c r="Q40" s="60">
        <v>4.8099999999999996</v>
      </c>
      <c r="R40" s="197"/>
      <c r="S40" s="197"/>
      <c r="T40" s="197"/>
      <c r="U40" s="197"/>
    </row>
    <row r="41" spans="1:21" s="12" customFormat="1" x14ac:dyDescent="0.25">
      <c r="A41" s="200" t="s">
        <v>2200</v>
      </c>
      <c r="B41" s="60">
        <v>1.89</v>
      </c>
      <c r="C41" s="60">
        <v>10.55</v>
      </c>
      <c r="D41" s="60">
        <v>12.44</v>
      </c>
      <c r="E41" s="60">
        <v>3.19</v>
      </c>
      <c r="F41" s="60">
        <v>0.63</v>
      </c>
      <c r="G41" s="8" t="s">
        <v>34</v>
      </c>
      <c r="H41" s="60">
        <v>53.82</v>
      </c>
      <c r="I41" s="60">
        <v>2.71</v>
      </c>
      <c r="J41" s="60">
        <v>0.08</v>
      </c>
      <c r="K41" s="60">
        <v>24.88</v>
      </c>
      <c r="L41" s="60">
        <v>30.17</v>
      </c>
      <c r="M41" s="60">
        <v>86.13</v>
      </c>
      <c r="N41" s="60">
        <v>158.1</v>
      </c>
      <c r="O41" s="60">
        <v>0</v>
      </c>
      <c r="P41" s="60">
        <v>3.53</v>
      </c>
      <c r="Q41" s="60">
        <v>5.67</v>
      </c>
      <c r="R41" s="197"/>
      <c r="S41" s="197"/>
      <c r="T41" s="197"/>
      <c r="U41" s="197"/>
    </row>
    <row r="42" spans="1:21" s="12" customFormat="1" x14ac:dyDescent="0.25">
      <c r="A42" s="200" t="s">
        <v>2201</v>
      </c>
      <c r="B42" s="60">
        <v>1.85</v>
      </c>
      <c r="C42" s="60">
        <v>11.08</v>
      </c>
      <c r="D42" s="60">
        <v>12.93</v>
      </c>
      <c r="E42" s="60">
        <v>3.61</v>
      </c>
      <c r="F42" s="60">
        <v>0.67</v>
      </c>
      <c r="G42" s="8" t="s">
        <v>34</v>
      </c>
      <c r="H42" s="60">
        <v>30.66</v>
      </c>
      <c r="I42" s="60">
        <v>2.73</v>
      </c>
      <c r="J42" s="60">
        <v>0.21</v>
      </c>
      <c r="K42" s="60">
        <v>202.64</v>
      </c>
      <c r="L42" s="60">
        <v>30.12</v>
      </c>
      <c r="M42" s="60">
        <v>85.84</v>
      </c>
      <c r="N42" s="60">
        <v>111.9</v>
      </c>
      <c r="O42" s="60">
        <v>0</v>
      </c>
      <c r="P42" s="60">
        <v>3.54</v>
      </c>
      <c r="Q42" s="60">
        <v>5.63</v>
      </c>
      <c r="R42" s="197"/>
      <c r="S42" s="197"/>
      <c r="T42" s="197"/>
      <c r="U42" s="197"/>
    </row>
    <row r="43" spans="1:21" s="12" customFormat="1" x14ac:dyDescent="0.25">
      <c r="A43" s="200" t="s">
        <v>2202</v>
      </c>
      <c r="B43" s="60">
        <v>1.64</v>
      </c>
      <c r="C43" s="60">
        <v>11.21</v>
      </c>
      <c r="D43" s="60">
        <v>12.85</v>
      </c>
      <c r="E43" s="60">
        <v>4.2</v>
      </c>
      <c r="F43" s="60">
        <v>0.71</v>
      </c>
      <c r="G43" s="8" t="s">
        <v>34</v>
      </c>
      <c r="H43" s="60">
        <v>25.66</v>
      </c>
      <c r="I43" s="60">
        <v>2.74</v>
      </c>
      <c r="J43" s="60">
        <v>0.04</v>
      </c>
      <c r="K43" s="60">
        <v>315.72000000000003</v>
      </c>
      <c r="L43" s="60">
        <v>30.05</v>
      </c>
      <c r="M43" s="60">
        <v>86.47</v>
      </c>
      <c r="N43" s="60">
        <v>103.6</v>
      </c>
      <c r="O43" s="60">
        <v>0</v>
      </c>
      <c r="P43" s="60">
        <v>3.54</v>
      </c>
      <c r="Q43" s="60">
        <v>5.42</v>
      </c>
      <c r="R43" s="197"/>
      <c r="S43" s="197"/>
      <c r="T43" s="197"/>
      <c r="U43" s="197"/>
    </row>
    <row r="44" spans="1:21" s="12" customFormat="1" x14ac:dyDescent="0.25">
      <c r="A44" s="200" t="s">
        <v>2203</v>
      </c>
      <c r="B44" s="60">
        <v>1.6</v>
      </c>
      <c r="C44" s="60">
        <v>11.37</v>
      </c>
      <c r="D44" s="60">
        <v>12.97</v>
      </c>
      <c r="E44" s="60">
        <v>3.34</v>
      </c>
      <c r="F44" s="60">
        <v>0.4</v>
      </c>
      <c r="G44" s="8" t="s">
        <v>34</v>
      </c>
      <c r="H44" s="60">
        <v>25.66</v>
      </c>
      <c r="I44" s="60">
        <v>2.8</v>
      </c>
      <c r="J44" s="60">
        <v>0.05</v>
      </c>
      <c r="K44" s="60">
        <v>56.68</v>
      </c>
      <c r="L44" s="60">
        <v>30.12</v>
      </c>
      <c r="M44" s="60">
        <v>87.12</v>
      </c>
      <c r="N44" s="60">
        <v>139.9</v>
      </c>
      <c r="O44" s="60">
        <v>0.2</v>
      </c>
      <c r="P44" s="60">
        <v>3.55</v>
      </c>
      <c r="Q44" s="60">
        <v>5.34</v>
      </c>
      <c r="R44" s="197"/>
      <c r="S44" s="197"/>
      <c r="T44" s="197"/>
      <c r="U44" s="197"/>
    </row>
    <row r="45" spans="1:21" s="12" customFormat="1" x14ac:dyDescent="0.25">
      <c r="A45" s="200" t="s">
        <v>2204</v>
      </c>
      <c r="B45" s="60">
        <v>1.98</v>
      </c>
      <c r="C45" s="60">
        <v>11.79</v>
      </c>
      <c r="D45" s="60">
        <v>13.77</v>
      </c>
      <c r="E45" s="60">
        <v>3.25</v>
      </c>
      <c r="F45" s="60">
        <v>0.37</v>
      </c>
      <c r="G45" s="8" t="s">
        <v>34</v>
      </c>
      <c r="H45" s="60">
        <v>25.66</v>
      </c>
      <c r="I45" s="60">
        <v>2.82</v>
      </c>
      <c r="J45" s="60">
        <v>0.05</v>
      </c>
      <c r="K45" s="60">
        <v>252.29</v>
      </c>
      <c r="L45" s="60">
        <v>29.88</v>
      </c>
      <c r="M45" s="60">
        <v>90.01</v>
      </c>
      <c r="N45" s="60">
        <v>159.9</v>
      </c>
      <c r="O45" s="60">
        <v>0.2</v>
      </c>
      <c r="P45" s="60">
        <v>3.57</v>
      </c>
      <c r="Q45" s="60">
        <v>5.53</v>
      </c>
      <c r="R45" s="197"/>
      <c r="S45" s="197"/>
      <c r="T45" s="197"/>
      <c r="U45" s="197"/>
    </row>
    <row r="46" spans="1:21" s="12" customFormat="1" x14ac:dyDescent="0.25">
      <c r="A46" s="200" t="s">
        <v>2205</v>
      </c>
      <c r="B46" s="60">
        <v>2.1800000000000002</v>
      </c>
      <c r="C46" s="60">
        <v>11.95</v>
      </c>
      <c r="D46" s="60">
        <v>14.13</v>
      </c>
      <c r="E46" s="60">
        <v>3.56</v>
      </c>
      <c r="F46" s="60">
        <v>0.38</v>
      </c>
      <c r="G46" s="8" t="s">
        <v>34</v>
      </c>
      <c r="H46" s="60">
        <v>22.59</v>
      </c>
      <c r="I46" s="60">
        <v>2.85</v>
      </c>
      <c r="J46" s="60">
        <v>0.12</v>
      </c>
      <c r="K46" s="60">
        <v>239.73</v>
      </c>
      <c r="L46" s="60">
        <v>30.14</v>
      </c>
      <c r="M46" s="60">
        <v>88.19</v>
      </c>
      <c r="N46" s="60">
        <v>232</v>
      </c>
      <c r="O46" s="60">
        <v>0</v>
      </c>
      <c r="P46" s="60">
        <v>3.58</v>
      </c>
      <c r="Q46" s="60">
        <v>5.55</v>
      </c>
      <c r="R46" s="197"/>
      <c r="S46" s="197"/>
      <c r="T46" s="197"/>
      <c r="U46" s="197"/>
    </row>
    <row r="47" spans="1:21" s="12" customFormat="1" x14ac:dyDescent="0.25">
      <c r="A47" s="200" t="s">
        <v>2206</v>
      </c>
      <c r="B47" s="60">
        <v>2.15</v>
      </c>
      <c r="C47" s="60">
        <v>11.91</v>
      </c>
      <c r="D47" s="60">
        <v>14.06</v>
      </c>
      <c r="E47" s="60">
        <v>2.68</v>
      </c>
      <c r="F47" s="60">
        <v>0.54</v>
      </c>
      <c r="G47" s="8" t="s">
        <v>34</v>
      </c>
      <c r="H47" s="60">
        <v>21.93</v>
      </c>
      <c r="I47" s="60">
        <v>2.89</v>
      </c>
      <c r="J47" s="60">
        <v>0.16</v>
      </c>
      <c r="K47" s="60">
        <v>221.33</v>
      </c>
      <c r="L47" s="60">
        <v>30.51</v>
      </c>
      <c r="M47" s="60">
        <v>86.63</v>
      </c>
      <c r="N47" s="60">
        <v>244.4</v>
      </c>
      <c r="O47" s="60">
        <v>0</v>
      </c>
      <c r="P47" s="60">
        <v>3.58</v>
      </c>
      <c r="Q47" s="60">
        <v>5.5</v>
      </c>
      <c r="R47" s="197"/>
      <c r="S47" s="197"/>
      <c r="T47" s="197"/>
      <c r="U47" s="197"/>
    </row>
    <row r="48" spans="1:21" s="12" customFormat="1" x14ac:dyDescent="0.25">
      <c r="A48" s="200" t="s">
        <v>2207</v>
      </c>
      <c r="B48" s="60">
        <v>2.16</v>
      </c>
      <c r="C48" s="60">
        <v>11.37</v>
      </c>
      <c r="D48" s="60">
        <v>13.53</v>
      </c>
      <c r="E48" s="60">
        <v>3.33</v>
      </c>
      <c r="F48" s="60">
        <v>0.62</v>
      </c>
      <c r="G48" s="8" t="s">
        <v>34</v>
      </c>
      <c r="H48" s="60">
        <v>21.93</v>
      </c>
      <c r="I48" s="60">
        <v>2.91</v>
      </c>
      <c r="J48" s="60">
        <v>0.2</v>
      </c>
      <c r="K48" s="60">
        <v>217.99</v>
      </c>
      <c r="L48" s="60">
        <v>31.04</v>
      </c>
      <c r="M48" s="60">
        <v>84.82</v>
      </c>
      <c r="N48" s="60">
        <v>347.1</v>
      </c>
      <c r="O48" s="60">
        <v>0</v>
      </c>
      <c r="P48" s="60">
        <v>3.59</v>
      </c>
      <c r="Q48" s="60">
        <v>5.44</v>
      </c>
      <c r="R48" s="197"/>
      <c r="S48" s="197"/>
      <c r="T48" s="197"/>
      <c r="U48" s="197"/>
    </row>
    <row r="49" spans="1:21" s="12" customFormat="1" x14ac:dyDescent="0.25">
      <c r="A49" s="200" t="s">
        <v>2208</v>
      </c>
      <c r="B49" s="60">
        <v>2.1</v>
      </c>
      <c r="C49" s="60">
        <v>11.11</v>
      </c>
      <c r="D49" s="60">
        <v>13.21</v>
      </c>
      <c r="E49" s="60">
        <v>3.54</v>
      </c>
      <c r="F49" s="60">
        <v>0.53</v>
      </c>
      <c r="G49" s="8" t="s">
        <v>34</v>
      </c>
      <c r="H49" s="60">
        <v>21.93</v>
      </c>
      <c r="I49" s="60">
        <v>2.91</v>
      </c>
      <c r="J49" s="60">
        <v>0.1</v>
      </c>
      <c r="K49" s="60">
        <v>297.89999999999998</v>
      </c>
      <c r="L49" s="60">
        <v>30.81</v>
      </c>
      <c r="M49" s="60">
        <v>84.9</v>
      </c>
      <c r="N49" s="60">
        <v>130.69999999999999</v>
      </c>
      <c r="O49" s="60">
        <v>0</v>
      </c>
      <c r="P49" s="60">
        <v>3.6</v>
      </c>
      <c r="Q49" s="60">
        <v>5.46</v>
      </c>
      <c r="R49" s="197"/>
      <c r="S49" s="197"/>
      <c r="T49" s="197"/>
      <c r="U49" s="197"/>
    </row>
    <row r="50" spans="1:21" s="12" customFormat="1" x14ac:dyDescent="0.25">
      <c r="A50" s="200" t="s">
        <v>2209</v>
      </c>
      <c r="B50" s="60">
        <v>2.04</v>
      </c>
      <c r="C50" s="60">
        <v>11.57</v>
      </c>
      <c r="D50" s="60">
        <v>13.61</v>
      </c>
      <c r="E50" s="60">
        <v>2.68</v>
      </c>
      <c r="F50" s="60">
        <v>0.75</v>
      </c>
      <c r="G50" s="8" t="s">
        <v>34</v>
      </c>
      <c r="H50" s="60">
        <v>26.71</v>
      </c>
      <c r="I50" s="60">
        <v>2.95</v>
      </c>
      <c r="J50" s="60">
        <v>0.1</v>
      </c>
      <c r="K50" s="60">
        <v>339.68</v>
      </c>
      <c r="L50" s="60">
        <v>30.39</v>
      </c>
      <c r="M50" s="60">
        <v>85.99</v>
      </c>
      <c r="N50" s="60">
        <v>156.9</v>
      </c>
      <c r="O50" s="60">
        <v>0</v>
      </c>
      <c r="P50" s="60">
        <v>3.61</v>
      </c>
      <c r="Q50" s="60">
        <v>5.54</v>
      </c>
      <c r="R50" s="197"/>
      <c r="S50" s="197"/>
      <c r="T50" s="197"/>
      <c r="U50" s="197"/>
    </row>
    <row r="51" spans="1:21" s="12" customFormat="1" x14ac:dyDescent="0.25">
      <c r="A51" s="200" t="s">
        <v>2210</v>
      </c>
      <c r="B51" s="60">
        <v>1.88</v>
      </c>
      <c r="C51" s="60">
        <v>11.67</v>
      </c>
      <c r="D51" s="60">
        <v>13.55</v>
      </c>
      <c r="E51" s="60">
        <v>3.04</v>
      </c>
      <c r="F51" s="60">
        <v>0.76</v>
      </c>
      <c r="G51" s="8" t="s">
        <v>34</v>
      </c>
      <c r="H51" s="60">
        <v>27.67</v>
      </c>
      <c r="I51" s="60">
        <v>3.05</v>
      </c>
      <c r="J51" s="60">
        <v>7.0000000000000007E-2</v>
      </c>
      <c r="K51" s="60">
        <v>237.94</v>
      </c>
      <c r="L51" s="60">
        <v>30.12</v>
      </c>
      <c r="M51" s="60">
        <v>87.94</v>
      </c>
      <c r="N51" s="60">
        <v>257.39999999999998</v>
      </c>
      <c r="O51" s="60">
        <v>0</v>
      </c>
      <c r="P51" s="60">
        <v>3.63</v>
      </c>
      <c r="Q51" s="60">
        <v>5.34</v>
      </c>
      <c r="R51" s="197"/>
      <c r="S51" s="197"/>
      <c r="T51" s="197"/>
      <c r="U51" s="197"/>
    </row>
    <row r="52" spans="1:21" s="12" customFormat="1" x14ac:dyDescent="0.25">
      <c r="A52" s="200" t="s">
        <v>2211</v>
      </c>
      <c r="B52" s="60">
        <v>1.7</v>
      </c>
      <c r="C52" s="60">
        <v>11.64</v>
      </c>
      <c r="D52" s="60">
        <v>13.35</v>
      </c>
      <c r="E52" s="60">
        <v>3.09</v>
      </c>
      <c r="F52" s="60">
        <v>1.1100000000000001</v>
      </c>
      <c r="G52" s="8" t="s">
        <v>34</v>
      </c>
      <c r="H52" s="60">
        <v>27.67</v>
      </c>
      <c r="I52" s="60">
        <v>2.97</v>
      </c>
      <c r="J52" s="60">
        <v>0.08</v>
      </c>
      <c r="K52" s="60">
        <v>289.14999999999998</v>
      </c>
      <c r="L52" s="60">
        <v>30.53</v>
      </c>
      <c r="M52" s="60">
        <v>85.06</v>
      </c>
      <c r="N52" s="60">
        <v>354</v>
      </c>
      <c r="O52" s="60">
        <v>0</v>
      </c>
      <c r="P52" s="60">
        <v>3.62</v>
      </c>
      <c r="Q52" s="60">
        <v>5.15</v>
      </c>
      <c r="R52" s="197"/>
      <c r="S52" s="197"/>
      <c r="T52" s="197"/>
      <c r="U52" s="197"/>
    </row>
    <row r="53" spans="1:21" s="12" customFormat="1" x14ac:dyDescent="0.25">
      <c r="A53" s="200" t="s">
        <v>2212</v>
      </c>
      <c r="B53" s="60">
        <v>1.64</v>
      </c>
      <c r="C53" s="60">
        <v>12.09</v>
      </c>
      <c r="D53" s="60">
        <v>13.73</v>
      </c>
      <c r="E53" s="60">
        <v>2.94</v>
      </c>
      <c r="F53" s="60">
        <v>1.32</v>
      </c>
      <c r="G53" s="8" t="s">
        <v>34</v>
      </c>
      <c r="H53" s="60">
        <v>27.67</v>
      </c>
      <c r="I53" s="60">
        <v>2.9</v>
      </c>
      <c r="J53" s="60">
        <v>0.04</v>
      </c>
      <c r="K53" s="60">
        <v>28.53</v>
      </c>
      <c r="L53" s="60">
        <v>31.17</v>
      </c>
      <c r="M53" s="60">
        <v>82.87</v>
      </c>
      <c r="N53" s="60">
        <v>757.3</v>
      </c>
      <c r="O53" s="60">
        <v>0</v>
      </c>
      <c r="P53" s="60">
        <v>3.62</v>
      </c>
      <c r="Q53" s="60">
        <v>5.1100000000000003</v>
      </c>
      <c r="R53" s="197"/>
      <c r="S53" s="197"/>
      <c r="T53" s="197"/>
      <c r="U53" s="197"/>
    </row>
    <row r="54" spans="1:21" s="12" customFormat="1" x14ac:dyDescent="0.25">
      <c r="A54" s="200" t="s">
        <v>2213</v>
      </c>
      <c r="B54" s="60">
        <v>1.78</v>
      </c>
      <c r="C54" s="60">
        <v>13.07</v>
      </c>
      <c r="D54" s="60">
        <v>14.85</v>
      </c>
      <c r="E54" s="60">
        <v>2.25</v>
      </c>
      <c r="F54" s="60">
        <v>1.67</v>
      </c>
      <c r="G54" s="8" t="s">
        <v>34</v>
      </c>
      <c r="H54" s="60">
        <v>41.59</v>
      </c>
      <c r="I54" s="60">
        <v>2.84</v>
      </c>
      <c r="J54" s="60">
        <v>0.14000000000000001</v>
      </c>
      <c r="K54" s="60">
        <v>26.6</v>
      </c>
      <c r="L54" s="60">
        <v>31.83</v>
      </c>
      <c r="M54" s="60">
        <v>81.16</v>
      </c>
      <c r="N54" s="60">
        <v>477.3</v>
      </c>
      <c r="O54" s="60">
        <v>0</v>
      </c>
      <c r="P54" s="60">
        <v>3.62</v>
      </c>
      <c r="Q54" s="60">
        <v>5.23</v>
      </c>
      <c r="R54" s="197"/>
      <c r="S54" s="197"/>
      <c r="T54" s="197"/>
      <c r="U54" s="197"/>
    </row>
    <row r="55" spans="1:21" s="12" customFormat="1" x14ac:dyDescent="0.25">
      <c r="A55" s="200" t="s">
        <v>2214</v>
      </c>
      <c r="B55" s="60">
        <v>1.57</v>
      </c>
      <c r="C55" s="60">
        <v>13.73</v>
      </c>
      <c r="D55" s="60">
        <v>15.3</v>
      </c>
      <c r="E55" s="60">
        <v>2.6</v>
      </c>
      <c r="F55" s="60">
        <v>1.61</v>
      </c>
      <c r="G55" s="8" t="s">
        <v>34</v>
      </c>
      <c r="H55" s="60">
        <v>44.59</v>
      </c>
      <c r="I55" s="60">
        <v>2.69</v>
      </c>
      <c r="J55" s="60">
        <v>0.08</v>
      </c>
      <c r="K55" s="60">
        <v>0.06</v>
      </c>
      <c r="L55" s="60">
        <v>31.3</v>
      </c>
      <c r="M55" s="60">
        <v>82.49</v>
      </c>
      <c r="N55" s="60">
        <v>327.60000000000002</v>
      </c>
      <c r="O55" s="60">
        <v>0</v>
      </c>
      <c r="P55" s="60">
        <v>3.64</v>
      </c>
      <c r="Q55" s="60">
        <v>4.87</v>
      </c>
      <c r="R55" s="197"/>
      <c r="S55" s="197"/>
      <c r="T55" s="197"/>
      <c r="U55" s="197"/>
    </row>
    <row r="56" spans="1:21" s="12" customFormat="1" x14ac:dyDescent="0.25">
      <c r="A56" s="200" t="s">
        <v>2215</v>
      </c>
      <c r="B56" s="60">
        <v>1.49</v>
      </c>
      <c r="C56" s="60">
        <v>13.91</v>
      </c>
      <c r="D56" s="60">
        <v>15.4</v>
      </c>
      <c r="E56" s="60">
        <v>1.07</v>
      </c>
      <c r="F56" s="60">
        <v>1.54</v>
      </c>
      <c r="G56" s="8" t="s">
        <v>34</v>
      </c>
      <c r="H56" s="60">
        <v>44.59</v>
      </c>
      <c r="I56" s="60">
        <v>2.6</v>
      </c>
      <c r="J56" s="60">
        <v>0.11</v>
      </c>
      <c r="K56" s="60">
        <v>39.28</v>
      </c>
      <c r="L56" s="60">
        <v>31.27</v>
      </c>
      <c r="M56" s="60">
        <v>82.59</v>
      </c>
      <c r="N56" s="60">
        <v>257</v>
      </c>
      <c r="O56" s="60">
        <v>0</v>
      </c>
      <c r="P56" s="60">
        <v>3.64</v>
      </c>
      <c r="Q56" s="60">
        <v>4.55</v>
      </c>
      <c r="R56" s="197"/>
      <c r="S56" s="197"/>
      <c r="T56" s="197"/>
      <c r="U56" s="197"/>
    </row>
    <row r="57" spans="1:21" s="12" customFormat="1" x14ac:dyDescent="0.25">
      <c r="A57" s="200" t="s">
        <v>2216</v>
      </c>
      <c r="B57" s="60">
        <v>1.48</v>
      </c>
      <c r="C57" s="60">
        <v>14.21</v>
      </c>
      <c r="D57" s="60">
        <v>15.7</v>
      </c>
      <c r="E57" s="60">
        <v>1.77</v>
      </c>
      <c r="F57" s="60">
        <v>1.54</v>
      </c>
      <c r="G57" s="8" t="s">
        <v>34</v>
      </c>
      <c r="H57" s="60">
        <v>44.59</v>
      </c>
      <c r="I57" s="60">
        <v>2.61</v>
      </c>
      <c r="J57" s="60">
        <v>0.14000000000000001</v>
      </c>
      <c r="K57" s="60">
        <v>12.5</v>
      </c>
      <c r="L57" s="60">
        <v>31.09</v>
      </c>
      <c r="M57" s="60">
        <v>83.09</v>
      </c>
      <c r="N57" s="60">
        <v>266.39999999999998</v>
      </c>
      <c r="O57" s="60">
        <v>0</v>
      </c>
      <c r="P57" s="60">
        <v>3.65</v>
      </c>
      <c r="Q57" s="60">
        <v>4.4000000000000004</v>
      </c>
      <c r="R57" s="197"/>
      <c r="S57" s="197"/>
      <c r="T57" s="197"/>
      <c r="U57" s="197"/>
    </row>
    <row r="58" spans="1:21" s="12" customFormat="1" x14ac:dyDescent="0.25">
      <c r="A58" s="200" t="s">
        <v>2217</v>
      </c>
      <c r="B58" s="60">
        <v>1.38</v>
      </c>
      <c r="C58" s="60">
        <v>14.39</v>
      </c>
      <c r="D58" s="60">
        <v>15.78</v>
      </c>
      <c r="E58" s="60">
        <v>1.87</v>
      </c>
      <c r="F58" s="60">
        <v>1.43</v>
      </c>
      <c r="G58" s="8" t="s">
        <v>34</v>
      </c>
      <c r="H58" s="60">
        <v>179.65</v>
      </c>
      <c r="I58" s="60">
        <v>2.57</v>
      </c>
      <c r="J58" s="60">
        <v>0.03</v>
      </c>
      <c r="K58" s="60">
        <v>26.31</v>
      </c>
      <c r="L58" s="60">
        <v>31.12</v>
      </c>
      <c r="M58" s="60">
        <v>83.25</v>
      </c>
      <c r="N58" s="60">
        <v>215.8</v>
      </c>
      <c r="O58" s="60">
        <v>0</v>
      </c>
      <c r="P58" s="60">
        <v>3.66</v>
      </c>
      <c r="Q58" s="60">
        <v>4.3</v>
      </c>
      <c r="R58" s="197"/>
      <c r="S58" s="197"/>
      <c r="T58" s="197"/>
      <c r="U58" s="197"/>
    </row>
    <row r="59" spans="1:21" s="12" customFormat="1" x14ac:dyDescent="0.25">
      <c r="A59" s="200" t="s">
        <v>2218</v>
      </c>
      <c r="B59" s="60">
        <v>1.45</v>
      </c>
      <c r="C59" s="60">
        <v>14.35</v>
      </c>
      <c r="D59" s="60">
        <v>15.8</v>
      </c>
      <c r="E59" s="60">
        <v>1.92</v>
      </c>
      <c r="F59" s="60">
        <v>0.98</v>
      </c>
      <c r="G59" s="8" t="s">
        <v>34</v>
      </c>
      <c r="H59" s="60">
        <v>208.85</v>
      </c>
      <c r="I59" s="60">
        <v>2.5299999999999998</v>
      </c>
      <c r="J59" s="60">
        <v>0.04</v>
      </c>
      <c r="K59" s="60">
        <v>269.11</v>
      </c>
      <c r="L59" s="60">
        <v>31.25</v>
      </c>
      <c r="M59" s="60">
        <v>82.55</v>
      </c>
      <c r="N59" s="60">
        <v>247.1</v>
      </c>
      <c r="O59" s="60">
        <v>0</v>
      </c>
      <c r="P59" s="60">
        <v>3.66</v>
      </c>
      <c r="Q59" s="60">
        <v>4.26</v>
      </c>
      <c r="R59" s="197"/>
      <c r="S59" s="197"/>
      <c r="T59" s="197"/>
      <c r="U59" s="197"/>
    </row>
    <row r="60" spans="1:21" s="12" customFormat="1" x14ac:dyDescent="0.25">
      <c r="A60" s="200" t="s">
        <v>2219</v>
      </c>
      <c r="B60" s="60">
        <v>1.6</v>
      </c>
      <c r="C60" s="60">
        <v>14.13</v>
      </c>
      <c r="D60" s="60">
        <v>15.73</v>
      </c>
      <c r="E60" s="60">
        <v>1.47</v>
      </c>
      <c r="F60" s="60">
        <v>0.89</v>
      </c>
      <c r="G60" s="8" t="s">
        <v>34</v>
      </c>
      <c r="H60" s="60">
        <v>208.85</v>
      </c>
      <c r="I60" s="60">
        <v>2.52</v>
      </c>
      <c r="J60" s="60">
        <v>0.08</v>
      </c>
      <c r="K60" s="60">
        <v>198.33</v>
      </c>
      <c r="L60" s="60">
        <v>31.15</v>
      </c>
      <c r="M60" s="60">
        <v>83.51</v>
      </c>
      <c r="N60" s="60">
        <v>177.4</v>
      </c>
      <c r="O60" s="60">
        <v>0</v>
      </c>
      <c r="P60" s="60">
        <v>3.66</v>
      </c>
      <c r="Q60" s="60">
        <v>4.26</v>
      </c>
      <c r="R60" s="197"/>
      <c r="S60" s="197"/>
      <c r="T60" s="197"/>
      <c r="U60" s="197"/>
    </row>
    <row r="61" spans="1:21" s="12" customFormat="1" x14ac:dyDescent="0.25">
      <c r="A61" s="200" t="s">
        <v>2220</v>
      </c>
      <c r="B61" s="60">
        <v>1.84</v>
      </c>
      <c r="C61" s="60">
        <v>13.86</v>
      </c>
      <c r="D61" s="60">
        <v>15.7</v>
      </c>
      <c r="E61" s="60">
        <v>1.65</v>
      </c>
      <c r="F61" s="60">
        <v>0.63</v>
      </c>
      <c r="G61" s="8" t="s">
        <v>34</v>
      </c>
      <c r="H61" s="60">
        <v>208.85</v>
      </c>
      <c r="I61" s="60">
        <v>2.54</v>
      </c>
      <c r="J61" s="60">
        <v>0.08</v>
      </c>
      <c r="K61" s="60">
        <v>252.69</v>
      </c>
      <c r="L61" s="60">
        <v>31.5</v>
      </c>
      <c r="M61" s="60">
        <v>82.45</v>
      </c>
      <c r="N61" s="60">
        <v>272.2</v>
      </c>
      <c r="O61" s="60">
        <v>0</v>
      </c>
      <c r="P61" s="60">
        <v>3.68</v>
      </c>
      <c r="Q61" s="60">
        <v>4.46</v>
      </c>
      <c r="R61" s="197"/>
      <c r="S61" s="197"/>
      <c r="T61" s="197"/>
      <c r="U61" s="197"/>
    </row>
    <row r="62" spans="1:21" s="12" customFormat="1" x14ac:dyDescent="0.25">
      <c r="A62" s="200" t="s">
        <v>2221</v>
      </c>
      <c r="B62" s="60">
        <v>2.0299999999999998</v>
      </c>
      <c r="C62" s="60">
        <v>13.23</v>
      </c>
      <c r="D62" s="60">
        <v>15.26</v>
      </c>
      <c r="E62" s="60">
        <v>1.72</v>
      </c>
      <c r="F62" s="60">
        <v>0.67</v>
      </c>
      <c r="G62" s="8" t="s">
        <v>34</v>
      </c>
      <c r="H62" s="60">
        <v>38.58</v>
      </c>
      <c r="I62" s="60">
        <v>2.58</v>
      </c>
      <c r="J62" s="60">
        <v>0.11</v>
      </c>
      <c r="K62" s="60">
        <v>211.52</v>
      </c>
      <c r="L62" s="60">
        <v>31.61</v>
      </c>
      <c r="M62" s="60">
        <v>81.98</v>
      </c>
      <c r="N62" s="60">
        <v>176.7</v>
      </c>
      <c r="O62" s="60">
        <v>0</v>
      </c>
      <c r="P62" s="60">
        <v>3.67</v>
      </c>
      <c r="Q62" s="60">
        <v>4.82</v>
      </c>
      <c r="R62" s="197"/>
      <c r="S62" s="197"/>
      <c r="T62" s="197"/>
      <c r="U62" s="197"/>
    </row>
    <row r="63" spans="1:21" s="12" customFormat="1" x14ac:dyDescent="0.25">
      <c r="A63" s="200" t="s">
        <v>2222</v>
      </c>
      <c r="B63" s="60">
        <v>2.52</v>
      </c>
      <c r="C63" s="60">
        <v>12.81</v>
      </c>
      <c r="D63" s="60">
        <v>15.32</v>
      </c>
      <c r="E63" s="60">
        <v>1.97</v>
      </c>
      <c r="F63" s="60">
        <v>0.62</v>
      </c>
      <c r="G63" s="8" t="s">
        <v>34</v>
      </c>
      <c r="H63" s="60">
        <v>4.5199999999999996</v>
      </c>
      <c r="I63" s="60">
        <v>2.69</v>
      </c>
      <c r="J63" s="60">
        <v>0.01</v>
      </c>
      <c r="K63" s="60">
        <v>220.32</v>
      </c>
      <c r="L63" s="60">
        <v>31.79</v>
      </c>
      <c r="M63" s="60">
        <v>81.2</v>
      </c>
      <c r="N63" s="60">
        <v>257.10000000000002</v>
      </c>
      <c r="O63" s="60">
        <v>0</v>
      </c>
      <c r="P63" s="60">
        <v>3.69</v>
      </c>
      <c r="Q63" s="60">
        <v>4.91</v>
      </c>
      <c r="R63" s="197"/>
      <c r="S63" s="197"/>
      <c r="T63" s="197"/>
      <c r="U63" s="197"/>
    </row>
    <row r="64" spans="1:21" s="12" customFormat="1" x14ac:dyDescent="0.25">
      <c r="A64" s="200" t="s">
        <v>2223</v>
      </c>
      <c r="B64" s="60">
        <v>3.76</v>
      </c>
      <c r="C64" s="60">
        <v>14.78</v>
      </c>
      <c r="D64" s="60">
        <v>18.54</v>
      </c>
      <c r="E64" s="60">
        <v>1.52</v>
      </c>
      <c r="F64" s="60">
        <v>1.1100000000000001</v>
      </c>
      <c r="G64" s="8" t="s">
        <v>34</v>
      </c>
      <c r="H64" s="60">
        <v>4.5199999999999996</v>
      </c>
      <c r="I64" s="60">
        <v>2.77</v>
      </c>
      <c r="J64" s="60">
        <v>0.12</v>
      </c>
      <c r="K64" s="60">
        <v>281.85000000000002</v>
      </c>
      <c r="L64" s="60">
        <v>31.77</v>
      </c>
      <c r="M64" s="60">
        <v>81.53</v>
      </c>
      <c r="N64" s="60">
        <v>116.3</v>
      </c>
      <c r="O64" s="60">
        <v>0</v>
      </c>
      <c r="P64" s="60">
        <v>3.71</v>
      </c>
      <c r="Q64" s="60">
        <v>3.8</v>
      </c>
      <c r="R64" s="197"/>
      <c r="S64" s="197"/>
      <c r="T64" s="197"/>
      <c r="U64" s="197"/>
    </row>
    <row r="65" spans="1:21" s="12" customFormat="1" x14ac:dyDescent="0.25">
      <c r="A65" s="200" t="s">
        <v>2224</v>
      </c>
      <c r="B65" s="60">
        <v>3.37</v>
      </c>
      <c r="C65" s="60">
        <v>14.13</v>
      </c>
      <c r="D65" s="60">
        <v>17.5</v>
      </c>
      <c r="E65" s="60">
        <v>1.57</v>
      </c>
      <c r="F65" s="60">
        <v>0.87</v>
      </c>
      <c r="G65" s="8" t="s">
        <v>34</v>
      </c>
      <c r="H65" s="60">
        <v>4.5199999999999996</v>
      </c>
      <c r="I65" s="60">
        <v>2.79</v>
      </c>
      <c r="J65" s="60">
        <v>0.05</v>
      </c>
      <c r="K65" s="60">
        <v>33.450000000000003</v>
      </c>
      <c r="L65" s="60">
        <v>31.55</v>
      </c>
      <c r="M65" s="60">
        <v>81.06</v>
      </c>
      <c r="N65" s="60">
        <v>133.4</v>
      </c>
      <c r="O65" s="60">
        <v>0</v>
      </c>
      <c r="P65" s="60">
        <v>3.71</v>
      </c>
      <c r="Q65" s="60">
        <v>58.68</v>
      </c>
      <c r="R65" s="197"/>
      <c r="S65" s="197"/>
      <c r="T65" s="197"/>
      <c r="U65" s="197"/>
    </row>
    <row r="66" spans="1:21" s="12" customFormat="1" x14ac:dyDescent="0.25">
      <c r="A66" s="200" t="s">
        <v>2225</v>
      </c>
      <c r="B66" s="60">
        <v>2.84</v>
      </c>
      <c r="C66" s="60">
        <v>13.61</v>
      </c>
      <c r="D66" s="60">
        <v>16.45</v>
      </c>
      <c r="E66" s="60">
        <v>2.17</v>
      </c>
      <c r="F66" s="60">
        <v>1.01</v>
      </c>
      <c r="G66" s="8" t="s">
        <v>34</v>
      </c>
      <c r="H66" s="60">
        <v>1.54</v>
      </c>
      <c r="I66" s="60">
        <v>2.85</v>
      </c>
      <c r="J66" s="60">
        <v>0.11</v>
      </c>
      <c r="K66" s="60">
        <v>276.72000000000003</v>
      </c>
      <c r="L66" s="60">
        <v>31.44</v>
      </c>
      <c r="M66" s="60">
        <v>81.05</v>
      </c>
      <c r="N66" s="60">
        <v>98.3</v>
      </c>
      <c r="O66" s="60">
        <v>0</v>
      </c>
      <c r="P66" s="60">
        <v>3.69</v>
      </c>
      <c r="Q66" s="60">
        <v>12.27</v>
      </c>
      <c r="R66" s="197"/>
      <c r="S66" s="197"/>
      <c r="T66" s="197"/>
      <c r="U66" s="197"/>
    </row>
    <row r="67" spans="1:21" s="12" customFormat="1" x14ac:dyDescent="0.25">
      <c r="A67" s="200" t="s">
        <v>2226</v>
      </c>
      <c r="B67" s="60">
        <v>2.33</v>
      </c>
      <c r="C67" s="60">
        <v>12.94</v>
      </c>
      <c r="D67" s="60">
        <v>15.28</v>
      </c>
      <c r="E67" s="60">
        <v>1.97</v>
      </c>
      <c r="F67" s="60">
        <v>2.14</v>
      </c>
      <c r="G67" s="8" t="s">
        <v>34</v>
      </c>
      <c r="H67" s="60">
        <v>0.9</v>
      </c>
      <c r="I67" s="60">
        <v>2.8</v>
      </c>
      <c r="J67" s="60">
        <v>0.16</v>
      </c>
      <c r="K67" s="60">
        <v>248.65</v>
      </c>
      <c r="L67" s="60">
        <v>32.54</v>
      </c>
      <c r="M67" s="60">
        <v>81.260000000000005</v>
      </c>
      <c r="N67" s="60">
        <v>128.6</v>
      </c>
      <c r="O67" s="60">
        <v>0</v>
      </c>
      <c r="P67" s="60">
        <v>3.69</v>
      </c>
      <c r="Q67" s="60">
        <v>157.37</v>
      </c>
      <c r="R67" s="197"/>
      <c r="S67" s="197"/>
      <c r="T67" s="197"/>
      <c r="U67" s="197"/>
    </row>
    <row r="68" spans="1:21" s="12" customFormat="1" x14ac:dyDescent="0.25">
      <c r="A68" s="200" t="s">
        <v>2227</v>
      </c>
      <c r="B68" s="60">
        <v>2.08</v>
      </c>
      <c r="C68" s="60">
        <v>12.84</v>
      </c>
      <c r="D68" s="60">
        <v>14.92</v>
      </c>
      <c r="E68" s="60">
        <v>1.05</v>
      </c>
      <c r="F68" s="60">
        <v>2.0299999999999998</v>
      </c>
      <c r="G68" s="8" t="s">
        <v>34</v>
      </c>
      <c r="H68" s="60">
        <v>0.9</v>
      </c>
      <c r="I68" s="60">
        <v>2.75</v>
      </c>
      <c r="J68" s="60">
        <v>0.04</v>
      </c>
      <c r="K68" s="60">
        <v>1.27</v>
      </c>
      <c r="L68" s="60">
        <v>32.15</v>
      </c>
      <c r="M68" s="60">
        <v>87.24</v>
      </c>
      <c r="N68" s="60">
        <v>93.3</v>
      </c>
      <c r="O68" s="60">
        <v>0</v>
      </c>
      <c r="P68" s="60">
        <v>3.73</v>
      </c>
      <c r="Q68" s="60">
        <v>142.25</v>
      </c>
      <c r="R68" s="197"/>
      <c r="S68" s="197"/>
      <c r="T68" s="197"/>
      <c r="U68" s="197"/>
    </row>
    <row r="69" spans="1:21" s="12" customFormat="1" x14ac:dyDescent="0.25">
      <c r="A69" s="200" t="s">
        <v>2228</v>
      </c>
      <c r="B69" s="60">
        <v>2.38</v>
      </c>
      <c r="C69" s="60">
        <v>13.21</v>
      </c>
      <c r="D69" s="60">
        <v>15.59</v>
      </c>
      <c r="E69" s="60">
        <v>1.3</v>
      </c>
      <c r="F69" s="60">
        <v>1.56</v>
      </c>
      <c r="G69" s="8" t="s">
        <v>34</v>
      </c>
      <c r="H69" s="60">
        <v>0.9</v>
      </c>
      <c r="I69" s="60">
        <v>2.56</v>
      </c>
      <c r="J69" s="60">
        <v>0.06</v>
      </c>
      <c r="K69" s="60">
        <v>260.7</v>
      </c>
      <c r="L69" s="60">
        <v>32.6</v>
      </c>
      <c r="M69" s="60">
        <v>83.79</v>
      </c>
      <c r="N69" s="60">
        <v>298.2</v>
      </c>
      <c r="O69" s="60">
        <v>0</v>
      </c>
      <c r="P69" s="60">
        <v>3.77</v>
      </c>
      <c r="Q69" s="60">
        <v>137.37</v>
      </c>
      <c r="R69" s="197"/>
      <c r="S69" s="197"/>
      <c r="T69" s="197"/>
      <c r="U69" s="197"/>
    </row>
    <row r="70" spans="1:21" s="12" customFormat="1" x14ac:dyDescent="0.25">
      <c r="A70" s="200" t="s">
        <v>2229</v>
      </c>
      <c r="B70" s="60">
        <v>2.13</v>
      </c>
      <c r="C70" s="60">
        <v>13.3</v>
      </c>
      <c r="D70" s="60">
        <v>15.42</v>
      </c>
      <c r="E70" s="60">
        <v>0.74</v>
      </c>
      <c r="F70" s="60">
        <v>1.75</v>
      </c>
      <c r="G70" s="8" t="s">
        <v>34</v>
      </c>
      <c r="H70" s="60">
        <v>6.81</v>
      </c>
      <c r="I70" s="60">
        <v>2.4700000000000002</v>
      </c>
      <c r="J70" s="60">
        <v>0.22</v>
      </c>
      <c r="K70" s="60">
        <v>247.84</v>
      </c>
      <c r="L70" s="60">
        <v>32.950000000000003</v>
      </c>
      <c r="M70" s="60">
        <v>80.69</v>
      </c>
      <c r="N70" s="60">
        <v>160.30000000000001</v>
      </c>
      <c r="O70" s="60">
        <v>0</v>
      </c>
      <c r="P70" s="60">
        <v>3.75</v>
      </c>
      <c r="Q70" s="60">
        <v>114.48</v>
      </c>
      <c r="R70" s="197"/>
      <c r="S70" s="197"/>
      <c r="T70" s="197"/>
      <c r="U70" s="197"/>
    </row>
    <row r="71" spans="1:21" s="12" customFormat="1" x14ac:dyDescent="0.25">
      <c r="A71" s="200" t="s">
        <v>2230</v>
      </c>
      <c r="B71" s="60">
        <v>1.55</v>
      </c>
      <c r="C71" s="60">
        <v>12.71</v>
      </c>
      <c r="D71" s="60">
        <v>14.26</v>
      </c>
      <c r="E71" s="60">
        <v>0.55000000000000004</v>
      </c>
      <c r="F71" s="60">
        <v>1.88</v>
      </c>
      <c r="G71" s="8" t="s">
        <v>34</v>
      </c>
      <c r="H71" s="60">
        <v>7.45</v>
      </c>
      <c r="I71" s="60">
        <v>2.5099999999999998</v>
      </c>
      <c r="J71" s="60">
        <v>7.0000000000000007E-2</v>
      </c>
      <c r="K71" s="60">
        <v>233.69</v>
      </c>
      <c r="L71" s="60">
        <v>32.92</v>
      </c>
      <c r="M71" s="60">
        <v>80.28</v>
      </c>
      <c r="N71" s="60">
        <v>187.2</v>
      </c>
      <c r="O71" s="60">
        <v>0</v>
      </c>
      <c r="P71" s="60">
        <v>3.7</v>
      </c>
      <c r="Q71" s="60">
        <v>95.23</v>
      </c>
      <c r="R71" s="197"/>
      <c r="S71" s="197"/>
      <c r="T71" s="197"/>
      <c r="U71" s="197"/>
    </row>
    <row r="72" spans="1:21" s="12" customFormat="1" x14ac:dyDescent="0.25">
      <c r="A72" s="200" t="s">
        <v>2231</v>
      </c>
      <c r="B72" s="60">
        <v>1.35</v>
      </c>
      <c r="C72" s="60">
        <v>12.31</v>
      </c>
      <c r="D72" s="60">
        <v>13.66</v>
      </c>
      <c r="E72" s="60">
        <v>0.88</v>
      </c>
      <c r="F72" s="60">
        <v>1.96</v>
      </c>
      <c r="G72" s="26" t="s">
        <v>40</v>
      </c>
      <c r="H72" s="26" t="s">
        <v>40</v>
      </c>
      <c r="I72" s="60">
        <v>2.37</v>
      </c>
      <c r="J72" s="60">
        <v>0.24</v>
      </c>
      <c r="K72" s="60">
        <v>209.09</v>
      </c>
      <c r="L72" s="60">
        <v>33.590000000000003</v>
      </c>
      <c r="M72" s="60">
        <v>79.989999999999995</v>
      </c>
      <c r="N72" s="60">
        <v>138.30000000000001</v>
      </c>
      <c r="O72" s="60">
        <v>0</v>
      </c>
      <c r="P72" s="60">
        <v>3.68</v>
      </c>
      <c r="Q72" s="60">
        <v>88.6</v>
      </c>
      <c r="R72" s="197"/>
      <c r="S72" s="197"/>
      <c r="T72" s="197"/>
      <c r="U72" s="197"/>
    </row>
    <row r="73" spans="1:21" s="12" customFormat="1" x14ac:dyDescent="0.25">
      <c r="A73" s="200" t="s">
        <v>2232</v>
      </c>
      <c r="B73" s="60">
        <v>0.91</v>
      </c>
      <c r="C73" s="60">
        <v>12.11</v>
      </c>
      <c r="D73" s="60">
        <v>13.02</v>
      </c>
      <c r="E73" s="60">
        <v>1.32</v>
      </c>
      <c r="F73" s="60">
        <v>2.0099999999999998</v>
      </c>
      <c r="G73" s="26" t="s">
        <v>40</v>
      </c>
      <c r="H73" s="26" t="s">
        <v>40</v>
      </c>
      <c r="I73" s="60">
        <v>2.2799999999999998</v>
      </c>
      <c r="J73" s="60">
        <v>0.3</v>
      </c>
      <c r="K73" s="60">
        <v>224.35</v>
      </c>
      <c r="L73" s="60">
        <v>32.57</v>
      </c>
      <c r="M73" s="60">
        <v>80.209999999999994</v>
      </c>
      <c r="N73" s="60">
        <v>163.6</v>
      </c>
      <c r="O73" s="60">
        <v>0</v>
      </c>
      <c r="P73" s="60">
        <v>3.66</v>
      </c>
      <c r="Q73" s="60">
        <v>77.62</v>
      </c>
      <c r="R73" s="197"/>
      <c r="S73" s="197"/>
      <c r="T73" s="197"/>
      <c r="U73" s="197"/>
    </row>
    <row r="74" spans="1:21" s="12" customFormat="1" x14ac:dyDescent="0.25">
      <c r="A74" s="200" t="s">
        <v>2233</v>
      </c>
      <c r="B74" s="60">
        <v>0.54</v>
      </c>
      <c r="C74" s="60">
        <v>11.39</v>
      </c>
      <c r="D74" s="60">
        <v>11.93</v>
      </c>
      <c r="E74" s="60">
        <v>1.38</v>
      </c>
      <c r="F74" s="60">
        <v>3.2</v>
      </c>
      <c r="G74" s="26" t="s">
        <v>40</v>
      </c>
      <c r="H74" s="26" t="s">
        <v>40</v>
      </c>
      <c r="I74" s="60">
        <v>2.19</v>
      </c>
      <c r="J74" s="60">
        <v>0.14000000000000001</v>
      </c>
      <c r="K74" s="60">
        <v>230.78</v>
      </c>
      <c r="L74" s="60">
        <v>32.92</v>
      </c>
      <c r="M74" s="60">
        <v>79.61</v>
      </c>
      <c r="N74" s="60">
        <v>168.2</v>
      </c>
      <c r="O74" s="60">
        <v>0</v>
      </c>
      <c r="P74" s="60">
        <v>3.61</v>
      </c>
      <c r="Q74" s="60">
        <v>71.66</v>
      </c>
      <c r="R74" s="197"/>
      <c r="S74" s="197"/>
      <c r="T74" s="197"/>
      <c r="U74" s="197"/>
    </row>
    <row r="75" spans="1:21" s="12" customFormat="1" x14ac:dyDescent="0.25">
      <c r="A75" s="200" t="s">
        <v>2234</v>
      </c>
      <c r="B75" s="60">
        <v>0.28999999999999998</v>
      </c>
      <c r="C75" s="60">
        <v>10.75</v>
      </c>
      <c r="D75" s="60">
        <v>11.05</v>
      </c>
      <c r="E75" s="60">
        <v>1.1499999999999999</v>
      </c>
      <c r="F75" s="60">
        <v>2.2200000000000002</v>
      </c>
      <c r="G75" s="60">
        <v>3</v>
      </c>
      <c r="H75" s="60">
        <v>1.1399999999999999</v>
      </c>
      <c r="I75" s="60">
        <v>2.0499999999999998</v>
      </c>
      <c r="J75" s="60">
        <v>0.37</v>
      </c>
      <c r="K75" s="60">
        <v>227.08</v>
      </c>
      <c r="L75" s="60">
        <v>37.29</v>
      </c>
      <c r="M75" s="60">
        <v>79.930000000000007</v>
      </c>
      <c r="N75" s="60">
        <v>148.19999999999999</v>
      </c>
      <c r="O75" s="60">
        <v>0</v>
      </c>
      <c r="P75" s="60">
        <v>3.61</v>
      </c>
      <c r="Q75" s="60">
        <v>67.19</v>
      </c>
      <c r="R75" s="197"/>
      <c r="S75" s="197"/>
      <c r="T75" s="197"/>
      <c r="U75" s="197"/>
    </row>
    <row r="76" spans="1:21" s="12" customFormat="1" x14ac:dyDescent="0.25">
      <c r="A76" s="200" t="s">
        <v>2235</v>
      </c>
      <c r="B76" s="60">
        <v>0.38</v>
      </c>
      <c r="C76" s="60">
        <v>10.29</v>
      </c>
      <c r="D76" s="60">
        <v>10.67</v>
      </c>
      <c r="E76" s="60">
        <v>1.41</v>
      </c>
      <c r="F76" s="60">
        <v>1.18</v>
      </c>
      <c r="G76" s="60">
        <v>33.78</v>
      </c>
      <c r="H76" s="60">
        <v>12.81</v>
      </c>
      <c r="I76" s="60">
        <v>1.93</v>
      </c>
      <c r="J76" s="60">
        <v>0.23</v>
      </c>
      <c r="K76" s="60">
        <v>212.75</v>
      </c>
      <c r="L76" s="60">
        <v>39.29</v>
      </c>
      <c r="M76" s="60">
        <v>79.89</v>
      </c>
      <c r="N76" s="60">
        <v>141.9</v>
      </c>
      <c r="O76" s="60">
        <v>0</v>
      </c>
      <c r="P76" s="60">
        <v>3.62</v>
      </c>
      <c r="Q76" s="60">
        <v>64.930000000000007</v>
      </c>
      <c r="R76" s="197"/>
      <c r="S76" s="197"/>
      <c r="T76" s="197"/>
      <c r="U76" s="197"/>
    </row>
    <row r="77" spans="1:21" s="12" customFormat="1" x14ac:dyDescent="0.25">
      <c r="A77" s="200" t="s">
        <v>2236</v>
      </c>
      <c r="B77" s="60">
        <v>0.59</v>
      </c>
      <c r="C77" s="60">
        <v>9.68</v>
      </c>
      <c r="D77" s="60">
        <v>10.26</v>
      </c>
      <c r="E77" s="60">
        <v>1.43</v>
      </c>
      <c r="F77" s="60">
        <v>1.1599999999999999</v>
      </c>
      <c r="G77" s="60">
        <v>33.78</v>
      </c>
      <c r="H77" s="60">
        <v>12.81</v>
      </c>
      <c r="I77" s="60">
        <v>1.88</v>
      </c>
      <c r="J77" s="60">
        <v>0.3</v>
      </c>
      <c r="K77" s="60">
        <v>210.24</v>
      </c>
      <c r="L77" s="60">
        <v>34.85</v>
      </c>
      <c r="M77" s="60">
        <v>80.540000000000006</v>
      </c>
      <c r="N77" s="60">
        <v>95.9</v>
      </c>
      <c r="O77" s="60">
        <v>0</v>
      </c>
      <c r="P77" s="60">
        <v>3.61</v>
      </c>
      <c r="Q77" s="60">
        <v>62.16</v>
      </c>
      <c r="R77" s="197"/>
      <c r="S77" s="197"/>
      <c r="T77" s="197"/>
      <c r="U77" s="197"/>
    </row>
    <row r="78" spans="1:21" s="12" customFormat="1" x14ac:dyDescent="0.25">
      <c r="A78" s="200" t="s">
        <v>2237</v>
      </c>
      <c r="B78" s="60">
        <v>0.73</v>
      </c>
      <c r="C78" s="60">
        <v>8.74</v>
      </c>
      <c r="D78" s="60">
        <v>9.4700000000000006</v>
      </c>
      <c r="E78" s="60">
        <v>1.7</v>
      </c>
      <c r="F78" s="60">
        <v>1.46</v>
      </c>
      <c r="G78" s="60">
        <v>33.78</v>
      </c>
      <c r="H78" s="60">
        <v>12.81</v>
      </c>
      <c r="I78" s="60">
        <v>1.99</v>
      </c>
      <c r="J78" s="60">
        <v>0.16</v>
      </c>
      <c r="K78" s="60">
        <v>204.23</v>
      </c>
      <c r="L78" s="60">
        <v>33.630000000000003</v>
      </c>
      <c r="M78" s="60">
        <v>80.72</v>
      </c>
      <c r="N78" s="60">
        <v>67.7</v>
      </c>
      <c r="O78" s="60">
        <v>0</v>
      </c>
      <c r="P78" s="60">
        <v>3.62</v>
      </c>
      <c r="Q78" s="60">
        <v>55.02</v>
      </c>
      <c r="R78" s="197"/>
      <c r="S78" s="197"/>
      <c r="T78" s="197"/>
      <c r="U78" s="197"/>
    </row>
    <row r="79" spans="1:21" s="12" customFormat="1" x14ac:dyDescent="0.25">
      <c r="A79" s="200" t="s">
        <v>2238</v>
      </c>
      <c r="B79" s="60">
        <v>0.83</v>
      </c>
      <c r="C79" s="60">
        <v>8.36</v>
      </c>
      <c r="D79" s="60">
        <v>9.1999999999999993</v>
      </c>
      <c r="E79" s="60">
        <v>2.0499999999999998</v>
      </c>
      <c r="F79" s="60">
        <v>0.46</v>
      </c>
      <c r="G79" s="60">
        <v>33.880000000000003</v>
      </c>
      <c r="H79" s="60">
        <v>26.38</v>
      </c>
      <c r="I79" s="60">
        <v>2.08</v>
      </c>
      <c r="J79" s="60">
        <v>0.34</v>
      </c>
      <c r="K79" s="60">
        <v>217.57</v>
      </c>
      <c r="L79" s="60">
        <v>33.68</v>
      </c>
      <c r="M79" s="60">
        <v>81.06</v>
      </c>
      <c r="N79" s="60">
        <v>40.9</v>
      </c>
      <c r="O79" s="60">
        <v>0</v>
      </c>
      <c r="P79" s="60">
        <v>3.63</v>
      </c>
      <c r="Q79" s="60">
        <v>56.12</v>
      </c>
      <c r="R79" s="197"/>
      <c r="S79" s="197"/>
      <c r="T79" s="197"/>
      <c r="U79" s="197"/>
    </row>
    <row r="80" spans="1:21" s="12" customFormat="1" x14ac:dyDescent="0.25">
      <c r="A80" s="200" t="s">
        <v>2239</v>
      </c>
      <c r="B80" s="60">
        <v>0.94</v>
      </c>
      <c r="C80" s="60">
        <v>8.2200000000000006</v>
      </c>
      <c r="D80" s="60">
        <v>9.15</v>
      </c>
      <c r="E80" s="60">
        <v>2.1800000000000002</v>
      </c>
      <c r="F80" s="60">
        <v>1.1200000000000001</v>
      </c>
      <c r="G80" s="10" t="s">
        <v>43</v>
      </c>
      <c r="H80" s="60">
        <v>165.48</v>
      </c>
      <c r="I80" s="60">
        <v>2.15</v>
      </c>
      <c r="J80" s="60">
        <v>7.0000000000000007E-2</v>
      </c>
      <c r="K80" s="60">
        <v>345.93</v>
      </c>
      <c r="L80" s="60">
        <v>34.03</v>
      </c>
      <c r="M80" s="60">
        <v>80.14</v>
      </c>
      <c r="N80" s="60">
        <v>42.2</v>
      </c>
      <c r="O80" s="60">
        <v>0</v>
      </c>
      <c r="P80" s="60">
        <v>3.62</v>
      </c>
      <c r="Q80" s="60">
        <v>56.61</v>
      </c>
      <c r="R80" s="197"/>
      <c r="S80" s="197"/>
      <c r="T80" s="197"/>
      <c r="U80" s="197"/>
    </row>
    <row r="81" spans="1:26" s="12" customFormat="1" x14ac:dyDescent="0.25">
      <c r="A81" s="200" t="s">
        <v>2240</v>
      </c>
      <c r="B81" s="60">
        <v>1.02</v>
      </c>
      <c r="C81" s="60">
        <v>8.2200000000000006</v>
      </c>
      <c r="D81" s="60">
        <v>9.24</v>
      </c>
      <c r="E81" s="60">
        <v>2.34</v>
      </c>
      <c r="F81" s="60">
        <v>0.94</v>
      </c>
      <c r="G81" s="10" t="s">
        <v>43</v>
      </c>
      <c r="H81" s="60">
        <v>165.48</v>
      </c>
      <c r="I81" s="60">
        <v>2.2799999999999998</v>
      </c>
      <c r="J81" s="60">
        <v>7.0000000000000007E-2</v>
      </c>
      <c r="K81" s="60">
        <v>176.05</v>
      </c>
      <c r="L81" s="60">
        <v>34.340000000000003</v>
      </c>
      <c r="M81" s="60">
        <v>80.41</v>
      </c>
      <c r="N81" s="60">
        <v>27.9</v>
      </c>
      <c r="O81" s="60">
        <v>0</v>
      </c>
      <c r="P81" s="60">
        <v>3.65</v>
      </c>
      <c r="Q81" s="60">
        <v>52.77</v>
      </c>
      <c r="R81" s="197"/>
      <c r="S81" s="197"/>
      <c r="T81" s="197"/>
      <c r="U81" s="197"/>
    </row>
    <row r="82" spans="1:26" s="12" customFormat="1" x14ac:dyDescent="0.25">
      <c r="A82" s="200" t="s">
        <v>2241</v>
      </c>
      <c r="B82" s="60">
        <v>1.08</v>
      </c>
      <c r="C82" s="60">
        <v>8.66</v>
      </c>
      <c r="D82" s="60">
        <v>9.74</v>
      </c>
      <c r="E82" s="60">
        <v>2.62</v>
      </c>
      <c r="F82" s="60">
        <v>0.35</v>
      </c>
      <c r="G82" s="10" t="s">
        <v>43</v>
      </c>
      <c r="H82" s="60">
        <v>165.48</v>
      </c>
      <c r="I82" s="60">
        <v>2.36</v>
      </c>
      <c r="J82" s="60">
        <v>0.19</v>
      </c>
      <c r="K82" s="60">
        <v>243.23</v>
      </c>
      <c r="L82" s="60">
        <v>38.19</v>
      </c>
      <c r="M82" s="60">
        <v>81</v>
      </c>
      <c r="N82" s="60">
        <v>18.2</v>
      </c>
      <c r="O82" s="60">
        <v>0</v>
      </c>
      <c r="P82" s="60">
        <v>3.65</v>
      </c>
      <c r="Q82" s="60">
        <v>56.87</v>
      </c>
      <c r="R82" s="197"/>
      <c r="S82" s="197"/>
      <c r="T82" s="197"/>
      <c r="U82" s="197"/>
    </row>
    <row r="83" spans="1:26" s="12" customFormat="1" x14ac:dyDescent="0.25">
      <c r="A83" s="200" t="s">
        <v>2242</v>
      </c>
      <c r="B83" s="60">
        <v>1.1299999999999999</v>
      </c>
      <c r="C83" s="60">
        <v>8.1999999999999993</v>
      </c>
      <c r="D83" s="60">
        <v>9.32</v>
      </c>
      <c r="E83" s="60">
        <v>2.67</v>
      </c>
      <c r="F83" s="60">
        <v>0.6</v>
      </c>
      <c r="G83" s="10" t="s">
        <v>43</v>
      </c>
      <c r="H83" s="60">
        <v>174.77</v>
      </c>
      <c r="I83" s="60">
        <v>2.46</v>
      </c>
      <c r="J83" s="60">
        <v>0.18</v>
      </c>
      <c r="K83" s="60">
        <v>217.05</v>
      </c>
      <c r="L83" s="60">
        <v>40.549999999999997</v>
      </c>
      <c r="M83" s="60">
        <v>81.599999999999994</v>
      </c>
      <c r="N83" s="60">
        <v>15.6</v>
      </c>
      <c r="O83" s="60">
        <v>0</v>
      </c>
      <c r="P83" s="60">
        <v>3.67</v>
      </c>
      <c r="Q83" s="60">
        <v>55.75</v>
      </c>
      <c r="R83" s="197"/>
      <c r="S83" s="197"/>
      <c r="T83" s="197"/>
      <c r="U83" s="197"/>
    </row>
    <row r="84" spans="1:26" s="12" customFormat="1" x14ac:dyDescent="0.25">
      <c r="A84" s="200" t="s">
        <v>2243</v>
      </c>
      <c r="B84" s="60">
        <v>1.08</v>
      </c>
      <c r="C84" s="60">
        <v>7.83</v>
      </c>
      <c r="D84" s="60">
        <v>8.91</v>
      </c>
      <c r="E84" s="60">
        <v>2.39</v>
      </c>
      <c r="F84" s="60">
        <v>0.63</v>
      </c>
      <c r="G84" s="10" t="s">
        <v>43</v>
      </c>
      <c r="H84" s="60">
        <v>270.01</v>
      </c>
      <c r="I84" s="60">
        <v>2.6</v>
      </c>
      <c r="J84" s="60">
        <v>0.13</v>
      </c>
      <c r="K84" s="60">
        <v>245.25</v>
      </c>
      <c r="L84" s="60">
        <v>39.520000000000003</v>
      </c>
      <c r="M84" s="60">
        <v>81.36</v>
      </c>
      <c r="N84" s="60">
        <v>15.2</v>
      </c>
      <c r="O84" s="60">
        <v>0</v>
      </c>
      <c r="P84" s="60">
        <v>3.66</v>
      </c>
      <c r="Q84" s="60">
        <v>56.67</v>
      </c>
      <c r="R84" s="197"/>
      <c r="S84" s="197"/>
      <c r="T84" s="197"/>
      <c r="U84" s="197"/>
    </row>
    <row r="85" spans="1:26" s="12" customFormat="1" x14ac:dyDescent="0.25">
      <c r="A85" s="200" t="s">
        <v>2244</v>
      </c>
      <c r="B85" s="60">
        <v>0.96</v>
      </c>
      <c r="C85" s="60">
        <v>7.85</v>
      </c>
      <c r="D85" s="60">
        <v>8.81</v>
      </c>
      <c r="E85" s="60">
        <v>2.86</v>
      </c>
      <c r="F85" s="60">
        <v>0.93</v>
      </c>
      <c r="G85" s="10" t="s">
        <v>43</v>
      </c>
      <c r="H85" s="60">
        <v>270.01</v>
      </c>
      <c r="I85" s="60">
        <v>2.71</v>
      </c>
      <c r="J85" s="60">
        <v>0.18</v>
      </c>
      <c r="K85" s="60">
        <v>204.78</v>
      </c>
      <c r="L85" s="60">
        <v>39.28</v>
      </c>
      <c r="M85" s="60">
        <v>81.75</v>
      </c>
      <c r="N85" s="60">
        <v>15.1</v>
      </c>
      <c r="O85" s="60">
        <v>0</v>
      </c>
      <c r="P85" s="60">
        <v>3.67</v>
      </c>
      <c r="Q85" s="60">
        <v>55.89</v>
      </c>
      <c r="R85" s="197"/>
      <c r="S85" s="197"/>
      <c r="T85" s="197"/>
      <c r="U85" s="197"/>
    </row>
    <row r="86" spans="1:26" s="12" customFormat="1" x14ac:dyDescent="0.25">
      <c r="A86" s="200" t="s">
        <v>2245</v>
      </c>
      <c r="B86" s="60">
        <v>0.9</v>
      </c>
      <c r="C86" s="60">
        <v>7.88</v>
      </c>
      <c r="D86" s="60">
        <v>8.7799999999999994</v>
      </c>
      <c r="E86" s="60">
        <v>2.62</v>
      </c>
      <c r="F86" s="60">
        <v>1.01</v>
      </c>
      <c r="G86" s="10" t="s">
        <v>43</v>
      </c>
      <c r="H86" s="60">
        <v>270.01</v>
      </c>
      <c r="I86" s="60">
        <v>2.81</v>
      </c>
      <c r="J86" s="60">
        <v>0.21</v>
      </c>
      <c r="K86" s="60">
        <v>217.71</v>
      </c>
      <c r="L86" s="60">
        <v>41.18</v>
      </c>
      <c r="M86" s="60">
        <v>81.69</v>
      </c>
      <c r="N86" s="60">
        <v>15.2</v>
      </c>
      <c r="O86" s="60">
        <v>0</v>
      </c>
      <c r="P86" s="60">
        <v>3.66</v>
      </c>
      <c r="Q86" s="60">
        <v>55.54</v>
      </c>
      <c r="R86" s="197"/>
      <c r="S86" s="197"/>
      <c r="T86" s="197"/>
      <c r="U86" s="197"/>
    </row>
    <row r="87" spans="1:26" s="12" customFormat="1" x14ac:dyDescent="0.25">
      <c r="A87" s="200" t="s">
        <v>2246</v>
      </c>
      <c r="B87" s="60">
        <v>0.94</v>
      </c>
      <c r="C87" s="60">
        <v>7.87</v>
      </c>
      <c r="D87" s="60">
        <v>8.81</v>
      </c>
      <c r="E87" s="60">
        <v>2.88</v>
      </c>
      <c r="F87" s="60">
        <v>0.68</v>
      </c>
      <c r="G87" s="10" t="s">
        <v>43</v>
      </c>
      <c r="H87" s="60">
        <v>246.81</v>
      </c>
      <c r="I87" s="60">
        <v>2.88</v>
      </c>
      <c r="J87" s="60">
        <v>0.26</v>
      </c>
      <c r="K87" s="60">
        <v>208.74</v>
      </c>
      <c r="L87" s="60">
        <v>42.73</v>
      </c>
      <c r="M87" s="60">
        <v>81.89</v>
      </c>
      <c r="N87" s="60">
        <v>15.3</v>
      </c>
      <c r="O87" s="60">
        <v>0</v>
      </c>
      <c r="P87" s="60">
        <v>3.67</v>
      </c>
      <c r="Q87" s="60">
        <v>55.11</v>
      </c>
      <c r="R87" s="197"/>
      <c r="S87" s="197"/>
      <c r="T87" s="197"/>
      <c r="U87" s="197"/>
    </row>
    <row r="88" spans="1:26" s="12" customFormat="1" x14ac:dyDescent="0.25">
      <c r="A88" s="200" t="s">
        <v>2247</v>
      </c>
      <c r="B88" s="60">
        <v>1.02</v>
      </c>
      <c r="C88" s="60">
        <v>7.74</v>
      </c>
      <c r="D88" s="60">
        <v>8.76</v>
      </c>
      <c r="E88" s="60">
        <v>2.08</v>
      </c>
      <c r="F88" s="60">
        <v>0.52</v>
      </c>
      <c r="G88" s="60">
        <v>36.75</v>
      </c>
      <c r="H88" s="60">
        <v>9.0299999999999994</v>
      </c>
      <c r="I88" s="60">
        <v>3.02</v>
      </c>
      <c r="J88" s="60">
        <v>0.31</v>
      </c>
      <c r="K88" s="60">
        <v>216.62</v>
      </c>
      <c r="L88" s="60">
        <v>43.65</v>
      </c>
      <c r="M88" s="60">
        <v>82.1</v>
      </c>
      <c r="N88" s="60">
        <v>15.3</v>
      </c>
      <c r="O88" s="60">
        <v>0</v>
      </c>
      <c r="P88" s="60">
        <v>3.67</v>
      </c>
      <c r="Q88" s="60">
        <v>55.49</v>
      </c>
      <c r="R88" s="197"/>
      <c r="S88" s="197"/>
      <c r="T88" s="197"/>
      <c r="U88" s="197"/>
    </row>
    <row r="89" spans="1:26" s="12" customFormat="1" x14ac:dyDescent="0.25">
      <c r="A89" s="200" t="s">
        <v>2248</v>
      </c>
      <c r="B89" s="60">
        <v>1.01</v>
      </c>
      <c r="C89" s="60">
        <v>7.43</v>
      </c>
      <c r="D89" s="60">
        <v>8.44</v>
      </c>
      <c r="E89" s="60">
        <v>3.83</v>
      </c>
      <c r="F89" s="60">
        <v>0.76</v>
      </c>
      <c r="G89" s="60">
        <v>36.75</v>
      </c>
      <c r="H89" s="60">
        <v>9.0299999999999994</v>
      </c>
      <c r="I89" s="60">
        <v>3.12</v>
      </c>
      <c r="J89" s="60">
        <v>0.45</v>
      </c>
      <c r="K89" s="60">
        <v>207.7</v>
      </c>
      <c r="L89" s="60">
        <v>40.97</v>
      </c>
      <c r="M89" s="60">
        <v>82.27</v>
      </c>
      <c r="N89" s="60">
        <v>15.4</v>
      </c>
      <c r="O89" s="60">
        <v>0</v>
      </c>
      <c r="P89" s="60">
        <v>3.66</v>
      </c>
      <c r="Q89" s="60">
        <v>54.86</v>
      </c>
      <c r="R89" s="197"/>
      <c r="S89" s="197"/>
      <c r="T89" s="197"/>
      <c r="U89" s="197"/>
    </row>
    <row r="90" spans="1:26" s="12" customFormat="1" x14ac:dyDescent="0.25">
      <c r="A90" s="200" t="s">
        <v>2249</v>
      </c>
      <c r="B90" s="60">
        <v>0.96</v>
      </c>
      <c r="C90" s="60">
        <v>7.26</v>
      </c>
      <c r="D90" s="60">
        <v>8.2200000000000006</v>
      </c>
      <c r="E90" s="60">
        <v>4.03</v>
      </c>
      <c r="F90" s="60">
        <v>0.67</v>
      </c>
      <c r="G90" s="60">
        <v>36.75</v>
      </c>
      <c r="H90" s="60">
        <v>9.0299999999999994</v>
      </c>
      <c r="I90" s="60">
        <v>3.23</v>
      </c>
      <c r="J90" s="60">
        <v>0.27</v>
      </c>
      <c r="K90" s="60">
        <v>194.03</v>
      </c>
      <c r="L90" s="60">
        <v>44.79</v>
      </c>
      <c r="M90" s="60">
        <v>82.47</v>
      </c>
      <c r="N90" s="60">
        <v>15.4</v>
      </c>
      <c r="O90" s="60">
        <v>0</v>
      </c>
      <c r="P90" s="60">
        <v>3.66</v>
      </c>
      <c r="Q90" s="60">
        <v>54.13</v>
      </c>
      <c r="R90" s="197"/>
      <c r="S90" s="197"/>
      <c r="T90" s="197"/>
      <c r="U90" s="197"/>
    </row>
    <row r="91" spans="1:26" s="12" customFormat="1" x14ac:dyDescent="0.25">
      <c r="A91" s="200" t="s">
        <v>2250</v>
      </c>
      <c r="B91" s="60">
        <v>0.92</v>
      </c>
      <c r="C91" s="60">
        <v>7.37</v>
      </c>
      <c r="D91" s="60">
        <v>8.2899999999999991</v>
      </c>
      <c r="E91" s="60">
        <v>4.2300000000000004</v>
      </c>
      <c r="F91" s="60">
        <v>0.54</v>
      </c>
      <c r="G91" s="60">
        <v>36.65</v>
      </c>
      <c r="H91" s="60">
        <v>12.16</v>
      </c>
      <c r="I91" s="60">
        <v>3.32</v>
      </c>
      <c r="J91" s="60">
        <v>0.54</v>
      </c>
      <c r="K91" s="60">
        <v>205.87</v>
      </c>
      <c r="L91" s="60">
        <v>43.85</v>
      </c>
      <c r="M91" s="60">
        <v>82.58</v>
      </c>
      <c r="N91" s="60">
        <v>15.2</v>
      </c>
      <c r="O91" s="60">
        <v>0</v>
      </c>
      <c r="P91" s="60">
        <v>3.65</v>
      </c>
      <c r="Q91" s="60">
        <v>55.34</v>
      </c>
      <c r="R91" s="197"/>
      <c r="S91" s="197"/>
      <c r="T91" s="197"/>
      <c r="U91" s="197"/>
    </row>
    <row r="92" spans="1:26" s="12" customFormat="1" x14ac:dyDescent="0.25">
      <c r="A92" s="200" t="s">
        <v>2251</v>
      </c>
      <c r="B92" s="60">
        <v>0.92</v>
      </c>
      <c r="C92" s="60">
        <v>6.88</v>
      </c>
      <c r="D92" s="60">
        <v>7.79</v>
      </c>
      <c r="E92" s="60">
        <v>4.22</v>
      </c>
      <c r="F92" s="60">
        <v>0.97</v>
      </c>
      <c r="G92" s="10" t="s">
        <v>43</v>
      </c>
      <c r="H92" s="60">
        <v>44.25</v>
      </c>
      <c r="I92" s="60">
        <v>3.37</v>
      </c>
      <c r="J92" s="60">
        <v>0.26</v>
      </c>
      <c r="K92" s="60">
        <v>220.1</v>
      </c>
      <c r="L92" s="60">
        <v>39.15</v>
      </c>
      <c r="M92" s="60">
        <v>82.87</v>
      </c>
      <c r="N92" s="60">
        <v>15.3</v>
      </c>
      <c r="O92" s="60">
        <v>0</v>
      </c>
      <c r="P92" s="60">
        <v>3.64</v>
      </c>
      <c r="Q92" s="60">
        <v>51.19</v>
      </c>
      <c r="R92" s="197"/>
      <c r="S92" s="197"/>
      <c r="T92" s="197"/>
      <c r="U92" s="197"/>
    </row>
    <row r="93" spans="1:26" s="12" customFormat="1" x14ac:dyDescent="0.25">
      <c r="A93" s="200" t="s">
        <v>2252</v>
      </c>
      <c r="B93" s="60">
        <v>1.02</v>
      </c>
      <c r="C93" s="60">
        <v>6.91</v>
      </c>
      <c r="D93" s="60">
        <v>7.94</v>
      </c>
      <c r="E93" s="60">
        <v>4.01</v>
      </c>
      <c r="F93" s="60">
        <v>0.28999999999999998</v>
      </c>
      <c r="G93" s="10" t="s">
        <v>43</v>
      </c>
      <c r="H93" s="60">
        <v>44.25</v>
      </c>
      <c r="I93" s="60">
        <v>3.35</v>
      </c>
      <c r="J93" s="60">
        <v>0.26</v>
      </c>
      <c r="K93" s="60">
        <v>181.57</v>
      </c>
      <c r="L93" s="60">
        <v>39.25</v>
      </c>
      <c r="M93" s="60">
        <v>83.53</v>
      </c>
      <c r="N93" s="60">
        <v>15.2</v>
      </c>
      <c r="O93" s="60">
        <v>0</v>
      </c>
      <c r="P93" s="60">
        <v>3.64</v>
      </c>
      <c r="Q93" s="60">
        <v>52.48</v>
      </c>
      <c r="R93" s="197"/>
      <c r="S93" s="197"/>
      <c r="T93" s="197"/>
      <c r="U93" s="197"/>
    </row>
    <row r="94" spans="1:26" s="12" customFormat="1" x14ac:dyDescent="0.25">
      <c r="A94" s="200" t="s">
        <v>2253</v>
      </c>
      <c r="B94" s="60">
        <v>1.1399999999999999</v>
      </c>
      <c r="C94" s="60">
        <v>6.57</v>
      </c>
      <c r="D94" s="60">
        <v>7.71</v>
      </c>
      <c r="E94" s="60">
        <v>4.4000000000000004</v>
      </c>
      <c r="F94" s="60">
        <v>0.89</v>
      </c>
      <c r="G94" s="10" t="s">
        <v>43</v>
      </c>
      <c r="H94" s="60">
        <v>44.25</v>
      </c>
      <c r="I94" s="60">
        <v>3.33</v>
      </c>
      <c r="J94" s="60">
        <v>0.34</v>
      </c>
      <c r="K94" s="60">
        <v>213.9</v>
      </c>
      <c r="L94" s="60">
        <v>42.43</v>
      </c>
      <c r="M94" s="60">
        <v>83.67</v>
      </c>
      <c r="N94" s="60">
        <v>15</v>
      </c>
      <c r="O94" s="60">
        <v>0</v>
      </c>
      <c r="P94" s="60">
        <v>3.63</v>
      </c>
      <c r="Q94" s="60">
        <v>50.66</v>
      </c>
      <c r="R94" s="197"/>
      <c r="S94" s="197"/>
      <c r="T94" s="197"/>
      <c r="U94" s="197"/>
    </row>
    <row r="95" spans="1:26" s="12" customFormat="1" x14ac:dyDescent="0.25">
      <c r="A95" s="200" t="s">
        <v>2254</v>
      </c>
      <c r="B95" s="60">
        <v>1.17</v>
      </c>
      <c r="C95" s="60">
        <v>6.7</v>
      </c>
      <c r="D95" s="60">
        <v>7.87</v>
      </c>
      <c r="E95" s="60">
        <v>3.99</v>
      </c>
      <c r="F95" s="60">
        <v>0.26</v>
      </c>
      <c r="G95" s="10" t="s">
        <v>43</v>
      </c>
      <c r="H95" s="60">
        <v>58.25</v>
      </c>
      <c r="I95" s="60">
        <v>3.38</v>
      </c>
      <c r="J95" s="60">
        <v>0.27</v>
      </c>
      <c r="K95" s="60">
        <v>196.98</v>
      </c>
      <c r="L95" s="60">
        <v>42.15</v>
      </c>
      <c r="M95" s="60">
        <v>84.3</v>
      </c>
      <c r="N95" s="60">
        <v>15</v>
      </c>
      <c r="O95" s="60">
        <v>0</v>
      </c>
      <c r="P95" s="60">
        <v>3.63</v>
      </c>
      <c r="Q95" s="60">
        <v>51.97</v>
      </c>
      <c r="R95" s="197"/>
      <c r="S95" s="197"/>
      <c r="T95" s="197"/>
      <c r="U95" s="197"/>
    </row>
    <row r="96" spans="1:26" s="12" customFormat="1" x14ac:dyDescent="0.25">
      <c r="A96" s="200" t="s">
        <v>2255</v>
      </c>
      <c r="B96" s="60">
        <v>1.19</v>
      </c>
      <c r="C96" s="60">
        <v>6.39</v>
      </c>
      <c r="D96" s="60">
        <v>7.58</v>
      </c>
      <c r="E96" s="60">
        <v>4.07</v>
      </c>
      <c r="F96" s="60">
        <v>0.66</v>
      </c>
      <c r="G96" s="10" t="s">
        <v>43</v>
      </c>
      <c r="H96" s="60">
        <v>201.73</v>
      </c>
      <c r="I96" s="60">
        <v>3.39</v>
      </c>
      <c r="J96" s="60">
        <v>0.45</v>
      </c>
      <c r="K96" s="60">
        <v>198.2</v>
      </c>
      <c r="L96" s="60">
        <v>38.19</v>
      </c>
      <c r="M96" s="60">
        <v>85.57</v>
      </c>
      <c r="N96" s="60">
        <v>15</v>
      </c>
      <c r="O96" s="60">
        <v>0</v>
      </c>
      <c r="P96" s="60">
        <v>3.62</v>
      </c>
      <c r="Q96" s="60">
        <v>51.12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2256</v>
      </c>
      <c r="B97" s="60">
        <v>1.25</v>
      </c>
      <c r="C97" s="60">
        <v>6.64</v>
      </c>
      <c r="D97" s="60">
        <v>7.9</v>
      </c>
      <c r="E97" s="60">
        <v>4.34</v>
      </c>
      <c r="F97" s="60">
        <v>0.14000000000000001</v>
      </c>
      <c r="G97" s="10" t="s">
        <v>43</v>
      </c>
      <c r="H97" s="60">
        <v>201.73</v>
      </c>
      <c r="I97" s="60">
        <v>3.43</v>
      </c>
      <c r="J97" s="60">
        <v>0.34</v>
      </c>
      <c r="K97" s="60">
        <v>187.96</v>
      </c>
      <c r="L97" s="60">
        <v>37.770000000000003</v>
      </c>
      <c r="M97" s="60">
        <v>86.57</v>
      </c>
      <c r="N97" s="60">
        <v>15</v>
      </c>
      <c r="O97" s="60">
        <v>0</v>
      </c>
      <c r="P97" s="60">
        <v>3.64</v>
      </c>
      <c r="Q97" s="60">
        <v>52.96</v>
      </c>
      <c r="R97" s="197"/>
      <c r="S97" s="197"/>
      <c r="T97" s="197"/>
      <c r="U97" s="197"/>
    </row>
    <row r="98" spans="1:33" s="12" customFormat="1" x14ac:dyDescent="0.25">
      <c r="A98" s="200" t="s">
        <v>2257</v>
      </c>
      <c r="B98" s="60">
        <v>1.32</v>
      </c>
      <c r="C98" s="60">
        <v>6.22</v>
      </c>
      <c r="D98" s="60">
        <v>7.54</v>
      </c>
      <c r="E98" s="60">
        <v>4.76</v>
      </c>
      <c r="F98" s="60">
        <v>0.61</v>
      </c>
      <c r="G98" s="10" t="s">
        <v>43</v>
      </c>
      <c r="H98" s="60">
        <v>201.73</v>
      </c>
      <c r="I98" s="60">
        <v>3.44</v>
      </c>
      <c r="J98" s="60">
        <v>0.43</v>
      </c>
      <c r="K98" s="60">
        <v>202.77</v>
      </c>
      <c r="L98" s="60">
        <v>36.99</v>
      </c>
      <c r="M98" s="60">
        <v>87.17</v>
      </c>
      <c r="N98" s="60">
        <v>15</v>
      </c>
      <c r="O98" s="60">
        <v>0</v>
      </c>
      <c r="P98" s="60">
        <v>3.62</v>
      </c>
      <c r="Q98" s="60">
        <v>54</v>
      </c>
      <c r="R98" s="197"/>
      <c r="S98" s="197"/>
      <c r="T98" s="197"/>
      <c r="U98" s="197"/>
    </row>
    <row r="99" spans="1:33" s="12" customFormat="1" x14ac:dyDescent="0.25">
      <c r="A99" s="200" t="s">
        <v>2258</v>
      </c>
      <c r="B99" s="60">
        <v>1.44</v>
      </c>
      <c r="C99" s="60">
        <v>6.01</v>
      </c>
      <c r="D99" s="60">
        <v>7.45</v>
      </c>
      <c r="E99" s="60">
        <v>5.12</v>
      </c>
      <c r="F99" s="60">
        <v>0.48</v>
      </c>
      <c r="G99" s="10" t="s">
        <v>43</v>
      </c>
      <c r="H99" s="60">
        <v>185.85</v>
      </c>
      <c r="I99" s="60">
        <v>3.6</v>
      </c>
      <c r="J99" s="60">
        <v>0.44</v>
      </c>
      <c r="K99" s="60">
        <v>185.95</v>
      </c>
      <c r="L99" s="60">
        <v>37.21</v>
      </c>
      <c r="M99" s="60">
        <v>87.64</v>
      </c>
      <c r="N99" s="60">
        <v>15</v>
      </c>
      <c r="O99" s="60">
        <v>0</v>
      </c>
      <c r="P99" s="60">
        <v>3.62</v>
      </c>
      <c r="Q99" s="60">
        <v>53.85</v>
      </c>
      <c r="R99" s="197"/>
      <c r="S99" s="197"/>
      <c r="T99" s="197"/>
      <c r="U99" s="197"/>
    </row>
    <row r="100" spans="1:33" s="12" customFormat="1" x14ac:dyDescent="0.25">
      <c r="A100" s="200" t="s">
        <v>2259</v>
      </c>
      <c r="B100" s="60">
        <v>1.58</v>
      </c>
      <c r="C100" s="60">
        <v>5.87</v>
      </c>
      <c r="D100" s="60">
        <v>7.45</v>
      </c>
      <c r="E100" s="60">
        <v>4.8499999999999996</v>
      </c>
      <c r="F100" s="60">
        <v>0.34</v>
      </c>
      <c r="G100" s="60">
        <v>38.46</v>
      </c>
      <c r="H100" s="60">
        <v>23.08</v>
      </c>
      <c r="I100" s="60">
        <v>3.8</v>
      </c>
      <c r="J100" s="60">
        <v>0.45</v>
      </c>
      <c r="K100" s="60">
        <v>195.5</v>
      </c>
      <c r="L100" s="60">
        <v>37.04</v>
      </c>
      <c r="M100" s="60">
        <v>87.04</v>
      </c>
      <c r="N100" s="60">
        <v>15</v>
      </c>
      <c r="O100" s="60">
        <v>0</v>
      </c>
      <c r="P100" s="60">
        <v>3.63</v>
      </c>
      <c r="Q100" s="60">
        <v>54.51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2260</v>
      </c>
      <c r="B101" s="60">
        <v>1.67</v>
      </c>
      <c r="C101" s="60">
        <v>5.78</v>
      </c>
      <c r="D101" s="60">
        <v>7.45</v>
      </c>
      <c r="E101" s="60">
        <v>5.29</v>
      </c>
      <c r="F101" s="60">
        <v>0.43</v>
      </c>
      <c r="G101" s="60">
        <v>38.46</v>
      </c>
      <c r="H101" s="60">
        <v>23.08</v>
      </c>
      <c r="I101" s="60">
        <v>4.1399999999999997</v>
      </c>
      <c r="J101" s="60">
        <v>0.49</v>
      </c>
      <c r="K101" s="60">
        <v>188.39</v>
      </c>
      <c r="L101" s="60">
        <v>36</v>
      </c>
      <c r="M101" s="60">
        <v>87.3</v>
      </c>
      <c r="N101" s="60">
        <v>15</v>
      </c>
      <c r="O101" s="60">
        <v>0</v>
      </c>
      <c r="P101" s="60">
        <v>3.62</v>
      </c>
      <c r="Q101" s="60">
        <v>55.08</v>
      </c>
      <c r="R101" s="197"/>
      <c r="S101" s="197"/>
      <c r="T101" s="197"/>
      <c r="U101" s="197"/>
    </row>
    <row r="102" spans="1:33" s="12" customFormat="1" x14ac:dyDescent="0.25">
      <c r="A102" s="200" t="s">
        <v>2261</v>
      </c>
      <c r="B102" s="60">
        <v>1.65</v>
      </c>
      <c r="C102" s="60">
        <v>5.84</v>
      </c>
      <c r="D102" s="60">
        <v>7.49</v>
      </c>
      <c r="E102" s="60">
        <v>5.37</v>
      </c>
      <c r="F102" s="60">
        <v>0.32</v>
      </c>
      <c r="G102" s="60">
        <v>38.46</v>
      </c>
      <c r="H102" s="60">
        <v>23.08</v>
      </c>
      <c r="I102" s="60">
        <v>4.51</v>
      </c>
      <c r="J102" s="60">
        <v>0.46</v>
      </c>
      <c r="K102" s="60">
        <v>188.65</v>
      </c>
      <c r="L102" s="60">
        <v>35.729999999999997</v>
      </c>
      <c r="M102" s="60">
        <v>87.96</v>
      </c>
      <c r="N102" s="60">
        <v>15</v>
      </c>
      <c r="O102" s="60">
        <v>0</v>
      </c>
      <c r="P102" s="60">
        <v>3.63</v>
      </c>
      <c r="Q102" s="60">
        <v>55.09</v>
      </c>
      <c r="R102" s="197"/>
      <c r="S102" s="197"/>
      <c r="T102" s="197"/>
      <c r="U102" s="197"/>
    </row>
    <row r="103" spans="1:33" s="12" customFormat="1" x14ac:dyDescent="0.25">
      <c r="A103" s="200" t="s">
        <v>2262</v>
      </c>
      <c r="B103" s="60">
        <v>1.62</v>
      </c>
      <c r="C103" s="60">
        <v>5.89</v>
      </c>
      <c r="D103" s="60">
        <v>7.52</v>
      </c>
      <c r="E103" s="60">
        <v>5.93</v>
      </c>
      <c r="F103" s="60">
        <v>0.55000000000000004</v>
      </c>
      <c r="G103" s="60">
        <v>37.74</v>
      </c>
      <c r="H103" s="60">
        <v>23.69</v>
      </c>
      <c r="I103" s="60">
        <v>4.74</v>
      </c>
      <c r="J103" s="60">
        <v>0.56000000000000005</v>
      </c>
      <c r="K103" s="60">
        <v>186.96</v>
      </c>
      <c r="L103" s="60">
        <v>37.36</v>
      </c>
      <c r="M103" s="60">
        <v>88.05</v>
      </c>
      <c r="N103" s="60">
        <v>15</v>
      </c>
      <c r="O103" s="60">
        <v>0</v>
      </c>
      <c r="P103" s="60">
        <v>3.62</v>
      </c>
      <c r="Q103" s="60">
        <v>55.84</v>
      </c>
      <c r="R103" s="197"/>
      <c r="S103" s="197"/>
      <c r="T103" s="197"/>
      <c r="U103" s="197"/>
    </row>
    <row r="104" spans="1:33" s="12" customFormat="1" x14ac:dyDescent="0.25">
      <c r="A104" s="200" t="s">
        <v>2263</v>
      </c>
      <c r="B104" s="60">
        <v>1.62</v>
      </c>
      <c r="C104" s="60">
        <v>5.98</v>
      </c>
      <c r="D104" s="60">
        <v>7.6</v>
      </c>
      <c r="E104" s="60">
        <v>2.75</v>
      </c>
      <c r="F104" s="60">
        <v>0.35</v>
      </c>
      <c r="G104" s="10" t="s">
        <v>43</v>
      </c>
      <c r="H104" s="60">
        <v>30.02</v>
      </c>
      <c r="I104" s="60">
        <v>4.88</v>
      </c>
      <c r="J104" s="60">
        <v>0.45</v>
      </c>
      <c r="K104" s="60">
        <v>186.32</v>
      </c>
      <c r="L104" s="60">
        <v>37.72</v>
      </c>
      <c r="M104" s="60">
        <v>87.88</v>
      </c>
      <c r="N104" s="60">
        <v>15</v>
      </c>
      <c r="O104" s="60">
        <v>0</v>
      </c>
      <c r="P104" s="60">
        <v>3.61</v>
      </c>
      <c r="Q104" s="60">
        <v>56.92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5" t="s">
        <v>59</v>
      </c>
      <c r="B106" s="67">
        <f>MIN(B9:B104)</f>
        <v>0.28999999999999998</v>
      </c>
      <c r="C106" s="67">
        <f>MIN(C9:C104)</f>
        <v>5.78</v>
      </c>
      <c r="D106" s="67">
        <f t="shared" ref="D106:Q106" si="0">MIN(D9:D104)</f>
        <v>7.45</v>
      </c>
      <c r="E106" s="67">
        <f t="shared" si="0"/>
        <v>0.55000000000000004</v>
      </c>
      <c r="F106" s="67">
        <f t="shared" si="0"/>
        <v>0.14000000000000001</v>
      </c>
      <c r="G106" s="67">
        <f t="shared" si="0"/>
        <v>3</v>
      </c>
      <c r="H106" s="67">
        <f t="shared" si="0"/>
        <v>0.9</v>
      </c>
      <c r="I106" s="67">
        <f t="shared" si="0"/>
        <v>1.88</v>
      </c>
      <c r="J106" s="67">
        <f t="shared" si="0"/>
        <v>0.01</v>
      </c>
      <c r="K106" s="67">
        <f t="shared" si="0"/>
        <v>0.06</v>
      </c>
      <c r="L106" s="67">
        <f t="shared" si="0"/>
        <v>29.88</v>
      </c>
      <c r="M106" s="67">
        <f t="shared" si="0"/>
        <v>79.61</v>
      </c>
      <c r="N106" s="67">
        <f t="shared" si="0"/>
        <v>15</v>
      </c>
      <c r="O106" s="67">
        <f t="shared" si="0"/>
        <v>0</v>
      </c>
      <c r="P106" s="67">
        <f t="shared" si="0"/>
        <v>3.49</v>
      </c>
      <c r="Q106" s="67">
        <f t="shared" si="0"/>
        <v>2.36</v>
      </c>
      <c r="R106" s="198"/>
      <c r="S106" s="198"/>
      <c r="T106" s="198"/>
      <c r="U106" s="198"/>
    </row>
    <row r="107" spans="1:33" x14ac:dyDescent="0.25">
      <c r="A107" s="65" t="s">
        <v>60</v>
      </c>
      <c r="B107" s="66">
        <f>MAX(B9:B104)</f>
        <v>3.76</v>
      </c>
      <c r="C107" s="66">
        <f t="shared" ref="C107:Q107" si="1">MAX(C9:C104)</f>
        <v>14.78</v>
      </c>
      <c r="D107" s="66">
        <f t="shared" si="1"/>
        <v>18.54</v>
      </c>
      <c r="E107" s="66">
        <f t="shared" si="1"/>
        <v>5.93</v>
      </c>
      <c r="F107" s="66">
        <f t="shared" si="1"/>
        <v>3.2</v>
      </c>
      <c r="G107" s="66">
        <f t="shared" si="1"/>
        <v>38.46</v>
      </c>
      <c r="H107" s="66">
        <f t="shared" si="1"/>
        <v>270.01</v>
      </c>
      <c r="I107" s="66">
        <f t="shared" si="1"/>
        <v>4.88</v>
      </c>
      <c r="J107" s="66">
        <f t="shared" si="1"/>
        <v>0.56000000000000005</v>
      </c>
      <c r="K107" s="66">
        <f t="shared" si="1"/>
        <v>351.85</v>
      </c>
      <c r="L107" s="66">
        <f t="shared" si="1"/>
        <v>44.79</v>
      </c>
      <c r="M107" s="66">
        <f t="shared" si="1"/>
        <v>99.15</v>
      </c>
      <c r="N107" s="66">
        <f t="shared" si="1"/>
        <v>757.3</v>
      </c>
      <c r="O107" s="66">
        <f t="shared" si="1"/>
        <v>0.4</v>
      </c>
      <c r="P107" s="66">
        <f t="shared" si="1"/>
        <v>3.77</v>
      </c>
      <c r="Q107" s="66">
        <f t="shared" si="1"/>
        <v>157.37</v>
      </c>
      <c r="R107" s="199"/>
      <c r="S107" s="199"/>
      <c r="T107" s="199"/>
      <c r="U107" s="199"/>
    </row>
    <row r="108" spans="1:33" x14ac:dyDescent="0.25">
      <c r="A108" s="65" t="s">
        <v>61</v>
      </c>
      <c r="B108" s="67">
        <f>AVERAGE(B9:B104)</f>
        <v>1.4179166666666665</v>
      </c>
      <c r="C108" s="67">
        <f t="shared" ref="C108:Q108" si="2">AVERAGE(C9:C104)</f>
        <v>9.9164583333333347</v>
      </c>
      <c r="D108" s="67">
        <f t="shared" si="2"/>
        <v>11.334895833333333</v>
      </c>
      <c r="E108" s="67">
        <f t="shared" si="2"/>
        <v>3.1057291666666669</v>
      </c>
      <c r="F108" s="67">
        <f t="shared" si="2"/>
        <v>0.7991666666666668</v>
      </c>
      <c r="G108" s="67">
        <f t="shared" si="2"/>
        <v>33.71076923076923</v>
      </c>
      <c r="H108" s="67">
        <f t="shared" si="2"/>
        <v>57.152580645161279</v>
      </c>
      <c r="I108" s="67">
        <f t="shared" si="2"/>
        <v>2.846562500000001</v>
      </c>
      <c r="J108" s="67">
        <f t="shared" si="2"/>
        <v>0.17281249999999995</v>
      </c>
      <c r="K108" s="67">
        <f t="shared" si="2"/>
        <v>188.89843750000003</v>
      </c>
      <c r="L108" s="67">
        <f t="shared" si="2"/>
        <v>33.40239583333333</v>
      </c>
      <c r="M108" s="67">
        <f t="shared" si="2"/>
        <v>86.946666666666673</v>
      </c>
      <c r="N108" s="67">
        <f t="shared" si="2"/>
        <v>98.920833333333363</v>
      </c>
      <c r="O108" s="67">
        <f t="shared" si="2"/>
        <v>4.3750000000000004E-2</v>
      </c>
      <c r="P108" s="67">
        <f t="shared" si="2"/>
        <v>3.6063541666666676</v>
      </c>
      <c r="Q108" s="67">
        <f t="shared" si="2"/>
        <v>29.635937500000001</v>
      </c>
      <c r="R108" s="198"/>
      <c r="S108" s="198"/>
      <c r="T108" s="198"/>
      <c r="U108" s="198"/>
    </row>
    <row r="109" spans="1:33" x14ac:dyDescent="0.25">
      <c r="A109" s="65" t="s">
        <v>77</v>
      </c>
      <c r="B109" s="67">
        <f>STDEV(B9:B104)</f>
        <v>0.69197492602378008</v>
      </c>
      <c r="C109" s="67">
        <f t="shared" ref="C109:Q109" si="3">STDEV(C9:C104)</f>
        <v>2.4679883046582183</v>
      </c>
      <c r="D109" s="67">
        <f t="shared" si="3"/>
        <v>2.9142932680485401</v>
      </c>
      <c r="E109" s="67">
        <f t="shared" si="3"/>
        <v>1.1995567118000547</v>
      </c>
      <c r="F109" s="67">
        <f t="shared" si="3"/>
        <v>0.54419359300405856</v>
      </c>
      <c r="G109" s="67">
        <f t="shared" si="3"/>
        <v>9.413839512068094</v>
      </c>
      <c r="H109" s="67">
        <f t="shared" si="3"/>
        <v>72.966430025452027</v>
      </c>
      <c r="I109" s="67">
        <f t="shared" si="3"/>
        <v>0.59195275082604681</v>
      </c>
      <c r="J109" s="67">
        <f t="shared" si="3"/>
        <v>0.13195456255449217</v>
      </c>
      <c r="K109" s="67">
        <f t="shared" si="3"/>
        <v>94.456666069162594</v>
      </c>
      <c r="L109" s="67">
        <f t="shared" si="3"/>
        <v>4.0511629895602042</v>
      </c>
      <c r="M109" s="67">
        <f t="shared" si="3"/>
        <v>6.2115253939188122</v>
      </c>
      <c r="N109" s="67">
        <f t="shared" si="3"/>
        <v>122.15144691102161</v>
      </c>
      <c r="O109" s="67">
        <f t="shared" si="3"/>
        <v>0.11314871443789086</v>
      </c>
      <c r="P109" s="67">
        <f t="shared" si="3"/>
        <v>7.0054411809928802E-2</v>
      </c>
      <c r="Q109" s="67">
        <f t="shared" si="3"/>
        <v>35.276725339673888</v>
      </c>
      <c r="R109" s="198"/>
      <c r="S109" s="198"/>
      <c r="T109" s="198"/>
      <c r="U109" s="198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</f>
        <v>96</v>
      </c>
      <c r="G110" s="66">
        <f>COUNT(G9:G104)+66</f>
        <v>79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9"/>
      <c r="S110" s="199"/>
      <c r="T110" s="199"/>
      <c r="U110" s="199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>IF(G110&gt;=87,"&gt;90%",IF(G110&lt;=87,"&lt;90%"))</f>
        <v>&lt;90%</v>
      </c>
      <c r="H111" s="13" t="e">
        <f>IF(H110&gt;=87,"&gt;90%",IF(H110&lt;=87,"&lt;90%"))+3</f>
        <v>#VALUE!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>IF(H110&gt;=87,"OK",IF(H110&lt;=87,"LESS"))</f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244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56" sqref="G56:G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22-08-2022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234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2264</v>
      </c>
      <c r="B9" s="60">
        <v>1.66</v>
      </c>
      <c r="C9" s="60">
        <v>5.92</v>
      </c>
      <c r="D9" s="60">
        <v>7.58</v>
      </c>
      <c r="E9" s="60">
        <v>4.51</v>
      </c>
      <c r="F9" s="60">
        <v>0.34</v>
      </c>
      <c r="G9" s="60">
        <v>30.4</v>
      </c>
      <c r="H9" s="60">
        <v>30.02</v>
      </c>
      <c r="I9" s="60">
        <v>4.99</v>
      </c>
      <c r="J9" s="60">
        <v>0.42</v>
      </c>
      <c r="K9" s="60">
        <v>198.02</v>
      </c>
      <c r="L9" s="60">
        <v>37.04</v>
      </c>
      <c r="M9" s="60">
        <v>87.28</v>
      </c>
      <c r="N9" s="60">
        <v>14.9</v>
      </c>
      <c r="O9" s="60">
        <v>0</v>
      </c>
      <c r="P9" s="60">
        <v>3.61</v>
      </c>
      <c r="Q9" s="60">
        <v>56.72</v>
      </c>
      <c r="R9" s="197"/>
      <c r="S9" s="197"/>
      <c r="T9" s="197"/>
      <c r="U9" s="197"/>
    </row>
    <row r="10" spans="1:21" s="12" customFormat="1" x14ac:dyDescent="0.25">
      <c r="A10" s="200" t="s">
        <v>2265</v>
      </c>
      <c r="B10" s="60">
        <v>1.67</v>
      </c>
      <c r="C10" s="60">
        <v>6.03</v>
      </c>
      <c r="D10" s="60">
        <v>7.7</v>
      </c>
      <c r="E10" s="60">
        <v>5.42</v>
      </c>
      <c r="F10" s="60">
        <v>0.53</v>
      </c>
      <c r="G10" s="60">
        <v>30.4</v>
      </c>
      <c r="H10" s="60">
        <v>30.02</v>
      </c>
      <c r="I10" s="60">
        <v>5.2</v>
      </c>
      <c r="J10" s="60">
        <v>0.48</v>
      </c>
      <c r="K10" s="60">
        <v>199.88</v>
      </c>
      <c r="L10" s="60">
        <v>40.270000000000003</v>
      </c>
      <c r="M10" s="60">
        <v>86.7</v>
      </c>
      <c r="N10" s="60">
        <v>14.9</v>
      </c>
      <c r="O10" s="60">
        <v>0</v>
      </c>
      <c r="P10" s="60">
        <v>3.6</v>
      </c>
      <c r="Q10" s="60">
        <v>57.27</v>
      </c>
      <c r="R10" s="197"/>
      <c r="S10" s="197"/>
      <c r="T10" s="197"/>
      <c r="U10" s="197"/>
    </row>
    <row r="11" spans="1:21" s="12" customFormat="1" x14ac:dyDescent="0.25">
      <c r="A11" s="200" t="s">
        <v>2266</v>
      </c>
      <c r="B11" s="60">
        <v>1.62</v>
      </c>
      <c r="C11" s="60">
        <v>6.08</v>
      </c>
      <c r="D11" s="60">
        <v>7.7</v>
      </c>
      <c r="E11" s="60">
        <v>5.34</v>
      </c>
      <c r="F11" s="60">
        <v>0.28999999999999998</v>
      </c>
      <c r="G11" s="60">
        <v>30.32</v>
      </c>
      <c r="H11" s="60">
        <v>28.11</v>
      </c>
      <c r="I11" s="60">
        <v>5.39</v>
      </c>
      <c r="J11" s="60">
        <v>0.48</v>
      </c>
      <c r="K11" s="60">
        <v>201.07</v>
      </c>
      <c r="L11" s="60">
        <v>39.74</v>
      </c>
      <c r="M11" s="60">
        <v>86.57</v>
      </c>
      <c r="N11" s="60">
        <v>14.9</v>
      </c>
      <c r="O11" s="60">
        <v>0</v>
      </c>
      <c r="P11" s="60">
        <v>3.6</v>
      </c>
      <c r="Q11" s="60">
        <v>57.19</v>
      </c>
      <c r="R11" s="197"/>
      <c r="S11" s="197"/>
      <c r="T11" s="197"/>
      <c r="U11" s="197"/>
    </row>
    <row r="12" spans="1:21" s="12" customFormat="1" x14ac:dyDescent="0.25">
      <c r="A12" s="200" t="s">
        <v>2267</v>
      </c>
      <c r="B12" s="60">
        <v>1.51</v>
      </c>
      <c r="C12" s="60">
        <v>5.87</v>
      </c>
      <c r="D12" s="60">
        <v>7.37</v>
      </c>
      <c r="E12" s="60">
        <v>5.16</v>
      </c>
      <c r="F12" s="60">
        <v>0.51</v>
      </c>
      <c r="G12" s="60">
        <v>29.48</v>
      </c>
      <c r="H12" s="60">
        <v>8.61</v>
      </c>
      <c r="I12" s="60">
        <v>5.34</v>
      </c>
      <c r="J12" s="60">
        <v>0.46</v>
      </c>
      <c r="K12" s="60">
        <v>191</v>
      </c>
      <c r="L12" s="60">
        <v>44.93</v>
      </c>
      <c r="M12" s="60">
        <v>85.78</v>
      </c>
      <c r="N12" s="60">
        <v>14.7</v>
      </c>
      <c r="O12" s="60">
        <v>0</v>
      </c>
      <c r="P12" s="60">
        <v>3.6</v>
      </c>
      <c r="Q12" s="60">
        <v>55.36</v>
      </c>
      <c r="R12" s="197"/>
      <c r="S12" s="197"/>
      <c r="T12" s="197"/>
      <c r="U12" s="197"/>
    </row>
    <row r="13" spans="1:21" s="12" customFormat="1" x14ac:dyDescent="0.25">
      <c r="A13" s="200" t="s">
        <v>2268</v>
      </c>
      <c r="B13" s="60">
        <v>1.36</v>
      </c>
      <c r="C13" s="60">
        <v>6.16</v>
      </c>
      <c r="D13" s="60">
        <v>7.52</v>
      </c>
      <c r="E13" s="60">
        <v>5.5</v>
      </c>
      <c r="F13" s="60">
        <v>0.56000000000000005</v>
      </c>
      <c r="G13" s="60">
        <v>29.48</v>
      </c>
      <c r="H13" s="60">
        <v>8.61</v>
      </c>
      <c r="I13" s="60">
        <v>5.26</v>
      </c>
      <c r="J13" s="60">
        <v>0.4</v>
      </c>
      <c r="K13" s="60">
        <v>202.87</v>
      </c>
      <c r="L13" s="60">
        <v>44.95</v>
      </c>
      <c r="M13" s="60">
        <v>85.32</v>
      </c>
      <c r="N13" s="60">
        <v>14.7</v>
      </c>
      <c r="O13" s="60">
        <v>0</v>
      </c>
      <c r="P13" s="60">
        <v>3.59</v>
      </c>
      <c r="Q13" s="60">
        <v>55.95</v>
      </c>
      <c r="R13" s="197"/>
      <c r="S13" s="197"/>
      <c r="T13" s="197"/>
      <c r="U13" s="197"/>
    </row>
    <row r="14" spans="1:21" s="12" customFormat="1" x14ac:dyDescent="0.25">
      <c r="A14" s="200" t="s">
        <v>2269</v>
      </c>
      <c r="B14" s="60">
        <v>1.24</v>
      </c>
      <c r="C14" s="60">
        <v>5.9</v>
      </c>
      <c r="D14" s="60">
        <v>7.13</v>
      </c>
      <c r="E14" s="60">
        <v>5.26</v>
      </c>
      <c r="F14" s="60">
        <v>0.52</v>
      </c>
      <c r="G14" s="60">
        <v>29.48</v>
      </c>
      <c r="H14" s="60">
        <v>8.61</v>
      </c>
      <c r="I14" s="60">
        <v>5.21</v>
      </c>
      <c r="J14" s="60">
        <v>0.39</v>
      </c>
      <c r="K14" s="60">
        <v>207.69</v>
      </c>
      <c r="L14" s="60">
        <v>36.42</v>
      </c>
      <c r="M14" s="60">
        <v>85.47</v>
      </c>
      <c r="N14" s="60">
        <v>15.1</v>
      </c>
      <c r="O14" s="60">
        <v>0</v>
      </c>
      <c r="P14" s="60">
        <v>3.59</v>
      </c>
      <c r="Q14" s="60">
        <v>53.84</v>
      </c>
      <c r="R14" s="197"/>
      <c r="S14" s="197"/>
      <c r="T14" s="197"/>
      <c r="U14" s="197"/>
    </row>
    <row r="15" spans="1:21" s="12" customFormat="1" x14ac:dyDescent="0.25">
      <c r="A15" s="200" t="s">
        <v>2270</v>
      </c>
      <c r="B15" s="60">
        <v>1.1100000000000001</v>
      </c>
      <c r="C15" s="60">
        <v>6.06</v>
      </c>
      <c r="D15" s="60">
        <v>7.17</v>
      </c>
      <c r="E15" s="60">
        <v>5.0199999999999996</v>
      </c>
      <c r="F15" s="60">
        <v>0.72</v>
      </c>
      <c r="G15" s="60">
        <v>29.72</v>
      </c>
      <c r="H15" s="60">
        <v>27.2</v>
      </c>
      <c r="I15" s="60">
        <v>5.14</v>
      </c>
      <c r="J15" s="60">
        <v>0.15</v>
      </c>
      <c r="K15" s="60">
        <v>216.06</v>
      </c>
      <c r="L15" s="60">
        <v>34.119999999999997</v>
      </c>
      <c r="M15" s="60">
        <v>85.96</v>
      </c>
      <c r="N15" s="60">
        <v>15.3</v>
      </c>
      <c r="O15" s="60">
        <v>0</v>
      </c>
      <c r="P15" s="60">
        <v>3.57</v>
      </c>
      <c r="Q15" s="60">
        <v>54.73</v>
      </c>
      <c r="R15" s="197"/>
      <c r="S15" s="197"/>
      <c r="T15" s="197"/>
      <c r="U15" s="197"/>
    </row>
    <row r="16" spans="1:21" s="12" customFormat="1" x14ac:dyDescent="0.25">
      <c r="A16" s="200" t="s">
        <v>2271</v>
      </c>
      <c r="B16" s="60">
        <v>1</v>
      </c>
      <c r="C16" s="60">
        <v>5.79</v>
      </c>
      <c r="D16" s="60">
        <v>6.8</v>
      </c>
      <c r="E16" s="60">
        <v>4.9400000000000004</v>
      </c>
      <c r="F16" s="60">
        <v>0.7</v>
      </c>
      <c r="G16" s="60">
        <v>32.119999999999997</v>
      </c>
      <c r="H16" s="60">
        <v>217.8</v>
      </c>
      <c r="I16" s="60">
        <v>4.99</v>
      </c>
      <c r="J16" s="60">
        <v>0.1</v>
      </c>
      <c r="K16" s="60">
        <v>187.47</v>
      </c>
      <c r="L16" s="60">
        <v>36.049999999999997</v>
      </c>
      <c r="M16" s="60">
        <v>86.35</v>
      </c>
      <c r="N16" s="60">
        <v>15.3</v>
      </c>
      <c r="O16" s="60">
        <v>0</v>
      </c>
      <c r="P16" s="60">
        <v>3.56</v>
      </c>
      <c r="Q16" s="60">
        <v>52.9</v>
      </c>
      <c r="R16" s="197"/>
      <c r="S16" s="197"/>
      <c r="T16" s="197"/>
      <c r="U16" s="197"/>
    </row>
    <row r="17" spans="1:21" s="12" customFormat="1" x14ac:dyDescent="0.25">
      <c r="A17" s="200" t="s">
        <v>2272</v>
      </c>
      <c r="B17" s="60">
        <v>0.96</v>
      </c>
      <c r="C17" s="60">
        <v>5.81</v>
      </c>
      <c r="D17" s="60">
        <v>6.78</v>
      </c>
      <c r="E17" s="60">
        <v>5.4</v>
      </c>
      <c r="F17" s="60">
        <v>0.57999999999999996</v>
      </c>
      <c r="G17" s="60">
        <v>32.119999999999997</v>
      </c>
      <c r="H17" s="60">
        <v>217.8</v>
      </c>
      <c r="I17" s="60">
        <v>4.83</v>
      </c>
      <c r="J17" s="60">
        <v>0.18</v>
      </c>
      <c r="K17" s="60">
        <v>189.96</v>
      </c>
      <c r="L17" s="60">
        <v>38.979999999999997</v>
      </c>
      <c r="M17" s="60">
        <v>87.19</v>
      </c>
      <c r="N17" s="60">
        <v>15.3</v>
      </c>
      <c r="O17" s="60">
        <v>0</v>
      </c>
      <c r="P17" s="60">
        <v>3.56</v>
      </c>
      <c r="Q17" s="60">
        <v>53.91</v>
      </c>
      <c r="R17" s="197"/>
      <c r="S17" s="197"/>
      <c r="T17" s="197"/>
      <c r="U17" s="197"/>
    </row>
    <row r="18" spans="1:21" s="12" customFormat="1" x14ac:dyDescent="0.25">
      <c r="A18" s="200" t="s">
        <v>2273</v>
      </c>
      <c r="B18" s="60">
        <v>1</v>
      </c>
      <c r="C18" s="60">
        <v>5.74</v>
      </c>
      <c r="D18" s="60">
        <v>6.73</v>
      </c>
      <c r="E18" s="60">
        <v>5.49</v>
      </c>
      <c r="F18" s="60">
        <v>0.25</v>
      </c>
      <c r="G18" s="60">
        <v>32.119999999999997</v>
      </c>
      <c r="H18" s="60">
        <v>217.8</v>
      </c>
      <c r="I18" s="60">
        <v>4.7699999999999996</v>
      </c>
      <c r="J18" s="60">
        <v>0.27</v>
      </c>
      <c r="K18" s="60">
        <v>199.67</v>
      </c>
      <c r="L18" s="60">
        <v>37.479999999999997</v>
      </c>
      <c r="M18" s="60">
        <v>87.46</v>
      </c>
      <c r="N18" s="60">
        <v>15.1</v>
      </c>
      <c r="O18" s="60">
        <v>0</v>
      </c>
      <c r="P18" s="60">
        <v>3.55</v>
      </c>
      <c r="Q18" s="60">
        <v>54.74</v>
      </c>
      <c r="R18" s="197"/>
      <c r="S18" s="197"/>
      <c r="T18" s="197"/>
      <c r="U18" s="197"/>
    </row>
    <row r="19" spans="1:21" s="12" customFormat="1" x14ac:dyDescent="0.25">
      <c r="A19" s="200" t="s">
        <v>2274</v>
      </c>
      <c r="B19" s="60">
        <v>1.02</v>
      </c>
      <c r="C19" s="60">
        <v>5.76</v>
      </c>
      <c r="D19" s="60">
        <v>6.78</v>
      </c>
      <c r="E19" s="60">
        <v>5.96</v>
      </c>
      <c r="F19" s="60">
        <v>0.25</v>
      </c>
      <c r="G19" s="60">
        <v>31.43</v>
      </c>
      <c r="H19" s="60">
        <v>198.8</v>
      </c>
      <c r="I19" s="60">
        <v>4.8899999999999997</v>
      </c>
      <c r="J19" s="60">
        <v>0.32</v>
      </c>
      <c r="K19" s="60">
        <v>205.14</v>
      </c>
      <c r="L19" s="60">
        <v>35.01</v>
      </c>
      <c r="M19" s="60">
        <v>87.85</v>
      </c>
      <c r="N19" s="60">
        <v>15</v>
      </c>
      <c r="O19" s="60">
        <v>0</v>
      </c>
      <c r="P19" s="60">
        <v>3.56</v>
      </c>
      <c r="Q19" s="60">
        <v>55.08</v>
      </c>
      <c r="R19" s="197"/>
      <c r="S19" s="197"/>
      <c r="T19" s="197"/>
      <c r="U19" s="197"/>
    </row>
    <row r="20" spans="1:21" s="12" customFormat="1" x14ac:dyDescent="0.25">
      <c r="A20" s="200" t="s">
        <v>2275</v>
      </c>
      <c r="B20" s="60">
        <v>1.1000000000000001</v>
      </c>
      <c r="C20" s="60">
        <v>5.85</v>
      </c>
      <c r="D20" s="60">
        <v>6.95</v>
      </c>
      <c r="E20" s="60">
        <v>6</v>
      </c>
      <c r="F20" s="60">
        <v>0.19</v>
      </c>
      <c r="G20" s="60">
        <v>24.37</v>
      </c>
      <c r="H20" s="60">
        <v>3.99</v>
      </c>
      <c r="I20" s="60">
        <v>5.03</v>
      </c>
      <c r="J20" s="60">
        <v>0.32</v>
      </c>
      <c r="K20" s="60">
        <v>182.85</v>
      </c>
      <c r="L20" s="60">
        <v>40.82</v>
      </c>
      <c r="M20" s="60">
        <v>88.83</v>
      </c>
      <c r="N20" s="60">
        <v>14.9</v>
      </c>
      <c r="O20" s="60">
        <v>0</v>
      </c>
      <c r="P20" s="60">
        <v>3.57</v>
      </c>
      <c r="Q20" s="60">
        <v>55.99</v>
      </c>
      <c r="R20" s="197"/>
      <c r="S20" s="197"/>
      <c r="T20" s="197"/>
      <c r="U20" s="197"/>
    </row>
    <row r="21" spans="1:21" s="12" customFormat="1" x14ac:dyDescent="0.25">
      <c r="A21" s="200" t="s">
        <v>2276</v>
      </c>
      <c r="B21" s="60">
        <v>1.23</v>
      </c>
      <c r="C21" s="60">
        <v>5.67</v>
      </c>
      <c r="D21" s="60">
        <v>6.91</v>
      </c>
      <c r="E21" s="60">
        <v>5.77</v>
      </c>
      <c r="F21" s="60">
        <v>0.42</v>
      </c>
      <c r="G21" s="60">
        <v>24.37</v>
      </c>
      <c r="H21" s="60">
        <v>3.99</v>
      </c>
      <c r="I21" s="60">
        <v>5.14</v>
      </c>
      <c r="J21" s="60">
        <v>0.28000000000000003</v>
      </c>
      <c r="K21" s="60">
        <v>188.49</v>
      </c>
      <c r="L21" s="60">
        <v>40.229999999999997</v>
      </c>
      <c r="M21" s="60">
        <v>89.45</v>
      </c>
      <c r="N21" s="60">
        <v>15</v>
      </c>
      <c r="O21" s="60">
        <v>0</v>
      </c>
      <c r="P21" s="60">
        <v>3.57</v>
      </c>
      <c r="Q21" s="60">
        <v>56.21</v>
      </c>
      <c r="R21" s="197"/>
      <c r="S21" s="197"/>
      <c r="T21" s="197"/>
      <c r="U21" s="197"/>
    </row>
    <row r="22" spans="1:21" s="12" customFormat="1" x14ac:dyDescent="0.25">
      <c r="A22" s="200" t="s">
        <v>2277</v>
      </c>
      <c r="B22" s="60">
        <v>1.38</v>
      </c>
      <c r="C22" s="60">
        <v>5.56</v>
      </c>
      <c r="D22" s="60">
        <v>6.95</v>
      </c>
      <c r="E22" s="60">
        <v>6.25</v>
      </c>
      <c r="F22" s="60">
        <v>0.82</v>
      </c>
      <c r="G22" s="60">
        <v>24.37</v>
      </c>
      <c r="H22" s="60">
        <v>3.99</v>
      </c>
      <c r="I22" s="60">
        <v>5.32</v>
      </c>
      <c r="J22" s="60">
        <v>0.33</v>
      </c>
      <c r="K22" s="60">
        <v>200.89</v>
      </c>
      <c r="L22" s="60">
        <v>38.96</v>
      </c>
      <c r="M22" s="60">
        <v>89.3</v>
      </c>
      <c r="N22" s="60">
        <v>14.8</v>
      </c>
      <c r="O22" s="60">
        <v>0</v>
      </c>
      <c r="P22" s="60">
        <v>3.57</v>
      </c>
      <c r="Q22" s="60">
        <v>56.73</v>
      </c>
      <c r="R22" s="197"/>
      <c r="S22" s="197"/>
      <c r="T22" s="197"/>
      <c r="U22" s="197"/>
    </row>
    <row r="23" spans="1:21" s="12" customFormat="1" x14ac:dyDescent="0.25">
      <c r="A23" s="200" t="s">
        <v>2278</v>
      </c>
      <c r="B23" s="60">
        <v>1.47</v>
      </c>
      <c r="C23" s="60">
        <v>5.65</v>
      </c>
      <c r="D23" s="60">
        <v>7.11</v>
      </c>
      <c r="E23" s="60">
        <v>6.25</v>
      </c>
      <c r="F23" s="60">
        <v>0.47</v>
      </c>
      <c r="G23" s="60">
        <v>24.4</v>
      </c>
      <c r="H23" s="60">
        <v>4.16</v>
      </c>
      <c r="I23" s="60">
        <v>5.52</v>
      </c>
      <c r="J23" s="60">
        <v>0.99</v>
      </c>
      <c r="K23" s="60">
        <v>162.5</v>
      </c>
      <c r="L23" s="60">
        <v>38.979999999999997</v>
      </c>
      <c r="M23" s="60">
        <v>88.99</v>
      </c>
      <c r="N23" s="60">
        <v>14.8</v>
      </c>
      <c r="O23" s="60">
        <v>0</v>
      </c>
      <c r="P23" s="60">
        <v>3.56</v>
      </c>
      <c r="Q23" s="60">
        <v>57.4</v>
      </c>
      <c r="R23" s="197"/>
      <c r="S23" s="197"/>
      <c r="T23" s="197"/>
      <c r="U23" s="197"/>
    </row>
    <row r="24" spans="1:21" s="12" customFormat="1" x14ac:dyDescent="0.25">
      <c r="A24" s="200" t="s">
        <v>2279</v>
      </c>
      <c r="B24" s="60">
        <v>1.61</v>
      </c>
      <c r="C24" s="60">
        <v>6.22</v>
      </c>
      <c r="D24" s="60">
        <v>7.83</v>
      </c>
      <c r="E24" s="60">
        <v>2.75</v>
      </c>
      <c r="F24" s="60">
        <v>0.16</v>
      </c>
      <c r="G24" s="60">
        <v>24.71</v>
      </c>
      <c r="H24" s="60">
        <v>5.9</v>
      </c>
      <c r="I24" s="60">
        <v>3.98</v>
      </c>
      <c r="J24" s="60">
        <v>0.6</v>
      </c>
      <c r="K24" s="60">
        <v>176.64</v>
      </c>
      <c r="L24" s="60">
        <v>40.049999999999997</v>
      </c>
      <c r="M24" s="60">
        <v>89.33</v>
      </c>
      <c r="N24" s="60">
        <v>15.1</v>
      </c>
      <c r="O24" s="60">
        <v>0</v>
      </c>
      <c r="P24" s="60">
        <v>3.57</v>
      </c>
      <c r="Q24" s="60">
        <v>59.74</v>
      </c>
      <c r="R24" s="197"/>
      <c r="S24" s="197"/>
      <c r="T24" s="197"/>
      <c r="U24" s="197"/>
    </row>
    <row r="25" spans="1:21" s="12" customFormat="1" x14ac:dyDescent="0.25">
      <c r="A25" s="200" t="s">
        <v>2280</v>
      </c>
      <c r="B25" s="60">
        <v>1.66</v>
      </c>
      <c r="C25" s="60">
        <v>5.62</v>
      </c>
      <c r="D25" s="60">
        <v>7.28</v>
      </c>
      <c r="E25" s="60">
        <v>4.6500000000000004</v>
      </c>
      <c r="F25" s="60">
        <v>1.06</v>
      </c>
      <c r="G25" s="60">
        <v>24.71</v>
      </c>
      <c r="H25" s="60">
        <v>5.9</v>
      </c>
      <c r="I25" s="8" t="s">
        <v>34</v>
      </c>
      <c r="J25" s="60">
        <v>0.43</v>
      </c>
      <c r="K25" s="60">
        <v>181.36</v>
      </c>
      <c r="L25" s="60">
        <v>37.96</v>
      </c>
      <c r="M25" s="60">
        <v>90.09</v>
      </c>
      <c r="N25" s="60">
        <v>15</v>
      </c>
      <c r="O25" s="60">
        <v>0</v>
      </c>
      <c r="P25" s="60">
        <v>3.56</v>
      </c>
      <c r="Q25" s="60">
        <v>56.42</v>
      </c>
      <c r="R25" s="197"/>
      <c r="S25" s="197"/>
      <c r="T25" s="197"/>
      <c r="U25" s="197"/>
    </row>
    <row r="26" spans="1:21" s="12" customFormat="1" x14ac:dyDescent="0.25">
      <c r="A26" s="200" t="s">
        <v>2281</v>
      </c>
      <c r="B26" s="60">
        <v>1.71</v>
      </c>
      <c r="C26" s="60">
        <v>6.1</v>
      </c>
      <c r="D26" s="60">
        <v>7.8</v>
      </c>
      <c r="E26" s="60">
        <v>5.14</v>
      </c>
      <c r="F26" s="60">
        <v>0.39</v>
      </c>
      <c r="G26" s="60">
        <v>24.71</v>
      </c>
      <c r="H26" s="60">
        <v>5.9</v>
      </c>
      <c r="I26" s="8" t="s">
        <v>34</v>
      </c>
      <c r="J26" s="60">
        <v>0.98</v>
      </c>
      <c r="K26" s="60">
        <v>160.83000000000001</v>
      </c>
      <c r="L26" s="60">
        <v>36.61</v>
      </c>
      <c r="M26" s="60">
        <v>90.87</v>
      </c>
      <c r="N26" s="60">
        <v>15.2</v>
      </c>
      <c r="O26" s="60">
        <v>0</v>
      </c>
      <c r="P26" s="60">
        <v>3.56</v>
      </c>
      <c r="Q26" s="60">
        <v>57.18</v>
      </c>
      <c r="R26" s="197"/>
      <c r="S26" s="197"/>
      <c r="T26" s="197"/>
      <c r="U26" s="197"/>
    </row>
    <row r="27" spans="1:21" s="12" customFormat="1" x14ac:dyDescent="0.25">
      <c r="A27" s="200" t="s">
        <v>2282</v>
      </c>
      <c r="B27" s="60">
        <v>1.77</v>
      </c>
      <c r="C27" s="60">
        <v>5.9</v>
      </c>
      <c r="D27" s="60">
        <v>7.67</v>
      </c>
      <c r="E27" s="60">
        <v>4.97</v>
      </c>
      <c r="F27" s="60">
        <v>0.38</v>
      </c>
      <c r="G27" s="60">
        <v>24.66</v>
      </c>
      <c r="H27" s="60">
        <v>6.44</v>
      </c>
      <c r="I27" s="60">
        <v>1.77</v>
      </c>
      <c r="J27" s="60">
        <v>1.41</v>
      </c>
      <c r="K27" s="60">
        <v>156.79</v>
      </c>
      <c r="L27" s="60">
        <v>37.19</v>
      </c>
      <c r="M27" s="60">
        <v>92.3</v>
      </c>
      <c r="N27" s="60">
        <v>15</v>
      </c>
      <c r="O27" s="60">
        <v>0</v>
      </c>
      <c r="P27" s="60">
        <v>3.56</v>
      </c>
      <c r="Q27" s="60">
        <v>55.54</v>
      </c>
      <c r="R27" s="197"/>
      <c r="S27" s="197"/>
      <c r="T27" s="197"/>
      <c r="U27" s="197"/>
    </row>
    <row r="28" spans="1:21" s="12" customFormat="1" x14ac:dyDescent="0.25">
      <c r="A28" s="200" t="s">
        <v>2283</v>
      </c>
      <c r="B28" s="60">
        <v>1.82</v>
      </c>
      <c r="C28" s="60">
        <v>6.08</v>
      </c>
      <c r="D28" s="60">
        <v>7.9</v>
      </c>
      <c r="E28" s="60">
        <v>5.07</v>
      </c>
      <c r="F28" s="60">
        <v>0.42</v>
      </c>
      <c r="G28" s="60">
        <v>24.1</v>
      </c>
      <c r="H28" s="60">
        <v>12</v>
      </c>
      <c r="I28" s="60">
        <v>4.13</v>
      </c>
      <c r="J28" s="60">
        <v>1.45</v>
      </c>
      <c r="K28" s="60">
        <v>157.44999999999999</v>
      </c>
      <c r="L28" s="60">
        <v>36.03</v>
      </c>
      <c r="M28" s="60">
        <v>93.3</v>
      </c>
      <c r="N28" s="60">
        <v>14.9</v>
      </c>
      <c r="O28" s="60">
        <v>0</v>
      </c>
      <c r="P28" s="60">
        <v>3.54</v>
      </c>
      <c r="Q28" s="60">
        <v>56.22</v>
      </c>
      <c r="R28" s="197"/>
      <c r="S28" s="197"/>
      <c r="T28" s="197"/>
      <c r="U28" s="197"/>
    </row>
    <row r="29" spans="1:21" s="12" customFormat="1" x14ac:dyDescent="0.25">
      <c r="A29" s="200" t="s">
        <v>2284</v>
      </c>
      <c r="B29" s="60">
        <v>1.85</v>
      </c>
      <c r="C29" s="60">
        <v>6.08</v>
      </c>
      <c r="D29" s="60">
        <v>7.93</v>
      </c>
      <c r="E29" s="60">
        <v>5.32</v>
      </c>
      <c r="F29" s="60">
        <v>0.23</v>
      </c>
      <c r="G29" s="60">
        <v>24.1</v>
      </c>
      <c r="H29" s="60">
        <v>12</v>
      </c>
      <c r="I29" s="60">
        <v>1.72</v>
      </c>
      <c r="J29" s="60">
        <v>1.5</v>
      </c>
      <c r="K29" s="60">
        <v>157.63</v>
      </c>
      <c r="L29" s="60">
        <v>36.74</v>
      </c>
      <c r="M29" s="60">
        <v>93.35</v>
      </c>
      <c r="N29" s="60">
        <v>14.8</v>
      </c>
      <c r="O29" s="60">
        <v>0</v>
      </c>
      <c r="P29" s="60">
        <v>3.57</v>
      </c>
      <c r="Q29" s="60">
        <v>54.38</v>
      </c>
      <c r="R29" s="197"/>
      <c r="S29" s="197"/>
      <c r="T29" s="197"/>
      <c r="U29" s="197"/>
    </row>
    <row r="30" spans="1:21" s="12" customFormat="1" x14ac:dyDescent="0.25">
      <c r="A30" s="200" t="s">
        <v>2285</v>
      </c>
      <c r="B30" s="60">
        <v>1.94</v>
      </c>
      <c r="C30" s="60">
        <v>6.26</v>
      </c>
      <c r="D30" s="60">
        <v>8.1999999999999993</v>
      </c>
      <c r="E30" s="60">
        <v>5.16</v>
      </c>
      <c r="F30" s="60">
        <v>0.23</v>
      </c>
      <c r="G30" s="60">
        <v>24.1</v>
      </c>
      <c r="H30" s="60">
        <v>12</v>
      </c>
      <c r="I30" s="60">
        <v>5.73</v>
      </c>
      <c r="J30" s="60">
        <v>0.96</v>
      </c>
      <c r="K30" s="60">
        <v>164.02</v>
      </c>
      <c r="L30" s="60">
        <v>35.57</v>
      </c>
      <c r="M30" s="60">
        <v>93.58</v>
      </c>
      <c r="N30" s="60">
        <v>16.100000000000001</v>
      </c>
      <c r="O30" s="60">
        <v>0</v>
      </c>
      <c r="P30" s="60">
        <v>3.55</v>
      </c>
      <c r="Q30" s="60">
        <v>55.04</v>
      </c>
      <c r="R30" s="197"/>
      <c r="S30" s="197"/>
      <c r="T30" s="197"/>
      <c r="U30" s="197"/>
    </row>
    <row r="31" spans="1:21" s="12" customFormat="1" x14ac:dyDescent="0.25">
      <c r="A31" s="200" t="s">
        <v>2286</v>
      </c>
      <c r="B31" s="60">
        <v>1.99</v>
      </c>
      <c r="C31" s="60">
        <v>6.25</v>
      </c>
      <c r="D31" s="60">
        <v>8.24</v>
      </c>
      <c r="E31" s="60">
        <v>5.64</v>
      </c>
      <c r="F31" s="60">
        <v>0.17</v>
      </c>
      <c r="G31" s="60">
        <v>24.08</v>
      </c>
      <c r="H31" s="60">
        <v>17.670000000000002</v>
      </c>
      <c r="I31" s="60">
        <v>5.7</v>
      </c>
      <c r="J31" s="60">
        <v>1.1100000000000001</v>
      </c>
      <c r="K31" s="60">
        <v>157.77000000000001</v>
      </c>
      <c r="L31" s="60">
        <v>38.159999999999997</v>
      </c>
      <c r="M31" s="60">
        <v>93.54</v>
      </c>
      <c r="N31" s="60">
        <v>22.8</v>
      </c>
      <c r="O31" s="60">
        <v>0</v>
      </c>
      <c r="P31" s="60">
        <v>3.55</v>
      </c>
      <c r="Q31" s="60">
        <v>55.21</v>
      </c>
      <c r="R31" s="197"/>
      <c r="S31" s="197"/>
      <c r="T31" s="197"/>
      <c r="U31" s="197"/>
    </row>
    <row r="32" spans="1:21" s="12" customFormat="1" x14ac:dyDescent="0.25">
      <c r="A32" s="200" t="s">
        <v>2287</v>
      </c>
      <c r="B32" s="60">
        <v>2.15</v>
      </c>
      <c r="C32" s="60">
        <v>6.29</v>
      </c>
      <c r="D32" s="60">
        <v>8.44</v>
      </c>
      <c r="E32" s="60">
        <v>5.47</v>
      </c>
      <c r="F32" s="60">
        <v>0.11</v>
      </c>
      <c r="G32" s="60">
        <v>23.84</v>
      </c>
      <c r="H32" s="60">
        <v>84.89</v>
      </c>
      <c r="I32" s="60">
        <v>5.61</v>
      </c>
      <c r="J32" s="60">
        <v>0.53</v>
      </c>
      <c r="K32" s="60">
        <v>175.19</v>
      </c>
      <c r="L32" s="60">
        <v>44.76</v>
      </c>
      <c r="M32" s="60">
        <v>92.89</v>
      </c>
      <c r="N32" s="60">
        <v>32.1</v>
      </c>
      <c r="O32" s="60">
        <v>0</v>
      </c>
      <c r="P32" s="60">
        <v>3.55</v>
      </c>
      <c r="Q32" s="60">
        <v>56.67</v>
      </c>
      <c r="R32" s="197"/>
      <c r="S32" s="197"/>
      <c r="T32" s="197"/>
      <c r="U32" s="197"/>
    </row>
    <row r="33" spans="1:21" s="12" customFormat="1" x14ac:dyDescent="0.25">
      <c r="A33" s="200" t="s">
        <v>2288</v>
      </c>
      <c r="B33" s="60">
        <v>2.37</v>
      </c>
      <c r="C33" s="60">
        <v>6.45</v>
      </c>
      <c r="D33" s="60">
        <v>8.82</v>
      </c>
      <c r="E33" s="60">
        <v>5.84</v>
      </c>
      <c r="F33" s="60">
        <v>0.12</v>
      </c>
      <c r="G33" s="60">
        <v>23.84</v>
      </c>
      <c r="H33" s="60">
        <v>84.89</v>
      </c>
      <c r="I33" s="60">
        <v>5.67</v>
      </c>
      <c r="J33" s="60">
        <v>0.51</v>
      </c>
      <c r="K33" s="60">
        <v>186.44</v>
      </c>
      <c r="L33" s="60">
        <v>44.21</v>
      </c>
      <c r="M33" s="60">
        <v>91.88</v>
      </c>
      <c r="N33" s="60">
        <v>41.6</v>
      </c>
      <c r="O33" s="60">
        <v>0</v>
      </c>
      <c r="P33" s="60">
        <v>3.55</v>
      </c>
      <c r="Q33" s="60">
        <v>57.38</v>
      </c>
      <c r="R33" s="197"/>
      <c r="S33" s="197"/>
      <c r="T33" s="197"/>
      <c r="U33" s="197"/>
    </row>
    <row r="34" spans="1:21" s="12" customFormat="1" x14ac:dyDescent="0.25">
      <c r="A34" s="200" t="s">
        <v>2289</v>
      </c>
      <c r="B34" s="60">
        <v>2.58</v>
      </c>
      <c r="C34" s="60">
        <v>6.57</v>
      </c>
      <c r="D34" s="60">
        <v>9.15</v>
      </c>
      <c r="E34" s="60">
        <v>5.61</v>
      </c>
      <c r="F34" s="60">
        <v>0.21</v>
      </c>
      <c r="G34" s="60">
        <v>23.84</v>
      </c>
      <c r="H34" s="60">
        <v>84.89</v>
      </c>
      <c r="I34" s="60">
        <v>5.73</v>
      </c>
      <c r="J34" s="60">
        <v>0.63</v>
      </c>
      <c r="K34" s="60">
        <v>191.17</v>
      </c>
      <c r="L34" s="60">
        <v>43.41</v>
      </c>
      <c r="M34" s="60">
        <v>90.39</v>
      </c>
      <c r="N34" s="60">
        <v>48.5</v>
      </c>
      <c r="O34" s="60">
        <v>0</v>
      </c>
      <c r="P34" s="60">
        <v>3.55</v>
      </c>
      <c r="Q34" s="60">
        <v>57.57</v>
      </c>
      <c r="R34" s="197"/>
      <c r="S34" s="197"/>
      <c r="T34" s="197"/>
      <c r="U34" s="197"/>
    </row>
    <row r="35" spans="1:21" s="12" customFormat="1" x14ac:dyDescent="0.25">
      <c r="A35" s="200" t="s">
        <v>2290</v>
      </c>
      <c r="B35" s="60">
        <v>2.66</v>
      </c>
      <c r="C35" s="60">
        <v>6.69</v>
      </c>
      <c r="D35" s="60">
        <v>9.35</v>
      </c>
      <c r="E35" s="60">
        <v>5.3</v>
      </c>
      <c r="F35" s="60">
        <v>0.27</v>
      </c>
      <c r="G35" s="60">
        <v>24.24</v>
      </c>
      <c r="H35" s="60">
        <v>86.41</v>
      </c>
      <c r="I35" s="60">
        <v>5.77</v>
      </c>
      <c r="J35" s="60">
        <v>0.54</v>
      </c>
      <c r="K35" s="60">
        <v>201.2</v>
      </c>
      <c r="L35" s="60">
        <v>43.96</v>
      </c>
      <c r="M35" s="60">
        <v>89.53</v>
      </c>
      <c r="N35" s="60">
        <v>56.9</v>
      </c>
      <c r="O35" s="60">
        <v>0</v>
      </c>
      <c r="P35" s="60">
        <v>3.56</v>
      </c>
      <c r="Q35" s="60">
        <v>57.53</v>
      </c>
      <c r="R35" s="197"/>
      <c r="S35" s="197"/>
      <c r="T35" s="197"/>
      <c r="U35" s="197"/>
    </row>
    <row r="36" spans="1:21" s="12" customFormat="1" x14ac:dyDescent="0.25">
      <c r="A36" s="200" t="s">
        <v>2291</v>
      </c>
      <c r="B36" s="60">
        <v>2.77</v>
      </c>
      <c r="C36" s="60">
        <v>6.87</v>
      </c>
      <c r="D36" s="60">
        <v>9.64</v>
      </c>
      <c r="E36" s="60">
        <v>5.22</v>
      </c>
      <c r="F36" s="60">
        <v>0.45</v>
      </c>
      <c r="G36" s="60">
        <v>28.31</v>
      </c>
      <c r="H36" s="60">
        <v>104.5</v>
      </c>
      <c r="I36" s="60">
        <v>5.82</v>
      </c>
      <c r="J36" s="60">
        <v>0.64</v>
      </c>
      <c r="K36" s="60">
        <v>178.25</v>
      </c>
      <c r="L36" s="60">
        <v>44.05</v>
      </c>
      <c r="M36" s="60">
        <v>88.58</v>
      </c>
      <c r="N36" s="60">
        <v>74.900000000000006</v>
      </c>
      <c r="O36" s="60">
        <v>0</v>
      </c>
      <c r="P36" s="60">
        <v>3.56</v>
      </c>
      <c r="Q36" s="60">
        <v>57.69</v>
      </c>
      <c r="R36" s="197"/>
      <c r="S36" s="197"/>
      <c r="T36" s="197"/>
      <c r="U36" s="197"/>
    </row>
    <row r="37" spans="1:21" s="12" customFormat="1" x14ac:dyDescent="0.25">
      <c r="A37" s="200" t="s">
        <v>2292</v>
      </c>
      <c r="B37" s="60">
        <v>2.87</v>
      </c>
      <c r="C37" s="60">
        <v>6.92</v>
      </c>
      <c r="D37" s="60">
        <v>9.7899999999999991</v>
      </c>
      <c r="E37" s="60">
        <v>5.62</v>
      </c>
      <c r="F37" s="60">
        <v>0.28999999999999998</v>
      </c>
      <c r="G37" s="60">
        <v>28.31</v>
      </c>
      <c r="H37" s="60">
        <v>104.5</v>
      </c>
      <c r="I37" s="60">
        <v>5.87</v>
      </c>
      <c r="J37" s="60">
        <v>0.38</v>
      </c>
      <c r="K37" s="60">
        <v>215.85</v>
      </c>
      <c r="L37" s="60">
        <v>43.83</v>
      </c>
      <c r="M37" s="60">
        <v>87.77</v>
      </c>
      <c r="N37" s="60">
        <v>73.599999999999994</v>
      </c>
      <c r="O37" s="60">
        <v>0</v>
      </c>
      <c r="P37" s="60">
        <v>3.57</v>
      </c>
      <c r="Q37" s="60">
        <v>57.59</v>
      </c>
      <c r="R37" s="197"/>
      <c r="S37" s="197"/>
      <c r="T37" s="197"/>
      <c r="U37" s="197"/>
    </row>
    <row r="38" spans="1:21" s="12" customFormat="1" x14ac:dyDescent="0.25">
      <c r="A38" s="200" t="s">
        <v>2293</v>
      </c>
      <c r="B38" s="60">
        <v>2.94</v>
      </c>
      <c r="C38" s="60">
        <v>7.34</v>
      </c>
      <c r="D38" s="60">
        <v>10.28</v>
      </c>
      <c r="E38" s="60">
        <v>5.59</v>
      </c>
      <c r="F38" s="60">
        <v>0.16</v>
      </c>
      <c r="G38" s="60">
        <v>28.31</v>
      </c>
      <c r="H38" s="60">
        <v>104.5</v>
      </c>
      <c r="I38" s="60">
        <v>5.92</v>
      </c>
      <c r="J38" s="60">
        <v>0.56999999999999995</v>
      </c>
      <c r="K38" s="60">
        <v>199.22</v>
      </c>
      <c r="L38" s="60">
        <v>43.07</v>
      </c>
      <c r="M38" s="60">
        <v>87.35</v>
      </c>
      <c r="N38" s="60">
        <v>63.6</v>
      </c>
      <c r="O38" s="60">
        <v>0</v>
      </c>
      <c r="P38" s="60">
        <v>3.57</v>
      </c>
      <c r="Q38" s="60">
        <v>57.6</v>
      </c>
      <c r="R38" s="197"/>
      <c r="S38" s="197"/>
      <c r="T38" s="197"/>
      <c r="U38" s="197"/>
    </row>
    <row r="39" spans="1:21" s="12" customFormat="1" x14ac:dyDescent="0.25">
      <c r="A39" s="200" t="s">
        <v>2294</v>
      </c>
      <c r="B39" s="60">
        <v>3.07</v>
      </c>
      <c r="C39" s="60">
        <v>7.3</v>
      </c>
      <c r="D39" s="60">
        <v>10.37</v>
      </c>
      <c r="E39" s="60">
        <v>5.74</v>
      </c>
      <c r="F39" s="60">
        <v>0.76</v>
      </c>
      <c r="G39" s="60">
        <v>28.22</v>
      </c>
      <c r="H39" s="60">
        <v>99.36</v>
      </c>
      <c r="I39" s="60">
        <v>5.93</v>
      </c>
      <c r="J39" s="60">
        <v>0.6</v>
      </c>
      <c r="K39" s="60">
        <v>202.9</v>
      </c>
      <c r="L39" s="60">
        <v>45.6</v>
      </c>
      <c r="M39" s="60">
        <v>86.72</v>
      </c>
      <c r="N39" s="60">
        <v>115</v>
      </c>
      <c r="O39" s="60">
        <v>0</v>
      </c>
      <c r="P39" s="60">
        <v>3.56</v>
      </c>
      <c r="Q39" s="60">
        <v>56.75</v>
      </c>
      <c r="R39" s="197"/>
      <c r="S39" s="197"/>
      <c r="T39" s="197"/>
      <c r="U39" s="197"/>
    </row>
    <row r="40" spans="1:21" s="12" customFormat="1" x14ac:dyDescent="0.25">
      <c r="A40" s="200" t="s">
        <v>2295</v>
      </c>
      <c r="B40" s="60">
        <v>3.1</v>
      </c>
      <c r="C40" s="60">
        <v>7.13</v>
      </c>
      <c r="D40" s="60">
        <v>10.24</v>
      </c>
      <c r="E40" s="60">
        <v>2.7</v>
      </c>
      <c r="F40" s="60">
        <v>0.33</v>
      </c>
      <c r="G40" s="60">
        <v>27.21</v>
      </c>
      <c r="H40" s="60">
        <v>46.66</v>
      </c>
      <c r="I40" s="60">
        <v>5.93</v>
      </c>
      <c r="J40" s="60">
        <v>0.37</v>
      </c>
      <c r="K40" s="60">
        <v>192.48</v>
      </c>
      <c r="L40" s="60">
        <v>44.67</v>
      </c>
      <c r="M40" s="60">
        <v>85.5</v>
      </c>
      <c r="N40" s="60">
        <v>159.4</v>
      </c>
      <c r="O40" s="60">
        <v>0</v>
      </c>
      <c r="P40" s="60">
        <v>3.57</v>
      </c>
      <c r="Q40" s="60">
        <v>53.77</v>
      </c>
      <c r="R40" s="197"/>
      <c r="S40" s="197"/>
      <c r="T40" s="197"/>
      <c r="U40" s="197"/>
    </row>
    <row r="41" spans="1:21" s="12" customFormat="1" x14ac:dyDescent="0.25">
      <c r="A41" s="200" t="s">
        <v>2296</v>
      </c>
      <c r="B41" s="60">
        <v>3.22</v>
      </c>
      <c r="C41" s="60">
        <v>7.46</v>
      </c>
      <c r="D41" s="60">
        <v>10.68</v>
      </c>
      <c r="E41" s="60">
        <v>5.36</v>
      </c>
      <c r="F41" s="60">
        <v>0.25</v>
      </c>
      <c r="G41" s="60">
        <v>27.21</v>
      </c>
      <c r="H41" s="60">
        <v>46.66</v>
      </c>
      <c r="I41" s="60">
        <v>5.76</v>
      </c>
      <c r="J41" s="60">
        <v>0.62</v>
      </c>
      <c r="K41" s="60">
        <v>194.93</v>
      </c>
      <c r="L41" s="60">
        <v>43.78</v>
      </c>
      <c r="M41" s="60">
        <v>84.35</v>
      </c>
      <c r="N41" s="60">
        <v>139.19999999999999</v>
      </c>
      <c r="O41" s="60">
        <v>0</v>
      </c>
      <c r="P41" s="60">
        <v>3.56</v>
      </c>
      <c r="Q41" s="60">
        <v>54.62</v>
      </c>
      <c r="R41" s="197"/>
      <c r="S41" s="197"/>
      <c r="T41" s="197"/>
      <c r="U41" s="197"/>
    </row>
    <row r="42" spans="1:21" s="12" customFormat="1" x14ac:dyDescent="0.25">
      <c r="A42" s="200" t="s">
        <v>2297</v>
      </c>
      <c r="B42" s="60">
        <v>3.28</v>
      </c>
      <c r="C42" s="60">
        <v>7.6</v>
      </c>
      <c r="D42" s="60">
        <v>10.88</v>
      </c>
      <c r="E42" s="60">
        <v>5.82</v>
      </c>
      <c r="F42" s="60">
        <v>0.15</v>
      </c>
      <c r="G42" s="60">
        <v>27.21</v>
      </c>
      <c r="H42" s="60">
        <v>46.66</v>
      </c>
      <c r="I42" s="60">
        <v>5.67</v>
      </c>
      <c r="J42" s="60">
        <v>0.62</v>
      </c>
      <c r="K42" s="60">
        <v>194.23</v>
      </c>
      <c r="L42" s="60">
        <v>44.73</v>
      </c>
      <c r="M42" s="60">
        <v>84.56</v>
      </c>
      <c r="N42" s="60">
        <v>164.7</v>
      </c>
      <c r="O42" s="60">
        <v>0</v>
      </c>
      <c r="P42" s="60">
        <v>3.58</v>
      </c>
      <c r="Q42" s="60">
        <v>53.49</v>
      </c>
      <c r="R42" s="197"/>
      <c r="S42" s="197"/>
      <c r="T42" s="197"/>
      <c r="U42" s="197"/>
    </row>
    <row r="43" spans="1:21" s="12" customFormat="1" x14ac:dyDescent="0.25">
      <c r="A43" s="200" t="s">
        <v>2298</v>
      </c>
      <c r="B43" s="60">
        <v>3.2</v>
      </c>
      <c r="C43" s="60">
        <v>7.75</v>
      </c>
      <c r="D43" s="60">
        <v>10.95</v>
      </c>
      <c r="E43" s="60">
        <v>5.81</v>
      </c>
      <c r="F43" s="60">
        <v>0.4</v>
      </c>
      <c r="G43" s="60">
        <v>27.86</v>
      </c>
      <c r="H43" s="60">
        <v>62.83</v>
      </c>
      <c r="I43" s="60">
        <v>5.63</v>
      </c>
      <c r="J43" s="60">
        <v>0.33</v>
      </c>
      <c r="K43" s="60">
        <v>186.8</v>
      </c>
      <c r="L43" s="60">
        <v>41.32</v>
      </c>
      <c r="M43" s="60">
        <v>89.01</v>
      </c>
      <c r="N43" s="60">
        <v>113.2</v>
      </c>
      <c r="O43" s="60">
        <v>0.2</v>
      </c>
      <c r="P43" s="60">
        <v>3.57</v>
      </c>
      <c r="Q43" s="60">
        <v>54.35</v>
      </c>
      <c r="R43" s="197"/>
      <c r="S43" s="197"/>
      <c r="T43" s="197"/>
      <c r="U43" s="197"/>
    </row>
    <row r="44" spans="1:21" s="12" customFormat="1" x14ac:dyDescent="0.25">
      <c r="A44" s="200" t="s">
        <v>2299</v>
      </c>
      <c r="B44" s="60">
        <v>3.13</v>
      </c>
      <c r="C44" s="60">
        <v>7.58</v>
      </c>
      <c r="D44" s="60">
        <v>10.71</v>
      </c>
      <c r="E44" s="60">
        <v>5.37</v>
      </c>
      <c r="F44" s="60">
        <v>0.32</v>
      </c>
      <c r="G44" s="60">
        <v>34.53</v>
      </c>
      <c r="H44" s="60">
        <v>228.58</v>
      </c>
      <c r="I44" s="60">
        <v>5.53</v>
      </c>
      <c r="J44" s="60">
        <v>0.05</v>
      </c>
      <c r="K44" s="60">
        <v>225.84</v>
      </c>
      <c r="L44" s="60">
        <v>40.770000000000003</v>
      </c>
      <c r="M44" s="60">
        <v>94.48</v>
      </c>
      <c r="N44" s="60">
        <v>169.9</v>
      </c>
      <c r="O44" s="60">
        <v>0.2</v>
      </c>
      <c r="P44" s="60">
        <v>3.59</v>
      </c>
      <c r="Q44" s="60">
        <v>51.74</v>
      </c>
      <c r="R44" s="197"/>
      <c r="S44" s="197"/>
      <c r="T44" s="197"/>
      <c r="U44" s="197"/>
    </row>
    <row r="45" spans="1:21" s="12" customFormat="1" x14ac:dyDescent="0.25">
      <c r="A45" s="200" t="s">
        <v>2300</v>
      </c>
      <c r="B45" s="60">
        <v>3.2</v>
      </c>
      <c r="C45" s="60">
        <v>8.3699999999999992</v>
      </c>
      <c r="D45" s="60">
        <v>11.57</v>
      </c>
      <c r="E45" s="60">
        <v>5.89</v>
      </c>
      <c r="F45" s="60">
        <v>0.16</v>
      </c>
      <c r="G45" s="60">
        <v>34.53</v>
      </c>
      <c r="H45" s="60">
        <v>228.58</v>
      </c>
      <c r="I45" s="60">
        <v>5.36</v>
      </c>
      <c r="J45" s="60">
        <v>0.18</v>
      </c>
      <c r="K45" s="60">
        <v>204.25</v>
      </c>
      <c r="L45" s="60">
        <v>43.4</v>
      </c>
      <c r="M45" s="60">
        <v>91.14</v>
      </c>
      <c r="N45" s="60">
        <v>363</v>
      </c>
      <c r="O45" s="60">
        <v>0</v>
      </c>
      <c r="P45" s="60">
        <v>3.59</v>
      </c>
      <c r="Q45" s="60">
        <v>53.85</v>
      </c>
      <c r="R45" s="197"/>
      <c r="S45" s="197"/>
      <c r="T45" s="197"/>
      <c r="U45" s="197"/>
    </row>
    <row r="46" spans="1:21" s="12" customFormat="1" x14ac:dyDescent="0.25">
      <c r="A46" s="200" t="s">
        <v>2301</v>
      </c>
      <c r="B46" s="60">
        <v>3.29</v>
      </c>
      <c r="C46" s="60">
        <v>8.4</v>
      </c>
      <c r="D46" s="60">
        <v>11.7</v>
      </c>
      <c r="E46" s="60">
        <v>5.7</v>
      </c>
      <c r="F46" s="60">
        <v>0.18</v>
      </c>
      <c r="G46" s="60">
        <v>34.53</v>
      </c>
      <c r="H46" s="60">
        <v>228.58</v>
      </c>
      <c r="I46" s="60">
        <v>5.29</v>
      </c>
      <c r="J46" s="60">
        <v>0.25</v>
      </c>
      <c r="K46" s="60">
        <v>193.28</v>
      </c>
      <c r="L46" s="60">
        <v>46.62</v>
      </c>
      <c r="M46" s="60">
        <v>88.88</v>
      </c>
      <c r="N46" s="60">
        <v>269.5</v>
      </c>
      <c r="O46" s="60">
        <v>0</v>
      </c>
      <c r="P46" s="60">
        <v>3.59</v>
      </c>
      <c r="Q46" s="60">
        <v>53.83</v>
      </c>
      <c r="R46" s="197"/>
      <c r="S46" s="197"/>
      <c r="T46" s="197"/>
      <c r="U46" s="197"/>
    </row>
    <row r="47" spans="1:21" s="12" customFormat="1" x14ac:dyDescent="0.25">
      <c r="A47" s="200" t="s">
        <v>2302</v>
      </c>
      <c r="B47" s="60">
        <v>3.31</v>
      </c>
      <c r="C47" s="60">
        <v>8.4700000000000006</v>
      </c>
      <c r="D47" s="60">
        <v>11.79</v>
      </c>
      <c r="E47" s="60">
        <v>5.47</v>
      </c>
      <c r="F47" s="60">
        <v>0.3</v>
      </c>
      <c r="G47" s="60">
        <v>34.51</v>
      </c>
      <c r="H47" s="60">
        <v>216.31</v>
      </c>
      <c r="I47" s="60">
        <v>5.25</v>
      </c>
      <c r="J47" s="60">
        <v>0.13</v>
      </c>
      <c r="K47" s="60">
        <v>211.69</v>
      </c>
      <c r="L47" s="60">
        <v>45.02</v>
      </c>
      <c r="M47" s="60">
        <v>90.83</v>
      </c>
      <c r="N47" s="60">
        <v>146.30000000000001</v>
      </c>
      <c r="O47" s="60">
        <v>0</v>
      </c>
      <c r="P47" s="60">
        <v>3.6</v>
      </c>
      <c r="Q47" s="60">
        <v>54.05</v>
      </c>
      <c r="R47" s="197"/>
      <c r="S47" s="197"/>
      <c r="T47" s="197"/>
      <c r="U47" s="197"/>
    </row>
    <row r="48" spans="1:21" s="12" customFormat="1" x14ac:dyDescent="0.25">
      <c r="A48" s="200" t="s">
        <v>2303</v>
      </c>
      <c r="B48" s="60">
        <v>3.46</v>
      </c>
      <c r="C48" s="60">
        <v>8.84</v>
      </c>
      <c r="D48" s="60">
        <v>12.29</v>
      </c>
      <c r="E48" s="60">
        <v>5.39</v>
      </c>
      <c r="F48" s="60">
        <v>0.16</v>
      </c>
      <c r="G48" s="60">
        <v>34.24</v>
      </c>
      <c r="H48" s="60">
        <v>90.53</v>
      </c>
      <c r="I48" s="60">
        <v>5.32</v>
      </c>
      <c r="J48" s="60">
        <v>0.09</v>
      </c>
      <c r="K48" s="60">
        <v>218.13</v>
      </c>
      <c r="L48" s="60">
        <v>41.55</v>
      </c>
      <c r="M48" s="60">
        <v>86.91</v>
      </c>
      <c r="N48" s="60">
        <v>635.70000000000005</v>
      </c>
      <c r="O48" s="60">
        <v>0</v>
      </c>
      <c r="P48" s="60">
        <v>3.61</v>
      </c>
      <c r="Q48" s="60">
        <v>54.52</v>
      </c>
      <c r="R48" s="197"/>
      <c r="S48" s="197"/>
      <c r="T48" s="197"/>
      <c r="U48" s="197"/>
    </row>
    <row r="49" spans="1:21" s="12" customFormat="1" x14ac:dyDescent="0.25">
      <c r="A49" s="200" t="s">
        <v>2304</v>
      </c>
      <c r="B49" s="60">
        <v>3.71</v>
      </c>
      <c r="C49" s="60">
        <v>9.14</v>
      </c>
      <c r="D49" s="60">
        <v>12.85</v>
      </c>
      <c r="E49" s="60">
        <v>5.28</v>
      </c>
      <c r="F49" s="60">
        <v>0.34</v>
      </c>
      <c r="G49" s="60">
        <v>34.24</v>
      </c>
      <c r="H49" s="60">
        <v>90.53</v>
      </c>
      <c r="I49" s="60">
        <v>5.35</v>
      </c>
      <c r="J49" s="60">
        <v>0.16</v>
      </c>
      <c r="K49" s="60">
        <v>200.01</v>
      </c>
      <c r="L49" s="60">
        <v>43.76</v>
      </c>
      <c r="M49" s="60">
        <v>82.28</v>
      </c>
      <c r="N49" s="60">
        <v>816.3</v>
      </c>
      <c r="O49" s="60">
        <v>0</v>
      </c>
      <c r="P49" s="60">
        <v>3.64</v>
      </c>
      <c r="Q49" s="60">
        <v>53.97</v>
      </c>
      <c r="R49" s="197"/>
      <c r="S49" s="197"/>
      <c r="T49" s="197"/>
      <c r="U49" s="197"/>
    </row>
    <row r="50" spans="1:21" s="12" customFormat="1" x14ac:dyDescent="0.25">
      <c r="A50" s="200" t="s">
        <v>2305</v>
      </c>
      <c r="B50" s="60">
        <v>3.65</v>
      </c>
      <c r="C50" s="60">
        <v>9.76</v>
      </c>
      <c r="D50" s="60">
        <v>13.41</v>
      </c>
      <c r="E50" s="60">
        <v>5.51</v>
      </c>
      <c r="F50" s="60">
        <v>0.54</v>
      </c>
      <c r="G50" s="60">
        <v>34.24</v>
      </c>
      <c r="H50" s="60">
        <v>90.53</v>
      </c>
      <c r="I50" s="60">
        <v>5.38</v>
      </c>
      <c r="J50" s="60">
        <v>0.19</v>
      </c>
      <c r="K50" s="60">
        <v>25.96</v>
      </c>
      <c r="L50" s="60">
        <v>44.68</v>
      </c>
      <c r="M50" s="60">
        <v>77.84</v>
      </c>
      <c r="N50" s="60">
        <v>813.4</v>
      </c>
      <c r="O50" s="60">
        <v>0</v>
      </c>
      <c r="P50" s="60">
        <v>3.65</v>
      </c>
      <c r="Q50" s="60">
        <v>53.46</v>
      </c>
      <c r="R50" s="197"/>
      <c r="S50" s="197"/>
      <c r="T50" s="197"/>
      <c r="U50" s="197"/>
    </row>
    <row r="51" spans="1:21" s="12" customFormat="1" x14ac:dyDescent="0.25">
      <c r="A51" s="200" t="s">
        <v>2306</v>
      </c>
      <c r="B51" s="60">
        <v>3.53</v>
      </c>
      <c r="C51" s="60">
        <v>10.99</v>
      </c>
      <c r="D51" s="60">
        <v>14.52</v>
      </c>
      <c r="E51" s="60">
        <v>5.32</v>
      </c>
      <c r="F51" s="60">
        <v>0.48</v>
      </c>
      <c r="G51" s="60">
        <v>35.81</v>
      </c>
      <c r="H51" s="60">
        <v>83.39</v>
      </c>
      <c r="I51" s="60">
        <v>5.3</v>
      </c>
      <c r="J51" s="60">
        <v>0.1</v>
      </c>
      <c r="K51" s="60">
        <v>215.41</v>
      </c>
      <c r="L51" s="60">
        <v>42.71</v>
      </c>
      <c r="M51" s="60">
        <v>74.73</v>
      </c>
      <c r="N51" s="60">
        <v>798.5</v>
      </c>
      <c r="O51" s="60">
        <v>0</v>
      </c>
      <c r="P51" s="60">
        <v>3.67</v>
      </c>
      <c r="Q51" s="60">
        <v>52.43</v>
      </c>
      <c r="R51" s="197"/>
      <c r="S51" s="197"/>
      <c r="T51" s="197"/>
      <c r="U51" s="197"/>
    </row>
    <row r="52" spans="1:21" s="12" customFormat="1" x14ac:dyDescent="0.25">
      <c r="A52" s="200" t="s">
        <v>2307</v>
      </c>
      <c r="B52" s="60">
        <v>2.93</v>
      </c>
      <c r="C52" s="60">
        <v>12.17</v>
      </c>
      <c r="D52" s="60">
        <v>15.1</v>
      </c>
      <c r="E52" s="60">
        <v>4.5999999999999996</v>
      </c>
      <c r="F52" s="60">
        <v>0.74</v>
      </c>
      <c r="G52" s="60">
        <v>51.9</v>
      </c>
      <c r="H52" s="60">
        <v>10.24</v>
      </c>
      <c r="I52" s="60">
        <v>5.22</v>
      </c>
      <c r="J52" s="60">
        <v>0.19</v>
      </c>
      <c r="K52" s="60">
        <v>43.14</v>
      </c>
      <c r="L52" s="60">
        <v>42.26</v>
      </c>
      <c r="M52" s="60">
        <v>71.989999999999995</v>
      </c>
      <c r="N52" s="60">
        <v>864.1</v>
      </c>
      <c r="O52" s="60">
        <v>0</v>
      </c>
      <c r="P52" s="60">
        <v>3.68</v>
      </c>
      <c r="Q52" s="60">
        <v>51.57</v>
      </c>
      <c r="R52" s="197"/>
      <c r="S52" s="197"/>
      <c r="T52" s="197"/>
      <c r="U52" s="197"/>
    </row>
    <row r="53" spans="1:21" s="12" customFormat="1" x14ac:dyDescent="0.25">
      <c r="A53" s="200" t="s">
        <v>2308</v>
      </c>
      <c r="B53" s="60">
        <v>2.76</v>
      </c>
      <c r="C53" s="60">
        <v>13.25</v>
      </c>
      <c r="D53" s="60">
        <v>16.010000000000002</v>
      </c>
      <c r="E53" s="60">
        <v>4.21</v>
      </c>
      <c r="F53" s="60">
        <v>0.59</v>
      </c>
      <c r="G53" s="60">
        <v>51.9</v>
      </c>
      <c r="H53" s="60">
        <v>10.24</v>
      </c>
      <c r="I53" s="60">
        <v>4.9000000000000004</v>
      </c>
      <c r="J53" s="60">
        <v>0.01</v>
      </c>
      <c r="K53" s="60">
        <v>277.7</v>
      </c>
      <c r="L53" s="60">
        <v>41.92</v>
      </c>
      <c r="M53" s="60">
        <v>70.56</v>
      </c>
      <c r="N53" s="60">
        <v>703.3</v>
      </c>
      <c r="O53" s="60">
        <v>0</v>
      </c>
      <c r="P53" s="60">
        <v>3.69</v>
      </c>
      <c r="Q53" s="60">
        <v>52.17</v>
      </c>
      <c r="R53" s="197"/>
      <c r="S53" s="197"/>
      <c r="T53" s="197"/>
      <c r="U53" s="197"/>
    </row>
    <row r="54" spans="1:21" s="12" customFormat="1" x14ac:dyDescent="0.25">
      <c r="A54" s="200" t="s">
        <v>2309</v>
      </c>
      <c r="B54" s="60">
        <v>2.77</v>
      </c>
      <c r="C54" s="60">
        <v>12.84</v>
      </c>
      <c r="D54" s="60">
        <v>15.61</v>
      </c>
      <c r="E54" s="60">
        <v>3.91</v>
      </c>
      <c r="F54" s="60">
        <v>1.39</v>
      </c>
      <c r="G54" s="60">
        <v>51.9</v>
      </c>
      <c r="H54" s="60">
        <v>10.24</v>
      </c>
      <c r="I54" s="60">
        <v>4.5</v>
      </c>
      <c r="J54" s="60">
        <v>0.11</v>
      </c>
      <c r="K54" s="60">
        <v>189.74</v>
      </c>
      <c r="L54" s="60">
        <v>41.91</v>
      </c>
      <c r="M54" s="60">
        <v>69.41</v>
      </c>
      <c r="N54" s="60">
        <v>916.6</v>
      </c>
      <c r="O54" s="60">
        <v>0</v>
      </c>
      <c r="P54" s="60">
        <v>3.69</v>
      </c>
      <c r="Q54" s="60">
        <v>48.38</v>
      </c>
      <c r="R54" s="197"/>
      <c r="S54" s="197"/>
      <c r="T54" s="197"/>
      <c r="U54" s="197"/>
    </row>
    <row r="55" spans="1:21" s="12" customFormat="1" x14ac:dyDescent="0.25">
      <c r="A55" s="200" t="s">
        <v>2310</v>
      </c>
      <c r="B55" s="60">
        <v>2.61</v>
      </c>
      <c r="C55" s="60">
        <v>13.3</v>
      </c>
      <c r="D55" s="60">
        <v>15.91</v>
      </c>
      <c r="E55" s="60">
        <v>4.42</v>
      </c>
      <c r="F55" s="60">
        <v>0.61</v>
      </c>
      <c r="G55" s="60">
        <v>52.08</v>
      </c>
      <c r="H55" s="60">
        <v>20.55</v>
      </c>
      <c r="I55" s="60">
        <v>4.34</v>
      </c>
      <c r="J55" s="60">
        <v>0.2</v>
      </c>
      <c r="K55" s="60">
        <v>42.65</v>
      </c>
      <c r="L55" s="60">
        <v>45.53</v>
      </c>
      <c r="M55" s="60">
        <v>66.81</v>
      </c>
      <c r="N55" s="60">
        <v>835.8</v>
      </c>
      <c r="O55" s="60">
        <v>0</v>
      </c>
      <c r="P55" s="60">
        <v>3.71</v>
      </c>
      <c r="Q55" s="60">
        <v>48.11</v>
      </c>
      <c r="R55" s="197"/>
      <c r="S55" s="197"/>
      <c r="T55" s="197"/>
      <c r="U55" s="197"/>
    </row>
    <row r="56" spans="1:21" s="12" customFormat="1" x14ac:dyDescent="0.25">
      <c r="A56" s="200" t="s">
        <v>2311</v>
      </c>
      <c r="B56" s="60">
        <v>2.77</v>
      </c>
      <c r="C56" s="60">
        <v>13.66</v>
      </c>
      <c r="D56" s="60">
        <v>16.43</v>
      </c>
      <c r="E56" s="60">
        <v>1.75</v>
      </c>
      <c r="F56" s="60">
        <v>1.1399999999999999</v>
      </c>
      <c r="G56" s="10" t="s">
        <v>43</v>
      </c>
      <c r="H56" s="60">
        <v>126.24</v>
      </c>
      <c r="I56" s="60">
        <v>4.08</v>
      </c>
      <c r="J56" s="60">
        <v>0.13</v>
      </c>
      <c r="K56" s="60">
        <v>35.520000000000003</v>
      </c>
      <c r="L56" s="60">
        <v>45.42</v>
      </c>
      <c r="M56" s="60">
        <v>65.31</v>
      </c>
      <c r="N56" s="60">
        <v>1027.2</v>
      </c>
      <c r="O56" s="60">
        <v>0</v>
      </c>
      <c r="P56" s="60">
        <v>3.7</v>
      </c>
      <c r="Q56" s="60">
        <v>47.84</v>
      </c>
      <c r="R56" s="197"/>
      <c r="S56" s="197"/>
      <c r="T56" s="197"/>
      <c r="U56" s="197"/>
    </row>
    <row r="57" spans="1:21" s="12" customFormat="1" x14ac:dyDescent="0.25">
      <c r="A57" s="200" t="s">
        <v>2312</v>
      </c>
      <c r="B57" s="60">
        <v>2.4500000000000002</v>
      </c>
      <c r="C57" s="60">
        <v>13.49</v>
      </c>
      <c r="D57" s="60">
        <v>15.94</v>
      </c>
      <c r="E57" s="60">
        <v>2.84</v>
      </c>
      <c r="F57" s="60">
        <v>1.49</v>
      </c>
      <c r="G57" s="10" t="s">
        <v>43</v>
      </c>
      <c r="H57" s="60">
        <v>126.24</v>
      </c>
      <c r="I57" s="60">
        <v>3.95</v>
      </c>
      <c r="J57" s="60">
        <v>0.05</v>
      </c>
      <c r="K57" s="60">
        <v>288.95</v>
      </c>
      <c r="L57" s="60">
        <v>42.5</v>
      </c>
      <c r="M57" s="60">
        <v>65.760000000000005</v>
      </c>
      <c r="N57" s="60">
        <v>888.7</v>
      </c>
      <c r="O57" s="60">
        <v>0</v>
      </c>
      <c r="P57" s="60">
        <v>3.7</v>
      </c>
      <c r="Q57" s="60">
        <v>44.12</v>
      </c>
      <c r="R57" s="197"/>
      <c r="S57" s="197"/>
      <c r="T57" s="197"/>
      <c r="U57" s="197"/>
    </row>
    <row r="58" spans="1:21" s="12" customFormat="1" x14ac:dyDescent="0.25">
      <c r="A58" s="200" t="s">
        <v>2313</v>
      </c>
      <c r="B58" s="60">
        <v>2.31</v>
      </c>
      <c r="C58" s="60">
        <v>13.93</v>
      </c>
      <c r="D58" s="60">
        <v>16.239999999999998</v>
      </c>
      <c r="E58" s="60">
        <v>2.46</v>
      </c>
      <c r="F58" s="60">
        <v>0.66</v>
      </c>
      <c r="G58" s="10" t="s">
        <v>43</v>
      </c>
      <c r="H58" s="60">
        <v>126.24</v>
      </c>
      <c r="I58" s="60">
        <v>3.69</v>
      </c>
      <c r="J58" s="60">
        <v>0.2</v>
      </c>
      <c r="K58" s="60">
        <v>357.19</v>
      </c>
      <c r="L58" s="60">
        <v>43.58</v>
      </c>
      <c r="M58" s="60">
        <v>63.9</v>
      </c>
      <c r="N58" s="60">
        <v>957.4</v>
      </c>
      <c r="O58" s="60">
        <v>0</v>
      </c>
      <c r="P58" s="60">
        <v>3.71</v>
      </c>
      <c r="Q58" s="60">
        <v>45.77</v>
      </c>
      <c r="R58" s="197"/>
      <c r="S58" s="197"/>
      <c r="T58" s="197"/>
      <c r="U58" s="197"/>
    </row>
    <row r="59" spans="1:21" s="12" customFormat="1" x14ac:dyDescent="0.25">
      <c r="A59" s="200" t="s">
        <v>2314</v>
      </c>
      <c r="B59" s="60">
        <v>2.38</v>
      </c>
      <c r="C59" s="60">
        <v>13.49</v>
      </c>
      <c r="D59" s="60">
        <v>15.87</v>
      </c>
      <c r="E59" s="60">
        <v>2.8</v>
      </c>
      <c r="F59" s="60">
        <v>1.27</v>
      </c>
      <c r="G59" s="10" t="s">
        <v>43</v>
      </c>
      <c r="H59" s="60">
        <v>130.13999999999999</v>
      </c>
      <c r="I59" s="60">
        <v>3.52</v>
      </c>
      <c r="J59" s="60">
        <v>0.23</v>
      </c>
      <c r="K59" s="60">
        <v>29.25</v>
      </c>
      <c r="L59" s="60">
        <v>43.32</v>
      </c>
      <c r="M59" s="60">
        <v>63</v>
      </c>
      <c r="N59" s="60">
        <v>1007</v>
      </c>
      <c r="O59" s="60">
        <v>0</v>
      </c>
      <c r="P59" s="60">
        <v>3.7</v>
      </c>
      <c r="Q59" s="60">
        <v>45.74</v>
      </c>
      <c r="R59" s="197"/>
      <c r="S59" s="197"/>
      <c r="T59" s="197"/>
      <c r="U59" s="197"/>
    </row>
    <row r="60" spans="1:21" s="12" customFormat="1" x14ac:dyDescent="0.25">
      <c r="A60" s="200" t="s">
        <v>2315</v>
      </c>
      <c r="B60" s="60">
        <v>2.0499999999999998</v>
      </c>
      <c r="C60" s="60">
        <v>13.54</v>
      </c>
      <c r="D60" s="60">
        <v>15.59</v>
      </c>
      <c r="E60" s="60">
        <v>2.4700000000000002</v>
      </c>
      <c r="F60" s="60">
        <v>1.56</v>
      </c>
      <c r="G60" s="10" t="s">
        <v>43</v>
      </c>
      <c r="H60" s="60">
        <v>170.09</v>
      </c>
      <c r="I60" s="60">
        <v>3.46</v>
      </c>
      <c r="J60" s="60">
        <v>0.02</v>
      </c>
      <c r="K60" s="60">
        <v>258.35000000000002</v>
      </c>
      <c r="L60" s="60">
        <v>44.64</v>
      </c>
      <c r="M60" s="60">
        <v>63.16</v>
      </c>
      <c r="N60" s="60">
        <v>878.6</v>
      </c>
      <c r="O60" s="60">
        <v>0</v>
      </c>
      <c r="P60" s="60">
        <v>3.7</v>
      </c>
      <c r="Q60" s="60">
        <v>45.03</v>
      </c>
      <c r="R60" s="197"/>
      <c r="S60" s="197"/>
      <c r="T60" s="197"/>
      <c r="U60" s="197"/>
    </row>
    <row r="61" spans="1:21" s="12" customFormat="1" x14ac:dyDescent="0.25">
      <c r="A61" s="200" t="s">
        <v>2316</v>
      </c>
      <c r="B61" s="60">
        <v>1.98</v>
      </c>
      <c r="C61" s="60">
        <v>14.1</v>
      </c>
      <c r="D61" s="60">
        <v>16.09</v>
      </c>
      <c r="E61" s="60">
        <v>1.68</v>
      </c>
      <c r="F61" s="60">
        <v>1.3</v>
      </c>
      <c r="G61" s="10" t="s">
        <v>43</v>
      </c>
      <c r="H61" s="60">
        <v>170.09</v>
      </c>
      <c r="I61" s="60">
        <v>3.29</v>
      </c>
      <c r="J61" s="60">
        <v>0.13</v>
      </c>
      <c r="K61" s="60">
        <v>206.66</v>
      </c>
      <c r="L61" s="60">
        <v>49.02</v>
      </c>
      <c r="M61" s="60">
        <v>65.319999999999993</v>
      </c>
      <c r="N61" s="60">
        <v>718.9</v>
      </c>
      <c r="O61" s="60">
        <v>0</v>
      </c>
      <c r="P61" s="60">
        <v>3.69</v>
      </c>
      <c r="Q61" s="60">
        <v>45.31</v>
      </c>
      <c r="R61" s="197"/>
      <c r="S61" s="197"/>
      <c r="T61" s="197"/>
      <c r="U61" s="197"/>
    </row>
    <row r="62" spans="1:21" s="12" customFormat="1" x14ac:dyDescent="0.25">
      <c r="A62" s="200" t="s">
        <v>2317</v>
      </c>
      <c r="B62" s="60">
        <v>1.85</v>
      </c>
      <c r="C62" s="60">
        <v>13.81</v>
      </c>
      <c r="D62" s="60">
        <v>15.66</v>
      </c>
      <c r="E62" s="60">
        <v>2.06</v>
      </c>
      <c r="F62" s="60">
        <v>1.51</v>
      </c>
      <c r="G62" s="10" t="s">
        <v>43</v>
      </c>
      <c r="H62" s="60">
        <v>170.09</v>
      </c>
      <c r="I62" s="60">
        <v>3.15</v>
      </c>
      <c r="J62" s="60">
        <v>0.17</v>
      </c>
      <c r="K62" s="60">
        <v>191.71</v>
      </c>
      <c r="L62" s="60">
        <v>44.46</v>
      </c>
      <c r="M62" s="60">
        <v>63.79</v>
      </c>
      <c r="N62" s="60">
        <v>753.4</v>
      </c>
      <c r="O62" s="60">
        <v>0</v>
      </c>
      <c r="P62" s="60">
        <v>3.67</v>
      </c>
      <c r="Q62" s="60">
        <v>45.51</v>
      </c>
      <c r="R62" s="197"/>
      <c r="S62" s="197"/>
      <c r="T62" s="197"/>
      <c r="U62" s="197"/>
    </row>
    <row r="63" spans="1:21" s="12" customFormat="1" x14ac:dyDescent="0.25">
      <c r="A63" s="200" t="s">
        <v>2318</v>
      </c>
      <c r="B63" s="60">
        <v>1.7</v>
      </c>
      <c r="C63" s="60">
        <v>13.9</v>
      </c>
      <c r="D63" s="60">
        <v>15.6</v>
      </c>
      <c r="E63" s="60">
        <v>1.95</v>
      </c>
      <c r="F63" s="60">
        <v>1</v>
      </c>
      <c r="G63" s="10" t="s">
        <v>43</v>
      </c>
      <c r="H63" s="60">
        <v>168.16</v>
      </c>
      <c r="I63" s="60">
        <v>3.07</v>
      </c>
      <c r="J63" s="60">
        <v>0.04</v>
      </c>
      <c r="K63" s="60">
        <v>40.43</v>
      </c>
      <c r="L63" s="60">
        <v>45.78</v>
      </c>
      <c r="M63" s="60">
        <v>63.56</v>
      </c>
      <c r="N63" s="60">
        <v>630.29999999999995</v>
      </c>
      <c r="O63" s="60">
        <v>0</v>
      </c>
      <c r="P63" s="60">
        <v>3.69</v>
      </c>
      <c r="Q63" s="60">
        <v>44.91</v>
      </c>
      <c r="R63" s="197"/>
      <c r="S63" s="197"/>
      <c r="T63" s="197"/>
      <c r="U63" s="197"/>
    </row>
    <row r="64" spans="1:21" s="12" customFormat="1" x14ac:dyDescent="0.25">
      <c r="A64" s="200" t="s">
        <v>2319</v>
      </c>
      <c r="B64" s="60">
        <v>1.78</v>
      </c>
      <c r="C64" s="60">
        <v>13.72</v>
      </c>
      <c r="D64" s="60">
        <v>15.49</v>
      </c>
      <c r="E64" s="60">
        <v>2.21</v>
      </c>
      <c r="F64" s="60">
        <v>1.07</v>
      </c>
      <c r="G64" s="10" t="s">
        <v>43</v>
      </c>
      <c r="H64" s="60">
        <v>148.38</v>
      </c>
      <c r="I64" s="60">
        <v>2.99</v>
      </c>
      <c r="J64" s="60">
        <v>0.52</v>
      </c>
      <c r="K64" s="60">
        <v>203.95</v>
      </c>
      <c r="L64" s="60">
        <v>46.17</v>
      </c>
      <c r="M64" s="60">
        <v>65.489999999999995</v>
      </c>
      <c r="N64" s="60">
        <v>531.20000000000005</v>
      </c>
      <c r="O64" s="60">
        <v>0</v>
      </c>
      <c r="P64" s="60">
        <v>3.69</v>
      </c>
      <c r="Q64" s="60">
        <v>45.66</v>
      </c>
      <c r="R64" s="197"/>
      <c r="S64" s="197"/>
      <c r="T64" s="197"/>
      <c r="U64" s="197"/>
    </row>
    <row r="65" spans="1:21" s="12" customFormat="1" x14ac:dyDescent="0.25">
      <c r="A65" s="200" t="s">
        <v>2320</v>
      </c>
      <c r="B65" s="60">
        <v>1.46</v>
      </c>
      <c r="C65" s="60">
        <v>13.18</v>
      </c>
      <c r="D65" s="60">
        <v>14.64</v>
      </c>
      <c r="E65" s="60">
        <v>2.73</v>
      </c>
      <c r="F65" s="60">
        <v>0.75</v>
      </c>
      <c r="G65" s="10" t="s">
        <v>43</v>
      </c>
      <c r="H65" s="60">
        <v>148.38</v>
      </c>
      <c r="I65" s="60">
        <v>2.98</v>
      </c>
      <c r="J65" s="60">
        <v>0.18</v>
      </c>
      <c r="K65" s="60">
        <v>184.16</v>
      </c>
      <c r="L65" s="60">
        <v>49.5</v>
      </c>
      <c r="M65" s="60">
        <v>65.02</v>
      </c>
      <c r="N65" s="60">
        <v>772.8</v>
      </c>
      <c r="O65" s="60">
        <v>0</v>
      </c>
      <c r="P65" s="60">
        <v>3.68</v>
      </c>
      <c r="Q65" s="60">
        <v>44.74</v>
      </c>
      <c r="R65" s="197"/>
      <c r="S65" s="197"/>
      <c r="T65" s="197"/>
      <c r="U65" s="197"/>
    </row>
    <row r="66" spans="1:21" s="12" customFormat="1" x14ac:dyDescent="0.25">
      <c r="A66" s="200" t="s">
        <v>2321</v>
      </c>
      <c r="B66" s="60">
        <v>1.2</v>
      </c>
      <c r="C66" s="60">
        <v>12.49</v>
      </c>
      <c r="D66" s="60">
        <v>13.69</v>
      </c>
      <c r="E66" s="60">
        <v>2.44</v>
      </c>
      <c r="F66" s="60">
        <v>1.47</v>
      </c>
      <c r="G66" s="10" t="s">
        <v>43</v>
      </c>
      <c r="H66" s="60">
        <v>148.38</v>
      </c>
      <c r="I66" s="60">
        <v>3.05</v>
      </c>
      <c r="J66" s="60">
        <v>0.28999999999999998</v>
      </c>
      <c r="K66" s="60">
        <v>203.91</v>
      </c>
      <c r="L66" s="60">
        <v>50.02</v>
      </c>
      <c r="M66" s="60">
        <v>64.19</v>
      </c>
      <c r="N66" s="60">
        <v>774.2</v>
      </c>
      <c r="O66" s="60">
        <v>0</v>
      </c>
      <c r="P66" s="60">
        <v>3.67</v>
      </c>
      <c r="Q66" s="60">
        <v>45.59</v>
      </c>
      <c r="R66" s="197"/>
      <c r="S66" s="197"/>
      <c r="T66" s="197"/>
      <c r="U66" s="197"/>
    </row>
    <row r="67" spans="1:21" s="12" customFormat="1" x14ac:dyDescent="0.25">
      <c r="A67" s="200" t="s">
        <v>2322</v>
      </c>
      <c r="B67" s="60">
        <v>1.23</v>
      </c>
      <c r="C67" s="60">
        <v>12.11</v>
      </c>
      <c r="D67" s="60">
        <v>13.34</v>
      </c>
      <c r="E67" s="60">
        <v>2.2400000000000002</v>
      </c>
      <c r="F67" s="60">
        <v>1.38</v>
      </c>
      <c r="G67" s="10" t="s">
        <v>43</v>
      </c>
      <c r="H67" s="60">
        <v>154.38</v>
      </c>
      <c r="I67" s="60">
        <v>3.07</v>
      </c>
      <c r="J67" s="60">
        <v>0.14000000000000001</v>
      </c>
      <c r="K67" s="60">
        <v>175.4</v>
      </c>
      <c r="L67" s="60">
        <v>38.299999999999997</v>
      </c>
      <c r="M67" s="60">
        <v>62.4</v>
      </c>
      <c r="N67" s="60">
        <v>652.5</v>
      </c>
      <c r="O67" s="60">
        <v>0</v>
      </c>
      <c r="P67" s="60">
        <v>3.67</v>
      </c>
      <c r="Q67" s="60">
        <v>44</v>
      </c>
      <c r="R67" s="197"/>
      <c r="S67" s="197"/>
      <c r="T67" s="197"/>
      <c r="U67" s="197"/>
    </row>
    <row r="68" spans="1:21" s="12" customFormat="1" x14ac:dyDescent="0.25">
      <c r="A68" s="200" t="s">
        <v>2323</v>
      </c>
      <c r="B68" s="60">
        <v>1.37</v>
      </c>
      <c r="C68" s="60">
        <v>12.28</v>
      </c>
      <c r="D68" s="60">
        <v>13.65</v>
      </c>
      <c r="E68" s="60">
        <v>2.4300000000000002</v>
      </c>
      <c r="F68" s="60">
        <v>0.86</v>
      </c>
      <c r="G68" s="10" t="s">
        <v>43</v>
      </c>
      <c r="H68" s="60">
        <v>215.81</v>
      </c>
      <c r="I68" s="60">
        <v>3</v>
      </c>
      <c r="J68" s="60">
        <v>0.17</v>
      </c>
      <c r="K68" s="60">
        <v>196.62</v>
      </c>
      <c r="L68" s="60">
        <v>36.61</v>
      </c>
      <c r="M68" s="60">
        <v>62.85</v>
      </c>
      <c r="N68" s="60">
        <v>518.20000000000005</v>
      </c>
      <c r="O68" s="60">
        <v>0</v>
      </c>
      <c r="P68" s="60">
        <v>3.66</v>
      </c>
      <c r="Q68" s="60">
        <v>45.62</v>
      </c>
      <c r="R68" s="197"/>
      <c r="S68" s="197"/>
      <c r="T68" s="197"/>
      <c r="U68" s="197"/>
    </row>
    <row r="69" spans="1:21" s="12" customFormat="1" x14ac:dyDescent="0.25">
      <c r="A69" s="200" t="s">
        <v>2324</v>
      </c>
      <c r="B69" s="60">
        <v>1.38</v>
      </c>
      <c r="C69" s="60">
        <v>11.32</v>
      </c>
      <c r="D69" s="60">
        <v>12.7</v>
      </c>
      <c r="E69" s="60">
        <v>2.58</v>
      </c>
      <c r="F69" s="60">
        <v>1.35</v>
      </c>
      <c r="G69" s="10" t="s">
        <v>43</v>
      </c>
      <c r="H69" s="60">
        <v>215.81</v>
      </c>
      <c r="I69" s="60">
        <v>2.94</v>
      </c>
      <c r="J69" s="60">
        <v>0.34</v>
      </c>
      <c r="K69" s="60">
        <v>210.22</v>
      </c>
      <c r="L69" s="60">
        <v>35.94</v>
      </c>
      <c r="M69" s="60">
        <v>64.459999999999994</v>
      </c>
      <c r="N69" s="60">
        <v>447.3</v>
      </c>
      <c r="O69" s="60">
        <v>0</v>
      </c>
      <c r="P69" s="60">
        <v>3.66</v>
      </c>
      <c r="Q69" s="60">
        <v>43.33</v>
      </c>
      <c r="R69" s="197"/>
      <c r="S69" s="197"/>
      <c r="T69" s="197"/>
      <c r="U69" s="197"/>
    </row>
    <row r="70" spans="1:21" s="12" customFormat="1" x14ac:dyDescent="0.25">
      <c r="A70" s="200" t="s">
        <v>2325</v>
      </c>
      <c r="B70" s="60">
        <v>1.39</v>
      </c>
      <c r="C70" s="60">
        <v>11.07</v>
      </c>
      <c r="D70" s="60">
        <v>12.46</v>
      </c>
      <c r="E70" s="60">
        <v>2.25</v>
      </c>
      <c r="F70" s="60">
        <v>0.87</v>
      </c>
      <c r="G70" s="10" t="s">
        <v>43</v>
      </c>
      <c r="H70" s="60">
        <v>215.81</v>
      </c>
      <c r="I70" s="60">
        <v>2.95</v>
      </c>
      <c r="J70" s="60">
        <v>0.57999999999999996</v>
      </c>
      <c r="K70" s="60">
        <v>178.28</v>
      </c>
      <c r="L70" s="60">
        <v>35.78</v>
      </c>
      <c r="M70" s="60">
        <v>66.05</v>
      </c>
      <c r="N70" s="60">
        <v>533.9</v>
      </c>
      <c r="O70" s="60">
        <v>0</v>
      </c>
      <c r="P70" s="60">
        <v>3.67</v>
      </c>
      <c r="Q70" s="60">
        <v>42.03</v>
      </c>
      <c r="R70" s="197"/>
      <c r="S70" s="197"/>
      <c r="T70" s="197"/>
      <c r="U70" s="197"/>
    </row>
    <row r="71" spans="1:21" s="12" customFormat="1" x14ac:dyDescent="0.25">
      <c r="A71" s="200" t="s">
        <v>2326</v>
      </c>
      <c r="B71" s="60">
        <v>1.24</v>
      </c>
      <c r="C71" s="60">
        <v>10.8</v>
      </c>
      <c r="D71" s="60">
        <v>12.04</v>
      </c>
      <c r="E71" s="60">
        <v>2.64</v>
      </c>
      <c r="F71" s="60">
        <v>0.79</v>
      </c>
      <c r="G71" s="10" t="s">
        <v>43</v>
      </c>
      <c r="H71" s="60">
        <v>210.05</v>
      </c>
      <c r="I71" s="60">
        <v>2.9</v>
      </c>
      <c r="J71" s="60">
        <v>0.47</v>
      </c>
      <c r="K71" s="60">
        <v>205.75</v>
      </c>
      <c r="L71" s="60">
        <v>35.369999999999997</v>
      </c>
      <c r="M71" s="60">
        <v>66.22</v>
      </c>
      <c r="N71" s="60">
        <v>318.7</v>
      </c>
      <c r="O71" s="60">
        <v>0</v>
      </c>
      <c r="P71" s="60">
        <v>3.64</v>
      </c>
      <c r="Q71" s="60">
        <v>44.31</v>
      </c>
      <c r="R71" s="197"/>
      <c r="S71" s="197"/>
      <c r="T71" s="197"/>
      <c r="U71" s="197"/>
    </row>
    <row r="72" spans="1:21" s="12" customFormat="1" x14ac:dyDescent="0.25">
      <c r="A72" s="200" t="s">
        <v>2327</v>
      </c>
      <c r="B72" s="60">
        <v>1.1000000000000001</v>
      </c>
      <c r="C72" s="60">
        <v>9.74</v>
      </c>
      <c r="D72" s="60">
        <v>10.84</v>
      </c>
      <c r="E72" s="60">
        <v>0.96</v>
      </c>
      <c r="F72" s="60">
        <v>1.1499999999999999</v>
      </c>
      <c r="G72" s="10" t="s">
        <v>43</v>
      </c>
      <c r="H72" s="60">
        <v>150.94999999999999</v>
      </c>
      <c r="I72" s="60">
        <v>2.93</v>
      </c>
      <c r="J72" s="60">
        <v>0.43</v>
      </c>
      <c r="K72" s="60">
        <v>209.72</v>
      </c>
      <c r="L72" s="60">
        <v>35.4</v>
      </c>
      <c r="M72" s="60">
        <v>65.69</v>
      </c>
      <c r="N72" s="60">
        <v>192.8</v>
      </c>
      <c r="O72" s="60">
        <v>0</v>
      </c>
      <c r="P72" s="60">
        <v>3.63</v>
      </c>
      <c r="Q72" s="60">
        <v>42.38</v>
      </c>
      <c r="R72" s="197"/>
      <c r="S72" s="197"/>
      <c r="T72" s="197"/>
      <c r="U72" s="197"/>
    </row>
    <row r="73" spans="1:21" s="12" customFormat="1" x14ac:dyDescent="0.25">
      <c r="A73" s="200" t="s">
        <v>2328</v>
      </c>
      <c r="B73" s="60">
        <v>0.98</v>
      </c>
      <c r="C73" s="60">
        <v>9.66</v>
      </c>
      <c r="D73" s="60">
        <v>10.64</v>
      </c>
      <c r="E73" s="60">
        <v>2.63</v>
      </c>
      <c r="F73" s="60">
        <v>0.53</v>
      </c>
      <c r="G73" s="10" t="s">
        <v>43</v>
      </c>
      <c r="H73" s="60">
        <v>150.94999999999999</v>
      </c>
      <c r="I73" s="60">
        <v>2.93</v>
      </c>
      <c r="J73" s="60">
        <v>0.45</v>
      </c>
      <c r="K73" s="60">
        <v>203.74</v>
      </c>
      <c r="L73" s="60">
        <v>35.380000000000003</v>
      </c>
      <c r="M73" s="60">
        <v>65.73</v>
      </c>
      <c r="N73" s="60">
        <v>219.9</v>
      </c>
      <c r="O73" s="60">
        <v>0</v>
      </c>
      <c r="P73" s="60">
        <v>3.64</v>
      </c>
      <c r="Q73" s="60">
        <v>42.02</v>
      </c>
      <c r="R73" s="197"/>
      <c r="S73" s="197"/>
      <c r="T73" s="197"/>
      <c r="U73" s="197"/>
    </row>
    <row r="74" spans="1:21" s="12" customFormat="1" x14ac:dyDescent="0.25">
      <c r="A74" s="200" t="s">
        <v>2329</v>
      </c>
      <c r="B74" s="60">
        <v>0.91</v>
      </c>
      <c r="C74" s="60">
        <v>9.7799999999999994</v>
      </c>
      <c r="D74" s="60">
        <v>10.69</v>
      </c>
      <c r="E74" s="60">
        <v>3.29</v>
      </c>
      <c r="F74" s="60">
        <v>0.6</v>
      </c>
      <c r="G74" s="10" t="s">
        <v>43</v>
      </c>
      <c r="H74" s="60">
        <v>150.94999999999999</v>
      </c>
      <c r="I74" s="60">
        <v>2.94</v>
      </c>
      <c r="J74" s="60">
        <v>0.57999999999999996</v>
      </c>
      <c r="K74" s="60">
        <v>187.22</v>
      </c>
      <c r="L74" s="60">
        <v>35.229999999999997</v>
      </c>
      <c r="M74" s="60">
        <v>67.349999999999994</v>
      </c>
      <c r="N74" s="60">
        <v>153.6</v>
      </c>
      <c r="O74" s="60">
        <v>0</v>
      </c>
      <c r="P74" s="60">
        <v>3.63</v>
      </c>
      <c r="Q74" s="60">
        <v>45</v>
      </c>
      <c r="R74" s="197"/>
      <c r="S74" s="197"/>
      <c r="T74" s="197"/>
      <c r="U74" s="197"/>
    </row>
    <row r="75" spans="1:21" s="12" customFormat="1" x14ac:dyDescent="0.25">
      <c r="A75" s="200" t="s">
        <v>2330</v>
      </c>
      <c r="B75" s="60">
        <v>0.85</v>
      </c>
      <c r="C75" s="60">
        <v>9.23</v>
      </c>
      <c r="D75" s="60">
        <v>10.08</v>
      </c>
      <c r="E75" s="60">
        <v>2.79</v>
      </c>
      <c r="F75" s="60">
        <v>1.06</v>
      </c>
      <c r="G75" s="10" t="s">
        <v>43</v>
      </c>
      <c r="H75" s="60">
        <v>144.35</v>
      </c>
      <c r="I75" s="60">
        <v>3.01</v>
      </c>
      <c r="J75" s="60">
        <v>0.45</v>
      </c>
      <c r="K75" s="60">
        <v>194.56</v>
      </c>
      <c r="L75" s="60">
        <v>35.22</v>
      </c>
      <c r="M75" s="60">
        <v>65.150000000000006</v>
      </c>
      <c r="N75" s="60">
        <v>122.5</v>
      </c>
      <c r="O75" s="60">
        <v>0</v>
      </c>
      <c r="P75" s="60">
        <v>3.61</v>
      </c>
      <c r="Q75" s="60">
        <v>44.62</v>
      </c>
      <c r="R75" s="197"/>
      <c r="S75" s="197"/>
      <c r="T75" s="197"/>
      <c r="U75" s="197"/>
    </row>
    <row r="76" spans="1:21" s="12" customFormat="1" x14ac:dyDescent="0.25">
      <c r="A76" s="200" t="s">
        <v>2331</v>
      </c>
      <c r="B76" s="60">
        <v>0.87</v>
      </c>
      <c r="C76" s="60">
        <v>9.61</v>
      </c>
      <c r="D76" s="60">
        <v>10.47</v>
      </c>
      <c r="E76" s="60">
        <v>2.6</v>
      </c>
      <c r="F76" s="60">
        <v>0.74</v>
      </c>
      <c r="G76" s="10" t="s">
        <v>43</v>
      </c>
      <c r="H76" s="60">
        <v>76.680000000000007</v>
      </c>
      <c r="I76" s="60">
        <v>3.04</v>
      </c>
      <c r="J76" s="60">
        <v>0.45</v>
      </c>
      <c r="K76" s="60">
        <v>194.44</v>
      </c>
      <c r="L76" s="60">
        <v>34.86</v>
      </c>
      <c r="M76" s="60">
        <v>65.709999999999994</v>
      </c>
      <c r="N76" s="60">
        <v>109.9</v>
      </c>
      <c r="O76" s="60">
        <v>0</v>
      </c>
      <c r="P76" s="60">
        <v>3.62</v>
      </c>
      <c r="Q76" s="60">
        <v>45.03</v>
      </c>
      <c r="R76" s="197"/>
      <c r="S76" s="197"/>
      <c r="T76" s="197"/>
      <c r="U76" s="197"/>
    </row>
    <row r="77" spans="1:21" s="12" customFormat="1" x14ac:dyDescent="0.25">
      <c r="A77" s="200" t="s">
        <v>2332</v>
      </c>
      <c r="B77" s="60">
        <v>0.81</v>
      </c>
      <c r="C77" s="60">
        <v>9.26</v>
      </c>
      <c r="D77" s="60">
        <v>10.07</v>
      </c>
      <c r="E77" s="60">
        <v>3.02</v>
      </c>
      <c r="F77" s="60">
        <v>1.34</v>
      </c>
      <c r="G77" s="10" t="s">
        <v>43</v>
      </c>
      <c r="H77" s="60">
        <v>76.680000000000007</v>
      </c>
      <c r="I77" s="60">
        <v>3.09</v>
      </c>
      <c r="J77" s="60">
        <v>0.21</v>
      </c>
      <c r="K77" s="60">
        <v>175.8</v>
      </c>
      <c r="L77" s="60">
        <v>34.78</v>
      </c>
      <c r="M77" s="60">
        <v>66.89</v>
      </c>
      <c r="N77" s="60">
        <v>101.4</v>
      </c>
      <c r="O77" s="60">
        <v>0</v>
      </c>
      <c r="P77" s="60">
        <v>3.61</v>
      </c>
      <c r="Q77" s="60">
        <v>44.3</v>
      </c>
      <c r="R77" s="197"/>
      <c r="S77" s="197"/>
      <c r="T77" s="197"/>
      <c r="U77" s="197"/>
    </row>
    <row r="78" spans="1:21" s="12" customFormat="1" x14ac:dyDescent="0.25">
      <c r="A78" s="200" t="s">
        <v>2333</v>
      </c>
      <c r="B78" s="60">
        <v>0.79</v>
      </c>
      <c r="C78" s="60">
        <v>9.66</v>
      </c>
      <c r="D78" s="60">
        <v>10.45</v>
      </c>
      <c r="E78" s="60">
        <v>3.27</v>
      </c>
      <c r="F78" s="60">
        <v>0.57999999999999996</v>
      </c>
      <c r="G78" s="10" t="s">
        <v>43</v>
      </c>
      <c r="H78" s="60">
        <v>76.680000000000007</v>
      </c>
      <c r="I78" s="60">
        <v>3.14</v>
      </c>
      <c r="J78" s="60">
        <v>0.56000000000000005</v>
      </c>
      <c r="K78" s="60">
        <v>193.55</v>
      </c>
      <c r="L78" s="60">
        <v>34.5</v>
      </c>
      <c r="M78" s="60">
        <v>69.42</v>
      </c>
      <c r="N78" s="60">
        <v>85.8</v>
      </c>
      <c r="O78" s="60">
        <v>0</v>
      </c>
      <c r="P78" s="60">
        <v>3.62</v>
      </c>
      <c r="Q78" s="60">
        <v>45.29</v>
      </c>
      <c r="R78" s="197"/>
      <c r="S78" s="197"/>
      <c r="T78" s="197"/>
      <c r="U78" s="197"/>
    </row>
    <row r="79" spans="1:21" s="12" customFormat="1" x14ac:dyDescent="0.25">
      <c r="A79" s="200" t="s">
        <v>2334</v>
      </c>
      <c r="B79" s="60">
        <v>0.85</v>
      </c>
      <c r="C79" s="60">
        <v>9.27</v>
      </c>
      <c r="D79" s="60">
        <v>10.119999999999999</v>
      </c>
      <c r="E79" s="60">
        <v>3.34</v>
      </c>
      <c r="F79" s="60">
        <v>0.68</v>
      </c>
      <c r="G79" s="10" t="s">
        <v>43</v>
      </c>
      <c r="H79" s="60">
        <v>78.260000000000005</v>
      </c>
      <c r="I79" s="60">
        <v>3.11</v>
      </c>
      <c r="J79" s="60">
        <v>0.5</v>
      </c>
      <c r="K79" s="60">
        <v>192.34</v>
      </c>
      <c r="L79" s="60">
        <v>34.28</v>
      </c>
      <c r="M79" s="60">
        <v>71.17</v>
      </c>
      <c r="N79" s="60">
        <v>73.8</v>
      </c>
      <c r="O79" s="60">
        <v>0</v>
      </c>
      <c r="P79" s="60">
        <v>3.62</v>
      </c>
      <c r="Q79" s="60">
        <v>45.4</v>
      </c>
      <c r="R79" s="197"/>
      <c r="S79" s="197"/>
      <c r="T79" s="197"/>
      <c r="U79" s="197"/>
    </row>
    <row r="80" spans="1:21" s="12" customFormat="1" x14ac:dyDescent="0.25">
      <c r="A80" s="200" t="s">
        <v>2335</v>
      </c>
      <c r="B80" s="60">
        <v>0.92</v>
      </c>
      <c r="C80" s="60">
        <v>9.08</v>
      </c>
      <c r="D80" s="60">
        <v>10</v>
      </c>
      <c r="E80" s="60">
        <v>3.1</v>
      </c>
      <c r="F80" s="60">
        <v>0.8</v>
      </c>
      <c r="G80" s="10" t="s">
        <v>43</v>
      </c>
      <c r="H80" s="60">
        <v>94.56</v>
      </c>
      <c r="I80" s="60">
        <v>3.26</v>
      </c>
      <c r="J80" s="60">
        <v>0.64</v>
      </c>
      <c r="K80" s="60">
        <v>193.86</v>
      </c>
      <c r="L80" s="60">
        <v>33.770000000000003</v>
      </c>
      <c r="M80" s="60">
        <v>73.52</v>
      </c>
      <c r="N80" s="60">
        <v>46.8</v>
      </c>
      <c r="O80" s="60">
        <v>0</v>
      </c>
      <c r="P80" s="60">
        <v>3.61</v>
      </c>
      <c r="Q80" s="60">
        <v>45.92</v>
      </c>
      <c r="R80" s="197"/>
      <c r="S80" s="197"/>
      <c r="T80" s="197"/>
      <c r="U80" s="197"/>
    </row>
    <row r="81" spans="1:26" s="12" customFormat="1" x14ac:dyDescent="0.25">
      <c r="A81" s="200" t="s">
        <v>2336</v>
      </c>
      <c r="B81" s="60">
        <v>1.02</v>
      </c>
      <c r="C81" s="60">
        <v>9.2200000000000006</v>
      </c>
      <c r="D81" s="60">
        <v>10.24</v>
      </c>
      <c r="E81" s="60">
        <v>3.34</v>
      </c>
      <c r="F81" s="60">
        <v>0.43</v>
      </c>
      <c r="G81" s="10" t="s">
        <v>43</v>
      </c>
      <c r="H81" s="60">
        <v>94.56</v>
      </c>
      <c r="I81" s="60">
        <v>3.44</v>
      </c>
      <c r="J81" s="60">
        <v>0.43</v>
      </c>
      <c r="K81" s="60">
        <v>192.65</v>
      </c>
      <c r="L81" s="60">
        <v>32.950000000000003</v>
      </c>
      <c r="M81" s="60">
        <v>77.150000000000006</v>
      </c>
      <c r="N81" s="60">
        <v>25.5</v>
      </c>
      <c r="O81" s="60">
        <v>0</v>
      </c>
      <c r="P81" s="60">
        <v>3.62</v>
      </c>
      <c r="Q81" s="60">
        <v>46.51</v>
      </c>
      <c r="R81" s="197"/>
      <c r="S81" s="197"/>
      <c r="T81" s="197"/>
      <c r="U81" s="197"/>
    </row>
    <row r="82" spans="1:26" s="12" customFormat="1" x14ac:dyDescent="0.25">
      <c r="A82" s="200" t="s">
        <v>2337</v>
      </c>
      <c r="B82" s="60">
        <v>1.34</v>
      </c>
      <c r="C82" s="60">
        <v>9.4499999999999993</v>
      </c>
      <c r="D82" s="60">
        <v>10.78</v>
      </c>
      <c r="E82" s="60">
        <v>3.31</v>
      </c>
      <c r="F82" s="60">
        <v>0.16</v>
      </c>
      <c r="G82" s="10" t="s">
        <v>43</v>
      </c>
      <c r="H82" s="60">
        <v>94.56</v>
      </c>
      <c r="I82" s="60">
        <v>3.57</v>
      </c>
      <c r="J82" s="60">
        <v>0.53</v>
      </c>
      <c r="K82" s="60">
        <v>203.81</v>
      </c>
      <c r="L82" s="60">
        <v>32.61</v>
      </c>
      <c r="M82" s="60">
        <v>78.63</v>
      </c>
      <c r="N82" s="60">
        <v>18.100000000000001</v>
      </c>
      <c r="O82" s="60">
        <v>0</v>
      </c>
      <c r="P82" s="60">
        <v>3.62</v>
      </c>
      <c r="Q82" s="60">
        <v>47.85</v>
      </c>
      <c r="R82" s="197"/>
      <c r="S82" s="197"/>
      <c r="T82" s="197"/>
      <c r="U82" s="197"/>
    </row>
    <row r="83" spans="1:26" s="12" customFormat="1" x14ac:dyDescent="0.25">
      <c r="A83" s="200" t="s">
        <v>2338</v>
      </c>
      <c r="B83" s="60">
        <v>1.61</v>
      </c>
      <c r="C83" s="60">
        <v>8.89</v>
      </c>
      <c r="D83" s="60">
        <v>10.5</v>
      </c>
      <c r="E83" s="60">
        <v>3.15</v>
      </c>
      <c r="F83" s="60">
        <v>0.64</v>
      </c>
      <c r="G83" s="10" t="s">
        <v>43</v>
      </c>
      <c r="H83" s="60">
        <v>93.46</v>
      </c>
      <c r="I83" s="60">
        <v>3.8</v>
      </c>
      <c r="J83" s="60">
        <v>0.5</v>
      </c>
      <c r="K83" s="60">
        <v>176.95</v>
      </c>
      <c r="L83" s="60">
        <v>32.43</v>
      </c>
      <c r="M83" s="60">
        <v>78.56</v>
      </c>
      <c r="N83" s="60">
        <v>15.2</v>
      </c>
      <c r="O83" s="60">
        <v>0</v>
      </c>
      <c r="P83" s="60">
        <v>3.62</v>
      </c>
      <c r="Q83" s="60">
        <v>47.13</v>
      </c>
      <c r="R83" s="197"/>
      <c r="S83" s="197"/>
      <c r="T83" s="197"/>
      <c r="U83" s="197"/>
    </row>
    <row r="84" spans="1:26" s="12" customFormat="1" x14ac:dyDescent="0.25">
      <c r="A84" s="200" t="s">
        <v>2339</v>
      </c>
      <c r="B84" s="60">
        <v>1.84</v>
      </c>
      <c r="C84" s="60">
        <v>9.33</v>
      </c>
      <c r="D84" s="60">
        <v>11.17</v>
      </c>
      <c r="E84" s="60">
        <v>3.75</v>
      </c>
      <c r="F84" s="60">
        <v>0.28000000000000003</v>
      </c>
      <c r="G84" s="10" t="s">
        <v>43</v>
      </c>
      <c r="H84" s="60">
        <v>82.2</v>
      </c>
      <c r="I84" s="60">
        <v>4.01</v>
      </c>
      <c r="J84" s="60">
        <v>0.96</v>
      </c>
      <c r="K84" s="60">
        <v>157.74</v>
      </c>
      <c r="L84" s="60">
        <v>32.25</v>
      </c>
      <c r="M84" s="60">
        <v>78.41</v>
      </c>
      <c r="N84" s="60">
        <v>14.7</v>
      </c>
      <c r="O84" s="60">
        <v>0</v>
      </c>
      <c r="P84" s="60">
        <v>3.65</v>
      </c>
      <c r="Q84" s="60">
        <v>46.9</v>
      </c>
      <c r="R84" s="197"/>
      <c r="S84" s="197"/>
      <c r="T84" s="197"/>
      <c r="U84" s="197"/>
    </row>
    <row r="85" spans="1:26" s="12" customFormat="1" x14ac:dyDescent="0.25">
      <c r="A85" s="200" t="s">
        <v>2340</v>
      </c>
      <c r="B85" s="60">
        <v>2.1800000000000002</v>
      </c>
      <c r="C85" s="60">
        <v>9.1999999999999993</v>
      </c>
      <c r="D85" s="60">
        <v>11.38</v>
      </c>
      <c r="E85" s="60">
        <v>3.31</v>
      </c>
      <c r="F85" s="60">
        <v>0.56999999999999995</v>
      </c>
      <c r="G85" s="10" t="s">
        <v>43</v>
      </c>
      <c r="H85" s="60">
        <v>82.2</v>
      </c>
      <c r="I85" s="60">
        <v>4.0199999999999996</v>
      </c>
      <c r="J85" s="60">
        <v>0.56999999999999995</v>
      </c>
      <c r="K85" s="60">
        <v>163.16999999999999</v>
      </c>
      <c r="L85" s="60">
        <v>32.18</v>
      </c>
      <c r="M85" s="60">
        <v>78.94</v>
      </c>
      <c r="N85" s="60">
        <v>14.8</v>
      </c>
      <c r="O85" s="60">
        <v>0</v>
      </c>
      <c r="P85" s="60">
        <v>3.63</v>
      </c>
      <c r="Q85" s="60">
        <v>47.61</v>
      </c>
      <c r="R85" s="197"/>
      <c r="S85" s="197"/>
      <c r="T85" s="197"/>
      <c r="U85" s="197"/>
    </row>
    <row r="86" spans="1:26" s="12" customFormat="1" x14ac:dyDescent="0.25">
      <c r="A86" s="200" t="s">
        <v>2341</v>
      </c>
      <c r="B86" s="60">
        <v>2.3199999999999998</v>
      </c>
      <c r="C86" s="60">
        <v>9.18</v>
      </c>
      <c r="D86" s="60">
        <v>11.5</v>
      </c>
      <c r="E86" s="60">
        <v>3.81</v>
      </c>
      <c r="F86" s="60">
        <v>0.33</v>
      </c>
      <c r="G86" s="10" t="s">
        <v>43</v>
      </c>
      <c r="H86" s="60">
        <v>82.2</v>
      </c>
      <c r="I86" s="60">
        <v>4.32</v>
      </c>
      <c r="J86" s="60">
        <v>0.17</v>
      </c>
      <c r="K86" s="60">
        <v>223.76</v>
      </c>
      <c r="L86" s="60">
        <v>31.87</v>
      </c>
      <c r="M86" s="60">
        <v>80.94</v>
      </c>
      <c r="N86" s="60">
        <v>15</v>
      </c>
      <c r="O86" s="60">
        <v>0</v>
      </c>
      <c r="P86" s="60">
        <v>3.66</v>
      </c>
      <c r="Q86" s="60">
        <v>45.74</v>
      </c>
      <c r="R86" s="197"/>
      <c r="S86" s="197"/>
      <c r="T86" s="197"/>
      <c r="U86" s="197"/>
    </row>
    <row r="87" spans="1:26" s="12" customFormat="1" x14ac:dyDescent="0.25">
      <c r="A87" s="200" t="s">
        <v>2342</v>
      </c>
      <c r="B87" s="60">
        <v>2.5</v>
      </c>
      <c r="C87" s="60">
        <v>9.76</v>
      </c>
      <c r="D87" s="60">
        <v>12.26</v>
      </c>
      <c r="E87" s="60">
        <v>3.92</v>
      </c>
      <c r="F87" s="60">
        <v>0.22</v>
      </c>
      <c r="G87" s="10" t="s">
        <v>43</v>
      </c>
      <c r="H87" s="60">
        <v>89.04</v>
      </c>
      <c r="I87" s="60">
        <v>4.4800000000000004</v>
      </c>
      <c r="J87" s="60">
        <v>0.18</v>
      </c>
      <c r="K87" s="60">
        <v>212.58</v>
      </c>
      <c r="L87" s="60">
        <v>31.69</v>
      </c>
      <c r="M87" s="60">
        <v>82.2</v>
      </c>
      <c r="N87" s="60">
        <v>14.8</v>
      </c>
      <c r="O87" s="60">
        <v>0</v>
      </c>
      <c r="P87" s="60">
        <v>3.66</v>
      </c>
      <c r="Q87" s="60">
        <v>48.7</v>
      </c>
      <c r="R87" s="197"/>
      <c r="S87" s="197"/>
      <c r="T87" s="197"/>
      <c r="U87" s="197"/>
    </row>
    <row r="88" spans="1:26" s="12" customFormat="1" x14ac:dyDescent="0.25">
      <c r="A88" s="200" t="s">
        <v>2343</v>
      </c>
      <c r="B88" s="60">
        <v>2.88</v>
      </c>
      <c r="C88" s="60">
        <v>9.49</v>
      </c>
      <c r="D88" s="60">
        <v>12.37</v>
      </c>
      <c r="E88" s="60">
        <v>1.3</v>
      </c>
      <c r="F88" s="60">
        <v>0.31</v>
      </c>
      <c r="G88" s="10" t="s">
        <v>43</v>
      </c>
      <c r="H88" s="60">
        <v>159.16999999999999</v>
      </c>
      <c r="I88" s="60">
        <v>4.53</v>
      </c>
      <c r="J88" s="60">
        <v>0.03</v>
      </c>
      <c r="K88" s="60">
        <v>20.66</v>
      </c>
      <c r="L88" s="60">
        <v>31.8</v>
      </c>
      <c r="M88" s="60">
        <v>82.05</v>
      </c>
      <c r="N88" s="60">
        <v>14.6</v>
      </c>
      <c r="O88" s="60">
        <v>0</v>
      </c>
      <c r="P88" s="60">
        <v>3.7</v>
      </c>
      <c r="Q88" s="60">
        <v>46.91</v>
      </c>
      <c r="R88" s="197"/>
      <c r="S88" s="197"/>
      <c r="T88" s="197"/>
      <c r="U88" s="197"/>
    </row>
    <row r="89" spans="1:26" s="12" customFormat="1" x14ac:dyDescent="0.25">
      <c r="A89" s="200" t="s">
        <v>2344</v>
      </c>
      <c r="B89" s="60">
        <v>3.92</v>
      </c>
      <c r="C89" s="60">
        <v>10.39</v>
      </c>
      <c r="D89" s="60">
        <v>14.32</v>
      </c>
      <c r="E89" s="60">
        <v>3.88</v>
      </c>
      <c r="F89" s="60">
        <v>0.13</v>
      </c>
      <c r="G89" s="10" t="s">
        <v>43</v>
      </c>
      <c r="H89" s="60">
        <v>159.16999999999999</v>
      </c>
      <c r="I89" s="60">
        <v>4.49</v>
      </c>
      <c r="J89" s="60">
        <v>0</v>
      </c>
      <c r="K89" s="60">
        <v>233.72</v>
      </c>
      <c r="L89" s="60">
        <v>31.92</v>
      </c>
      <c r="M89" s="60">
        <v>81.45</v>
      </c>
      <c r="N89" s="60">
        <v>14.6</v>
      </c>
      <c r="O89" s="60">
        <v>0</v>
      </c>
      <c r="P89" s="60">
        <v>3.74</v>
      </c>
      <c r="Q89" s="60">
        <v>49.48</v>
      </c>
      <c r="R89" s="197"/>
      <c r="S89" s="197"/>
      <c r="T89" s="197"/>
      <c r="U89" s="197"/>
    </row>
    <row r="90" spans="1:26" s="12" customFormat="1" x14ac:dyDescent="0.25">
      <c r="A90" s="200" t="s">
        <v>2345</v>
      </c>
      <c r="B90" s="60">
        <v>4.6399999999999997</v>
      </c>
      <c r="C90" s="60">
        <v>10.51</v>
      </c>
      <c r="D90" s="60">
        <v>15.15</v>
      </c>
      <c r="E90" s="60">
        <v>3.72</v>
      </c>
      <c r="F90" s="60">
        <v>0.21</v>
      </c>
      <c r="G90" s="10" t="s">
        <v>43</v>
      </c>
      <c r="H90" s="60">
        <v>159.16999999999999</v>
      </c>
      <c r="I90" s="60">
        <v>4.67</v>
      </c>
      <c r="J90" s="60">
        <v>0.15</v>
      </c>
      <c r="K90" s="60">
        <v>237.35</v>
      </c>
      <c r="L90" s="60">
        <v>31.9</v>
      </c>
      <c r="M90" s="60">
        <v>81.099999999999994</v>
      </c>
      <c r="N90" s="60">
        <v>14.6</v>
      </c>
      <c r="O90" s="60">
        <v>0</v>
      </c>
      <c r="P90" s="60">
        <v>3.77</v>
      </c>
      <c r="Q90" s="60">
        <v>49.85</v>
      </c>
      <c r="R90" s="197"/>
      <c r="S90" s="197"/>
      <c r="T90" s="197"/>
      <c r="U90" s="197"/>
    </row>
    <row r="91" spans="1:26" s="12" customFormat="1" x14ac:dyDescent="0.25">
      <c r="A91" s="200" t="s">
        <v>2346</v>
      </c>
      <c r="B91" s="60">
        <v>4.8600000000000003</v>
      </c>
      <c r="C91" s="60">
        <v>10.45</v>
      </c>
      <c r="D91" s="60">
        <v>15.31</v>
      </c>
      <c r="E91" s="60">
        <v>4.32</v>
      </c>
      <c r="F91" s="60">
        <v>0.25</v>
      </c>
      <c r="G91" s="10" t="s">
        <v>43</v>
      </c>
      <c r="H91" s="60">
        <v>160.04</v>
      </c>
      <c r="I91" s="60">
        <v>5</v>
      </c>
      <c r="J91" s="60">
        <v>0.23</v>
      </c>
      <c r="K91" s="60">
        <v>203.26</v>
      </c>
      <c r="L91" s="60">
        <v>31.77</v>
      </c>
      <c r="M91" s="60">
        <v>82.73</v>
      </c>
      <c r="N91" s="60">
        <v>14.8</v>
      </c>
      <c r="O91" s="60">
        <v>0</v>
      </c>
      <c r="P91" s="60">
        <v>3.77</v>
      </c>
      <c r="Q91" s="60">
        <v>50.86</v>
      </c>
      <c r="R91" s="197"/>
      <c r="S91" s="197"/>
      <c r="T91" s="197"/>
      <c r="U91" s="197"/>
    </row>
    <row r="92" spans="1:26" s="12" customFormat="1" x14ac:dyDescent="0.25">
      <c r="A92" s="200" t="s">
        <v>2347</v>
      </c>
      <c r="B92" s="60">
        <v>4.97</v>
      </c>
      <c r="C92" s="60">
        <v>10.23</v>
      </c>
      <c r="D92" s="60">
        <v>15.2</v>
      </c>
      <c r="E92" s="60">
        <v>4.49</v>
      </c>
      <c r="F92" s="60">
        <v>0.25</v>
      </c>
      <c r="G92" s="10" t="s">
        <v>43</v>
      </c>
      <c r="H92" s="60">
        <v>168.95</v>
      </c>
      <c r="I92" s="60">
        <v>5.29</v>
      </c>
      <c r="J92" s="60">
        <v>0.18</v>
      </c>
      <c r="K92" s="60">
        <v>217.2</v>
      </c>
      <c r="L92" s="60">
        <v>31.59</v>
      </c>
      <c r="M92" s="60">
        <v>83.59</v>
      </c>
      <c r="N92" s="60">
        <v>14.8</v>
      </c>
      <c r="O92" s="60">
        <v>0</v>
      </c>
      <c r="P92" s="60">
        <v>3.77</v>
      </c>
      <c r="Q92" s="60">
        <v>52.13</v>
      </c>
      <c r="R92" s="197"/>
      <c r="S92" s="197"/>
      <c r="T92" s="197"/>
      <c r="U92" s="197"/>
    </row>
    <row r="93" spans="1:26" s="12" customFormat="1" x14ac:dyDescent="0.25">
      <c r="A93" s="200" t="s">
        <v>2348</v>
      </c>
      <c r="B93" s="60">
        <v>5.0599999999999996</v>
      </c>
      <c r="C93" s="60">
        <v>9.85</v>
      </c>
      <c r="D93" s="60">
        <v>14.91</v>
      </c>
      <c r="E93" s="60">
        <v>4.5199999999999996</v>
      </c>
      <c r="F93" s="60">
        <v>0.81</v>
      </c>
      <c r="G93" s="10" t="s">
        <v>43</v>
      </c>
      <c r="H93" s="60">
        <v>168.95</v>
      </c>
      <c r="I93" s="60">
        <v>5.64</v>
      </c>
      <c r="J93" s="60">
        <v>0.31</v>
      </c>
      <c r="K93" s="60">
        <v>195.33</v>
      </c>
      <c r="L93" s="60">
        <v>31.63</v>
      </c>
      <c r="M93" s="60">
        <v>82.86</v>
      </c>
      <c r="N93" s="60">
        <v>14.6</v>
      </c>
      <c r="O93" s="60">
        <v>0</v>
      </c>
      <c r="P93" s="60">
        <v>3.78</v>
      </c>
      <c r="Q93" s="60">
        <v>52.52</v>
      </c>
      <c r="R93" s="197"/>
      <c r="S93" s="197"/>
      <c r="T93" s="197"/>
      <c r="U93" s="197"/>
    </row>
    <row r="94" spans="1:26" s="12" customFormat="1" x14ac:dyDescent="0.25">
      <c r="A94" s="200" t="s">
        <v>2349</v>
      </c>
      <c r="B94" s="60">
        <v>5.0999999999999996</v>
      </c>
      <c r="C94" s="60">
        <v>9.49</v>
      </c>
      <c r="D94" s="60">
        <v>14.59</v>
      </c>
      <c r="E94" s="60">
        <v>4.59</v>
      </c>
      <c r="F94" s="60">
        <v>0.25</v>
      </c>
      <c r="G94" s="10" t="s">
        <v>43</v>
      </c>
      <c r="H94" s="60">
        <v>168.95</v>
      </c>
      <c r="I94" s="60">
        <v>6.18</v>
      </c>
      <c r="J94" s="60">
        <v>0.26</v>
      </c>
      <c r="K94" s="60">
        <v>188.85</v>
      </c>
      <c r="L94" s="60">
        <v>31.54</v>
      </c>
      <c r="M94" s="60">
        <v>82.85</v>
      </c>
      <c r="N94" s="60">
        <v>14.8</v>
      </c>
      <c r="O94" s="60">
        <v>0</v>
      </c>
      <c r="P94" s="60">
        <v>3.79</v>
      </c>
      <c r="Q94" s="60">
        <v>52.97</v>
      </c>
      <c r="R94" s="197"/>
      <c r="S94" s="197"/>
      <c r="T94" s="197"/>
      <c r="U94" s="197"/>
    </row>
    <row r="95" spans="1:26" s="12" customFormat="1" x14ac:dyDescent="0.25">
      <c r="A95" s="200" t="s">
        <v>2350</v>
      </c>
      <c r="B95" s="60">
        <v>5.0999999999999996</v>
      </c>
      <c r="C95" s="60">
        <v>9.18</v>
      </c>
      <c r="D95" s="60">
        <v>14.28</v>
      </c>
      <c r="E95" s="60">
        <v>4.78</v>
      </c>
      <c r="F95" s="60">
        <v>0.38</v>
      </c>
      <c r="G95" s="10" t="s">
        <v>43</v>
      </c>
      <c r="H95" s="60">
        <v>165.21</v>
      </c>
      <c r="I95" s="60">
        <v>6.49</v>
      </c>
      <c r="J95" s="60">
        <v>0.28000000000000003</v>
      </c>
      <c r="K95" s="60">
        <v>220.02</v>
      </c>
      <c r="L95" s="60">
        <v>31.45</v>
      </c>
      <c r="M95" s="60">
        <v>82.18</v>
      </c>
      <c r="N95" s="60">
        <v>14.7</v>
      </c>
      <c r="O95" s="60">
        <v>0</v>
      </c>
      <c r="P95" s="60">
        <v>3.78</v>
      </c>
      <c r="Q95" s="60">
        <v>53.61</v>
      </c>
      <c r="R95" s="197"/>
      <c r="S95" s="197"/>
      <c r="T95" s="197"/>
      <c r="U95" s="197"/>
    </row>
    <row r="96" spans="1:26" s="12" customFormat="1" x14ac:dyDescent="0.25">
      <c r="A96" s="200" t="s">
        <v>2351</v>
      </c>
      <c r="B96" s="60">
        <v>5.05</v>
      </c>
      <c r="C96" s="60">
        <v>9.2799999999999994</v>
      </c>
      <c r="D96" s="60">
        <v>14.33</v>
      </c>
      <c r="E96" s="60">
        <v>4.93</v>
      </c>
      <c r="F96" s="60">
        <v>0.18</v>
      </c>
      <c r="G96" s="10" t="s">
        <v>43</v>
      </c>
      <c r="H96" s="60">
        <v>126.87</v>
      </c>
      <c r="I96" s="60">
        <v>6.74</v>
      </c>
      <c r="J96" s="60">
        <v>0.17</v>
      </c>
      <c r="K96" s="60">
        <v>200.52</v>
      </c>
      <c r="L96" s="60">
        <v>31.47</v>
      </c>
      <c r="M96" s="60">
        <v>82.12</v>
      </c>
      <c r="N96" s="60">
        <v>14.8</v>
      </c>
      <c r="O96" s="60">
        <v>0</v>
      </c>
      <c r="P96" s="60">
        <v>3.77</v>
      </c>
      <c r="Q96" s="60">
        <v>54.6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2352</v>
      </c>
      <c r="B97" s="60">
        <v>4.97</v>
      </c>
      <c r="C97" s="60">
        <v>8.8800000000000008</v>
      </c>
      <c r="D97" s="60">
        <v>13.85</v>
      </c>
      <c r="E97" s="60">
        <v>5.33</v>
      </c>
      <c r="F97" s="60">
        <v>0.37</v>
      </c>
      <c r="G97" s="10" t="s">
        <v>43</v>
      </c>
      <c r="H97" s="60">
        <v>126.87</v>
      </c>
      <c r="I97" s="60">
        <v>6.91</v>
      </c>
      <c r="J97" s="60">
        <v>0.15</v>
      </c>
      <c r="K97" s="60">
        <v>237.47</v>
      </c>
      <c r="L97" s="60">
        <v>31.54</v>
      </c>
      <c r="M97" s="60">
        <v>82.41</v>
      </c>
      <c r="N97" s="60">
        <v>15</v>
      </c>
      <c r="O97" s="60">
        <v>0</v>
      </c>
      <c r="P97" s="60">
        <v>3.78</v>
      </c>
      <c r="Q97" s="60">
        <v>54.34</v>
      </c>
      <c r="R97" s="197"/>
      <c r="S97" s="197"/>
      <c r="T97" s="197"/>
      <c r="U97" s="197"/>
    </row>
    <row r="98" spans="1:33" s="12" customFormat="1" x14ac:dyDescent="0.25">
      <c r="A98" s="200" t="s">
        <v>2353</v>
      </c>
      <c r="B98" s="60">
        <v>4.66</v>
      </c>
      <c r="C98" s="60">
        <v>9.0399999999999991</v>
      </c>
      <c r="D98" s="60">
        <v>13.7</v>
      </c>
      <c r="E98" s="60">
        <v>4.78</v>
      </c>
      <c r="F98" s="60">
        <v>0.14000000000000001</v>
      </c>
      <c r="G98" s="10" t="s">
        <v>43</v>
      </c>
      <c r="H98" s="60">
        <v>126.87</v>
      </c>
      <c r="I98" s="60">
        <v>7.11</v>
      </c>
      <c r="J98" s="60">
        <v>0.26</v>
      </c>
      <c r="K98" s="60">
        <v>219.12</v>
      </c>
      <c r="L98" s="60">
        <v>31.57</v>
      </c>
      <c r="M98" s="60">
        <v>82.36</v>
      </c>
      <c r="N98" s="60">
        <v>15</v>
      </c>
      <c r="O98" s="60">
        <v>0</v>
      </c>
      <c r="P98" s="60">
        <v>3.77</v>
      </c>
      <c r="Q98" s="60">
        <v>53.64</v>
      </c>
      <c r="R98" s="197"/>
      <c r="S98" s="197"/>
      <c r="T98" s="197"/>
      <c r="U98" s="197"/>
    </row>
    <row r="99" spans="1:33" s="12" customFormat="1" x14ac:dyDescent="0.25">
      <c r="A99" s="200" t="s">
        <v>2354</v>
      </c>
      <c r="B99" s="60">
        <v>4.32</v>
      </c>
      <c r="C99" s="60">
        <v>8.68</v>
      </c>
      <c r="D99" s="60">
        <v>13</v>
      </c>
      <c r="E99" s="60">
        <v>4.3899999999999997</v>
      </c>
      <c r="F99" s="60">
        <v>0.28999999999999998</v>
      </c>
      <c r="G99" s="10" t="s">
        <v>43</v>
      </c>
      <c r="H99" s="60">
        <v>121.27</v>
      </c>
      <c r="I99" s="60">
        <v>7.14</v>
      </c>
      <c r="J99" s="60">
        <v>0.18</v>
      </c>
      <c r="K99" s="60">
        <v>184.96</v>
      </c>
      <c r="L99" s="60">
        <v>31.42</v>
      </c>
      <c r="M99" s="60">
        <v>82.81</v>
      </c>
      <c r="N99" s="60">
        <v>15.2</v>
      </c>
      <c r="O99" s="60">
        <v>0</v>
      </c>
      <c r="P99" s="60">
        <v>3.76</v>
      </c>
      <c r="Q99" s="60">
        <v>51.93</v>
      </c>
      <c r="R99" s="197"/>
      <c r="S99" s="197"/>
      <c r="T99" s="197"/>
      <c r="U99" s="197"/>
    </row>
    <row r="100" spans="1:33" s="12" customFormat="1" x14ac:dyDescent="0.25">
      <c r="A100" s="200" t="s">
        <v>2355</v>
      </c>
      <c r="B100" s="60">
        <v>3.96</v>
      </c>
      <c r="C100" s="60">
        <v>8.9600000000000009</v>
      </c>
      <c r="D100" s="60">
        <v>12.92</v>
      </c>
      <c r="E100" s="60">
        <v>5.03</v>
      </c>
      <c r="F100" s="60">
        <v>0.16</v>
      </c>
      <c r="G100" s="10" t="s">
        <v>43</v>
      </c>
      <c r="H100" s="60">
        <v>63.92</v>
      </c>
      <c r="I100" s="60">
        <v>6.95</v>
      </c>
      <c r="J100" s="60">
        <v>0.19</v>
      </c>
      <c r="K100" s="60">
        <v>220.96</v>
      </c>
      <c r="L100" s="60">
        <v>31.26</v>
      </c>
      <c r="M100" s="60">
        <v>83.72</v>
      </c>
      <c r="N100" s="60">
        <v>15</v>
      </c>
      <c r="O100" s="60">
        <v>0</v>
      </c>
      <c r="P100" s="60">
        <v>3.74</v>
      </c>
      <c r="Q100" s="60">
        <v>53.01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2356</v>
      </c>
      <c r="B101" s="60">
        <v>3.51</v>
      </c>
      <c r="C101" s="60">
        <v>8.51</v>
      </c>
      <c r="D101" s="60">
        <v>12.02</v>
      </c>
      <c r="E101" s="60">
        <v>5.32</v>
      </c>
      <c r="F101" s="60">
        <v>0.23</v>
      </c>
      <c r="G101" s="10" t="s">
        <v>43</v>
      </c>
      <c r="H101" s="60">
        <v>63.92</v>
      </c>
      <c r="I101" s="60">
        <v>6.7</v>
      </c>
      <c r="J101" s="60">
        <v>0.21</v>
      </c>
      <c r="K101" s="60">
        <v>208.67</v>
      </c>
      <c r="L101" s="60">
        <v>33.69</v>
      </c>
      <c r="M101" s="60">
        <v>84.72</v>
      </c>
      <c r="N101" s="60">
        <v>15</v>
      </c>
      <c r="O101" s="60">
        <v>0</v>
      </c>
      <c r="P101" s="60">
        <v>3.73</v>
      </c>
      <c r="Q101" s="60">
        <v>50.94</v>
      </c>
      <c r="R101" s="197"/>
      <c r="S101" s="197"/>
      <c r="T101" s="197"/>
      <c r="U101" s="197"/>
    </row>
    <row r="102" spans="1:33" s="12" customFormat="1" x14ac:dyDescent="0.25">
      <c r="A102" s="200" t="s">
        <v>2357</v>
      </c>
      <c r="B102" s="60">
        <v>3.17</v>
      </c>
      <c r="C102" s="60">
        <v>8.41</v>
      </c>
      <c r="D102" s="60">
        <v>11.57</v>
      </c>
      <c r="E102" s="60">
        <v>4.9000000000000004</v>
      </c>
      <c r="F102" s="60">
        <v>0.4</v>
      </c>
      <c r="G102" s="10" t="s">
        <v>43</v>
      </c>
      <c r="H102" s="60">
        <v>63.92</v>
      </c>
      <c r="I102" s="60">
        <v>6.58</v>
      </c>
      <c r="J102" s="60">
        <v>0.45</v>
      </c>
      <c r="K102" s="60">
        <v>187.85</v>
      </c>
      <c r="L102" s="60">
        <v>32.020000000000003</v>
      </c>
      <c r="M102" s="60">
        <v>86.53</v>
      </c>
      <c r="N102" s="60">
        <v>14.9</v>
      </c>
      <c r="O102" s="60">
        <v>0</v>
      </c>
      <c r="P102" s="60">
        <v>3.71</v>
      </c>
      <c r="Q102" s="60">
        <v>51.09</v>
      </c>
      <c r="R102" s="197"/>
      <c r="S102" s="197"/>
      <c r="T102" s="197"/>
      <c r="U102" s="197"/>
    </row>
    <row r="103" spans="1:33" s="12" customFormat="1" x14ac:dyDescent="0.25">
      <c r="A103" s="200" t="s">
        <v>2358</v>
      </c>
      <c r="B103" s="60">
        <v>2.99</v>
      </c>
      <c r="C103" s="60">
        <v>8.5</v>
      </c>
      <c r="D103" s="60">
        <v>11.5</v>
      </c>
      <c r="E103" s="60">
        <v>4.9000000000000004</v>
      </c>
      <c r="F103" s="60">
        <v>7.0000000000000007E-2</v>
      </c>
      <c r="G103" s="10" t="s">
        <v>43</v>
      </c>
      <c r="H103" s="60">
        <v>60.14</v>
      </c>
      <c r="I103" s="60">
        <v>6.43</v>
      </c>
      <c r="J103" s="60">
        <v>0.38</v>
      </c>
      <c r="K103" s="60">
        <v>197.71</v>
      </c>
      <c r="L103" s="60">
        <v>31.28</v>
      </c>
      <c r="M103" s="60">
        <v>87.64</v>
      </c>
      <c r="N103" s="60">
        <v>14.8</v>
      </c>
      <c r="O103" s="60">
        <v>0</v>
      </c>
      <c r="P103" s="60">
        <v>3.72</v>
      </c>
      <c r="Q103" s="60">
        <v>51.19</v>
      </c>
      <c r="R103" s="197"/>
      <c r="S103" s="197"/>
      <c r="T103" s="197"/>
      <c r="U103" s="197"/>
    </row>
    <row r="104" spans="1:33" s="12" customFormat="1" x14ac:dyDescent="0.25">
      <c r="A104" s="200" t="s">
        <v>2359</v>
      </c>
      <c r="B104" s="60">
        <v>2.95</v>
      </c>
      <c r="C104" s="60">
        <v>8.17</v>
      </c>
      <c r="D104" s="60">
        <v>11.12</v>
      </c>
      <c r="E104" s="60">
        <v>2.41</v>
      </c>
      <c r="F104" s="60">
        <v>0.63</v>
      </c>
      <c r="G104" s="10" t="s">
        <v>43</v>
      </c>
      <c r="H104" s="60">
        <v>21.32</v>
      </c>
      <c r="I104" s="60">
        <v>6.35</v>
      </c>
      <c r="J104" s="60">
        <v>0.3</v>
      </c>
      <c r="K104" s="60">
        <v>201.65</v>
      </c>
      <c r="L104" s="60">
        <v>30.77</v>
      </c>
      <c r="M104" s="60">
        <v>88.72</v>
      </c>
      <c r="N104" s="60">
        <v>14.9</v>
      </c>
      <c r="O104" s="60">
        <v>0</v>
      </c>
      <c r="P104" s="60">
        <v>3.69</v>
      </c>
      <c r="Q104" s="60">
        <v>53.05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5" t="s">
        <v>59</v>
      </c>
      <c r="B106" s="67">
        <f>MIN(B9:B104)</f>
        <v>0.79</v>
      </c>
      <c r="C106" s="67">
        <f>MIN(C9:C104)</f>
        <v>5.56</v>
      </c>
      <c r="D106" s="67">
        <f t="shared" ref="D106:Q106" si="0">MIN(D9:D104)</f>
        <v>6.73</v>
      </c>
      <c r="E106" s="67">
        <f t="shared" si="0"/>
        <v>0.96</v>
      </c>
      <c r="F106" s="67">
        <f t="shared" si="0"/>
        <v>7.0000000000000007E-2</v>
      </c>
      <c r="G106" s="67">
        <f t="shared" si="0"/>
        <v>23.84</v>
      </c>
      <c r="H106" s="67">
        <f t="shared" si="0"/>
        <v>3.99</v>
      </c>
      <c r="I106" s="67">
        <f t="shared" si="0"/>
        <v>1.72</v>
      </c>
      <c r="J106" s="67">
        <f t="shared" si="0"/>
        <v>0</v>
      </c>
      <c r="K106" s="67">
        <f t="shared" si="0"/>
        <v>20.66</v>
      </c>
      <c r="L106" s="67">
        <f t="shared" si="0"/>
        <v>30.77</v>
      </c>
      <c r="M106" s="67">
        <f t="shared" si="0"/>
        <v>62.4</v>
      </c>
      <c r="N106" s="67">
        <f t="shared" si="0"/>
        <v>14.6</v>
      </c>
      <c r="O106" s="67">
        <f t="shared" si="0"/>
        <v>0</v>
      </c>
      <c r="P106" s="67">
        <f t="shared" si="0"/>
        <v>3.54</v>
      </c>
      <c r="Q106" s="67">
        <f t="shared" si="0"/>
        <v>42.02</v>
      </c>
      <c r="R106" s="198"/>
      <c r="S106" s="198"/>
      <c r="T106" s="198"/>
      <c r="U106" s="198"/>
    </row>
    <row r="107" spans="1:33" x14ac:dyDescent="0.25">
      <c r="A107" s="65" t="s">
        <v>60</v>
      </c>
      <c r="B107" s="66">
        <f>MAX(B9:B104)</f>
        <v>5.0999999999999996</v>
      </c>
      <c r="C107" s="66">
        <f t="shared" ref="C107:Q107" si="1">MAX(C9:C104)</f>
        <v>14.1</v>
      </c>
      <c r="D107" s="66">
        <f t="shared" si="1"/>
        <v>16.43</v>
      </c>
      <c r="E107" s="66">
        <f t="shared" si="1"/>
        <v>6.25</v>
      </c>
      <c r="F107" s="66">
        <f t="shared" si="1"/>
        <v>1.56</v>
      </c>
      <c r="G107" s="66">
        <f t="shared" si="1"/>
        <v>52.08</v>
      </c>
      <c r="H107" s="66">
        <f t="shared" si="1"/>
        <v>228.58</v>
      </c>
      <c r="I107" s="66">
        <f t="shared" si="1"/>
        <v>7.14</v>
      </c>
      <c r="J107" s="66">
        <f t="shared" si="1"/>
        <v>1.5</v>
      </c>
      <c r="K107" s="66">
        <f t="shared" si="1"/>
        <v>357.19</v>
      </c>
      <c r="L107" s="66">
        <f t="shared" si="1"/>
        <v>50.02</v>
      </c>
      <c r="M107" s="66">
        <f t="shared" si="1"/>
        <v>94.48</v>
      </c>
      <c r="N107" s="66">
        <f t="shared" si="1"/>
        <v>1027.2</v>
      </c>
      <c r="O107" s="66">
        <f t="shared" si="1"/>
        <v>0.2</v>
      </c>
      <c r="P107" s="66">
        <f t="shared" si="1"/>
        <v>3.79</v>
      </c>
      <c r="Q107" s="66">
        <f t="shared" si="1"/>
        <v>59.74</v>
      </c>
      <c r="R107" s="199"/>
      <c r="S107" s="199"/>
      <c r="T107" s="199"/>
      <c r="U107" s="199"/>
    </row>
    <row r="108" spans="1:33" x14ac:dyDescent="0.25">
      <c r="A108" s="65" t="s">
        <v>61</v>
      </c>
      <c r="B108" s="67">
        <f>AVERAGE(B9:B104)</f>
        <v>2.3727083333333323</v>
      </c>
      <c r="C108" s="67">
        <f t="shared" ref="C108:Q108" si="2">AVERAGE(C9:C104)</f>
        <v>8.9486458333333339</v>
      </c>
      <c r="D108" s="67">
        <f t="shared" si="2"/>
        <v>11.321354166666671</v>
      </c>
      <c r="E108" s="67">
        <f t="shared" si="2"/>
        <v>4.2378124999999978</v>
      </c>
      <c r="F108" s="67">
        <f t="shared" si="2"/>
        <v>0.55354166666666671</v>
      </c>
      <c r="G108" s="67">
        <f t="shared" si="2"/>
        <v>30.480000000000004</v>
      </c>
      <c r="H108" s="67">
        <f t="shared" si="2"/>
        <v>101.03802083333341</v>
      </c>
      <c r="I108" s="67">
        <f t="shared" si="2"/>
        <v>4.6965957446808515</v>
      </c>
      <c r="J108" s="67">
        <f t="shared" si="2"/>
        <v>0.38552083333333331</v>
      </c>
      <c r="K108" s="67">
        <f t="shared" si="2"/>
        <v>187.8130208333333</v>
      </c>
      <c r="L108" s="67">
        <f t="shared" si="2"/>
        <v>38.481666666666683</v>
      </c>
      <c r="M108" s="67">
        <f t="shared" si="2"/>
        <v>80.052395833333335</v>
      </c>
      <c r="N108" s="67">
        <f t="shared" si="2"/>
        <v>225.5802083333333</v>
      </c>
      <c r="O108" s="67">
        <f t="shared" si="2"/>
        <v>4.1666666666666666E-3</v>
      </c>
      <c r="P108" s="67">
        <f t="shared" si="2"/>
        <v>3.6385416666666646</v>
      </c>
      <c r="Q108" s="67">
        <f t="shared" si="2"/>
        <v>51.238229166666684</v>
      </c>
      <c r="R108" s="198"/>
      <c r="S108" s="198"/>
      <c r="T108" s="198"/>
      <c r="U108" s="198"/>
    </row>
    <row r="109" spans="1:33" x14ac:dyDescent="0.25">
      <c r="A109" s="65" t="s">
        <v>77</v>
      </c>
      <c r="B109" s="67">
        <f>STDEV(B9:B104)</f>
        <v>1.2084191318601418</v>
      </c>
      <c r="C109" s="67">
        <f t="shared" ref="C109:Q109" si="3">STDEV(C9:C104)</f>
        <v>2.5452186835181401</v>
      </c>
      <c r="D109" s="67">
        <f t="shared" si="3"/>
        <v>2.9580824584754657</v>
      </c>
      <c r="E109" s="67">
        <f t="shared" si="3"/>
        <v>1.3589231054695334</v>
      </c>
      <c r="F109" s="67">
        <f t="shared" si="3"/>
        <v>0.39119783436777233</v>
      </c>
      <c r="G109" s="67">
        <f t="shared" si="3"/>
        <v>7.61439911700477</v>
      </c>
      <c r="H109" s="67">
        <f t="shared" si="3"/>
        <v>68.70585190153264</v>
      </c>
      <c r="I109" s="67">
        <f t="shared" si="3"/>
        <v>1.2809502128200121</v>
      </c>
      <c r="J109" s="67">
        <f t="shared" si="3"/>
        <v>0.30131595514436582</v>
      </c>
      <c r="K109" s="67">
        <f t="shared" si="3"/>
        <v>51.445935036999309</v>
      </c>
      <c r="L109" s="67">
        <f t="shared" si="3"/>
        <v>5.3653009267968521</v>
      </c>
      <c r="M109" s="67">
        <f t="shared" si="3"/>
        <v>10.029400647967913</v>
      </c>
      <c r="N109" s="67">
        <f t="shared" si="3"/>
        <v>317.92833473161721</v>
      </c>
      <c r="O109" s="67">
        <f t="shared" si="3"/>
        <v>2.8715177232759195E-2</v>
      </c>
      <c r="P109" s="67">
        <f t="shared" si="3"/>
        <v>7.1037116564684449E-2</v>
      </c>
      <c r="Q109" s="67">
        <f t="shared" si="3"/>
        <v>4.8120563488829351</v>
      </c>
      <c r="R109" s="198"/>
      <c r="S109" s="198"/>
      <c r="T109" s="198"/>
      <c r="U109" s="198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47</v>
      </c>
      <c r="H110" s="66">
        <f>COUNT(H9:H104)</f>
        <v>96</v>
      </c>
      <c r="I110" s="66">
        <f>COUNT(I9:I104)+2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9"/>
      <c r="S110" s="199"/>
      <c r="T110" s="199"/>
      <c r="U110" s="199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244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1" sqref="G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6" width="12.5703125" style="54" customWidth="1"/>
    <col min="7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23-08-2022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234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2360</v>
      </c>
      <c r="B9" s="60">
        <v>2.91</v>
      </c>
      <c r="C9" s="60">
        <v>8.19</v>
      </c>
      <c r="D9" s="60">
        <v>11.1</v>
      </c>
      <c r="E9" s="60">
        <v>5.09</v>
      </c>
      <c r="F9" s="60">
        <v>0.22</v>
      </c>
      <c r="G9" s="9" t="s">
        <v>36</v>
      </c>
      <c r="H9" s="60">
        <v>21.32</v>
      </c>
      <c r="I9" s="60">
        <v>6.44</v>
      </c>
      <c r="J9" s="60">
        <v>0.25</v>
      </c>
      <c r="K9" s="60">
        <v>200.38</v>
      </c>
      <c r="L9" s="60">
        <v>30.35</v>
      </c>
      <c r="M9" s="60">
        <v>89.1</v>
      </c>
      <c r="N9" s="60">
        <v>14.9</v>
      </c>
      <c r="O9" s="60">
        <v>0</v>
      </c>
      <c r="P9" s="60">
        <v>3.7</v>
      </c>
      <c r="Q9" s="60">
        <v>52.73</v>
      </c>
      <c r="R9" s="197"/>
      <c r="S9" s="197"/>
      <c r="T9" s="197"/>
      <c r="U9" s="197"/>
    </row>
    <row r="10" spans="1:21" s="12" customFormat="1" x14ac:dyDescent="0.25">
      <c r="A10" s="200" t="s">
        <v>2361</v>
      </c>
      <c r="B10" s="60">
        <v>2.91</v>
      </c>
      <c r="C10" s="60">
        <v>8.0500000000000007</v>
      </c>
      <c r="D10" s="60">
        <v>10.96</v>
      </c>
      <c r="E10" s="60">
        <v>4.8600000000000003</v>
      </c>
      <c r="F10" s="60">
        <v>0.28000000000000003</v>
      </c>
      <c r="G10" s="9" t="s">
        <v>36</v>
      </c>
      <c r="H10" s="60">
        <v>21.32</v>
      </c>
      <c r="I10" s="60">
        <v>6.54</v>
      </c>
      <c r="J10" s="60">
        <v>0.26</v>
      </c>
      <c r="K10" s="60">
        <v>183.98</v>
      </c>
      <c r="L10" s="60">
        <v>30.18</v>
      </c>
      <c r="M10" s="60">
        <v>87.6</v>
      </c>
      <c r="N10" s="60">
        <v>14.7</v>
      </c>
      <c r="O10" s="60">
        <v>0</v>
      </c>
      <c r="P10" s="60">
        <v>3.7</v>
      </c>
      <c r="Q10" s="60">
        <v>53.18</v>
      </c>
      <c r="R10" s="197"/>
      <c r="S10" s="197"/>
      <c r="T10" s="197"/>
      <c r="U10" s="197"/>
    </row>
    <row r="11" spans="1:21" s="12" customFormat="1" x14ac:dyDescent="0.25">
      <c r="A11" s="200" t="s">
        <v>2362</v>
      </c>
      <c r="B11" s="60">
        <v>2.87</v>
      </c>
      <c r="C11" s="60">
        <v>7.88</v>
      </c>
      <c r="D11" s="60">
        <v>10.75</v>
      </c>
      <c r="E11" s="60">
        <v>5.23</v>
      </c>
      <c r="F11" s="60">
        <v>0.45</v>
      </c>
      <c r="G11" s="9" t="s">
        <v>36</v>
      </c>
      <c r="H11" s="60">
        <v>22.71</v>
      </c>
      <c r="I11" s="60">
        <v>6.78</v>
      </c>
      <c r="J11" s="60">
        <v>0.34</v>
      </c>
      <c r="K11" s="60">
        <v>193.18</v>
      </c>
      <c r="L11" s="60">
        <v>29.99</v>
      </c>
      <c r="M11" s="60">
        <v>87.26</v>
      </c>
      <c r="N11" s="60">
        <v>14.9</v>
      </c>
      <c r="O11" s="60">
        <v>0</v>
      </c>
      <c r="P11" s="60">
        <v>3.68</v>
      </c>
      <c r="Q11" s="60">
        <v>54.18</v>
      </c>
      <c r="R11" s="197"/>
      <c r="S11" s="197"/>
      <c r="T11" s="197"/>
      <c r="U11" s="197"/>
    </row>
    <row r="12" spans="1:21" s="12" customFormat="1" x14ac:dyDescent="0.25">
      <c r="A12" s="200" t="s">
        <v>2363</v>
      </c>
      <c r="B12" s="60">
        <v>2.9</v>
      </c>
      <c r="C12" s="60">
        <v>7.73</v>
      </c>
      <c r="D12" s="60">
        <v>10.63</v>
      </c>
      <c r="E12" s="60">
        <v>5.24</v>
      </c>
      <c r="F12" s="60">
        <v>0.31</v>
      </c>
      <c r="G12" s="9" t="s">
        <v>36</v>
      </c>
      <c r="H12" s="60">
        <v>36.92</v>
      </c>
      <c r="I12" s="60">
        <v>6.94</v>
      </c>
      <c r="J12" s="60">
        <v>0.32</v>
      </c>
      <c r="K12" s="60">
        <v>185.59</v>
      </c>
      <c r="L12" s="60">
        <v>29.77</v>
      </c>
      <c r="M12" s="60">
        <v>88.23</v>
      </c>
      <c r="N12" s="60">
        <v>14.9</v>
      </c>
      <c r="O12" s="60">
        <v>0</v>
      </c>
      <c r="P12" s="60">
        <v>3.68</v>
      </c>
      <c r="Q12" s="60">
        <v>54.64</v>
      </c>
      <c r="R12" s="197"/>
      <c r="S12" s="197"/>
      <c r="T12" s="197"/>
      <c r="U12" s="197"/>
    </row>
    <row r="13" spans="1:21" s="12" customFormat="1" x14ac:dyDescent="0.25">
      <c r="A13" s="200" t="s">
        <v>2364</v>
      </c>
      <c r="B13" s="60">
        <v>2.95</v>
      </c>
      <c r="C13" s="60">
        <v>7.46</v>
      </c>
      <c r="D13" s="60">
        <v>10.41</v>
      </c>
      <c r="E13" s="60">
        <v>5.78</v>
      </c>
      <c r="F13" s="60">
        <v>0.31</v>
      </c>
      <c r="G13" s="9" t="s">
        <v>36</v>
      </c>
      <c r="H13" s="60">
        <v>36.92</v>
      </c>
      <c r="I13" s="60">
        <v>7.14</v>
      </c>
      <c r="J13" s="60">
        <v>0.34</v>
      </c>
      <c r="K13" s="60">
        <v>196.01</v>
      </c>
      <c r="L13" s="60">
        <v>29.59</v>
      </c>
      <c r="M13" s="60">
        <v>88.94</v>
      </c>
      <c r="N13" s="60">
        <v>15</v>
      </c>
      <c r="O13" s="60">
        <v>0</v>
      </c>
      <c r="P13" s="60">
        <v>3.68</v>
      </c>
      <c r="Q13" s="8" t="s">
        <v>34</v>
      </c>
      <c r="R13" s="197"/>
      <c r="S13" s="197"/>
      <c r="T13" s="197"/>
      <c r="U13" s="197"/>
    </row>
    <row r="14" spans="1:21" s="12" customFormat="1" x14ac:dyDescent="0.25">
      <c r="A14" s="200" t="s">
        <v>2365</v>
      </c>
      <c r="B14" s="60">
        <v>2.98</v>
      </c>
      <c r="C14" s="60">
        <v>7.29</v>
      </c>
      <c r="D14" s="60">
        <v>10.27</v>
      </c>
      <c r="E14" s="60">
        <v>5.7</v>
      </c>
      <c r="F14" s="60">
        <v>0.26</v>
      </c>
      <c r="G14" s="9" t="s">
        <v>36</v>
      </c>
      <c r="H14" s="60">
        <v>36.92</v>
      </c>
      <c r="I14" s="60">
        <v>7.34</v>
      </c>
      <c r="J14" s="60">
        <v>0.16</v>
      </c>
      <c r="K14" s="60">
        <v>209.79</v>
      </c>
      <c r="L14" s="60">
        <v>29.44</v>
      </c>
      <c r="M14" s="60">
        <v>89.88</v>
      </c>
      <c r="N14" s="60">
        <v>15</v>
      </c>
      <c r="O14" s="60">
        <v>0</v>
      </c>
      <c r="P14" s="60">
        <v>3.68</v>
      </c>
      <c r="Q14" s="60">
        <v>56.04</v>
      </c>
      <c r="R14" s="197"/>
      <c r="S14" s="197"/>
      <c r="T14" s="197"/>
      <c r="U14" s="197"/>
    </row>
    <row r="15" spans="1:21" s="12" customFormat="1" x14ac:dyDescent="0.25">
      <c r="A15" s="200" t="s">
        <v>2366</v>
      </c>
      <c r="B15" s="60">
        <v>3.08</v>
      </c>
      <c r="C15" s="60">
        <v>7.52</v>
      </c>
      <c r="D15" s="60">
        <v>10.6</v>
      </c>
      <c r="E15" s="60">
        <v>5.63</v>
      </c>
      <c r="F15" s="60">
        <v>0.09</v>
      </c>
      <c r="G15" s="9" t="s">
        <v>36</v>
      </c>
      <c r="H15" s="60">
        <v>35.21</v>
      </c>
      <c r="I15" s="60">
        <v>7.6</v>
      </c>
      <c r="J15" s="60">
        <v>0.46</v>
      </c>
      <c r="K15" s="60">
        <v>168.05</v>
      </c>
      <c r="L15" s="60">
        <v>29.32</v>
      </c>
      <c r="M15" s="60">
        <v>89.99</v>
      </c>
      <c r="N15" s="60">
        <v>14.8</v>
      </c>
      <c r="O15" s="60">
        <v>0</v>
      </c>
      <c r="P15" s="60">
        <v>3.67</v>
      </c>
      <c r="Q15" s="60">
        <v>57.31</v>
      </c>
      <c r="R15" s="197"/>
      <c r="S15" s="197"/>
      <c r="T15" s="197"/>
      <c r="U15" s="197"/>
    </row>
    <row r="16" spans="1:21" s="12" customFormat="1" x14ac:dyDescent="0.25">
      <c r="A16" s="200" t="s">
        <v>2367</v>
      </c>
      <c r="B16" s="60">
        <v>3.02</v>
      </c>
      <c r="C16" s="60">
        <v>7.2</v>
      </c>
      <c r="D16" s="60">
        <v>10.220000000000001</v>
      </c>
      <c r="E16" s="60">
        <v>5.85</v>
      </c>
      <c r="F16" s="60">
        <v>0.08</v>
      </c>
      <c r="G16" s="9" t="s">
        <v>36</v>
      </c>
      <c r="H16" s="60">
        <v>17.86</v>
      </c>
      <c r="I16" s="60">
        <v>7.76</v>
      </c>
      <c r="J16" s="60">
        <v>0.63</v>
      </c>
      <c r="K16" s="60">
        <v>165.85</v>
      </c>
      <c r="L16" s="60">
        <v>29.27</v>
      </c>
      <c r="M16" s="60">
        <v>90.2</v>
      </c>
      <c r="N16" s="60">
        <v>14.7</v>
      </c>
      <c r="O16" s="60">
        <v>0</v>
      </c>
      <c r="P16" s="60">
        <v>3.66</v>
      </c>
      <c r="Q16" s="60">
        <v>57.01</v>
      </c>
      <c r="R16" s="197"/>
      <c r="S16" s="197"/>
      <c r="T16" s="197"/>
      <c r="U16" s="197"/>
    </row>
    <row r="17" spans="1:21" s="12" customFormat="1" x14ac:dyDescent="0.25">
      <c r="A17" s="200" t="s">
        <v>2368</v>
      </c>
      <c r="B17" s="60">
        <v>2.88</v>
      </c>
      <c r="C17" s="60">
        <v>7</v>
      </c>
      <c r="D17" s="60">
        <v>9.8800000000000008</v>
      </c>
      <c r="E17" s="60">
        <v>5.83</v>
      </c>
      <c r="F17" s="60">
        <v>0.11</v>
      </c>
      <c r="G17" s="9" t="s">
        <v>36</v>
      </c>
      <c r="H17" s="60">
        <v>17.86</v>
      </c>
      <c r="I17" s="60">
        <v>7.92</v>
      </c>
      <c r="J17" s="60">
        <v>0.93</v>
      </c>
      <c r="K17" s="60">
        <v>162.87</v>
      </c>
      <c r="L17" s="60">
        <v>29.29</v>
      </c>
      <c r="M17" s="60">
        <v>90.5</v>
      </c>
      <c r="N17" s="60">
        <v>14.7</v>
      </c>
      <c r="O17" s="60">
        <v>0</v>
      </c>
      <c r="P17" s="60">
        <v>3.66</v>
      </c>
      <c r="Q17" s="60">
        <v>56.05</v>
      </c>
      <c r="R17" s="197"/>
      <c r="S17" s="197"/>
      <c r="T17" s="197"/>
      <c r="U17" s="197"/>
    </row>
    <row r="18" spans="1:21" s="12" customFormat="1" x14ac:dyDescent="0.25">
      <c r="A18" s="200" t="s">
        <v>2369</v>
      </c>
      <c r="B18" s="60">
        <v>2.7</v>
      </c>
      <c r="C18" s="60">
        <v>6.93</v>
      </c>
      <c r="D18" s="60">
        <v>9.6300000000000008</v>
      </c>
      <c r="E18" s="60">
        <v>5.45</v>
      </c>
      <c r="F18" s="60">
        <v>0.21</v>
      </c>
      <c r="G18" s="9" t="s">
        <v>36</v>
      </c>
      <c r="H18" s="60">
        <v>17.86</v>
      </c>
      <c r="I18" s="60">
        <v>7.85</v>
      </c>
      <c r="J18" s="60">
        <v>0.49</v>
      </c>
      <c r="K18" s="60">
        <v>172.63</v>
      </c>
      <c r="L18" s="60">
        <v>29.28</v>
      </c>
      <c r="M18" s="60">
        <v>91.14</v>
      </c>
      <c r="N18" s="60">
        <v>14.9</v>
      </c>
      <c r="O18" s="60">
        <v>0</v>
      </c>
      <c r="P18" s="60">
        <v>3.64</v>
      </c>
      <c r="Q18" s="60">
        <v>55.34</v>
      </c>
      <c r="R18" s="197"/>
      <c r="S18" s="197"/>
      <c r="T18" s="197"/>
      <c r="U18" s="197"/>
    </row>
    <row r="19" spans="1:21" s="12" customFormat="1" x14ac:dyDescent="0.25">
      <c r="A19" s="200" t="s">
        <v>2370</v>
      </c>
      <c r="B19" s="60">
        <v>2.5499999999999998</v>
      </c>
      <c r="C19" s="60">
        <v>7.26</v>
      </c>
      <c r="D19" s="60">
        <v>9.81</v>
      </c>
      <c r="E19" s="60">
        <v>5.88</v>
      </c>
      <c r="F19" s="60">
        <v>0.14000000000000001</v>
      </c>
      <c r="G19" s="9" t="s">
        <v>36</v>
      </c>
      <c r="H19" s="60">
        <v>18.86</v>
      </c>
      <c r="I19" s="60">
        <v>7.69</v>
      </c>
      <c r="J19" s="60">
        <v>1.05</v>
      </c>
      <c r="K19" s="60">
        <v>159.59</v>
      </c>
      <c r="L19" s="60">
        <v>29.94</v>
      </c>
      <c r="M19" s="60">
        <v>91.72</v>
      </c>
      <c r="N19" s="60">
        <v>14.6</v>
      </c>
      <c r="O19" s="60">
        <v>0</v>
      </c>
      <c r="P19" s="60">
        <v>3.64</v>
      </c>
      <c r="Q19" s="60">
        <v>55.52</v>
      </c>
      <c r="R19" s="197"/>
      <c r="S19" s="197"/>
      <c r="T19" s="197"/>
      <c r="U19" s="197"/>
    </row>
    <row r="20" spans="1:21" s="12" customFormat="1" x14ac:dyDescent="0.25">
      <c r="A20" s="200" t="s">
        <v>2371</v>
      </c>
      <c r="B20" s="60">
        <v>2.42</v>
      </c>
      <c r="C20" s="60">
        <v>7.11</v>
      </c>
      <c r="D20" s="60">
        <v>9.5299999999999994</v>
      </c>
      <c r="E20" s="60">
        <v>5.82</v>
      </c>
      <c r="F20" s="60">
        <v>0.1</v>
      </c>
      <c r="G20" s="9" t="s">
        <v>36</v>
      </c>
      <c r="H20" s="60">
        <v>29.08</v>
      </c>
      <c r="I20" s="60">
        <v>7.5</v>
      </c>
      <c r="J20" s="60">
        <v>0.62</v>
      </c>
      <c r="K20" s="60">
        <v>165.27</v>
      </c>
      <c r="L20" s="60">
        <v>30.13</v>
      </c>
      <c r="M20" s="60">
        <v>92.54</v>
      </c>
      <c r="N20" s="60">
        <v>14.8</v>
      </c>
      <c r="O20" s="60">
        <v>0</v>
      </c>
      <c r="P20" s="60">
        <v>3.63</v>
      </c>
      <c r="Q20" s="60">
        <v>54.74</v>
      </c>
      <c r="R20" s="197"/>
      <c r="S20" s="197"/>
      <c r="T20" s="197"/>
      <c r="U20" s="197"/>
    </row>
    <row r="21" spans="1:21" s="12" customFormat="1" x14ac:dyDescent="0.25">
      <c r="A21" s="200" t="s">
        <v>2372</v>
      </c>
      <c r="B21" s="60">
        <v>2.3199999999999998</v>
      </c>
      <c r="C21" s="60">
        <v>6.67</v>
      </c>
      <c r="D21" s="60">
        <v>8.99</v>
      </c>
      <c r="E21" s="60">
        <v>5.38</v>
      </c>
      <c r="F21" s="60">
        <v>0.4</v>
      </c>
      <c r="G21" s="9" t="s">
        <v>36</v>
      </c>
      <c r="H21" s="60">
        <v>29.08</v>
      </c>
      <c r="I21" s="60">
        <v>7.41</v>
      </c>
      <c r="J21" s="60">
        <v>0.62</v>
      </c>
      <c r="K21" s="60">
        <v>173.14</v>
      </c>
      <c r="L21" s="60">
        <v>29.93</v>
      </c>
      <c r="M21" s="60">
        <v>93.79</v>
      </c>
      <c r="N21" s="60">
        <v>14.7</v>
      </c>
      <c r="O21" s="60">
        <v>0</v>
      </c>
      <c r="P21" s="60">
        <v>3.62</v>
      </c>
      <c r="Q21" s="60">
        <v>53.66</v>
      </c>
      <c r="R21" s="197"/>
      <c r="S21" s="197"/>
      <c r="T21" s="197"/>
      <c r="U21" s="197"/>
    </row>
    <row r="22" spans="1:21" s="12" customFormat="1" x14ac:dyDescent="0.25">
      <c r="A22" s="200" t="s">
        <v>2373</v>
      </c>
      <c r="B22" s="60">
        <v>2.25</v>
      </c>
      <c r="C22" s="60">
        <v>6.88</v>
      </c>
      <c r="D22" s="60">
        <v>9.1199999999999992</v>
      </c>
      <c r="E22" s="60">
        <v>5.88</v>
      </c>
      <c r="F22" s="60">
        <v>0.17</v>
      </c>
      <c r="G22" s="9" t="s">
        <v>36</v>
      </c>
      <c r="H22" s="60">
        <v>29.08</v>
      </c>
      <c r="I22" s="60">
        <v>7.23</v>
      </c>
      <c r="J22" s="60">
        <v>1.38</v>
      </c>
      <c r="K22" s="60">
        <v>156.46</v>
      </c>
      <c r="L22" s="60">
        <v>29.9</v>
      </c>
      <c r="M22" s="60">
        <v>94.17</v>
      </c>
      <c r="N22" s="60">
        <v>14.6</v>
      </c>
      <c r="O22" s="60">
        <v>0</v>
      </c>
      <c r="P22" s="60">
        <v>3.61</v>
      </c>
      <c r="Q22" s="60">
        <v>53.6</v>
      </c>
      <c r="R22" s="197"/>
      <c r="S22" s="197"/>
      <c r="T22" s="197"/>
      <c r="U22" s="197"/>
    </row>
    <row r="23" spans="1:21" s="12" customFormat="1" x14ac:dyDescent="0.25">
      <c r="A23" s="200" t="s">
        <v>2374</v>
      </c>
      <c r="B23" s="60">
        <v>2.21</v>
      </c>
      <c r="C23" s="60">
        <v>6.96</v>
      </c>
      <c r="D23" s="60">
        <v>9.17</v>
      </c>
      <c r="E23" s="60">
        <v>5.91</v>
      </c>
      <c r="F23" s="60">
        <v>0.13</v>
      </c>
      <c r="G23" s="9" t="s">
        <v>36</v>
      </c>
      <c r="H23" s="60">
        <v>33.93</v>
      </c>
      <c r="I23" s="60">
        <v>7.02</v>
      </c>
      <c r="J23" s="60">
        <v>0.52</v>
      </c>
      <c r="K23" s="60">
        <v>185.82</v>
      </c>
      <c r="L23" s="60">
        <v>29.92</v>
      </c>
      <c r="M23" s="60">
        <v>94.14</v>
      </c>
      <c r="N23" s="60">
        <v>14.8</v>
      </c>
      <c r="O23" s="60">
        <v>0</v>
      </c>
      <c r="P23" s="60">
        <v>3.62</v>
      </c>
      <c r="Q23" s="60">
        <v>54.14</v>
      </c>
      <c r="R23" s="197"/>
      <c r="S23" s="197"/>
      <c r="T23" s="197"/>
      <c r="U23" s="197"/>
    </row>
    <row r="24" spans="1:21" s="12" customFormat="1" x14ac:dyDescent="0.25">
      <c r="A24" s="200" t="s">
        <v>2375</v>
      </c>
      <c r="B24" s="60">
        <v>2.2200000000000002</v>
      </c>
      <c r="C24" s="60">
        <v>7.18</v>
      </c>
      <c r="D24" s="60">
        <v>9.4</v>
      </c>
      <c r="E24" s="60">
        <v>2.13</v>
      </c>
      <c r="F24" s="60">
        <v>0.04</v>
      </c>
      <c r="G24" s="9" t="s">
        <v>36</v>
      </c>
      <c r="H24" s="60">
        <v>83.54</v>
      </c>
      <c r="I24" s="60">
        <v>7.03</v>
      </c>
      <c r="J24" s="60">
        <v>0.51</v>
      </c>
      <c r="K24" s="60">
        <v>196.96</v>
      </c>
      <c r="L24" s="60">
        <v>29.81</v>
      </c>
      <c r="M24" s="60">
        <v>94.92</v>
      </c>
      <c r="N24" s="60">
        <v>14.7</v>
      </c>
      <c r="O24" s="60">
        <v>0</v>
      </c>
      <c r="P24" s="60">
        <v>3.6</v>
      </c>
      <c r="Q24" s="60">
        <v>54.8</v>
      </c>
      <c r="R24" s="197"/>
      <c r="S24" s="197"/>
      <c r="T24" s="197"/>
      <c r="U24" s="197"/>
    </row>
    <row r="25" spans="1:21" s="12" customFormat="1" x14ac:dyDescent="0.25">
      <c r="A25" s="200" t="s">
        <v>2376</v>
      </c>
      <c r="B25" s="60">
        <v>2.25</v>
      </c>
      <c r="C25" s="60">
        <v>7.02</v>
      </c>
      <c r="D25" s="60">
        <v>9.27</v>
      </c>
      <c r="E25" s="60">
        <v>4.6100000000000003</v>
      </c>
      <c r="F25" s="60">
        <v>0.13</v>
      </c>
      <c r="G25" s="9" t="s">
        <v>36</v>
      </c>
      <c r="H25" s="60">
        <v>83.54</v>
      </c>
      <c r="I25" s="60">
        <v>7.03</v>
      </c>
      <c r="J25" s="60">
        <v>0.84</v>
      </c>
      <c r="K25" s="60">
        <v>165.42</v>
      </c>
      <c r="L25" s="60">
        <v>31.15</v>
      </c>
      <c r="M25" s="60">
        <v>95.49</v>
      </c>
      <c r="N25" s="60">
        <v>14.7</v>
      </c>
      <c r="O25" s="60">
        <v>0</v>
      </c>
      <c r="P25" s="60">
        <v>3.6</v>
      </c>
      <c r="Q25" s="60">
        <v>54.46</v>
      </c>
      <c r="R25" s="197"/>
      <c r="S25" s="197"/>
      <c r="T25" s="197"/>
      <c r="U25" s="197"/>
    </row>
    <row r="26" spans="1:21" s="12" customFormat="1" x14ac:dyDescent="0.25">
      <c r="A26" s="200" t="s">
        <v>2377</v>
      </c>
      <c r="B26" s="60">
        <v>2.35</v>
      </c>
      <c r="C26" s="60">
        <v>7.07</v>
      </c>
      <c r="D26" s="60">
        <v>9.43</v>
      </c>
      <c r="E26" s="60">
        <v>4.87</v>
      </c>
      <c r="F26" s="60">
        <v>0.18</v>
      </c>
      <c r="G26" s="9" t="s">
        <v>36</v>
      </c>
      <c r="H26" s="60">
        <v>83.54</v>
      </c>
      <c r="I26" s="60">
        <v>6.98</v>
      </c>
      <c r="J26" s="60">
        <v>0.36</v>
      </c>
      <c r="K26" s="60">
        <v>183.89</v>
      </c>
      <c r="L26" s="60">
        <v>31.98</v>
      </c>
      <c r="M26" s="60">
        <v>95.9</v>
      </c>
      <c r="N26" s="60">
        <v>14.7</v>
      </c>
      <c r="O26" s="60">
        <v>0</v>
      </c>
      <c r="P26" s="60">
        <v>3.6</v>
      </c>
      <c r="Q26" s="60">
        <v>54.25</v>
      </c>
      <c r="R26" s="197"/>
      <c r="S26" s="197"/>
      <c r="T26" s="197"/>
      <c r="U26" s="197"/>
    </row>
    <row r="27" spans="1:21" s="12" customFormat="1" x14ac:dyDescent="0.25">
      <c r="A27" s="200" t="s">
        <v>2378</v>
      </c>
      <c r="B27" s="60">
        <v>2.4500000000000002</v>
      </c>
      <c r="C27" s="60">
        <v>7</v>
      </c>
      <c r="D27" s="60">
        <v>9.4499999999999993</v>
      </c>
      <c r="E27" s="60">
        <v>5.48</v>
      </c>
      <c r="F27" s="60">
        <v>0.17</v>
      </c>
      <c r="G27" s="9" t="s">
        <v>36</v>
      </c>
      <c r="H27" s="60">
        <v>79.81</v>
      </c>
      <c r="I27" s="60">
        <v>6.95</v>
      </c>
      <c r="J27" s="60">
        <v>0.65</v>
      </c>
      <c r="K27" s="60">
        <v>168.11</v>
      </c>
      <c r="L27" s="60">
        <v>29.94</v>
      </c>
      <c r="M27" s="60">
        <v>96.12</v>
      </c>
      <c r="N27" s="60">
        <v>14.6</v>
      </c>
      <c r="O27" s="60">
        <v>0</v>
      </c>
      <c r="P27" s="60">
        <v>3.59</v>
      </c>
      <c r="Q27" s="60">
        <v>54.11</v>
      </c>
      <c r="R27" s="197"/>
      <c r="S27" s="197"/>
      <c r="T27" s="197"/>
      <c r="U27" s="197"/>
    </row>
    <row r="28" spans="1:21" s="12" customFormat="1" x14ac:dyDescent="0.25">
      <c r="A28" s="200" t="s">
        <v>2379</v>
      </c>
      <c r="B28" s="60">
        <v>2.54</v>
      </c>
      <c r="C28" s="60">
        <v>7.1</v>
      </c>
      <c r="D28" s="60">
        <v>9.64</v>
      </c>
      <c r="E28" s="60">
        <v>5.48</v>
      </c>
      <c r="F28" s="60">
        <v>0.11</v>
      </c>
      <c r="G28" s="9" t="s">
        <v>36</v>
      </c>
      <c r="H28" s="60">
        <v>41.63</v>
      </c>
      <c r="I28" s="60">
        <v>6.94</v>
      </c>
      <c r="J28" s="60">
        <v>0.55000000000000004</v>
      </c>
      <c r="K28" s="60">
        <v>169.97</v>
      </c>
      <c r="L28" s="60">
        <v>30.27</v>
      </c>
      <c r="M28" s="60">
        <v>96.1</v>
      </c>
      <c r="N28" s="60">
        <v>14.6</v>
      </c>
      <c r="O28" s="60">
        <v>0</v>
      </c>
      <c r="P28" s="60">
        <v>3.6</v>
      </c>
      <c r="Q28" s="60">
        <v>54.78</v>
      </c>
      <c r="R28" s="197"/>
      <c r="S28" s="197"/>
      <c r="T28" s="197"/>
      <c r="U28" s="197"/>
    </row>
    <row r="29" spans="1:21" s="12" customFormat="1" x14ac:dyDescent="0.25">
      <c r="A29" s="200" t="s">
        <v>2380</v>
      </c>
      <c r="B29" s="60">
        <v>2.66</v>
      </c>
      <c r="C29" s="60">
        <v>7.21</v>
      </c>
      <c r="D29" s="60">
        <v>9.8699999999999992</v>
      </c>
      <c r="E29" s="60">
        <v>5.64</v>
      </c>
      <c r="F29" s="60">
        <v>0.12</v>
      </c>
      <c r="G29" s="9" t="s">
        <v>36</v>
      </c>
      <c r="H29" s="60">
        <v>41.63</v>
      </c>
      <c r="I29" s="60">
        <v>6.93</v>
      </c>
      <c r="J29" s="60">
        <v>0.18</v>
      </c>
      <c r="K29" s="60">
        <v>205.28</v>
      </c>
      <c r="L29" s="60">
        <v>32.82</v>
      </c>
      <c r="M29" s="60">
        <v>96.23</v>
      </c>
      <c r="N29" s="60">
        <v>14.7</v>
      </c>
      <c r="O29" s="60">
        <v>0</v>
      </c>
      <c r="P29" s="60">
        <v>3.59</v>
      </c>
      <c r="Q29" s="60">
        <v>54.8</v>
      </c>
      <c r="R29" s="197"/>
      <c r="S29" s="197"/>
      <c r="T29" s="197"/>
      <c r="U29" s="197"/>
    </row>
    <row r="30" spans="1:21" s="12" customFormat="1" x14ac:dyDescent="0.25">
      <c r="A30" s="200" t="s">
        <v>2381</v>
      </c>
      <c r="B30" s="60">
        <v>2.86</v>
      </c>
      <c r="C30" s="60">
        <v>7.26</v>
      </c>
      <c r="D30" s="60">
        <v>10.119999999999999</v>
      </c>
      <c r="E30" s="60">
        <v>5.64</v>
      </c>
      <c r="F30" s="60">
        <v>0.12</v>
      </c>
      <c r="G30" s="9" t="s">
        <v>36</v>
      </c>
      <c r="H30" s="60">
        <v>41.63</v>
      </c>
      <c r="I30" s="60">
        <v>6.98</v>
      </c>
      <c r="J30" s="60">
        <v>0.23</v>
      </c>
      <c r="K30" s="60">
        <v>185.97</v>
      </c>
      <c r="L30" s="60">
        <v>31.81</v>
      </c>
      <c r="M30" s="60">
        <v>96.13</v>
      </c>
      <c r="N30" s="60">
        <v>14.8</v>
      </c>
      <c r="O30" s="60">
        <v>0</v>
      </c>
      <c r="P30" s="60">
        <v>3.6</v>
      </c>
      <c r="Q30" s="60">
        <v>54.97</v>
      </c>
      <c r="R30" s="197"/>
      <c r="S30" s="197"/>
      <c r="T30" s="197"/>
      <c r="U30" s="197"/>
    </row>
    <row r="31" spans="1:21" s="12" customFormat="1" x14ac:dyDescent="0.25">
      <c r="A31" s="200" t="s">
        <v>2382</v>
      </c>
      <c r="B31" s="60">
        <v>3.06</v>
      </c>
      <c r="C31" s="60">
        <v>7.01</v>
      </c>
      <c r="D31" s="60">
        <v>10.07</v>
      </c>
      <c r="E31" s="60">
        <v>5.39</v>
      </c>
      <c r="F31" s="60">
        <v>0.3</v>
      </c>
      <c r="G31" s="9" t="s">
        <v>36</v>
      </c>
      <c r="H31" s="60">
        <v>39.39</v>
      </c>
      <c r="I31" s="60">
        <v>7.03</v>
      </c>
      <c r="J31" s="60">
        <v>0.47</v>
      </c>
      <c r="K31" s="60">
        <v>164.36</v>
      </c>
      <c r="L31" s="60">
        <v>33.46</v>
      </c>
      <c r="M31" s="60">
        <v>96.77</v>
      </c>
      <c r="N31" s="60">
        <v>17.2</v>
      </c>
      <c r="O31" s="60">
        <v>0</v>
      </c>
      <c r="P31" s="60">
        <v>3.59</v>
      </c>
      <c r="Q31" s="60">
        <v>54.11</v>
      </c>
      <c r="R31" s="197"/>
      <c r="S31" s="197"/>
      <c r="T31" s="197"/>
      <c r="U31" s="197"/>
    </row>
    <row r="32" spans="1:21" s="12" customFormat="1" x14ac:dyDescent="0.25">
      <c r="A32" s="200" t="s">
        <v>2383</v>
      </c>
      <c r="B32" s="60">
        <v>3.24</v>
      </c>
      <c r="C32" s="60">
        <v>7.36</v>
      </c>
      <c r="D32" s="60">
        <v>10.6</v>
      </c>
      <c r="E32" s="60">
        <v>5.41</v>
      </c>
      <c r="F32" s="60">
        <v>7.0000000000000007E-2</v>
      </c>
      <c r="G32" s="9" t="s">
        <v>36</v>
      </c>
      <c r="H32" s="60">
        <v>16.45</v>
      </c>
      <c r="I32" s="60">
        <v>7.03</v>
      </c>
      <c r="J32" s="60">
        <v>0.17</v>
      </c>
      <c r="K32" s="60">
        <v>206.7</v>
      </c>
      <c r="L32" s="60">
        <v>32.619999999999997</v>
      </c>
      <c r="M32" s="60">
        <v>96.51</v>
      </c>
      <c r="N32" s="60">
        <v>26.4</v>
      </c>
      <c r="O32" s="60">
        <v>0</v>
      </c>
      <c r="P32" s="60">
        <v>3.59</v>
      </c>
      <c r="Q32" s="60">
        <v>53.35</v>
      </c>
      <c r="R32" s="197"/>
      <c r="S32" s="197"/>
      <c r="T32" s="197"/>
      <c r="U32" s="197"/>
    </row>
    <row r="33" spans="1:21" s="12" customFormat="1" x14ac:dyDescent="0.25">
      <c r="A33" s="200" t="s">
        <v>2384</v>
      </c>
      <c r="B33" s="60">
        <v>3.35</v>
      </c>
      <c r="C33" s="60">
        <v>7.05</v>
      </c>
      <c r="D33" s="60">
        <v>10.41</v>
      </c>
      <c r="E33" s="60">
        <v>5.84</v>
      </c>
      <c r="F33" s="60">
        <v>0.25</v>
      </c>
      <c r="G33" s="9" t="s">
        <v>36</v>
      </c>
      <c r="H33" s="60">
        <v>16.45</v>
      </c>
      <c r="I33" s="60">
        <v>6.95</v>
      </c>
      <c r="J33" s="60">
        <v>0.17</v>
      </c>
      <c r="K33" s="60">
        <v>178.23</v>
      </c>
      <c r="L33" s="60">
        <v>32.380000000000003</v>
      </c>
      <c r="M33" s="60">
        <v>95.45</v>
      </c>
      <c r="N33" s="60">
        <v>33.6</v>
      </c>
      <c r="O33" s="60">
        <v>0</v>
      </c>
      <c r="P33" s="60">
        <v>3.58</v>
      </c>
      <c r="Q33" s="60">
        <v>52.53</v>
      </c>
      <c r="R33" s="197"/>
      <c r="S33" s="197"/>
      <c r="T33" s="197"/>
      <c r="U33" s="197"/>
    </row>
    <row r="34" spans="1:21" s="12" customFormat="1" x14ac:dyDescent="0.25">
      <c r="A34" s="200" t="s">
        <v>2385</v>
      </c>
      <c r="B34" s="60">
        <v>3.47</v>
      </c>
      <c r="C34" s="60">
        <v>7.46</v>
      </c>
      <c r="D34" s="60">
        <v>10.93</v>
      </c>
      <c r="E34" s="60">
        <v>5.39</v>
      </c>
      <c r="F34" s="60">
        <v>0.03</v>
      </c>
      <c r="G34" s="9" t="s">
        <v>36</v>
      </c>
      <c r="H34" s="60">
        <v>16.45</v>
      </c>
      <c r="I34" s="60">
        <v>6.86</v>
      </c>
      <c r="J34" s="60">
        <v>0.3</v>
      </c>
      <c r="K34" s="60">
        <v>166.18</v>
      </c>
      <c r="L34" s="60">
        <v>33.21</v>
      </c>
      <c r="M34" s="60">
        <v>94.25</v>
      </c>
      <c r="N34" s="60">
        <v>56.4</v>
      </c>
      <c r="O34" s="60">
        <v>0</v>
      </c>
      <c r="P34" s="60">
        <v>3.59</v>
      </c>
      <c r="Q34" s="60">
        <v>52.86</v>
      </c>
      <c r="R34" s="197"/>
      <c r="S34" s="197"/>
      <c r="T34" s="197"/>
      <c r="U34" s="197"/>
    </row>
    <row r="35" spans="1:21" s="12" customFormat="1" x14ac:dyDescent="0.25">
      <c r="A35" s="200" t="s">
        <v>2386</v>
      </c>
      <c r="B35" s="60">
        <v>3.68</v>
      </c>
      <c r="C35" s="60">
        <v>7.76</v>
      </c>
      <c r="D35" s="60">
        <v>11.44</v>
      </c>
      <c r="E35" s="60">
        <v>5.37</v>
      </c>
      <c r="F35" s="60">
        <v>7.0000000000000007E-2</v>
      </c>
      <c r="G35" s="9" t="s">
        <v>36</v>
      </c>
      <c r="H35" s="60">
        <v>18.97</v>
      </c>
      <c r="I35" s="60">
        <v>6.69</v>
      </c>
      <c r="J35" s="60">
        <v>0.36</v>
      </c>
      <c r="K35" s="60">
        <v>163.02000000000001</v>
      </c>
      <c r="L35" s="60">
        <v>33.25</v>
      </c>
      <c r="M35" s="60">
        <v>91.57</v>
      </c>
      <c r="N35" s="60">
        <v>77.599999999999994</v>
      </c>
      <c r="O35" s="60">
        <v>0</v>
      </c>
      <c r="P35" s="60">
        <v>3.59</v>
      </c>
      <c r="Q35" s="60">
        <v>53.38</v>
      </c>
      <c r="R35" s="197"/>
      <c r="S35" s="197"/>
      <c r="T35" s="197"/>
      <c r="U35" s="197"/>
    </row>
    <row r="36" spans="1:21" s="12" customFormat="1" x14ac:dyDescent="0.25">
      <c r="A36" s="200" t="s">
        <v>2387</v>
      </c>
      <c r="B36" s="60">
        <v>3.81</v>
      </c>
      <c r="C36" s="60">
        <v>7.62</v>
      </c>
      <c r="D36" s="60">
        <v>11.43</v>
      </c>
      <c r="E36" s="60">
        <v>5.47</v>
      </c>
      <c r="F36" s="60">
        <v>0.16</v>
      </c>
      <c r="G36" s="9" t="s">
        <v>36</v>
      </c>
      <c r="H36" s="60">
        <v>44.74</v>
      </c>
      <c r="I36" s="60">
        <v>6.65</v>
      </c>
      <c r="J36" s="60">
        <v>0.18</v>
      </c>
      <c r="K36" s="60">
        <v>192.27</v>
      </c>
      <c r="L36" s="60">
        <v>38.83</v>
      </c>
      <c r="M36" s="60">
        <v>89.69</v>
      </c>
      <c r="N36" s="60">
        <v>95.9</v>
      </c>
      <c r="O36" s="60">
        <v>0</v>
      </c>
      <c r="P36" s="60">
        <v>3.6</v>
      </c>
      <c r="Q36" s="60">
        <v>52.86</v>
      </c>
      <c r="R36" s="197"/>
      <c r="S36" s="197"/>
      <c r="T36" s="197"/>
      <c r="U36" s="197"/>
    </row>
    <row r="37" spans="1:21" s="12" customFormat="1" x14ac:dyDescent="0.25">
      <c r="A37" s="200" t="s">
        <v>2388</v>
      </c>
      <c r="B37" s="60">
        <v>4.0999999999999996</v>
      </c>
      <c r="C37" s="60">
        <v>7.57</v>
      </c>
      <c r="D37" s="60">
        <v>11.68</v>
      </c>
      <c r="E37" s="60">
        <v>5.57</v>
      </c>
      <c r="F37" s="60">
        <v>0.32</v>
      </c>
      <c r="G37" s="9" t="s">
        <v>36</v>
      </c>
      <c r="H37" s="60">
        <v>44.74</v>
      </c>
      <c r="I37" s="60">
        <v>6.65</v>
      </c>
      <c r="J37" s="60">
        <v>0.27</v>
      </c>
      <c r="K37" s="60">
        <v>175.13</v>
      </c>
      <c r="L37" s="60">
        <v>40.42</v>
      </c>
      <c r="M37" s="60">
        <v>87.76</v>
      </c>
      <c r="N37" s="60">
        <v>129.30000000000001</v>
      </c>
      <c r="O37" s="60">
        <v>0</v>
      </c>
      <c r="P37" s="60">
        <v>3.58</v>
      </c>
      <c r="Q37" s="60">
        <v>54.6</v>
      </c>
      <c r="R37" s="197"/>
      <c r="S37" s="197"/>
      <c r="T37" s="197"/>
      <c r="U37" s="197"/>
    </row>
    <row r="38" spans="1:21" s="12" customFormat="1" x14ac:dyDescent="0.25">
      <c r="A38" s="200" t="s">
        <v>2389</v>
      </c>
      <c r="B38" s="60">
        <v>4.47</v>
      </c>
      <c r="C38" s="60">
        <v>7.59</v>
      </c>
      <c r="D38" s="60">
        <v>12.06</v>
      </c>
      <c r="E38" s="60">
        <v>5.79</v>
      </c>
      <c r="F38" s="60">
        <v>0.17</v>
      </c>
      <c r="G38" s="9" t="s">
        <v>36</v>
      </c>
      <c r="H38" s="60">
        <v>44.74</v>
      </c>
      <c r="I38" s="60">
        <v>6.59</v>
      </c>
      <c r="J38" s="60">
        <v>0.59</v>
      </c>
      <c r="K38" s="60">
        <v>163.36000000000001</v>
      </c>
      <c r="L38" s="60">
        <v>31.28</v>
      </c>
      <c r="M38" s="60">
        <v>85.99</v>
      </c>
      <c r="N38" s="60">
        <v>194.7</v>
      </c>
      <c r="O38" s="60">
        <v>0</v>
      </c>
      <c r="P38" s="60">
        <v>3.62</v>
      </c>
      <c r="Q38" s="60">
        <v>54.79</v>
      </c>
      <c r="R38" s="197"/>
      <c r="S38" s="197"/>
      <c r="T38" s="197"/>
      <c r="U38" s="197"/>
    </row>
    <row r="39" spans="1:21" s="12" customFormat="1" x14ac:dyDescent="0.25">
      <c r="A39" s="200" t="s">
        <v>2390</v>
      </c>
      <c r="B39" s="60">
        <v>4.8499999999999996</v>
      </c>
      <c r="C39" s="60">
        <v>7.86</v>
      </c>
      <c r="D39" s="60">
        <v>12.71</v>
      </c>
      <c r="E39" s="60">
        <v>5.53</v>
      </c>
      <c r="F39" s="60">
        <v>0.16</v>
      </c>
      <c r="G39" s="9" t="s">
        <v>36</v>
      </c>
      <c r="H39" s="60">
        <v>45.06</v>
      </c>
      <c r="I39" s="60">
        <v>6.72</v>
      </c>
      <c r="J39" s="60">
        <v>0.59</v>
      </c>
      <c r="K39" s="60">
        <v>166.06</v>
      </c>
      <c r="L39" s="60">
        <v>32.229999999999997</v>
      </c>
      <c r="M39" s="60">
        <v>81.95</v>
      </c>
      <c r="N39" s="60">
        <v>329.1</v>
      </c>
      <c r="O39" s="60">
        <v>0</v>
      </c>
      <c r="P39" s="60">
        <v>3.63</v>
      </c>
      <c r="Q39" s="60">
        <v>55.25</v>
      </c>
      <c r="R39" s="197"/>
      <c r="S39" s="197"/>
      <c r="T39" s="197"/>
      <c r="U39" s="197"/>
    </row>
    <row r="40" spans="1:21" s="12" customFormat="1" x14ac:dyDescent="0.25">
      <c r="A40" s="200" t="s">
        <v>2391</v>
      </c>
      <c r="B40" s="60">
        <v>4.97</v>
      </c>
      <c r="C40" s="60">
        <v>7.92</v>
      </c>
      <c r="D40" s="60">
        <v>12.89</v>
      </c>
      <c r="E40" s="60">
        <v>2.83</v>
      </c>
      <c r="F40" s="60">
        <v>0.09</v>
      </c>
      <c r="G40" s="9" t="s">
        <v>36</v>
      </c>
      <c r="H40" s="60">
        <v>48.3</v>
      </c>
      <c r="I40" s="60">
        <v>6.97</v>
      </c>
      <c r="J40" s="60">
        <v>0.36</v>
      </c>
      <c r="K40" s="60">
        <v>170.63</v>
      </c>
      <c r="L40" s="60">
        <v>32.51</v>
      </c>
      <c r="M40" s="60">
        <v>81.459999999999994</v>
      </c>
      <c r="N40" s="60">
        <v>221.9</v>
      </c>
      <c r="O40" s="60">
        <v>0</v>
      </c>
      <c r="P40" s="60">
        <v>3.63</v>
      </c>
      <c r="Q40" s="60">
        <v>55.86</v>
      </c>
      <c r="R40" s="197"/>
      <c r="S40" s="197"/>
      <c r="T40" s="197"/>
      <c r="U40" s="197"/>
    </row>
    <row r="41" spans="1:21" s="12" customFormat="1" x14ac:dyDescent="0.25">
      <c r="A41" s="200" t="s">
        <v>2392</v>
      </c>
      <c r="B41" s="60">
        <v>5.07</v>
      </c>
      <c r="C41" s="60">
        <v>7.86</v>
      </c>
      <c r="D41" s="60">
        <v>12.92</v>
      </c>
      <c r="E41" s="60">
        <v>5.69</v>
      </c>
      <c r="F41" s="60">
        <v>0.24</v>
      </c>
      <c r="G41" s="9" t="s">
        <v>36</v>
      </c>
      <c r="H41" s="60">
        <v>48.3</v>
      </c>
      <c r="I41" s="60">
        <v>7.18</v>
      </c>
      <c r="J41" s="60">
        <v>0.31</v>
      </c>
      <c r="K41" s="60">
        <v>176.72</v>
      </c>
      <c r="L41" s="60">
        <v>32.42</v>
      </c>
      <c r="M41" s="60">
        <v>80.77</v>
      </c>
      <c r="N41" s="60">
        <v>195.3</v>
      </c>
      <c r="O41" s="60">
        <v>0</v>
      </c>
      <c r="P41" s="60">
        <v>3.63</v>
      </c>
      <c r="Q41" s="60">
        <v>55.92</v>
      </c>
      <c r="R41" s="197"/>
      <c r="S41" s="197"/>
      <c r="T41" s="197"/>
      <c r="U41" s="197"/>
    </row>
    <row r="42" spans="1:21" s="12" customFormat="1" x14ac:dyDescent="0.25">
      <c r="A42" s="200" t="s">
        <v>2393</v>
      </c>
      <c r="B42" s="60">
        <v>5.17</v>
      </c>
      <c r="C42" s="60">
        <v>8.02</v>
      </c>
      <c r="D42" s="60">
        <v>13.19</v>
      </c>
      <c r="E42" s="60">
        <v>6.28</v>
      </c>
      <c r="F42" s="60">
        <v>0.2</v>
      </c>
      <c r="G42" s="9" t="s">
        <v>36</v>
      </c>
      <c r="H42" s="60">
        <v>48.3</v>
      </c>
      <c r="I42" s="60">
        <v>7.43</v>
      </c>
      <c r="J42" s="60">
        <v>0.17</v>
      </c>
      <c r="K42" s="60">
        <v>208.47</v>
      </c>
      <c r="L42" s="60">
        <v>33.020000000000003</v>
      </c>
      <c r="M42" s="60">
        <v>78.78</v>
      </c>
      <c r="N42" s="60">
        <v>294.3</v>
      </c>
      <c r="O42" s="60">
        <v>0</v>
      </c>
      <c r="P42" s="60">
        <v>3.63</v>
      </c>
      <c r="Q42" s="60">
        <v>56.09</v>
      </c>
      <c r="R42" s="197"/>
      <c r="S42" s="197"/>
      <c r="T42" s="197"/>
      <c r="U42" s="197"/>
    </row>
    <row r="43" spans="1:21" s="12" customFormat="1" x14ac:dyDescent="0.25">
      <c r="A43" s="200" t="s">
        <v>2394</v>
      </c>
      <c r="B43" s="60">
        <v>5.21</v>
      </c>
      <c r="C43" s="60">
        <v>8.07</v>
      </c>
      <c r="D43" s="60">
        <v>13.28</v>
      </c>
      <c r="E43" s="60">
        <v>5.93</v>
      </c>
      <c r="F43" s="60">
        <v>0.47</v>
      </c>
      <c r="G43" s="9" t="s">
        <v>36</v>
      </c>
      <c r="H43" s="60">
        <v>60.22</v>
      </c>
      <c r="I43" s="60">
        <v>7.51</v>
      </c>
      <c r="J43" s="60">
        <v>0.23</v>
      </c>
      <c r="K43" s="60">
        <v>185.88</v>
      </c>
      <c r="L43" s="60">
        <v>33.56</v>
      </c>
      <c r="M43" s="60">
        <v>78.12</v>
      </c>
      <c r="N43" s="60">
        <v>308.89999999999998</v>
      </c>
      <c r="O43" s="60">
        <v>0</v>
      </c>
      <c r="P43" s="60">
        <v>3.65</v>
      </c>
      <c r="Q43" s="60">
        <v>55.81</v>
      </c>
      <c r="R43" s="197"/>
      <c r="S43" s="197"/>
      <c r="T43" s="197"/>
      <c r="U43" s="197"/>
    </row>
    <row r="44" spans="1:21" s="12" customFormat="1" x14ac:dyDescent="0.25">
      <c r="A44" s="200" t="s">
        <v>2395</v>
      </c>
      <c r="B44" s="60">
        <v>5.16</v>
      </c>
      <c r="C44" s="60">
        <v>8.76</v>
      </c>
      <c r="D44" s="60">
        <v>13.92</v>
      </c>
      <c r="E44" s="60">
        <v>6.15</v>
      </c>
      <c r="F44" s="60">
        <v>0.16</v>
      </c>
      <c r="G44" s="9" t="s">
        <v>36</v>
      </c>
      <c r="H44" s="60">
        <v>182.4</v>
      </c>
      <c r="I44" s="60">
        <v>7.52</v>
      </c>
      <c r="J44" s="60">
        <v>0.46</v>
      </c>
      <c r="K44" s="60">
        <v>159.93</v>
      </c>
      <c r="L44" s="60">
        <v>36.01</v>
      </c>
      <c r="M44" s="60">
        <v>72.28</v>
      </c>
      <c r="N44" s="60">
        <v>627.9</v>
      </c>
      <c r="O44" s="60">
        <v>0</v>
      </c>
      <c r="P44" s="60">
        <v>3.66</v>
      </c>
      <c r="Q44" s="60">
        <v>56.42</v>
      </c>
      <c r="R44" s="197"/>
      <c r="S44" s="197"/>
      <c r="T44" s="197"/>
      <c r="U44" s="197"/>
    </row>
    <row r="45" spans="1:21" s="12" customFormat="1" x14ac:dyDescent="0.25">
      <c r="A45" s="200" t="s">
        <v>2396</v>
      </c>
      <c r="B45" s="60">
        <v>5.16</v>
      </c>
      <c r="C45" s="60">
        <v>8.2899999999999991</v>
      </c>
      <c r="D45" s="60">
        <v>13.45</v>
      </c>
      <c r="E45" s="60">
        <v>5.68</v>
      </c>
      <c r="F45" s="60">
        <v>0.77</v>
      </c>
      <c r="G45" s="9" t="s">
        <v>36</v>
      </c>
      <c r="H45" s="60">
        <v>182.4</v>
      </c>
      <c r="I45" s="60">
        <v>7.58</v>
      </c>
      <c r="J45" s="60">
        <v>0.13</v>
      </c>
      <c r="K45" s="60">
        <v>102.97</v>
      </c>
      <c r="L45" s="60">
        <v>35.83</v>
      </c>
      <c r="M45" s="60">
        <v>69.680000000000007</v>
      </c>
      <c r="N45" s="60">
        <v>693.7</v>
      </c>
      <c r="O45" s="60">
        <v>0</v>
      </c>
      <c r="P45" s="60">
        <v>3.68</v>
      </c>
      <c r="Q45" s="60">
        <v>55.07</v>
      </c>
      <c r="R45" s="197"/>
      <c r="S45" s="197"/>
      <c r="T45" s="197"/>
      <c r="U45" s="197"/>
    </row>
    <row r="46" spans="1:21" s="12" customFormat="1" x14ac:dyDescent="0.25">
      <c r="A46" s="200" t="s">
        <v>2397</v>
      </c>
      <c r="B46" s="60">
        <v>5.16</v>
      </c>
      <c r="C46" s="60">
        <v>9.48</v>
      </c>
      <c r="D46" s="60">
        <v>14.64</v>
      </c>
      <c r="E46" s="60">
        <v>5.86</v>
      </c>
      <c r="F46" s="60">
        <v>0.22</v>
      </c>
      <c r="G46" s="9" t="s">
        <v>36</v>
      </c>
      <c r="H46" s="60">
        <v>182.4</v>
      </c>
      <c r="I46" s="60">
        <v>7.81</v>
      </c>
      <c r="J46" s="60">
        <v>7.0000000000000007E-2</v>
      </c>
      <c r="K46" s="60">
        <v>340.23</v>
      </c>
      <c r="L46" s="60">
        <v>36.82</v>
      </c>
      <c r="M46" s="60">
        <v>66.36</v>
      </c>
      <c r="N46" s="60">
        <v>759.1</v>
      </c>
      <c r="O46" s="60">
        <v>0</v>
      </c>
      <c r="P46" s="60">
        <v>3.72</v>
      </c>
      <c r="Q46" s="60">
        <v>54.68</v>
      </c>
      <c r="R46" s="197"/>
      <c r="S46" s="197"/>
      <c r="T46" s="197"/>
      <c r="U46" s="197"/>
    </row>
    <row r="47" spans="1:21" s="12" customFormat="1" x14ac:dyDescent="0.25">
      <c r="A47" s="200" t="s">
        <v>2398</v>
      </c>
      <c r="B47" s="60">
        <v>4.8499999999999996</v>
      </c>
      <c r="C47" s="60">
        <v>9.67</v>
      </c>
      <c r="D47" s="60">
        <v>14.51</v>
      </c>
      <c r="E47" s="60">
        <v>5.96</v>
      </c>
      <c r="F47" s="60">
        <v>0.56000000000000005</v>
      </c>
      <c r="G47" s="9" t="s">
        <v>36</v>
      </c>
      <c r="H47" s="60">
        <v>191.45</v>
      </c>
      <c r="I47" s="60">
        <v>7.82</v>
      </c>
      <c r="J47" s="60">
        <v>0.23</v>
      </c>
      <c r="K47" s="60">
        <v>194.94</v>
      </c>
      <c r="L47" s="60">
        <v>36.770000000000003</v>
      </c>
      <c r="M47" s="60">
        <v>66.17</v>
      </c>
      <c r="N47" s="60">
        <v>582.20000000000005</v>
      </c>
      <c r="O47" s="60">
        <v>0</v>
      </c>
      <c r="P47" s="60">
        <v>3.7</v>
      </c>
      <c r="Q47" s="60">
        <v>53.52</v>
      </c>
      <c r="R47" s="197"/>
      <c r="S47" s="197"/>
      <c r="T47" s="197"/>
      <c r="U47" s="197"/>
    </row>
    <row r="48" spans="1:21" s="12" customFormat="1" x14ac:dyDescent="0.25">
      <c r="A48" s="200" t="s">
        <v>2399</v>
      </c>
      <c r="B48" s="60">
        <v>4.32</v>
      </c>
      <c r="C48" s="60">
        <v>10.65</v>
      </c>
      <c r="D48" s="60">
        <v>14.97</v>
      </c>
      <c r="E48" s="60">
        <v>5.62</v>
      </c>
      <c r="F48" s="60">
        <v>0.28999999999999998</v>
      </c>
      <c r="G48" s="9" t="s">
        <v>36</v>
      </c>
      <c r="H48" s="60">
        <v>284.20999999999998</v>
      </c>
      <c r="I48" s="60">
        <v>7.77</v>
      </c>
      <c r="J48" s="60">
        <v>0.74</v>
      </c>
      <c r="K48" s="60">
        <v>192.02</v>
      </c>
      <c r="L48" s="60">
        <v>35.4</v>
      </c>
      <c r="M48" s="60">
        <v>69.34</v>
      </c>
      <c r="N48" s="60">
        <v>630.1</v>
      </c>
      <c r="O48" s="60">
        <v>0</v>
      </c>
      <c r="P48" s="60">
        <v>3.7</v>
      </c>
      <c r="Q48" s="60">
        <v>54.26</v>
      </c>
      <c r="R48" s="197"/>
      <c r="S48" s="197"/>
      <c r="T48" s="197"/>
      <c r="U48" s="197"/>
    </row>
    <row r="49" spans="1:21" s="12" customFormat="1" x14ac:dyDescent="0.25">
      <c r="A49" s="200" t="s">
        <v>2400</v>
      </c>
      <c r="B49" s="60">
        <v>3.48</v>
      </c>
      <c r="C49" s="60">
        <v>10.44</v>
      </c>
      <c r="D49" s="60">
        <v>13.93</v>
      </c>
      <c r="E49" s="60">
        <v>5.61</v>
      </c>
      <c r="F49" s="60">
        <v>0.44</v>
      </c>
      <c r="G49" s="9" t="s">
        <v>36</v>
      </c>
      <c r="H49" s="60">
        <v>284.20999999999998</v>
      </c>
      <c r="I49" s="60">
        <v>7.41</v>
      </c>
      <c r="J49" s="60">
        <v>0.35</v>
      </c>
      <c r="K49" s="60">
        <v>173.3</v>
      </c>
      <c r="L49" s="60">
        <v>36.270000000000003</v>
      </c>
      <c r="M49" s="60">
        <v>67.22</v>
      </c>
      <c r="N49" s="60">
        <v>818.9</v>
      </c>
      <c r="O49" s="60">
        <v>0</v>
      </c>
      <c r="P49" s="60">
        <v>3.69</v>
      </c>
      <c r="Q49" s="60">
        <v>51.73</v>
      </c>
      <c r="R49" s="197"/>
      <c r="S49" s="197"/>
      <c r="T49" s="197"/>
      <c r="U49" s="197"/>
    </row>
    <row r="50" spans="1:21" s="12" customFormat="1" x14ac:dyDescent="0.25">
      <c r="A50" s="200" t="s">
        <v>2401</v>
      </c>
      <c r="B50" s="60">
        <v>3.06</v>
      </c>
      <c r="C50" s="60">
        <v>11.3</v>
      </c>
      <c r="D50" s="60">
        <v>14.36</v>
      </c>
      <c r="E50" s="60">
        <v>5.08</v>
      </c>
      <c r="F50" s="60">
        <v>0.42</v>
      </c>
      <c r="G50" s="9" t="s">
        <v>36</v>
      </c>
      <c r="H50" s="60">
        <v>284.20999999999998</v>
      </c>
      <c r="I50" s="60">
        <v>7.18</v>
      </c>
      <c r="J50" s="60">
        <v>0.26</v>
      </c>
      <c r="K50" s="60">
        <v>234.21</v>
      </c>
      <c r="L50" s="60">
        <v>38.67</v>
      </c>
      <c r="M50" s="60">
        <v>64.11</v>
      </c>
      <c r="N50" s="60">
        <v>861.2</v>
      </c>
      <c r="O50" s="60">
        <v>0</v>
      </c>
      <c r="P50" s="60">
        <v>3.7</v>
      </c>
      <c r="Q50" s="60">
        <v>51.86</v>
      </c>
      <c r="R50" s="197"/>
      <c r="S50" s="197"/>
      <c r="T50" s="197"/>
      <c r="U50" s="197"/>
    </row>
    <row r="51" spans="1:21" s="12" customFormat="1" x14ac:dyDescent="0.25">
      <c r="A51" s="200" t="s">
        <v>2402</v>
      </c>
      <c r="B51" s="60">
        <v>2.65</v>
      </c>
      <c r="C51" s="60">
        <v>11.42</v>
      </c>
      <c r="D51" s="60">
        <v>14.07</v>
      </c>
      <c r="E51" s="60">
        <v>4.76</v>
      </c>
      <c r="F51" s="60">
        <v>0.94</v>
      </c>
      <c r="G51" s="9" t="s">
        <v>36</v>
      </c>
      <c r="H51" s="60">
        <v>266.67</v>
      </c>
      <c r="I51" s="60">
        <v>6.95</v>
      </c>
      <c r="J51" s="60">
        <v>0.27</v>
      </c>
      <c r="K51" s="60">
        <v>198.68</v>
      </c>
      <c r="L51" s="60">
        <v>36.369999999999997</v>
      </c>
      <c r="M51" s="60">
        <v>67.55</v>
      </c>
      <c r="N51" s="60">
        <v>452.1</v>
      </c>
      <c r="O51" s="60">
        <v>0</v>
      </c>
      <c r="P51" s="60">
        <v>3.69</v>
      </c>
      <c r="Q51" s="60">
        <v>49.75</v>
      </c>
      <c r="R51" s="197"/>
      <c r="S51" s="197"/>
      <c r="T51" s="197"/>
      <c r="U51" s="197"/>
    </row>
    <row r="52" spans="1:21" s="12" customFormat="1" x14ac:dyDescent="0.25">
      <c r="A52" s="200" t="s">
        <v>2403</v>
      </c>
      <c r="B52" s="60">
        <v>2.2400000000000002</v>
      </c>
      <c r="C52" s="60">
        <v>11.73</v>
      </c>
      <c r="D52" s="60">
        <v>13.96</v>
      </c>
      <c r="E52" s="60">
        <v>5.05</v>
      </c>
      <c r="F52" s="60">
        <v>0.84</v>
      </c>
      <c r="G52" s="9" t="s">
        <v>36</v>
      </c>
      <c r="H52" s="60">
        <v>86.91</v>
      </c>
      <c r="I52" s="60">
        <v>6.6</v>
      </c>
      <c r="J52" s="60">
        <v>0.08</v>
      </c>
      <c r="K52" s="60">
        <v>46.01</v>
      </c>
      <c r="L52" s="60">
        <v>36.21</v>
      </c>
      <c r="M52" s="60">
        <v>66.59</v>
      </c>
      <c r="N52" s="60">
        <v>966.9</v>
      </c>
      <c r="O52" s="60">
        <v>0</v>
      </c>
      <c r="P52" s="60">
        <v>3.7</v>
      </c>
      <c r="Q52" s="60">
        <v>49.82</v>
      </c>
      <c r="R52" s="197"/>
      <c r="S52" s="197"/>
      <c r="T52" s="197"/>
      <c r="U52" s="197"/>
    </row>
    <row r="53" spans="1:21" s="12" customFormat="1" x14ac:dyDescent="0.25">
      <c r="A53" s="200" t="s">
        <v>2404</v>
      </c>
      <c r="B53" s="60">
        <v>1.82</v>
      </c>
      <c r="C53" s="60">
        <v>11.49</v>
      </c>
      <c r="D53" s="60">
        <v>13.3</v>
      </c>
      <c r="E53" s="60">
        <v>4.4800000000000004</v>
      </c>
      <c r="F53" s="60">
        <v>1.23</v>
      </c>
      <c r="G53" s="9" t="s">
        <v>36</v>
      </c>
      <c r="H53" s="60">
        <v>86.91</v>
      </c>
      <c r="I53" s="60">
        <v>6.27</v>
      </c>
      <c r="J53" s="60">
        <v>0.44</v>
      </c>
      <c r="K53" s="60">
        <v>185.7</v>
      </c>
      <c r="L53" s="60">
        <v>36.58</v>
      </c>
      <c r="M53" s="60">
        <v>64.5</v>
      </c>
      <c r="N53" s="60">
        <v>963</v>
      </c>
      <c r="O53" s="60">
        <v>0</v>
      </c>
      <c r="P53" s="60">
        <v>3.67</v>
      </c>
      <c r="Q53" s="60">
        <v>48.63</v>
      </c>
      <c r="R53" s="197"/>
      <c r="S53" s="197"/>
      <c r="T53" s="197"/>
      <c r="U53" s="197"/>
    </row>
    <row r="54" spans="1:21" s="12" customFormat="1" x14ac:dyDescent="0.25">
      <c r="A54" s="200" t="s">
        <v>2405</v>
      </c>
      <c r="B54" s="60">
        <v>1.49</v>
      </c>
      <c r="C54" s="60">
        <v>11.47</v>
      </c>
      <c r="D54" s="60">
        <v>12.96</v>
      </c>
      <c r="E54" s="60">
        <v>4.2699999999999996</v>
      </c>
      <c r="F54" s="60">
        <v>0.74</v>
      </c>
      <c r="G54" s="9" t="s">
        <v>36</v>
      </c>
      <c r="H54" s="60">
        <v>86.91</v>
      </c>
      <c r="I54" s="60">
        <v>6.03</v>
      </c>
      <c r="J54" s="60">
        <v>0.38</v>
      </c>
      <c r="K54" s="60">
        <v>158.91999999999999</v>
      </c>
      <c r="L54" s="60">
        <v>36.64</v>
      </c>
      <c r="M54" s="60">
        <v>64.53</v>
      </c>
      <c r="N54" s="60">
        <v>837.6</v>
      </c>
      <c r="O54" s="60">
        <v>0</v>
      </c>
      <c r="P54" s="60">
        <v>3.68</v>
      </c>
      <c r="Q54" s="60">
        <v>47.29</v>
      </c>
      <c r="R54" s="197"/>
      <c r="S54" s="197"/>
      <c r="T54" s="197"/>
      <c r="U54" s="197"/>
    </row>
    <row r="55" spans="1:21" s="12" customFormat="1" x14ac:dyDescent="0.25">
      <c r="A55" s="200" t="s">
        <v>2406</v>
      </c>
      <c r="B55" s="60">
        <v>1.31</v>
      </c>
      <c r="C55" s="60">
        <v>11.15</v>
      </c>
      <c r="D55" s="60">
        <v>12.45</v>
      </c>
      <c r="E55" s="60">
        <v>4.16</v>
      </c>
      <c r="F55" s="60">
        <v>0.94</v>
      </c>
      <c r="G55" s="9" t="s">
        <v>36</v>
      </c>
      <c r="H55" s="60">
        <v>88.76</v>
      </c>
      <c r="I55" s="60">
        <v>5.82</v>
      </c>
      <c r="J55" s="60">
        <v>0.1</v>
      </c>
      <c r="K55" s="60">
        <v>18.23</v>
      </c>
      <c r="L55" s="60">
        <v>36.24</v>
      </c>
      <c r="M55" s="60">
        <v>65.36</v>
      </c>
      <c r="N55" s="60">
        <v>535</v>
      </c>
      <c r="O55" s="60">
        <v>0</v>
      </c>
      <c r="P55" s="60">
        <v>3.66</v>
      </c>
      <c r="Q55" s="60">
        <v>48.52</v>
      </c>
      <c r="R55" s="197"/>
      <c r="S55" s="197"/>
      <c r="T55" s="197"/>
      <c r="U55" s="197"/>
    </row>
    <row r="56" spans="1:21" s="12" customFormat="1" x14ac:dyDescent="0.25">
      <c r="A56" s="200" t="s">
        <v>2407</v>
      </c>
      <c r="B56" s="60">
        <v>1.18</v>
      </c>
      <c r="C56" s="60">
        <v>11.11</v>
      </c>
      <c r="D56" s="60">
        <v>12.29</v>
      </c>
      <c r="E56" s="60">
        <v>1.56</v>
      </c>
      <c r="F56" s="60">
        <v>0.61</v>
      </c>
      <c r="G56" s="9" t="s">
        <v>36</v>
      </c>
      <c r="H56" s="60">
        <v>107.77</v>
      </c>
      <c r="I56" s="60">
        <v>5.8</v>
      </c>
      <c r="J56" s="60">
        <v>0.19</v>
      </c>
      <c r="K56" s="60">
        <v>188.57</v>
      </c>
      <c r="L56" s="60">
        <v>35.5</v>
      </c>
      <c r="M56" s="60">
        <v>67.680000000000007</v>
      </c>
      <c r="N56" s="60">
        <v>209</v>
      </c>
      <c r="O56" s="60">
        <v>0</v>
      </c>
      <c r="P56" s="60">
        <v>3.68</v>
      </c>
      <c r="Q56" s="60">
        <v>47.98</v>
      </c>
      <c r="R56" s="197"/>
      <c r="S56" s="197"/>
      <c r="T56" s="197"/>
      <c r="U56" s="197"/>
    </row>
    <row r="57" spans="1:21" s="12" customFormat="1" x14ac:dyDescent="0.25">
      <c r="A57" s="200" t="s">
        <v>2408</v>
      </c>
      <c r="B57" s="60">
        <v>1.21</v>
      </c>
      <c r="C57" s="60">
        <v>10.57</v>
      </c>
      <c r="D57" s="60">
        <v>11.79</v>
      </c>
      <c r="E57" s="60">
        <v>3.53</v>
      </c>
      <c r="F57" s="60">
        <v>0.96</v>
      </c>
      <c r="G57" s="9" t="s">
        <v>36</v>
      </c>
      <c r="H57" s="60">
        <v>107.77</v>
      </c>
      <c r="I57" s="60">
        <v>5.74</v>
      </c>
      <c r="J57" s="60">
        <v>0.06</v>
      </c>
      <c r="K57" s="60">
        <v>355.32</v>
      </c>
      <c r="L57" s="60">
        <v>35.159999999999997</v>
      </c>
      <c r="M57" s="60">
        <v>70.56</v>
      </c>
      <c r="N57" s="60">
        <v>575.29999999999995</v>
      </c>
      <c r="O57" s="60">
        <v>0</v>
      </c>
      <c r="P57" s="60">
        <v>3.68</v>
      </c>
      <c r="Q57" s="60">
        <v>47.59</v>
      </c>
      <c r="R57" s="197"/>
      <c r="S57" s="197"/>
      <c r="T57" s="197"/>
      <c r="U57" s="197"/>
    </row>
    <row r="58" spans="1:21" s="12" customFormat="1" x14ac:dyDescent="0.25">
      <c r="A58" s="200" t="s">
        <v>2409</v>
      </c>
      <c r="B58" s="60">
        <v>1.57</v>
      </c>
      <c r="C58" s="60">
        <v>10.81</v>
      </c>
      <c r="D58" s="60">
        <v>12.38</v>
      </c>
      <c r="E58" s="60">
        <v>3.84</v>
      </c>
      <c r="F58" s="60">
        <v>0.57999999999999996</v>
      </c>
      <c r="G58" s="9" t="s">
        <v>36</v>
      </c>
      <c r="H58" s="60">
        <v>107.77</v>
      </c>
      <c r="I58" s="60">
        <v>5.72</v>
      </c>
      <c r="J58" s="60">
        <v>0.14000000000000001</v>
      </c>
      <c r="K58" s="60">
        <v>198.19</v>
      </c>
      <c r="L58" s="60">
        <v>37.380000000000003</v>
      </c>
      <c r="M58" s="60">
        <v>62.87</v>
      </c>
      <c r="N58" s="60">
        <v>971</v>
      </c>
      <c r="O58" s="60">
        <v>0</v>
      </c>
      <c r="P58" s="60">
        <v>3.7</v>
      </c>
      <c r="Q58" s="60">
        <v>46.87</v>
      </c>
      <c r="R58" s="197"/>
      <c r="S58" s="197"/>
      <c r="T58" s="197"/>
      <c r="U58" s="197"/>
    </row>
    <row r="59" spans="1:21" s="12" customFormat="1" x14ac:dyDescent="0.25">
      <c r="A59" s="200" t="s">
        <v>2410</v>
      </c>
      <c r="B59" s="60">
        <v>1.77</v>
      </c>
      <c r="C59" s="60">
        <v>11.45</v>
      </c>
      <c r="D59" s="60">
        <v>13.22</v>
      </c>
      <c r="E59" s="60">
        <v>3.83</v>
      </c>
      <c r="F59" s="60">
        <v>0.36</v>
      </c>
      <c r="G59" s="9" t="s">
        <v>36</v>
      </c>
      <c r="H59" s="60">
        <v>120.17</v>
      </c>
      <c r="I59" s="60">
        <v>5.67</v>
      </c>
      <c r="J59" s="60">
        <v>0.13</v>
      </c>
      <c r="K59" s="60">
        <v>217.23</v>
      </c>
      <c r="L59" s="60">
        <v>37.14</v>
      </c>
      <c r="M59" s="60">
        <v>62.52</v>
      </c>
      <c r="N59" s="60">
        <v>938.6</v>
      </c>
      <c r="O59" s="60">
        <v>0</v>
      </c>
      <c r="P59" s="60">
        <v>3.7</v>
      </c>
      <c r="Q59" s="60">
        <v>49.24</v>
      </c>
      <c r="R59" s="197"/>
      <c r="S59" s="197"/>
      <c r="T59" s="197"/>
      <c r="U59" s="197"/>
    </row>
    <row r="60" spans="1:21" s="12" customFormat="1" x14ac:dyDescent="0.25">
      <c r="A60" s="200" t="s">
        <v>2411</v>
      </c>
      <c r="B60" s="60">
        <v>1.68</v>
      </c>
      <c r="C60" s="60">
        <v>10.6</v>
      </c>
      <c r="D60" s="60">
        <v>12.28</v>
      </c>
      <c r="E60" s="60">
        <v>3.94</v>
      </c>
      <c r="F60" s="60">
        <v>0.87</v>
      </c>
      <c r="G60" s="9" t="s">
        <v>36</v>
      </c>
      <c r="H60" s="60">
        <v>267.23</v>
      </c>
      <c r="I60" s="60">
        <v>5.7</v>
      </c>
      <c r="J60" s="60">
        <v>0.56000000000000005</v>
      </c>
      <c r="K60" s="60">
        <v>170.62</v>
      </c>
      <c r="L60" s="60">
        <v>37.03</v>
      </c>
      <c r="M60" s="60">
        <v>62.91</v>
      </c>
      <c r="N60" s="60">
        <v>959.7</v>
      </c>
      <c r="O60" s="60">
        <v>0</v>
      </c>
      <c r="P60" s="60">
        <v>3.69</v>
      </c>
      <c r="Q60" s="60">
        <v>47.56</v>
      </c>
      <c r="R60" s="197"/>
      <c r="S60" s="197"/>
      <c r="T60" s="197"/>
      <c r="U60" s="197"/>
    </row>
    <row r="61" spans="1:21" s="12" customFormat="1" x14ac:dyDescent="0.25">
      <c r="A61" s="200" t="s">
        <v>2412</v>
      </c>
      <c r="B61" s="60">
        <v>1.63</v>
      </c>
      <c r="C61" s="60">
        <v>10.24</v>
      </c>
      <c r="D61" s="60">
        <v>11.87</v>
      </c>
      <c r="E61" s="60">
        <v>3.47</v>
      </c>
      <c r="F61" s="60">
        <v>1.22</v>
      </c>
      <c r="G61" s="9" t="s">
        <v>36</v>
      </c>
      <c r="H61" s="60">
        <v>267.23</v>
      </c>
      <c r="I61" s="60">
        <v>5.66</v>
      </c>
      <c r="J61" s="60">
        <v>0.19</v>
      </c>
      <c r="K61" s="60">
        <v>164.55</v>
      </c>
      <c r="L61" s="60">
        <v>37.6</v>
      </c>
      <c r="M61" s="60">
        <v>60.03</v>
      </c>
      <c r="N61" s="60">
        <v>918.9</v>
      </c>
      <c r="O61" s="60">
        <v>0</v>
      </c>
      <c r="P61" s="60">
        <v>3.68</v>
      </c>
      <c r="Q61" s="60">
        <v>45.02</v>
      </c>
      <c r="R61" s="197"/>
      <c r="S61" s="197"/>
      <c r="T61" s="197"/>
      <c r="U61" s="197"/>
    </row>
    <row r="62" spans="1:21" s="12" customFormat="1" x14ac:dyDescent="0.25">
      <c r="A62" s="200" t="s">
        <v>2413</v>
      </c>
      <c r="B62" s="60">
        <v>1.7</v>
      </c>
      <c r="C62" s="60">
        <v>10.45</v>
      </c>
      <c r="D62" s="60">
        <v>12.15</v>
      </c>
      <c r="E62" s="60">
        <v>3.32</v>
      </c>
      <c r="F62" s="60">
        <v>1.1000000000000001</v>
      </c>
      <c r="G62" s="9" t="s">
        <v>36</v>
      </c>
      <c r="H62" s="60">
        <v>267.23</v>
      </c>
      <c r="I62" s="60">
        <v>5.5</v>
      </c>
      <c r="J62" s="60">
        <v>0.63</v>
      </c>
      <c r="K62" s="60">
        <v>152.65</v>
      </c>
      <c r="L62" s="60">
        <v>37.49</v>
      </c>
      <c r="M62" s="60">
        <v>60.75</v>
      </c>
      <c r="N62" s="60">
        <v>719.6</v>
      </c>
      <c r="O62" s="60">
        <v>0</v>
      </c>
      <c r="P62" s="60">
        <v>3.69</v>
      </c>
      <c r="Q62" s="60">
        <v>43.58</v>
      </c>
      <c r="R62" s="197"/>
      <c r="S62" s="197"/>
      <c r="T62" s="197"/>
      <c r="U62" s="197"/>
    </row>
    <row r="63" spans="1:21" s="12" customFormat="1" x14ac:dyDescent="0.25">
      <c r="A63" s="200" t="s">
        <v>2414</v>
      </c>
      <c r="B63" s="60">
        <v>1.63</v>
      </c>
      <c r="C63" s="60">
        <v>10.78</v>
      </c>
      <c r="D63" s="60">
        <v>12.42</v>
      </c>
      <c r="E63" s="60">
        <v>3.76</v>
      </c>
      <c r="F63" s="60">
        <v>0.66</v>
      </c>
      <c r="G63" s="9" t="s">
        <v>36</v>
      </c>
      <c r="H63" s="60">
        <v>251.41</v>
      </c>
      <c r="I63" s="60">
        <v>5.38</v>
      </c>
      <c r="J63" s="60">
        <v>0.56000000000000005</v>
      </c>
      <c r="K63" s="60">
        <v>149.22</v>
      </c>
      <c r="L63" s="60">
        <v>36.58</v>
      </c>
      <c r="M63" s="60">
        <v>62.79</v>
      </c>
      <c r="N63" s="60">
        <v>442.1</v>
      </c>
      <c r="O63" s="60">
        <v>0</v>
      </c>
      <c r="P63" s="60">
        <v>3.69</v>
      </c>
      <c r="Q63" s="60">
        <v>43.9</v>
      </c>
      <c r="R63" s="197"/>
      <c r="S63" s="197"/>
      <c r="T63" s="197"/>
      <c r="U63" s="197"/>
    </row>
    <row r="64" spans="1:21" s="12" customFormat="1" x14ac:dyDescent="0.25">
      <c r="A64" s="200" t="s">
        <v>2415</v>
      </c>
      <c r="B64" s="60">
        <v>1.44</v>
      </c>
      <c r="C64" s="60">
        <v>10.88</v>
      </c>
      <c r="D64" s="60">
        <v>12.32</v>
      </c>
      <c r="E64" s="60">
        <v>3.41</v>
      </c>
      <c r="F64" s="60">
        <v>0.31</v>
      </c>
      <c r="G64" s="9" t="s">
        <v>36</v>
      </c>
      <c r="H64" s="60">
        <v>89.34</v>
      </c>
      <c r="I64" s="60">
        <v>5.32</v>
      </c>
      <c r="J64" s="60">
        <v>0.51</v>
      </c>
      <c r="K64" s="60">
        <v>164.11</v>
      </c>
      <c r="L64" s="60">
        <v>36.43</v>
      </c>
      <c r="M64" s="60">
        <v>63.41</v>
      </c>
      <c r="N64" s="60">
        <v>366.7</v>
      </c>
      <c r="O64" s="60">
        <v>0</v>
      </c>
      <c r="P64" s="60">
        <v>3.68</v>
      </c>
      <c r="Q64" s="60">
        <v>47.08</v>
      </c>
      <c r="R64" s="197"/>
      <c r="S64" s="197"/>
      <c r="T64" s="197"/>
      <c r="U64" s="197"/>
    </row>
    <row r="65" spans="1:21" s="12" customFormat="1" x14ac:dyDescent="0.25">
      <c r="A65" s="200" t="s">
        <v>2416</v>
      </c>
      <c r="B65" s="60">
        <v>1.4</v>
      </c>
      <c r="C65" s="60">
        <v>10.130000000000001</v>
      </c>
      <c r="D65" s="60">
        <v>11.54</v>
      </c>
      <c r="E65" s="60">
        <v>3.55</v>
      </c>
      <c r="F65" s="60">
        <v>0.86</v>
      </c>
      <c r="G65" s="9" t="s">
        <v>36</v>
      </c>
      <c r="H65" s="60">
        <v>89.34</v>
      </c>
      <c r="I65" s="60">
        <v>5.48</v>
      </c>
      <c r="J65" s="60">
        <v>0.04</v>
      </c>
      <c r="K65" s="60">
        <v>250.3</v>
      </c>
      <c r="L65" s="60">
        <v>37.1</v>
      </c>
      <c r="M65" s="60">
        <v>59.88</v>
      </c>
      <c r="N65" s="60">
        <v>767.2</v>
      </c>
      <c r="O65" s="60">
        <v>0</v>
      </c>
      <c r="P65" s="60">
        <v>3.67</v>
      </c>
      <c r="Q65" s="60">
        <v>45.21</v>
      </c>
      <c r="R65" s="197"/>
      <c r="S65" s="197"/>
      <c r="T65" s="197"/>
      <c r="U65" s="197"/>
    </row>
    <row r="66" spans="1:21" s="12" customFormat="1" x14ac:dyDescent="0.25">
      <c r="A66" s="200" t="s">
        <v>2417</v>
      </c>
      <c r="B66" s="60">
        <v>1.68</v>
      </c>
      <c r="C66" s="60">
        <v>10.57</v>
      </c>
      <c r="D66" s="60">
        <v>12.25</v>
      </c>
      <c r="E66" s="60">
        <v>3.59</v>
      </c>
      <c r="F66" s="60">
        <v>0.74</v>
      </c>
      <c r="G66" s="9" t="s">
        <v>36</v>
      </c>
      <c r="H66" s="60">
        <v>89.34</v>
      </c>
      <c r="I66" s="60">
        <v>5.4</v>
      </c>
      <c r="J66" s="60">
        <v>0.11</v>
      </c>
      <c r="K66" s="60">
        <v>274.11</v>
      </c>
      <c r="L66" s="60">
        <v>37.92</v>
      </c>
      <c r="M66" s="60">
        <v>58.88</v>
      </c>
      <c r="N66" s="60">
        <v>545.4</v>
      </c>
      <c r="O66" s="60">
        <v>0</v>
      </c>
      <c r="P66" s="60">
        <v>3.68</v>
      </c>
      <c r="Q66" s="60">
        <v>45.44</v>
      </c>
      <c r="R66" s="197"/>
      <c r="S66" s="197"/>
      <c r="T66" s="197"/>
      <c r="U66" s="197"/>
    </row>
    <row r="67" spans="1:21" s="12" customFormat="1" x14ac:dyDescent="0.25">
      <c r="A67" s="200" t="s">
        <v>2418</v>
      </c>
      <c r="B67" s="60">
        <v>1.88</v>
      </c>
      <c r="C67" s="60">
        <v>10.6</v>
      </c>
      <c r="D67" s="60">
        <v>12.48</v>
      </c>
      <c r="E67" s="60">
        <v>3.82</v>
      </c>
      <c r="F67" s="60">
        <v>0.67</v>
      </c>
      <c r="G67" s="9" t="s">
        <v>36</v>
      </c>
      <c r="H67" s="60">
        <v>87.24</v>
      </c>
      <c r="I67" s="60">
        <v>5.13</v>
      </c>
      <c r="J67" s="60">
        <v>0.19</v>
      </c>
      <c r="K67" s="60">
        <v>182.37</v>
      </c>
      <c r="L67" s="60">
        <v>37.33</v>
      </c>
      <c r="M67" s="60">
        <v>58.78</v>
      </c>
      <c r="N67" s="60">
        <v>507.3</v>
      </c>
      <c r="O67" s="60">
        <v>0</v>
      </c>
      <c r="P67" s="60">
        <v>3.69</v>
      </c>
      <c r="Q67" s="60">
        <v>45.6</v>
      </c>
      <c r="R67" s="197"/>
      <c r="S67" s="197"/>
      <c r="T67" s="197"/>
      <c r="U67" s="197"/>
    </row>
    <row r="68" spans="1:21" s="12" customFormat="1" x14ac:dyDescent="0.25">
      <c r="A68" s="200" t="s">
        <v>2419</v>
      </c>
      <c r="B68" s="60">
        <v>1.88</v>
      </c>
      <c r="C68" s="60">
        <v>11.45</v>
      </c>
      <c r="D68" s="60">
        <v>13.34</v>
      </c>
      <c r="E68" s="60">
        <v>3.52</v>
      </c>
      <c r="F68" s="60">
        <v>0.55000000000000004</v>
      </c>
      <c r="G68" s="9" t="s">
        <v>36</v>
      </c>
      <c r="H68" s="60">
        <v>65.680000000000007</v>
      </c>
      <c r="I68" s="60">
        <v>5.08</v>
      </c>
      <c r="J68" s="60">
        <v>0.11</v>
      </c>
      <c r="K68" s="60">
        <v>347.41</v>
      </c>
      <c r="L68" s="60">
        <v>37.26</v>
      </c>
      <c r="M68" s="60">
        <v>59.52</v>
      </c>
      <c r="N68" s="60">
        <v>411.5</v>
      </c>
      <c r="O68" s="60">
        <v>0</v>
      </c>
      <c r="P68" s="60">
        <v>3.72</v>
      </c>
      <c r="Q68" s="60">
        <v>47.05</v>
      </c>
      <c r="R68" s="197"/>
      <c r="S68" s="197"/>
      <c r="T68" s="197"/>
      <c r="U68" s="197"/>
    </row>
    <row r="69" spans="1:21" s="12" customFormat="1" x14ac:dyDescent="0.25">
      <c r="A69" s="200" t="s">
        <v>2420</v>
      </c>
      <c r="B69" s="60">
        <v>1.9</v>
      </c>
      <c r="C69" s="60">
        <v>11.93</v>
      </c>
      <c r="D69" s="60">
        <v>13.83</v>
      </c>
      <c r="E69" s="60">
        <v>3</v>
      </c>
      <c r="F69" s="60">
        <v>1.0900000000000001</v>
      </c>
      <c r="G69" s="9" t="s">
        <v>36</v>
      </c>
      <c r="H69" s="60">
        <v>65.680000000000007</v>
      </c>
      <c r="I69" s="60">
        <v>5.12</v>
      </c>
      <c r="J69" s="60">
        <v>0.08</v>
      </c>
      <c r="K69" s="60">
        <v>301.64</v>
      </c>
      <c r="L69" s="60">
        <v>37.200000000000003</v>
      </c>
      <c r="M69" s="60">
        <v>60.58</v>
      </c>
      <c r="N69" s="60">
        <v>437.6</v>
      </c>
      <c r="O69" s="60">
        <v>0</v>
      </c>
      <c r="P69" s="60">
        <v>3.74</v>
      </c>
      <c r="Q69" s="60">
        <v>46.09</v>
      </c>
      <c r="R69" s="197"/>
      <c r="S69" s="197"/>
      <c r="T69" s="197"/>
      <c r="U69" s="197"/>
    </row>
    <row r="70" spans="1:21" s="12" customFormat="1" x14ac:dyDescent="0.25">
      <c r="A70" s="200" t="s">
        <v>2421</v>
      </c>
      <c r="B70" s="60">
        <v>2.4</v>
      </c>
      <c r="C70" s="60">
        <v>12.64</v>
      </c>
      <c r="D70" s="60">
        <v>15.04</v>
      </c>
      <c r="E70" s="60">
        <v>3.17</v>
      </c>
      <c r="F70" s="60">
        <v>0.6</v>
      </c>
      <c r="G70" s="9" t="s">
        <v>36</v>
      </c>
      <c r="H70" s="60">
        <v>65.680000000000007</v>
      </c>
      <c r="I70" s="60">
        <v>5.23</v>
      </c>
      <c r="J70" s="60">
        <v>0.61</v>
      </c>
      <c r="K70" s="60">
        <v>312.52999999999997</v>
      </c>
      <c r="L70" s="60">
        <v>37.96</v>
      </c>
      <c r="M70" s="60">
        <v>58.78</v>
      </c>
      <c r="N70" s="60">
        <v>215.5</v>
      </c>
      <c r="O70" s="60">
        <v>0</v>
      </c>
      <c r="P70" s="60">
        <v>3.78</v>
      </c>
      <c r="Q70" s="60">
        <v>47.19</v>
      </c>
      <c r="R70" s="197"/>
      <c r="S70" s="197"/>
      <c r="T70" s="197"/>
      <c r="U70" s="197"/>
    </row>
    <row r="71" spans="1:21" s="12" customFormat="1" x14ac:dyDescent="0.25">
      <c r="A71" s="200" t="s">
        <v>2422</v>
      </c>
      <c r="B71" s="60">
        <v>3.19</v>
      </c>
      <c r="C71" s="60">
        <v>12.59</v>
      </c>
      <c r="D71" s="60">
        <v>15.78</v>
      </c>
      <c r="E71" s="60">
        <v>3.48</v>
      </c>
      <c r="F71" s="60">
        <v>0.76</v>
      </c>
      <c r="G71" s="9" t="s">
        <v>36</v>
      </c>
      <c r="H71" s="60">
        <v>92.47</v>
      </c>
      <c r="I71" s="60">
        <v>5.34</v>
      </c>
      <c r="J71" s="60">
        <v>0.18</v>
      </c>
      <c r="K71" s="60">
        <v>256.45999999999998</v>
      </c>
      <c r="L71" s="60">
        <v>37.24</v>
      </c>
      <c r="M71" s="60">
        <v>60.96</v>
      </c>
      <c r="N71" s="60">
        <v>192.9</v>
      </c>
      <c r="O71" s="60">
        <v>0</v>
      </c>
      <c r="P71" s="60">
        <v>3.8</v>
      </c>
      <c r="Q71" s="60">
        <v>46.25</v>
      </c>
      <c r="R71" s="197"/>
      <c r="S71" s="197"/>
      <c r="T71" s="197"/>
      <c r="U71" s="197"/>
    </row>
    <row r="72" spans="1:21" s="12" customFormat="1" x14ac:dyDescent="0.25">
      <c r="A72" s="200" t="s">
        <v>2423</v>
      </c>
      <c r="B72" s="60">
        <v>3.44</v>
      </c>
      <c r="C72" s="60">
        <v>13.19</v>
      </c>
      <c r="D72" s="60">
        <v>16.64</v>
      </c>
      <c r="E72" s="60">
        <v>2.74</v>
      </c>
      <c r="F72" s="60">
        <v>0.08</v>
      </c>
      <c r="G72" s="9" t="s">
        <v>36</v>
      </c>
      <c r="H72" s="60">
        <v>367.02</v>
      </c>
      <c r="I72" s="60">
        <v>5.53</v>
      </c>
      <c r="J72" s="60">
        <v>0.32</v>
      </c>
      <c r="K72" s="60">
        <v>310.2</v>
      </c>
      <c r="L72" s="60">
        <v>36.71</v>
      </c>
      <c r="M72" s="60">
        <v>63.63</v>
      </c>
      <c r="N72" s="60">
        <v>151.4</v>
      </c>
      <c r="O72" s="60">
        <v>0</v>
      </c>
      <c r="P72" s="60">
        <v>3.82</v>
      </c>
      <c r="Q72" s="60">
        <v>47.79</v>
      </c>
      <c r="R72" s="197"/>
      <c r="S72" s="197"/>
      <c r="T72" s="197"/>
      <c r="U72" s="197"/>
    </row>
    <row r="73" spans="1:21" s="12" customFormat="1" x14ac:dyDescent="0.25">
      <c r="A73" s="200" t="s">
        <v>2424</v>
      </c>
      <c r="B73" s="60">
        <v>3.86</v>
      </c>
      <c r="C73" s="60">
        <v>12.75</v>
      </c>
      <c r="D73" s="60">
        <v>16.600000000000001</v>
      </c>
      <c r="E73" s="60">
        <v>5.26</v>
      </c>
      <c r="F73" s="60">
        <v>0.4</v>
      </c>
      <c r="G73" s="9" t="s">
        <v>36</v>
      </c>
      <c r="H73" s="60">
        <v>367.02</v>
      </c>
      <c r="I73" s="60">
        <v>5.65</v>
      </c>
      <c r="J73" s="60">
        <v>0.44</v>
      </c>
      <c r="K73" s="60">
        <v>313.67</v>
      </c>
      <c r="L73" s="60">
        <v>37.450000000000003</v>
      </c>
      <c r="M73" s="60">
        <v>62.41</v>
      </c>
      <c r="N73" s="60">
        <v>226.4</v>
      </c>
      <c r="O73" s="60">
        <v>0</v>
      </c>
      <c r="P73" s="60">
        <v>3.84</v>
      </c>
      <c r="Q73" s="60">
        <v>48.48</v>
      </c>
      <c r="R73" s="197"/>
      <c r="S73" s="197"/>
      <c r="T73" s="197"/>
      <c r="U73" s="197"/>
    </row>
    <row r="74" spans="1:21" s="12" customFormat="1" x14ac:dyDescent="0.25">
      <c r="A74" s="200" t="s">
        <v>2425</v>
      </c>
      <c r="B74" s="60">
        <v>5.08</v>
      </c>
      <c r="C74" s="60">
        <v>13.64</v>
      </c>
      <c r="D74" s="60">
        <v>18.72</v>
      </c>
      <c r="E74" s="60">
        <v>5.45</v>
      </c>
      <c r="F74" s="60">
        <v>0.41</v>
      </c>
      <c r="G74" s="9" t="s">
        <v>36</v>
      </c>
      <c r="H74" s="60">
        <v>367.02</v>
      </c>
      <c r="I74" s="60">
        <v>5.91</v>
      </c>
      <c r="J74" s="60">
        <v>0.67</v>
      </c>
      <c r="K74" s="60">
        <v>316.51</v>
      </c>
      <c r="L74" s="60">
        <v>37.619999999999997</v>
      </c>
      <c r="M74" s="60">
        <v>62.22</v>
      </c>
      <c r="N74" s="60">
        <v>113.2</v>
      </c>
      <c r="O74" s="60">
        <v>0</v>
      </c>
      <c r="P74" s="60">
        <v>3.88</v>
      </c>
      <c r="Q74" s="60">
        <v>49.27</v>
      </c>
      <c r="R74" s="197"/>
      <c r="S74" s="197"/>
      <c r="T74" s="197"/>
      <c r="U74" s="197"/>
    </row>
    <row r="75" spans="1:21" s="12" customFormat="1" x14ac:dyDescent="0.25">
      <c r="A75" s="200" t="s">
        <v>2426</v>
      </c>
      <c r="B75" s="60">
        <v>5.96</v>
      </c>
      <c r="C75" s="60">
        <v>18.350000000000001</v>
      </c>
      <c r="D75" s="60">
        <v>24.31</v>
      </c>
      <c r="E75" s="60">
        <v>5.09</v>
      </c>
      <c r="F75" s="60">
        <v>1.68</v>
      </c>
      <c r="G75" s="9" t="s">
        <v>36</v>
      </c>
      <c r="H75" s="60">
        <v>367.02</v>
      </c>
      <c r="I75" s="60">
        <v>6.11</v>
      </c>
      <c r="J75" s="60">
        <v>0.39</v>
      </c>
      <c r="K75" s="60">
        <v>317.83999999999997</v>
      </c>
      <c r="L75" s="60">
        <v>38.08</v>
      </c>
      <c r="M75" s="60">
        <v>63.02</v>
      </c>
      <c r="N75" s="60">
        <v>143.6</v>
      </c>
      <c r="O75" s="60">
        <v>0</v>
      </c>
      <c r="P75" s="60">
        <v>4</v>
      </c>
      <c r="Q75" s="60">
        <v>51.05</v>
      </c>
      <c r="R75" s="197"/>
      <c r="S75" s="197"/>
      <c r="T75" s="197"/>
      <c r="U75" s="197"/>
    </row>
    <row r="76" spans="1:21" s="12" customFormat="1" x14ac:dyDescent="0.25">
      <c r="A76" s="200" t="s">
        <v>2427</v>
      </c>
      <c r="B76" s="60">
        <v>5.51</v>
      </c>
      <c r="C76" s="60">
        <v>24.14</v>
      </c>
      <c r="D76" s="60">
        <v>29.65</v>
      </c>
      <c r="E76" s="60">
        <v>4.4400000000000004</v>
      </c>
      <c r="F76" s="60">
        <v>1.78</v>
      </c>
      <c r="G76" s="9" t="s">
        <v>36</v>
      </c>
      <c r="H76" s="60">
        <v>367.02</v>
      </c>
      <c r="I76" s="60">
        <v>6.16</v>
      </c>
      <c r="J76" s="60">
        <v>0.08</v>
      </c>
      <c r="K76" s="60">
        <v>24.25</v>
      </c>
      <c r="L76" s="60">
        <v>37.770000000000003</v>
      </c>
      <c r="M76" s="60">
        <v>62.41</v>
      </c>
      <c r="N76" s="60">
        <v>175.2</v>
      </c>
      <c r="O76" s="60">
        <v>0</v>
      </c>
      <c r="P76" s="60">
        <v>4.01</v>
      </c>
      <c r="Q76" s="60">
        <v>52.48</v>
      </c>
      <c r="R76" s="197"/>
      <c r="S76" s="197"/>
      <c r="T76" s="197"/>
      <c r="U76" s="197"/>
    </row>
    <row r="77" spans="1:21" s="12" customFormat="1" x14ac:dyDescent="0.25">
      <c r="A77" s="200" t="s">
        <v>2428</v>
      </c>
      <c r="B77" s="60">
        <v>5.78</v>
      </c>
      <c r="C77" s="60">
        <v>23.76</v>
      </c>
      <c r="D77" s="60">
        <v>29.54</v>
      </c>
      <c r="E77" s="60">
        <v>3.8</v>
      </c>
      <c r="F77" s="60">
        <v>1.1499999999999999</v>
      </c>
      <c r="G77" s="9" t="s">
        <v>36</v>
      </c>
      <c r="H77" s="60">
        <v>367.02</v>
      </c>
      <c r="I77" s="60">
        <v>5.84</v>
      </c>
      <c r="J77" s="60">
        <v>0.1</v>
      </c>
      <c r="K77" s="60">
        <v>2.84</v>
      </c>
      <c r="L77" s="60">
        <v>37.83</v>
      </c>
      <c r="M77" s="60">
        <v>62.93</v>
      </c>
      <c r="N77" s="60">
        <v>125.3</v>
      </c>
      <c r="O77" s="60">
        <v>0</v>
      </c>
      <c r="P77" s="60">
        <v>3.96</v>
      </c>
      <c r="Q77" s="60">
        <v>55.27</v>
      </c>
      <c r="R77" s="197"/>
      <c r="S77" s="197"/>
      <c r="T77" s="197"/>
      <c r="U77" s="197"/>
    </row>
    <row r="78" spans="1:21" s="12" customFormat="1" x14ac:dyDescent="0.25">
      <c r="A78" s="200" t="s">
        <v>2429</v>
      </c>
      <c r="B78" s="60">
        <v>6.3</v>
      </c>
      <c r="C78" s="60">
        <v>23.06</v>
      </c>
      <c r="D78" s="60">
        <v>29.36</v>
      </c>
      <c r="E78" s="60">
        <v>3.95</v>
      </c>
      <c r="F78" s="60">
        <v>1.1000000000000001</v>
      </c>
      <c r="G78" s="26" t="s">
        <v>40</v>
      </c>
      <c r="H78" s="26" t="s">
        <v>40</v>
      </c>
      <c r="I78" s="60">
        <v>5.28</v>
      </c>
      <c r="J78" s="60">
        <v>0.08</v>
      </c>
      <c r="K78" s="60">
        <v>208.46</v>
      </c>
      <c r="L78" s="60">
        <v>37.340000000000003</v>
      </c>
      <c r="M78" s="60">
        <v>63.92</v>
      </c>
      <c r="N78" s="60">
        <v>90.3</v>
      </c>
      <c r="O78" s="60">
        <v>0</v>
      </c>
      <c r="P78" s="60">
        <v>3.95</v>
      </c>
      <c r="Q78" s="60">
        <v>57.67</v>
      </c>
      <c r="R78" s="197"/>
      <c r="S78" s="197"/>
      <c r="T78" s="197"/>
      <c r="U78" s="197"/>
    </row>
    <row r="79" spans="1:21" s="12" customFormat="1" x14ac:dyDescent="0.25">
      <c r="A79" s="200" t="s">
        <v>2430</v>
      </c>
      <c r="B79" s="60">
        <v>0</v>
      </c>
      <c r="C79" s="60">
        <v>1.67</v>
      </c>
      <c r="D79" s="60">
        <v>1.67</v>
      </c>
      <c r="E79" s="60">
        <v>1.64</v>
      </c>
      <c r="F79" s="60">
        <v>0.47</v>
      </c>
      <c r="G79" s="26" t="s">
        <v>40</v>
      </c>
      <c r="H79" s="26" t="s">
        <v>40</v>
      </c>
      <c r="I79" s="60">
        <v>4.7699999999999996</v>
      </c>
      <c r="J79" s="60">
        <v>0.04</v>
      </c>
      <c r="K79" s="60">
        <v>216.96</v>
      </c>
      <c r="L79" s="60">
        <v>38.39</v>
      </c>
      <c r="M79" s="60">
        <v>66.75</v>
      </c>
      <c r="N79" s="60">
        <v>66.900000000000006</v>
      </c>
      <c r="O79" s="60">
        <v>0</v>
      </c>
      <c r="P79" s="60">
        <v>3.92</v>
      </c>
      <c r="Q79" s="60">
        <v>58.37</v>
      </c>
      <c r="R79" s="197"/>
      <c r="S79" s="197"/>
      <c r="T79" s="197"/>
      <c r="U79" s="197"/>
    </row>
    <row r="80" spans="1:21" s="12" customFormat="1" x14ac:dyDescent="0.25">
      <c r="A80" s="200" t="s">
        <v>2431</v>
      </c>
      <c r="B80" s="60">
        <v>4.84</v>
      </c>
      <c r="C80" s="60">
        <v>16.670000000000002</v>
      </c>
      <c r="D80" s="60">
        <v>21.51</v>
      </c>
      <c r="E80" s="60">
        <v>3.37</v>
      </c>
      <c r="F80" s="60">
        <v>0.56999999999999995</v>
      </c>
      <c r="G80" s="26" t="s">
        <v>40</v>
      </c>
      <c r="H80" s="26" t="s">
        <v>40</v>
      </c>
      <c r="I80" s="60">
        <v>4.6900000000000004</v>
      </c>
      <c r="J80" s="60">
        <v>0.05</v>
      </c>
      <c r="K80" s="60">
        <v>57.81</v>
      </c>
      <c r="L80" s="60">
        <v>40.47</v>
      </c>
      <c r="M80" s="60">
        <v>67.290000000000006</v>
      </c>
      <c r="N80" s="60">
        <v>54.1</v>
      </c>
      <c r="O80" s="60">
        <v>0</v>
      </c>
      <c r="P80" s="60">
        <v>3.92</v>
      </c>
      <c r="Q80" s="60">
        <v>60.56</v>
      </c>
      <c r="R80" s="197"/>
      <c r="S80" s="197"/>
      <c r="T80" s="197"/>
      <c r="U80" s="197"/>
    </row>
    <row r="81" spans="1:26" s="12" customFormat="1" x14ac:dyDescent="0.25">
      <c r="A81" s="200" t="s">
        <v>2432</v>
      </c>
      <c r="B81" s="60">
        <v>8.64</v>
      </c>
      <c r="C81" s="60">
        <v>19.22</v>
      </c>
      <c r="D81" s="60">
        <v>27.86</v>
      </c>
      <c r="E81" s="60">
        <v>3.29</v>
      </c>
      <c r="F81" s="60">
        <v>0.25</v>
      </c>
      <c r="G81" s="26" t="s">
        <v>40</v>
      </c>
      <c r="H81" s="26" t="s">
        <v>40</v>
      </c>
      <c r="I81" s="60">
        <v>4.71</v>
      </c>
      <c r="J81" s="60">
        <v>0.08</v>
      </c>
      <c r="K81" s="60">
        <v>337.36</v>
      </c>
      <c r="L81" s="60">
        <v>44.61</v>
      </c>
      <c r="M81" s="60">
        <v>69.12</v>
      </c>
      <c r="N81" s="60">
        <v>31.8</v>
      </c>
      <c r="O81" s="60">
        <v>0</v>
      </c>
      <c r="P81" s="60">
        <v>3.36</v>
      </c>
      <c r="Q81" s="60">
        <v>63.02</v>
      </c>
      <c r="R81" s="197"/>
      <c r="S81" s="197"/>
      <c r="T81" s="197"/>
      <c r="U81" s="197"/>
    </row>
    <row r="82" spans="1:26" s="12" customFormat="1" x14ac:dyDescent="0.25">
      <c r="A82" s="200" t="s">
        <v>2433</v>
      </c>
      <c r="B82" s="60">
        <v>11.82</v>
      </c>
      <c r="C82" s="60">
        <v>19.989999999999998</v>
      </c>
      <c r="D82" s="60">
        <v>31.81</v>
      </c>
      <c r="E82" s="60">
        <v>2.83</v>
      </c>
      <c r="F82" s="60">
        <v>0.21</v>
      </c>
      <c r="G82" s="60">
        <v>3.15</v>
      </c>
      <c r="H82" s="60">
        <v>1.35</v>
      </c>
      <c r="I82" s="60">
        <v>4.68</v>
      </c>
      <c r="J82" s="60">
        <v>0.04</v>
      </c>
      <c r="K82" s="60">
        <v>45.22</v>
      </c>
      <c r="L82" s="60">
        <v>46.89</v>
      </c>
      <c r="M82" s="60">
        <v>71.510000000000005</v>
      </c>
      <c r="N82" s="60">
        <v>19.5</v>
      </c>
      <c r="O82" s="60">
        <v>0</v>
      </c>
      <c r="P82" s="60">
        <v>3.08</v>
      </c>
      <c r="Q82" s="60">
        <v>63.65</v>
      </c>
      <c r="R82" s="197"/>
      <c r="S82" s="197"/>
      <c r="T82" s="197"/>
      <c r="U82" s="197"/>
    </row>
    <row r="83" spans="1:26" s="12" customFormat="1" x14ac:dyDescent="0.25">
      <c r="A83" s="200" t="s">
        <v>2434</v>
      </c>
      <c r="B83" s="60">
        <v>12.17</v>
      </c>
      <c r="C83" s="60">
        <v>20.92</v>
      </c>
      <c r="D83" s="60">
        <v>33.08</v>
      </c>
      <c r="E83" s="60">
        <v>2.92</v>
      </c>
      <c r="F83" s="60">
        <v>0.14000000000000001</v>
      </c>
      <c r="G83" s="60">
        <v>56.61</v>
      </c>
      <c r="H83" s="60">
        <v>24.31</v>
      </c>
      <c r="I83" s="60">
        <v>4.67</v>
      </c>
      <c r="J83" s="60">
        <v>0.11</v>
      </c>
      <c r="K83" s="60">
        <v>228.09</v>
      </c>
      <c r="L83" s="60">
        <v>45.9</v>
      </c>
      <c r="M83" s="60">
        <v>72.73</v>
      </c>
      <c r="N83" s="60">
        <v>15.7</v>
      </c>
      <c r="O83" s="60">
        <v>0</v>
      </c>
      <c r="P83" s="60">
        <v>3.08</v>
      </c>
      <c r="Q83" s="60">
        <v>61.53</v>
      </c>
      <c r="R83" s="197"/>
      <c r="S83" s="197"/>
      <c r="T83" s="197"/>
      <c r="U83" s="197"/>
    </row>
    <row r="84" spans="1:26" s="12" customFormat="1" x14ac:dyDescent="0.25">
      <c r="A84" s="200" t="s">
        <v>2435</v>
      </c>
      <c r="B84" s="60">
        <v>10.41</v>
      </c>
      <c r="C84" s="60">
        <v>22.72</v>
      </c>
      <c r="D84" s="60">
        <v>33.130000000000003</v>
      </c>
      <c r="E84" s="60">
        <v>3.02</v>
      </c>
      <c r="F84" s="60">
        <v>0.48</v>
      </c>
      <c r="G84" s="60">
        <v>56.61</v>
      </c>
      <c r="H84" s="60">
        <v>24.31</v>
      </c>
      <c r="I84" s="60">
        <v>4.71</v>
      </c>
      <c r="J84" s="60">
        <v>0.03</v>
      </c>
      <c r="K84" s="60">
        <v>317.25</v>
      </c>
      <c r="L84" s="60">
        <v>44.49</v>
      </c>
      <c r="M84" s="60">
        <v>73.27</v>
      </c>
      <c r="N84" s="60">
        <v>15</v>
      </c>
      <c r="O84" s="60">
        <v>0</v>
      </c>
      <c r="P84" s="60">
        <v>3.27</v>
      </c>
      <c r="Q84" s="60">
        <v>60.38</v>
      </c>
      <c r="R84" s="197"/>
      <c r="S84" s="197"/>
      <c r="T84" s="197"/>
      <c r="U84" s="197"/>
    </row>
    <row r="85" spans="1:26" s="12" customFormat="1" x14ac:dyDescent="0.25">
      <c r="A85" s="200" t="s">
        <v>2436</v>
      </c>
      <c r="B85" s="60">
        <v>17.850000000000001</v>
      </c>
      <c r="C85" s="60">
        <v>30.89</v>
      </c>
      <c r="D85" s="60">
        <v>48.74</v>
      </c>
      <c r="E85" s="60">
        <v>3.16</v>
      </c>
      <c r="F85" s="60">
        <v>0.15</v>
      </c>
      <c r="G85" s="60">
        <v>56.61</v>
      </c>
      <c r="H85" s="60">
        <v>24.31</v>
      </c>
      <c r="I85" s="60">
        <v>4.84</v>
      </c>
      <c r="J85" s="60">
        <v>0.11</v>
      </c>
      <c r="K85" s="60">
        <v>230.78</v>
      </c>
      <c r="L85" s="60">
        <v>41.99</v>
      </c>
      <c r="M85" s="60">
        <v>73.819999999999993</v>
      </c>
      <c r="N85" s="60">
        <v>15</v>
      </c>
      <c r="O85" s="60">
        <v>0</v>
      </c>
      <c r="P85" s="60">
        <v>3.27</v>
      </c>
      <c r="Q85" s="60">
        <v>72.02</v>
      </c>
      <c r="R85" s="197"/>
      <c r="S85" s="197"/>
      <c r="T85" s="197"/>
      <c r="U85" s="197"/>
    </row>
    <row r="86" spans="1:26" s="12" customFormat="1" x14ac:dyDescent="0.25">
      <c r="A86" s="200" t="s">
        <v>2437</v>
      </c>
      <c r="B86" s="60">
        <v>20.9</v>
      </c>
      <c r="C86" s="60">
        <v>30.57</v>
      </c>
      <c r="D86" s="60">
        <v>51.47</v>
      </c>
      <c r="E86" s="60">
        <v>3.01</v>
      </c>
      <c r="F86" s="60">
        <v>0.03</v>
      </c>
      <c r="G86" s="60">
        <v>56.38</v>
      </c>
      <c r="H86" s="60">
        <v>24.47</v>
      </c>
      <c r="I86" s="60">
        <v>5.08</v>
      </c>
      <c r="J86" s="60">
        <v>0.16</v>
      </c>
      <c r="K86" s="60">
        <v>214.42</v>
      </c>
      <c r="L86" s="60">
        <v>42.95</v>
      </c>
      <c r="M86" s="60">
        <v>75.099999999999994</v>
      </c>
      <c r="N86" s="60">
        <v>14.9</v>
      </c>
      <c r="O86" s="60">
        <v>0</v>
      </c>
      <c r="P86" s="60">
        <v>3.27</v>
      </c>
      <c r="Q86" s="60">
        <v>72.67</v>
      </c>
      <c r="R86" s="197"/>
      <c r="S86" s="197"/>
      <c r="T86" s="197"/>
      <c r="U86" s="197"/>
    </row>
    <row r="87" spans="1:26" s="12" customFormat="1" x14ac:dyDescent="0.25">
      <c r="A87" s="200" t="s">
        <v>2438</v>
      </c>
      <c r="B87" s="60">
        <v>20.38</v>
      </c>
      <c r="C87" s="60">
        <v>26.12</v>
      </c>
      <c r="D87" s="60">
        <v>46.5</v>
      </c>
      <c r="E87" s="60">
        <v>3.72</v>
      </c>
      <c r="F87" s="60">
        <v>0</v>
      </c>
      <c r="G87" s="60">
        <v>52.47</v>
      </c>
      <c r="H87" s="60">
        <v>27.13</v>
      </c>
      <c r="I87" s="60">
        <v>5.42</v>
      </c>
      <c r="J87" s="60">
        <v>0.13</v>
      </c>
      <c r="K87" s="60">
        <v>217.81</v>
      </c>
      <c r="L87" s="60">
        <v>48.12</v>
      </c>
      <c r="M87" s="60">
        <v>76.569999999999993</v>
      </c>
      <c r="N87" s="60">
        <v>14.9</v>
      </c>
      <c r="O87" s="60">
        <v>0</v>
      </c>
      <c r="P87" s="60">
        <v>3.29</v>
      </c>
      <c r="Q87" s="60">
        <v>73.489999999999995</v>
      </c>
      <c r="R87" s="197"/>
      <c r="S87" s="197"/>
      <c r="T87" s="197"/>
      <c r="U87" s="197"/>
    </row>
    <row r="88" spans="1:26" s="12" customFormat="1" x14ac:dyDescent="0.25">
      <c r="A88" s="200" t="s">
        <v>2439</v>
      </c>
      <c r="B88" s="60">
        <v>19.809999999999999</v>
      </c>
      <c r="C88" s="60">
        <v>22.06</v>
      </c>
      <c r="D88" s="60">
        <v>41.87</v>
      </c>
      <c r="E88" s="60">
        <v>1</v>
      </c>
      <c r="F88" s="60">
        <v>0.03</v>
      </c>
      <c r="G88" s="60">
        <v>52.47</v>
      </c>
      <c r="H88" s="60">
        <v>27.13</v>
      </c>
      <c r="I88" s="60">
        <v>5.84</v>
      </c>
      <c r="J88" s="60">
        <v>0.1</v>
      </c>
      <c r="K88" s="60">
        <v>225.64</v>
      </c>
      <c r="L88" s="60">
        <v>44.43</v>
      </c>
      <c r="M88" s="60">
        <v>76.63</v>
      </c>
      <c r="N88" s="60">
        <v>14.8</v>
      </c>
      <c r="O88" s="60">
        <v>0</v>
      </c>
      <c r="P88" s="60">
        <v>3.29</v>
      </c>
      <c r="Q88" s="60">
        <v>74.03</v>
      </c>
      <c r="R88" s="197"/>
      <c r="S88" s="197"/>
      <c r="T88" s="197"/>
      <c r="U88" s="197"/>
    </row>
    <row r="89" spans="1:26" s="12" customFormat="1" x14ac:dyDescent="0.25">
      <c r="A89" s="200" t="s">
        <v>2440</v>
      </c>
      <c r="B89" s="60">
        <v>19.149999999999999</v>
      </c>
      <c r="C89" s="60">
        <v>18.739999999999998</v>
      </c>
      <c r="D89" s="60">
        <v>37.89</v>
      </c>
      <c r="E89" s="60">
        <v>2.4</v>
      </c>
      <c r="F89" s="60">
        <v>0.26</v>
      </c>
      <c r="G89" s="60">
        <v>52.47</v>
      </c>
      <c r="H89" s="60">
        <v>27.13</v>
      </c>
      <c r="I89" s="60">
        <v>6.34</v>
      </c>
      <c r="J89" s="60">
        <v>0.15</v>
      </c>
      <c r="K89" s="60">
        <v>230.08</v>
      </c>
      <c r="L89" s="60">
        <v>43.99</v>
      </c>
      <c r="M89" s="60">
        <v>77.239999999999995</v>
      </c>
      <c r="N89" s="60">
        <v>14.9</v>
      </c>
      <c r="O89" s="60">
        <v>0</v>
      </c>
      <c r="P89" s="60">
        <v>3.28</v>
      </c>
      <c r="Q89" s="60">
        <v>67.91</v>
      </c>
      <c r="R89" s="197"/>
      <c r="S89" s="197"/>
      <c r="T89" s="197"/>
      <c r="U89" s="197"/>
    </row>
    <row r="90" spans="1:26" s="12" customFormat="1" x14ac:dyDescent="0.25">
      <c r="A90" s="200" t="s">
        <v>2441</v>
      </c>
      <c r="B90" s="60">
        <v>18.079999999999998</v>
      </c>
      <c r="C90" s="60">
        <v>16.38</v>
      </c>
      <c r="D90" s="60">
        <v>34.46</v>
      </c>
      <c r="E90" s="60">
        <v>2.39</v>
      </c>
      <c r="F90" s="60">
        <v>0.14000000000000001</v>
      </c>
      <c r="G90" s="60">
        <v>52.24</v>
      </c>
      <c r="H90" s="60">
        <v>26.96</v>
      </c>
      <c r="I90" s="60">
        <v>6.68</v>
      </c>
      <c r="J90" s="60">
        <v>0.1</v>
      </c>
      <c r="K90" s="60">
        <v>225.09</v>
      </c>
      <c r="L90" s="60">
        <v>45.05</v>
      </c>
      <c r="M90" s="60">
        <v>77.94</v>
      </c>
      <c r="N90" s="60">
        <v>14.8</v>
      </c>
      <c r="O90" s="60">
        <v>0</v>
      </c>
      <c r="P90" s="60">
        <v>3.29</v>
      </c>
      <c r="Q90" s="60">
        <v>63.7</v>
      </c>
      <c r="R90" s="197"/>
      <c r="S90" s="197"/>
      <c r="T90" s="197"/>
      <c r="U90" s="197"/>
    </row>
    <row r="91" spans="1:26" s="12" customFormat="1" x14ac:dyDescent="0.25">
      <c r="A91" s="200" t="s">
        <v>2442</v>
      </c>
      <c r="B91" s="60">
        <v>16.87</v>
      </c>
      <c r="C91" s="60">
        <v>14.74</v>
      </c>
      <c r="D91" s="60">
        <v>31.6</v>
      </c>
      <c r="E91" s="60">
        <v>3.13</v>
      </c>
      <c r="F91" s="60">
        <v>0.05</v>
      </c>
      <c r="G91" s="60">
        <v>48.22</v>
      </c>
      <c r="H91" s="60">
        <v>24.17</v>
      </c>
      <c r="I91" s="60">
        <v>6.82</v>
      </c>
      <c r="J91" s="60">
        <v>0.13</v>
      </c>
      <c r="K91" s="60">
        <v>202.86</v>
      </c>
      <c r="L91" s="60">
        <v>44.98</v>
      </c>
      <c r="M91" s="60">
        <v>78.64</v>
      </c>
      <c r="N91" s="60">
        <v>14.9</v>
      </c>
      <c r="O91" s="60">
        <v>0</v>
      </c>
      <c r="P91" s="60">
        <v>3.28</v>
      </c>
      <c r="Q91" s="60">
        <v>68.3</v>
      </c>
      <c r="R91" s="197"/>
      <c r="S91" s="197"/>
      <c r="T91" s="197"/>
      <c r="U91" s="197"/>
    </row>
    <row r="92" spans="1:26" s="12" customFormat="1" x14ac:dyDescent="0.25">
      <c r="A92" s="200" t="s">
        <v>2443</v>
      </c>
      <c r="B92" s="60">
        <v>16.07</v>
      </c>
      <c r="C92" s="60">
        <v>12.97</v>
      </c>
      <c r="D92" s="60">
        <v>29.04</v>
      </c>
      <c r="E92" s="60">
        <v>3.54</v>
      </c>
      <c r="F92" s="60">
        <v>0.32</v>
      </c>
      <c r="G92" s="60">
        <v>48.22</v>
      </c>
      <c r="H92" s="60">
        <v>24.17</v>
      </c>
      <c r="I92" s="60">
        <v>6.99</v>
      </c>
      <c r="J92" s="60">
        <v>0.5</v>
      </c>
      <c r="K92" s="60">
        <v>157.57</v>
      </c>
      <c r="L92" s="60">
        <v>45.08</v>
      </c>
      <c r="M92" s="60">
        <v>79.819999999999993</v>
      </c>
      <c r="N92" s="60">
        <v>14.5</v>
      </c>
      <c r="O92" s="60">
        <v>0</v>
      </c>
      <c r="P92" s="60">
        <v>3.27</v>
      </c>
      <c r="Q92" s="60">
        <v>63.36</v>
      </c>
      <c r="R92" s="197"/>
      <c r="S92" s="197"/>
      <c r="T92" s="197"/>
      <c r="U92" s="197"/>
    </row>
    <row r="93" spans="1:26" s="12" customFormat="1" x14ac:dyDescent="0.25">
      <c r="A93" s="200" t="s">
        <v>2444</v>
      </c>
      <c r="B93" s="60">
        <v>15.49</v>
      </c>
      <c r="C93" s="60">
        <v>12.13</v>
      </c>
      <c r="D93" s="60">
        <v>27.61</v>
      </c>
      <c r="E93" s="60">
        <v>3.88</v>
      </c>
      <c r="F93" s="60">
        <v>0.11</v>
      </c>
      <c r="G93" s="60">
        <v>48.22</v>
      </c>
      <c r="H93" s="60">
        <v>24.17</v>
      </c>
      <c r="I93" s="60">
        <v>7.16</v>
      </c>
      <c r="J93" s="60">
        <v>0.04</v>
      </c>
      <c r="K93" s="60">
        <v>318.29000000000002</v>
      </c>
      <c r="L93" s="60">
        <v>44.37</v>
      </c>
      <c r="M93" s="60">
        <v>79.78</v>
      </c>
      <c r="N93" s="60">
        <v>15.1</v>
      </c>
      <c r="O93" s="60">
        <v>0</v>
      </c>
      <c r="P93" s="60">
        <v>3.26</v>
      </c>
      <c r="Q93" s="60">
        <v>62.38</v>
      </c>
      <c r="R93" s="197"/>
      <c r="S93" s="197"/>
      <c r="T93" s="197"/>
      <c r="U93" s="197"/>
    </row>
    <row r="94" spans="1:26" s="12" customFormat="1" x14ac:dyDescent="0.25">
      <c r="A94" s="200" t="s">
        <v>2445</v>
      </c>
      <c r="B94" s="60">
        <v>15.95</v>
      </c>
      <c r="C94" s="60">
        <v>11.85</v>
      </c>
      <c r="D94" s="60">
        <v>27.8</v>
      </c>
      <c r="E94" s="60">
        <v>3.59</v>
      </c>
      <c r="F94" s="60">
        <v>0.03</v>
      </c>
      <c r="G94" s="60">
        <v>48.64</v>
      </c>
      <c r="H94" s="60">
        <v>24.17</v>
      </c>
      <c r="I94" s="60">
        <v>7.26</v>
      </c>
      <c r="J94" s="60">
        <v>0.1</v>
      </c>
      <c r="K94" s="60">
        <v>167.99</v>
      </c>
      <c r="L94" s="60">
        <v>42.12</v>
      </c>
      <c r="M94" s="60">
        <v>81.64</v>
      </c>
      <c r="N94" s="60">
        <v>15</v>
      </c>
      <c r="O94" s="60">
        <v>0</v>
      </c>
      <c r="P94" s="60">
        <v>3.27</v>
      </c>
      <c r="Q94" s="60">
        <v>65.12</v>
      </c>
      <c r="R94" s="197"/>
      <c r="S94" s="197"/>
      <c r="T94" s="197"/>
      <c r="U94" s="197"/>
    </row>
    <row r="95" spans="1:26" s="12" customFormat="1" x14ac:dyDescent="0.25">
      <c r="A95" s="200" t="s">
        <v>2446</v>
      </c>
      <c r="B95" s="60">
        <v>17.079999999999998</v>
      </c>
      <c r="C95" s="60">
        <v>11.58</v>
      </c>
      <c r="D95" s="60">
        <v>28.66</v>
      </c>
      <c r="E95" s="60">
        <v>3.85</v>
      </c>
      <c r="F95" s="60">
        <v>0.04</v>
      </c>
      <c r="G95" s="60">
        <v>55.79</v>
      </c>
      <c r="H95" s="60">
        <v>24.21</v>
      </c>
      <c r="I95" s="60">
        <v>7.44</v>
      </c>
      <c r="J95" s="60">
        <v>0.28999999999999998</v>
      </c>
      <c r="K95" s="60">
        <v>350.75</v>
      </c>
      <c r="L95" s="60">
        <v>38.67</v>
      </c>
      <c r="M95" s="60">
        <v>84.63</v>
      </c>
      <c r="N95" s="60">
        <v>15</v>
      </c>
      <c r="O95" s="60">
        <v>0</v>
      </c>
      <c r="P95" s="60">
        <v>3.31</v>
      </c>
      <c r="Q95" s="60">
        <v>66.88</v>
      </c>
      <c r="R95" s="197"/>
      <c r="S95" s="197"/>
      <c r="T95" s="197"/>
      <c r="U95" s="197"/>
    </row>
    <row r="96" spans="1:26" s="12" customFormat="1" x14ac:dyDescent="0.25">
      <c r="A96" s="200" t="s">
        <v>2447</v>
      </c>
      <c r="B96" s="60">
        <v>20.04</v>
      </c>
      <c r="C96" s="60">
        <v>11.09</v>
      </c>
      <c r="D96" s="60">
        <v>31.13</v>
      </c>
      <c r="E96" s="60">
        <v>4.03</v>
      </c>
      <c r="F96" s="60">
        <v>0.04</v>
      </c>
      <c r="G96" s="60">
        <v>55.79</v>
      </c>
      <c r="H96" s="60">
        <v>24.21</v>
      </c>
      <c r="I96" s="60">
        <v>7.68</v>
      </c>
      <c r="J96" s="60">
        <v>0.13</v>
      </c>
      <c r="K96" s="60">
        <v>203.19</v>
      </c>
      <c r="L96" s="60">
        <v>38.479999999999997</v>
      </c>
      <c r="M96" s="60">
        <v>85.68</v>
      </c>
      <c r="N96" s="60">
        <v>14.9</v>
      </c>
      <c r="O96" s="60">
        <v>0</v>
      </c>
      <c r="P96" s="60">
        <v>3.37</v>
      </c>
      <c r="Q96" s="60">
        <v>71.06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2448</v>
      </c>
      <c r="B97" s="60">
        <v>22.88</v>
      </c>
      <c r="C97" s="60">
        <v>10.51</v>
      </c>
      <c r="D97" s="60">
        <v>33.39</v>
      </c>
      <c r="E97" s="60">
        <v>4.6399999999999997</v>
      </c>
      <c r="F97" s="60">
        <v>0</v>
      </c>
      <c r="G97" s="60">
        <v>55.79</v>
      </c>
      <c r="H97" s="60">
        <v>24.21</v>
      </c>
      <c r="I97" s="60">
        <v>8.1300000000000008</v>
      </c>
      <c r="J97" s="60">
        <v>0.16</v>
      </c>
      <c r="K97" s="60">
        <v>202.6</v>
      </c>
      <c r="L97" s="60">
        <v>38.61</v>
      </c>
      <c r="M97" s="60">
        <v>84.44</v>
      </c>
      <c r="N97" s="60">
        <v>14.8</v>
      </c>
      <c r="O97" s="60">
        <v>0</v>
      </c>
      <c r="P97" s="60">
        <v>3.42</v>
      </c>
      <c r="Q97" s="60">
        <v>75.02</v>
      </c>
      <c r="R97" s="197"/>
      <c r="S97" s="197"/>
      <c r="T97" s="197"/>
      <c r="U97" s="197"/>
    </row>
    <row r="98" spans="1:33" s="12" customFormat="1" x14ac:dyDescent="0.25">
      <c r="A98" s="200" t="s">
        <v>2449</v>
      </c>
      <c r="B98" s="60">
        <v>24.22</v>
      </c>
      <c r="C98" s="60">
        <v>9.6</v>
      </c>
      <c r="D98" s="60">
        <v>33.82</v>
      </c>
      <c r="E98" s="60">
        <v>4.87</v>
      </c>
      <c r="F98" s="60">
        <v>0.08</v>
      </c>
      <c r="G98" s="60">
        <v>56.84</v>
      </c>
      <c r="H98" s="60">
        <v>24.3</v>
      </c>
      <c r="I98" s="60">
        <v>8.8800000000000008</v>
      </c>
      <c r="J98" s="60">
        <v>0.43</v>
      </c>
      <c r="K98" s="60">
        <v>184.62</v>
      </c>
      <c r="L98" s="60">
        <v>38.21</v>
      </c>
      <c r="M98" s="60">
        <v>83.07</v>
      </c>
      <c r="N98" s="60">
        <v>14.5</v>
      </c>
      <c r="O98" s="60">
        <v>0</v>
      </c>
      <c r="P98" s="60">
        <v>3.42</v>
      </c>
      <c r="Q98" s="60">
        <v>74.099999999999994</v>
      </c>
      <c r="R98" s="197"/>
      <c r="S98" s="197"/>
      <c r="T98" s="197"/>
      <c r="U98" s="197"/>
    </row>
    <row r="99" spans="1:33" s="12" customFormat="1" x14ac:dyDescent="0.25">
      <c r="A99" s="200" t="s">
        <v>2450</v>
      </c>
      <c r="B99" s="60">
        <v>24.59</v>
      </c>
      <c r="C99" s="60">
        <v>9.0399999999999991</v>
      </c>
      <c r="D99" s="60">
        <v>33.619999999999997</v>
      </c>
      <c r="E99" s="60">
        <v>5.07</v>
      </c>
      <c r="F99" s="60">
        <v>0.02</v>
      </c>
      <c r="G99" s="60">
        <v>74.59</v>
      </c>
      <c r="H99" s="60">
        <v>25.84</v>
      </c>
      <c r="I99" s="60">
        <v>9.6199999999999992</v>
      </c>
      <c r="J99" s="60">
        <v>0.75</v>
      </c>
      <c r="K99" s="60">
        <v>166.73</v>
      </c>
      <c r="L99" s="60">
        <v>38.119999999999997</v>
      </c>
      <c r="M99" s="60">
        <v>81.36</v>
      </c>
      <c r="N99" s="60">
        <v>14.5</v>
      </c>
      <c r="O99" s="60">
        <v>0</v>
      </c>
      <c r="P99" s="60">
        <v>3.41</v>
      </c>
      <c r="Q99" s="60">
        <v>74.73</v>
      </c>
      <c r="R99" s="197"/>
      <c r="S99" s="197"/>
      <c r="T99" s="197"/>
      <c r="U99" s="197"/>
    </row>
    <row r="100" spans="1:33" s="12" customFormat="1" x14ac:dyDescent="0.25">
      <c r="A100" s="200" t="s">
        <v>2451</v>
      </c>
      <c r="B100" s="60">
        <v>24.4</v>
      </c>
      <c r="C100" s="60">
        <v>8.58</v>
      </c>
      <c r="D100" s="60">
        <v>32.979999999999997</v>
      </c>
      <c r="E100" s="60">
        <v>5.05</v>
      </c>
      <c r="F100" s="60">
        <v>0.11</v>
      </c>
      <c r="G100" s="60">
        <v>74.59</v>
      </c>
      <c r="H100" s="60">
        <v>25.84</v>
      </c>
      <c r="I100" s="60">
        <v>10.1</v>
      </c>
      <c r="J100" s="60">
        <v>0.84</v>
      </c>
      <c r="K100" s="60">
        <v>161.19</v>
      </c>
      <c r="L100" s="60">
        <v>40.35</v>
      </c>
      <c r="M100" s="60">
        <v>81.08</v>
      </c>
      <c r="N100" s="60">
        <v>14.8</v>
      </c>
      <c r="O100" s="60">
        <v>0</v>
      </c>
      <c r="P100" s="60">
        <v>3.4</v>
      </c>
      <c r="Q100" s="60">
        <v>74.72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2452</v>
      </c>
      <c r="B101" s="60">
        <v>23.85</v>
      </c>
      <c r="C101" s="60">
        <v>8.3000000000000007</v>
      </c>
      <c r="D101" s="60">
        <v>32.14</v>
      </c>
      <c r="E101" s="60">
        <v>5.37</v>
      </c>
      <c r="F101" s="60">
        <v>0.02</v>
      </c>
      <c r="G101" s="60">
        <v>74.59</v>
      </c>
      <c r="H101" s="60">
        <v>25.84</v>
      </c>
      <c r="I101" s="60">
        <v>10.33</v>
      </c>
      <c r="J101" s="60">
        <v>0.56000000000000005</v>
      </c>
      <c r="K101" s="60">
        <v>159.85</v>
      </c>
      <c r="L101" s="60">
        <v>40.68</v>
      </c>
      <c r="M101" s="60">
        <v>82.19</v>
      </c>
      <c r="N101" s="60">
        <v>14.9</v>
      </c>
      <c r="O101" s="60">
        <v>0</v>
      </c>
      <c r="P101" s="60">
        <v>3.39</v>
      </c>
      <c r="Q101" s="60">
        <v>75.239999999999995</v>
      </c>
      <c r="R101" s="197"/>
      <c r="S101" s="197"/>
      <c r="T101" s="197"/>
      <c r="U101" s="197"/>
    </row>
    <row r="102" spans="1:33" s="12" customFormat="1" x14ac:dyDescent="0.25">
      <c r="A102" s="200" t="s">
        <v>2453</v>
      </c>
      <c r="B102" s="60">
        <v>23.22</v>
      </c>
      <c r="C102" s="60">
        <v>7.78</v>
      </c>
      <c r="D102" s="60">
        <v>31</v>
      </c>
      <c r="E102" s="60">
        <v>5.55</v>
      </c>
      <c r="F102" s="60">
        <v>0.05</v>
      </c>
      <c r="G102" s="60">
        <v>73.37</v>
      </c>
      <c r="H102" s="60">
        <v>25.83</v>
      </c>
      <c r="I102" s="60">
        <v>10.55</v>
      </c>
      <c r="J102" s="60">
        <v>0.06</v>
      </c>
      <c r="K102" s="60">
        <v>214.66</v>
      </c>
      <c r="L102" s="60">
        <v>41.51</v>
      </c>
      <c r="M102" s="60">
        <v>84.65</v>
      </c>
      <c r="N102" s="60">
        <v>15.2</v>
      </c>
      <c r="O102" s="60">
        <v>0</v>
      </c>
      <c r="P102" s="60">
        <v>3.38</v>
      </c>
      <c r="Q102" s="60">
        <v>74.47</v>
      </c>
      <c r="R102" s="197"/>
      <c r="S102" s="197"/>
      <c r="T102" s="197"/>
      <c r="U102" s="197"/>
    </row>
    <row r="103" spans="1:33" s="12" customFormat="1" x14ac:dyDescent="0.25">
      <c r="A103" s="200" t="s">
        <v>2454</v>
      </c>
      <c r="B103" s="60">
        <v>22.64</v>
      </c>
      <c r="C103" s="60">
        <v>7.31</v>
      </c>
      <c r="D103" s="60">
        <v>29.94</v>
      </c>
      <c r="E103" s="60">
        <v>5.36</v>
      </c>
      <c r="F103" s="60">
        <v>0.08</v>
      </c>
      <c r="G103" s="60">
        <v>52.72</v>
      </c>
      <c r="H103" s="60">
        <v>25.67</v>
      </c>
      <c r="I103" s="60">
        <v>10.79</v>
      </c>
      <c r="J103" s="60">
        <v>0.16</v>
      </c>
      <c r="K103" s="60">
        <v>217.82</v>
      </c>
      <c r="L103" s="60">
        <v>40.99</v>
      </c>
      <c r="M103" s="60">
        <v>87.84</v>
      </c>
      <c r="N103" s="60">
        <v>15</v>
      </c>
      <c r="O103" s="60">
        <v>0</v>
      </c>
      <c r="P103" s="60">
        <v>3.34</v>
      </c>
      <c r="Q103" s="60">
        <v>75.38</v>
      </c>
      <c r="R103" s="197"/>
      <c r="S103" s="197"/>
      <c r="T103" s="197"/>
      <c r="U103" s="197"/>
    </row>
    <row r="104" spans="1:33" s="12" customFormat="1" x14ac:dyDescent="0.25">
      <c r="A104" s="200" t="s">
        <v>2455</v>
      </c>
      <c r="B104" s="60">
        <v>21.7</v>
      </c>
      <c r="C104" s="60">
        <v>6.79</v>
      </c>
      <c r="D104" s="60">
        <v>28.49</v>
      </c>
      <c r="E104" s="60">
        <v>2.64</v>
      </c>
      <c r="F104" s="60">
        <v>0.26</v>
      </c>
      <c r="G104" s="60">
        <v>52.72</v>
      </c>
      <c r="H104" s="60">
        <v>25.67</v>
      </c>
      <c r="I104" s="60">
        <v>10.85</v>
      </c>
      <c r="J104" s="60">
        <v>0.21</v>
      </c>
      <c r="K104" s="60">
        <v>185.09</v>
      </c>
      <c r="L104" s="60">
        <v>41.47</v>
      </c>
      <c r="M104" s="60">
        <v>89.63</v>
      </c>
      <c r="N104" s="60">
        <v>14.8</v>
      </c>
      <c r="O104" s="60">
        <v>0</v>
      </c>
      <c r="P104" s="60">
        <v>3.32</v>
      </c>
      <c r="Q104" s="60">
        <v>70.87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5" t="s">
        <v>59</v>
      </c>
      <c r="B106" s="67">
        <f>MIN(B9:B104)</f>
        <v>0</v>
      </c>
      <c r="C106" s="67">
        <f>MIN(C9:C104)</f>
        <v>1.67</v>
      </c>
      <c r="D106" s="67">
        <f t="shared" ref="D106:Q106" si="0">MIN(D9:D104)</f>
        <v>1.67</v>
      </c>
      <c r="E106" s="67">
        <f t="shared" si="0"/>
        <v>1</v>
      </c>
      <c r="F106" s="67">
        <f t="shared" si="0"/>
        <v>0</v>
      </c>
      <c r="G106" s="67">
        <f t="shared" si="0"/>
        <v>3.15</v>
      </c>
      <c r="H106" s="67">
        <f t="shared" si="0"/>
        <v>1.35</v>
      </c>
      <c r="I106" s="67">
        <f t="shared" si="0"/>
        <v>4.67</v>
      </c>
      <c r="J106" s="67">
        <f t="shared" si="0"/>
        <v>0.03</v>
      </c>
      <c r="K106" s="67">
        <f t="shared" si="0"/>
        <v>2.84</v>
      </c>
      <c r="L106" s="67">
        <f t="shared" si="0"/>
        <v>29.27</v>
      </c>
      <c r="M106" s="67">
        <f t="shared" si="0"/>
        <v>58.78</v>
      </c>
      <c r="N106" s="67">
        <f t="shared" si="0"/>
        <v>14.5</v>
      </c>
      <c r="O106" s="67">
        <f t="shared" si="0"/>
        <v>0</v>
      </c>
      <c r="P106" s="67">
        <f t="shared" si="0"/>
        <v>3.08</v>
      </c>
      <c r="Q106" s="67">
        <f t="shared" si="0"/>
        <v>43.58</v>
      </c>
      <c r="R106" s="198"/>
      <c r="S106" s="198"/>
      <c r="T106" s="198"/>
      <c r="U106" s="198"/>
    </row>
    <row r="107" spans="1:33" x14ac:dyDescent="0.25">
      <c r="A107" s="65" t="s">
        <v>60</v>
      </c>
      <c r="B107" s="66">
        <f>MAX(B9:B104)</f>
        <v>24.59</v>
      </c>
      <c r="C107" s="66">
        <f t="shared" ref="C107:Q107" si="1">MAX(C9:C104)</f>
        <v>30.89</v>
      </c>
      <c r="D107" s="66">
        <f t="shared" si="1"/>
        <v>51.47</v>
      </c>
      <c r="E107" s="66">
        <f t="shared" si="1"/>
        <v>6.28</v>
      </c>
      <c r="F107" s="66">
        <f t="shared" si="1"/>
        <v>1.78</v>
      </c>
      <c r="G107" s="66">
        <f t="shared" si="1"/>
        <v>74.59</v>
      </c>
      <c r="H107" s="66">
        <f t="shared" si="1"/>
        <v>367.02</v>
      </c>
      <c r="I107" s="66">
        <f t="shared" si="1"/>
        <v>10.85</v>
      </c>
      <c r="J107" s="66">
        <f t="shared" si="1"/>
        <v>1.38</v>
      </c>
      <c r="K107" s="66">
        <f t="shared" si="1"/>
        <v>355.32</v>
      </c>
      <c r="L107" s="66">
        <f t="shared" si="1"/>
        <v>48.12</v>
      </c>
      <c r="M107" s="66">
        <f t="shared" si="1"/>
        <v>96.77</v>
      </c>
      <c r="N107" s="66">
        <f t="shared" si="1"/>
        <v>971</v>
      </c>
      <c r="O107" s="66">
        <f t="shared" si="1"/>
        <v>0</v>
      </c>
      <c r="P107" s="66">
        <f t="shared" si="1"/>
        <v>4.01</v>
      </c>
      <c r="Q107" s="66">
        <f t="shared" si="1"/>
        <v>75.38</v>
      </c>
      <c r="R107" s="199"/>
      <c r="S107" s="199"/>
      <c r="T107" s="199"/>
      <c r="U107" s="199"/>
    </row>
    <row r="108" spans="1:33" x14ac:dyDescent="0.25">
      <c r="A108" s="65" t="s">
        <v>61</v>
      </c>
      <c r="B108" s="67">
        <f>AVERAGE(B9:B104)</f>
        <v>6.9848958333333337</v>
      </c>
      <c r="C108" s="67">
        <f t="shared" ref="C108:Q108" si="2">AVERAGE(C9:C104)</f>
        <v>11.238333333333332</v>
      </c>
      <c r="D108" s="67">
        <f t="shared" si="2"/>
        <v>18.2228125</v>
      </c>
      <c r="E108" s="67">
        <f t="shared" si="2"/>
        <v>4.4728125000000007</v>
      </c>
      <c r="F108" s="67">
        <f t="shared" si="2"/>
        <v>0.38218749999999985</v>
      </c>
      <c r="G108" s="67">
        <f t="shared" si="2"/>
        <v>54.74347826086958</v>
      </c>
      <c r="H108" s="67">
        <f t="shared" si="2"/>
        <v>91.942065217391331</v>
      </c>
      <c r="I108" s="67">
        <f t="shared" si="2"/>
        <v>6.727083333333332</v>
      </c>
      <c r="J108" s="67">
        <f t="shared" si="2"/>
        <v>0.3249999999999999</v>
      </c>
      <c r="K108" s="67">
        <f t="shared" si="2"/>
        <v>196.82427083333326</v>
      </c>
      <c r="L108" s="67">
        <f t="shared" si="2"/>
        <v>36.428333333333306</v>
      </c>
      <c r="M108" s="67">
        <f t="shared" si="2"/>
        <v>77.569895833333348</v>
      </c>
      <c r="N108" s="67">
        <f t="shared" si="2"/>
        <v>226.4270833333334</v>
      </c>
      <c r="O108" s="67">
        <f t="shared" si="2"/>
        <v>0</v>
      </c>
      <c r="P108" s="67">
        <f t="shared" si="2"/>
        <v>3.5947916666666653</v>
      </c>
      <c r="Q108" s="67">
        <f t="shared" si="2"/>
        <v>56.483052631578957</v>
      </c>
      <c r="R108" s="198"/>
      <c r="S108" s="198"/>
      <c r="T108" s="198"/>
      <c r="U108" s="198"/>
    </row>
    <row r="109" spans="1:33" x14ac:dyDescent="0.25">
      <c r="A109" s="65" t="s">
        <v>77</v>
      </c>
      <c r="B109" s="67">
        <f>STDEV(B9:B104)</f>
        <v>7.2538896999133335</v>
      </c>
      <c r="C109" s="67">
        <f t="shared" ref="C109:Q109" si="3">STDEV(C9:C104)</f>
        <v>5.4604622257917192</v>
      </c>
      <c r="D109" s="67">
        <f t="shared" si="3"/>
        <v>10.538346889549308</v>
      </c>
      <c r="E109" s="67">
        <f t="shared" si="3"/>
        <v>1.2317020343069118</v>
      </c>
      <c r="F109" s="67">
        <f t="shared" si="3"/>
        <v>0.37882422843930097</v>
      </c>
      <c r="G109" s="67">
        <f t="shared" si="3"/>
        <v>14.152064934038163</v>
      </c>
      <c r="H109" s="67">
        <f t="shared" si="3"/>
        <v>103.26297449851712</v>
      </c>
      <c r="I109" s="67">
        <f t="shared" si="3"/>
        <v>1.3503597311489963</v>
      </c>
      <c r="J109" s="67">
        <f t="shared" si="3"/>
        <v>0.25607153605769495</v>
      </c>
      <c r="K109" s="67">
        <f t="shared" si="3"/>
        <v>68.9308653307951</v>
      </c>
      <c r="L109" s="67">
        <f t="shared" si="3"/>
        <v>4.8239419710805453</v>
      </c>
      <c r="M109" s="67">
        <f t="shared" si="3"/>
        <v>12.483406628067033</v>
      </c>
      <c r="N109" s="67">
        <f t="shared" si="3"/>
        <v>303.75845475923666</v>
      </c>
      <c r="O109" s="67">
        <f t="shared" si="3"/>
        <v>0</v>
      </c>
      <c r="P109" s="67">
        <f t="shared" si="3"/>
        <v>0.19457364546302755</v>
      </c>
      <c r="Q109" s="67">
        <f t="shared" si="3"/>
        <v>8.6640764905078207</v>
      </c>
      <c r="R109" s="198"/>
      <c r="S109" s="198"/>
      <c r="T109" s="198"/>
      <c r="U109" s="198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COUNT(G9:G104)+73</f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</f>
        <v>96</v>
      </c>
      <c r="R110" s="199"/>
      <c r="S110" s="199"/>
      <c r="T110" s="199"/>
      <c r="U110" s="199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244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6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24-08-2022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234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2456</v>
      </c>
      <c r="B9" s="60">
        <v>20.440000000000001</v>
      </c>
      <c r="C9" s="60">
        <v>6.71</v>
      </c>
      <c r="D9" s="60">
        <v>27.15</v>
      </c>
      <c r="E9" s="60">
        <v>4.88</v>
      </c>
      <c r="F9" s="60">
        <v>0.08</v>
      </c>
      <c r="G9" s="60">
        <v>52.72</v>
      </c>
      <c r="H9" s="60">
        <v>25.67</v>
      </c>
      <c r="I9" s="60">
        <v>10.76</v>
      </c>
      <c r="J9" s="60">
        <v>0.06</v>
      </c>
      <c r="K9" s="60">
        <v>262.08999999999997</v>
      </c>
      <c r="L9" s="60">
        <v>42.83</v>
      </c>
      <c r="M9" s="60">
        <v>90.83</v>
      </c>
      <c r="N9" s="60">
        <v>15</v>
      </c>
      <c r="O9" s="60">
        <v>0</v>
      </c>
      <c r="P9" s="60">
        <v>3.28</v>
      </c>
      <c r="Q9" s="60">
        <v>72.45</v>
      </c>
      <c r="R9" s="197"/>
      <c r="S9" s="197"/>
      <c r="T9" s="197"/>
      <c r="U9" s="197"/>
    </row>
    <row r="10" spans="1:21" s="12" customFormat="1" x14ac:dyDescent="0.25">
      <c r="A10" s="200" t="s">
        <v>2457</v>
      </c>
      <c r="B10" s="60">
        <v>19.48</v>
      </c>
      <c r="C10" s="60">
        <v>6.29</v>
      </c>
      <c r="D10" s="60">
        <v>25.77</v>
      </c>
      <c r="E10" s="60">
        <v>5.0199999999999996</v>
      </c>
      <c r="F10" s="60">
        <v>0.55000000000000004</v>
      </c>
      <c r="G10" s="60">
        <v>52.53</v>
      </c>
      <c r="H10" s="60">
        <v>25.59</v>
      </c>
      <c r="I10" s="60">
        <v>10.55</v>
      </c>
      <c r="J10" s="60">
        <v>0.17</v>
      </c>
      <c r="K10" s="60">
        <v>211.78</v>
      </c>
      <c r="L10" s="60">
        <v>43.87</v>
      </c>
      <c r="M10" s="60">
        <v>92.29</v>
      </c>
      <c r="N10" s="60">
        <v>15</v>
      </c>
      <c r="O10" s="60">
        <v>0</v>
      </c>
      <c r="P10" s="60">
        <v>3.26</v>
      </c>
      <c r="Q10" s="60">
        <v>69.11</v>
      </c>
      <c r="R10" s="197"/>
      <c r="S10" s="197"/>
      <c r="T10" s="197"/>
      <c r="U10" s="197"/>
    </row>
    <row r="11" spans="1:21" s="12" customFormat="1" x14ac:dyDescent="0.25">
      <c r="A11" s="200" t="s">
        <v>2458</v>
      </c>
      <c r="B11" s="60">
        <v>18.32</v>
      </c>
      <c r="C11" s="60">
        <v>6.33</v>
      </c>
      <c r="D11" s="60">
        <v>24.65</v>
      </c>
      <c r="E11" s="60">
        <v>5.16</v>
      </c>
      <c r="F11" s="60">
        <v>1.54</v>
      </c>
      <c r="G11" s="60">
        <v>49.35</v>
      </c>
      <c r="H11" s="60">
        <v>24.19</v>
      </c>
      <c r="I11" s="60">
        <v>10.37</v>
      </c>
      <c r="J11" s="60">
        <v>0.67</v>
      </c>
      <c r="K11" s="60">
        <v>150.52000000000001</v>
      </c>
      <c r="L11" s="60">
        <v>44.13</v>
      </c>
      <c r="M11" s="60">
        <v>93.55</v>
      </c>
      <c r="N11" s="60">
        <v>14.8</v>
      </c>
      <c r="O11" s="60">
        <v>0</v>
      </c>
      <c r="P11" s="60">
        <v>3.24</v>
      </c>
      <c r="Q11" s="60">
        <v>71.69</v>
      </c>
      <c r="R11" s="197"/>
      <c r="S11" s="197"/>
      <c r="T11" s="197"/>
      <c r="U11" s="197"/>
    </row>
    <row r="12" spans="1:21" s="12" customFormat="1" x14ac:dyDescent="0.25">
      <c r="A12" s="200" t="s">
        <v>2459</v>
      </c>
      <c r="B12" s="60">
        <v>17.54</v>
      </c>
      <c r="C12" s="60">
        <v>5.98</v>
      </c>
      <c r="D12" s="60">
        <v>23.52</v>
      </c>
      <c r="E12" s="60">
        <v>5.36</v>
      </c>
      <c r="F12" s="60">
        <v>1.35</v>
      </c>
      <c r="G12" s="60">
        <v>49.35</v>
      </c>
      <c r="H12" s="60">
        <v>24.19</v>
      </c>
      <c r="I12" s="60">
        <v>10.130000000000001</v>
      </c>
      <c r="J12" s="60">
        <v>0.2</v>
      </c>
      <c r="K12" s="60">
        <v>201.28</v>
      </c>
      <c r="L12" s="60">
        <v>39.119999999999997</v>
      </c>
      <c r="M12" s="60">
        <v>93.69</v>
      </c>
      <c r="N12" s="60">
        <v>15</v>
      </c>
      <c r="O12" s="60">
        <v>0</v>
      </c>
      <c r="P12" s="60">
        <v>3.21</v>
      </c>
      <c r="Q12" s="60">
        <v>68.239999999999995</v>
      </c>
      <c r="R12" s="197"/>
      <c r="S12" s="197"/>
      <c r="T12" s="197"/>
      <c r="U12" s="197"/>
    </row>
    <row r="13" spans="1:21" s="12" customFormat="1" x14ac:dyDescent="0.25">
      <c r="A13" s="200" t="s">
        <v>2460</v>
      </c>
      <c r="B13" s="60">
        <v>16.64</v>
      </c>
      <c r="C13" s="60">
        <v>5.89</v>
      </c>
      <c r="D13" s="60">
        <v>22.53</v>
      </c>
      <c r="E13" s="60">
        <v>5.29</v>
      </c>
      <c r="F13" s="60">
        <v>0.36</v>
      </c>
      <c r="G13" s="60">
        <v>49.35</v>
      </c>
      <c r="H13" s="60">
        <v>24.19</v>
      </c>
      <c r="I13" s="60">
        <v>10.1</v>
      </c>
      <c r="J13" s="60">
        <v>0.15</v>
      </c>
      <c r="K13" s="60">
        <v>228.79</v>
      </c>
      <c r="L13" s="60">
        <v>31.29</v>
      </c>
      <c r="M13" s="60">
        <v>93.96</v>
      </c>
      <c r="N13" s="60">
        <v>15</v>
      </c>
      <c r="O13" s="60">
        <v>0</v>
      </c>
      <c r="P13" s="60">
        <v>3.19</v>
      </c>
      <c r="Q13" s="60">
        <v>66.209999999999994</v>
      </c>
      <c r="R13" s="197"/>
      <c r="S13" s="197"/>
      <c r="T13" s="197"/>
      <c r="U13" s="197"/>
    </row>
    <row r="14" spans="1:21" s="12" customFormat="1" x14ac:dyDescent="0.25">
      <c r="A14" s="200" t="s">
        <v>2461</v>
      </c>
      <c r="B14" s="60">
        <v>16.41</v>
      </c>
      <c r="C14" s="60">
        <v>6.39</v>
      </c>
      <c r="D14" s="60">
        <v>22.79</v>
      </c>
      <c r="E14" s="60">
        <v>5.24</v>
      </c>
      <c r="F14" s="60">
        <v>0.78</v>
      </c>
      <c r="G14" s="60">
        <v>48.39</v>
      </c>
      <c r="H14" s="60">
        <v>23.82</v>
      </c>
      <c r="I14" s="60">
        <v>9.77</v>
      </c>
      <c r="J14" s="60">
        <v>0.11</v>
      </c>
      <c r="K14" s="60">
        <v>211.5</v>
      </c>
      <c r="L14" s="60">
        <v>31.08</v>
      </c>
      <c r="M14" s="60">
        <v>94.82</v>
      </c>
      <c r="N14" s="60">
        <v>15</v>
      </c>
      <c r="O14" s="60">
        <v>0</v>
      </c>
      <c r="P14" s="60">
        <v>3.18</v>
      </c>
      <c r="Q14" s="60">
        <v>69.510000000000005</v>
      </c>
      <c r="R14" s="197"/>
      <c r="S14" s="197"/>
      <c r="T14" s="197"/>
      <c r="U14" s="197"/>
    </row>
    <row r="15" spans="1:21" s="12" customFormat="1" x14ac:dyDescent="0.25">
      <c r="A15" s="200" t="s">
        <v>2462</v>
      </c>
      <c r="B15" s="60">
        <v>16.18</v>
      </c>
      <c r="C15" s="60">
        <v>6.26</v>
      </c>
      <c r="D15" s="60">
        <v>22.44</v>
      </c>
      <c r="E15" s="60">
        <v>5.4</v>
      </c>
      <c r="F15" s="60">
        <v>0.1</v>
      </c>
      <c r="G15" s="60">
        <v>32</v>
      </c>
      <c r="H15" s="60">
        <v>17.54</v>
      </c>
      <c r="I15" s="60">
        <v>9.84</v>
      </c>
      <c r="J15" s="60">
        <v>0.36</v>
      </c>
      <c r="K15" s="60">
        <v>160.65</v>
      </c>
      <c r="L15" s="60">
        <v>30.92</v>
      </c>
      <c r="M15" s="60">
        <v>95.86</v>
      </c>
      <c r="N15" s="60">
        <v>14.9</v>
      </c>
      <c r="O15" s="60">
        <v>0</v>
      </c>
      <c r="P15" s="60">
        <v>3.16</v>
      </c>
      <c r="Q15" s="60">
        <v>71.260000000000005</v>
      </c>
      <c r="R15" s="197"/>
      <c r="S15" s="197"/>
      <c r="T15" s="197"/>
      <c r="U15" s="197"/>
    </row>
    <row r="16" spans="1:21" s="12" customFormat="1" x14ac:dyDescent="0.25">
      <c r="A16" s="200" t="s">
        <v>2463</v>
      </c>
      <c r="B16" s="60">
        <v>15.87</v>
      </c>
      <c r="C16" s="60">
        <v>6.06</v>
      </c>
      <c r="D16" s="60">
        <v>21.93</v>
      </c>
      <c r="E16" s="60">
        <v>5.67</v>
      </c>
      <c r="F16" s="60">
        <v>0.21</v>
      </c>
      <c r="G16" s="60">
        <v>32</v>
      </c>
      <c r="H16" s="60">
        <v>17.54</v>
      </c>
      <c r="I16" s="60">
        <v>9.94</v>
      </c>
      <c r="J16" s="60">
        <v>0.51</v>
      </c>
      <c r="K16" s="60">
        <v>160.19</v>
      </c>
      <c r="L16" s="60">
        <v>30.86</v>
      </c>
      <c r="M16" s="60">
        <v>96.32</v>
      </c>
      <c r="N16" s="60">
        <v>14.8</v>
      </c>
      <c r="O16" s="60">
        <v>0</v>
      </c>
      <c r="P16" s="60">
        <v>3.14</v>
      </c>
      <c r="Q16" s="60">
        <v>71.98</v>
      </c>
      <c r="R16" s="197"/>
      <c r="S16" s="197"/>
      <c r="T16" s="197"/>
      <c r="U16" s="197"/>
    </row>
    <row r="17" spans="1:21" s="12" customFormat="1" x14ac:dyDescent="0.25">
      <c r="A17" s="200" t="s">
        <v>2464</v>
      </c>
      <c r="B17" s="60">
        <v>15.44</v>
      </c>
      <c r="C17" s="60">
        <v>5.9</v>
      </c>
      <c r="D17" s="60">
        <v>21.34</v>
      </c>
      <c r="E17" s="60">
        <v>6</v>
      </c>
      <c r="F17" s="217" t="s">
        <v>47</v>
      </c>
      <c r="G17" s="60">
        <v>32</v>
      </c>
      <c r="H17" s="60">
        <v>17.54</v>
      </c>
      <c r="I17" s="60">
        <v>10.220000000000001</v>
      </c>
      <c r="J17" s="60">
        <v>0.22</v>
      </c>
      <c r="K17" s="60">
        <v>182.93</v>
      </c>
      <c r="L17" s="60">
        <v>30.81</v>
      </c>
      <c r="M17" s="60">
        <v>97.1</v>
      </c>
      <c r="N17" s="60">
        <v>15</v>
      </c>
      <c r="O17" s="60">
        <v>0</v>
      </c>
      <c r="P17" s="60">
        <v>3.14</v>
      </c>
      <c r="Q17" s="60">
        <v>71.75</v>
      </c>
      <c r="R17" s="197"/>
      <c r="S17" s="197"/>
      <c r="T17" s="197"/>
      <c r="U17" s="197"/>
    </row>
    <row r="18" spans="1:21" s="12" customFormat="1" x14ac:dyDescent="0.25">
      <c r="A18" s="200" t="s">
        <v>2465</v>
      </c>
      <c r="B18" s="60">
        <v>15.13</v>
      </c>
      <c r="C18" s="60">
        <v>5.62</v>
      </c>
      <c r="D18" s="60">
        <v>20.75</v>
      </c>
      <c r="E18" s="60">
        <v>5.57</v>
      </c>
      <c r="F18" s="60">
        <v>0.21</v>
      </c>
      <c r="G18" s="60">
        <v>31.5</v>
      </c>
      <c r="H18" s="60">
        <v>17.45</v>
      </c>
      <c r="I18" s="60">
        <v>10.47</v>
      </c>
      <c r="J18" s="60">
        <v>0.16</v>
      </c>
      <c r="K18" s="60">
        <v>208.5</v>
      </c>
      <c r="L18" s="60">
        <v>30.76</v>
      </c>
      <c r="M18" s="60">
        <v>97.48</v>
      </c>
      <c r="N18" s="60">
        <v>15</v>
      </c>
      <c r="O18" s="60">
        <v>0</v>
      </c>
      <c r="P18" s="60">
        <v>3.13</v>
      </c>
      <c r="Q18" s="60">
        <v>72</v>
      </c>
      <c r="R18" s="197"/>
      <c r="S18" s="197"/>
      <c r="T18" s="197"/>
      <c r="U18" s="197"/>
    </row>
    <row r="19" spans="1:21" s="12" customFormat="1" x14ac:dyDescent="0.25">
      <c r="A19" s="200" t="s">
        <v>2466</v>
      </c>
      <c r="B19" s="60">
        <v>14.87</v>
      </c>
      <c r="C19" s="60">
        <v>5.46</v>
      </c>
      <c r="D19" s="60">
        <v>20.32</v>
      </c>
      <c r="E19" s="60">
        <v>6.29</v>
      </c>
      <c r="F19" s="60">
        <v>0.25</v>
      </c>
      <c r="G19" s="60">
        <v>22.94</v>
      </c>
      <c r="H19" s="60">
        <v>16.010000000000002</v>
      </c>
      <c r="I19" s="60">
        <v>10.71</v>
      </c>
      <c r="J19" s="60">
        <v>0.06</v>
      </c>
      <c r="K19" s="60">
        <v>306.88</v>
      </c>
      <c r="L19" s="60">
        <v>30.66</v>
      </c>
      <c r="M19" s="60">
        <v>97.94</v>
      </c>
      <c r="N19" s="60">
        <v>15</v>
      </c>
      <c r="O19" s="60">
        <v>0</v>
      </c>
      <c r="P19" s="60">
        <v>3.12</v>
      </c>
      <c r="Q19" s="60">
        <v>72.41</v>
      </c>
      <c r="R19" s="197"/>
      <c r="S19" s="197"/>
      <c r="T19" s="197"/>
      <c r="U19" s="197"/>
    </row>
    <row r="20" spans="1:21" s="12" customFormat="1" x14ac:dyDescent="0.25">
      <c r="A20" s="200" t="s">
        <v>2467</v>
      </c>
      <c r="B20" s="60">
        <v>14.55</v>
      </c>
      <c r="C20" s="60">
        <v>5.27</v>
      </c>
      <c r="D20" s="60">
        <v>19.82</v>
      </c>
      <c r="E20" s="60">
        <v>6.21</v>
      </c>
      <c r="F20" s="60">
        <v>0.26</v>
      </c>
      <c r="G20" s="60">
        <v>22.94</v>
      </c>
      <c r="H20" s="60">
        <v>16.010000000000002</v>
      </c>
      <c r="I20" s="60">
        <v>10.86</v>
      </c>
      <c r="J20" s="60">
        <v>0.12</v>
      </c>
      <c r="K20" s="60">
        <v>51</v>
      </c>
      <c r="L20" s="60">
        <v>30.67</v>
      </c>
      <c r="M20" s="60">
        <v>96.83</v>
      </c>
      <c r="N20" s="60">
        <v>15</v>
      </c>
      <c r="O20" s="60">
        <v>0</v>
      </c>
      <c r="P20" s="60">
        <v>3.11</v>
      </c>
      <c r="Q20" s="60">
        <v>72.83</v>
      </c>
      <c r="R20" s="197"/>
      <c r="S20" s="197"/>
      <c r="T20" s="197"/>
      <c r="U20" s="197"/>
    </row>
    <row r="21" spans="1:21" s="12" customFormat="1" x14ac:dyDescent="0.25">
      <c r="A21" s="200" t="s">
        <v>2468</v>
      </c>
      <c r="B21" s="60">
        <v>14.04</v>
      </c>
      <c r="C21" s="60">
        <v>5.17</v>
      </c>
      <c r="D21" s="60">
        <v>19.21</v>
      </c>
      <c r="E21" s="60">
        <v>6.6</v>
      </c>
      <c r="F21" s="60">
        <v>0.05</v>
      </c>
      <c r="G21" s="60">
        <v>22.94</v>
      </c>
      <c r="H21" s="60">
        <v>16.010000000000002</v>
      </c>
      <c r="I21" s="60">
        <v>10.99</v>
      </c>
      <c r="J21" s="60">
        <v>0.09</v>
      </c>
      <c r="K21" s="60">
        <v>205.16</v>
      </c>
      <c r="L21" s="60">
        <v>30.73</v>
      </c>
      <c r="M21" s="60">
        <v>91.79</v>
      </c>
      <c r="N21" s="60">
        <v>14.9</v>
      </c>
      <c r="O21" s="60">
        <v>0</v>
      </c>
      <c r="P21" s="60">
        <v>3.1</v>
      </c>
      <c r="Q21" s="60">
        <v>72.78</v>
      </c>
      <c r="R21" s="197"/>
      <c r="S21" s="197"/>
      <c r="T21" s="197"/>
      <c r="U21" s="197"/>
    </row>
    <row r="22" spans="1:21" s="12" customFormat="1" x14ac:dyDescent="0.25">
      <c r="A22" s="200" t="s">
        <v>2469</v>
      </c>
      <c r="B22" s="60">
        <v>13.57</v>
      </c>
      <c r="C22" s="60">
        <v>4.9000000000000004</v>
      </c>
      <c r="D22" s="60">
        <v>18.47</v>
      </c>
      <c r="E22" s="60">
        <v>6.6</v>
      </c>
      <c r="F22" s="60">
        <v>0.46</v>
      </c>
      <c r="G22" s="60">
        <v>23.1</v>
      </c>
      <c r="H22" s="60">
        <v>15.76</v>
      </c>
      <c r="I22" s="60">
        <v>11.17</v>
      </c>
      <c r="J22" s="60">
        <v>0.17</v>
      </c>
      <c r="K22" s="60">
        <v>220.36</v>
      </c>
      <c r="L22" s="60">
        <v>30.68</v>
      </c>
      <c r="M22" s="60">
        <v>90.21</v>
      </c>
      <c r="N22" s="60">
        <v>15</v>
      </c>
      <c r="O22" s="60">
        <v>0</v>
      </c>
      <c r="P22" s="60">
        <v>3.07</v>
      </c>
      <c r="Q22" s="60">
        <v>70.930000000000007</v>
      </c>
      <c r="R22" s="197"/>
      <c r="S22" s="197"/>
      <c r="T22" s="197"/>
      <c r="U22" s="197"/>
    </row>
    <row r="23" spans="1:21" s="12" customFormat="1" x14ac:dyDescent="0.25">
      <c r="A23" s="200" t="s">
        <v>2470</v>
      </c>
      <c r="B23" s="60">
        <v>12.81</v>
      </c>
      <c r="C23" s="60">
        <v>5.0199999999999996</v>
      </c>
      <c r="D23" s="60">
        <v>17.829999999999998</v>
      </c>
      <c r="E23" s="60">
        <v>6.13</v>
      </c>
      <c r="F23" s="60">
        <v>0.06</v>
      </c>
      <c r="G23" s="60">
        <v>25.74</v>
      </c>
      <c r="H23" s="60">
        <v>11.45</v>
      </c>
      <c r="I23" s="60">
        <v>11.17</v>
      </c>
      <c r="J23" s="60">
        <v>0.15</v>
      </c>
      <c r="K23" s="60">
        <v>242.94</v>
      </c>
      <c r="L23" s="60">
        <v>30.54</v>
      </c>
      <c r="M23" s="60">
        <v>90.63</v>
      </c>
      <c r="N23" s="60">
        <v>15.1</v>
      </c>
      <c r="O23" s="60">
        <v>0</v>
      </c>
      <c r="P23" s="60">
        <v>3.07</v>
      </c>
      <c r="Q23" s="60">
        <v>70.63</v>
      </c>
      <c r="R23" s="197"/>
      <c r="S23" s="197"/>
      <c r="T23" s="197"/>
      <c r="U23" s="197"/>
    </row>
    <row r="24" spans="1:21" s="12" customFormat="1" x14ac:dyDescent="0.25">
      <c r="A24" s="200" t="s">
        <v>2471</v>
      </c>
      <c r="B24" s="60">
        <v>12.25</v>
      </c>
      <c r="C24" s="60">
        <v>5.09</v>
      </c>
      <c r="D24" s="60">
        <v>17.34</v>
      </c>
      <c r="E24" s="60">
        <v>2.92</v>
      </c>
      <c r="F24" s="60">
        <v>0.43</v>
      </c>
      <c r="G24" s="60">
        <v>25.74</v>
      </c>
      <c r="H24" s="60">
        <v>11.45</v>
      </c>
      <c r="I24" s="60">
        <v>10.84</v>
      </c>
      <c r="J24" s="60">
        <v>7.0000000000000007E-2</v>
      </c>
      <c r="K24" s="60">
        <v>210.17</v>
      </c>
      <c r="L24" s="60">
        <v>30.46</v>
      </c>
      <c r="M24" s="60">
        <v>89.35</v>
      </c>
      <c r="N24" s="60">
        <v>15</v>
      </c>
      <c r="O24" s="60">
        <v>0</v>
      </c>
      <c r="P24" s="60">
        <v>3.04</v>
      </c>
      <c r="Q24" s="60">
        <v>69.06</v>
      </c>
      <c r="R24" s="197"/>
      <c r="S24" s="197"/>
      <c r="T24" s="197"/>
      <c r="U24" s="197"/>
    </row>
    <row r="25" spans="1:21" s="12" customFormat="1" x14ac:dyDescent="0.25">
      <c r="A25" s="200" t="s">
        <v>2472</v>
      </c>
      <c r="B25" s="60">
        <v>11.81</v>
      </c>
      <c r="C25" s="60">
        <v>5.52</v>
      </c>
      <c r="D25" s="60">
        <v>17.329999999999998</v>
      </c>
      <c r="E25" s="60">
        <v>6.63</v>
      </c>
      <c r="F25" s="60">
        <v>0.02</v>
      </c>
      <c r="G25" s="60">
        <v>25.74</v>
      </c>
      <c r="H25" s="60">
        <v>11.45</v>
      </c>
      <c r="I25" s="60">
        <v>10.7</v>
      </c>
      <c r="J25" s="60">
        <v>0.14000000000000001</v>
      </c>
      <c r="K25" s="60">
        <v>300.73</v>
      </c>
      <c r="L25" s="60">
        <v>30.32</v>
      </c>
      <c r="M25" s="60">
        <v>90.12</v>
      </c>
      <c r="N25" s="60">
        <v>15.1</v>
      </c>
      <c r="O25" s="60">
        <v>0</v>
      </c>
      <c r="P25" s="60">
        <v>3.04</v>
      </c>
      <c r="Q25" s="60">
        <v>69.430000000000007</v>
      </c>
      <c r="R25" s="197"/>
      <c r="S25" s="197"/>
      <c r="T25" s="197"/>
      <c r="U25" s="197"/>
    </row>
    <row r="26" spans="1:21" s="12" customFormat="1" x14ac:dyDescent="0.25">
      <c r="A26" s="200" t="s">
        <v>2473</v>
      </c>
      <c r="B26" s="60">
        <v>11.99</v>
      </c>
      <c r="C26" s="60">
        <v>5.64</v>
      </c>
      <c r="D26" s="60">
        <v>17.63</v>
      </c>
      <c r="E26" s="60">
        <v>6.53</v>
      </c>
      <c r="F26" s="60">
        <v>0.69</v>
      </c>
      <c r="G26" s="60">
        <v>25.83</v>
      </c>
      <c r="H26" s="60">
        <v>11.65</v>
      </c>
      <c r="I26" s="60">
        <v>10.47</v>
      </c>
      <c r="J26" s="60">
        <v>0.15</v>
      </c>
      <c r="K26" s="60">
        <v>335.52</v>
      </c>
      <c r="L26" s="60">
        <v>30.27</v>
      </c>
      <c r="M26" s="60">
        <v>89.61</v>
      </c>
      <c r="N26" s="60">
        <v>15.1</v>
      </c>
      <c r="O26" s="60">
        <v>0</v>
      </c>
      <c r="P26" s="60">
        <v>3.02</v>
      </c>
      <c r="Q26" s="60">
        <v>66.77</v>
      </c>
      <c r="R26" s="197"/>
      <c r="S26" s="197"/>
      <c r="T26" s="197"/>
      <c r="U26" s="197"/>
    </row>
    <row r="27" spans="1:21" s="12" customFormat="1" x14ac:dyDescent="0.25">
      <c r="A27" s="200" t="s">
        <v>2474</v>
      </c>
      <c r="B27" s="60">
        <v>11.7</v>
      </c>
      <c r="C27" s="60">
        <v>5.79</v>
      </c>
      <c r="D27" s="60">
        <v>17.5</v>
      </c>
      <c r="E27" s="60">
        <v>5.99</v>
      </c>
      <c r="F27" s="60">
        <v>0.17</v>
      </c>
      <c r="G27" s="60">
        <v>27.34</v>
      </c>
      <c r="H27" s="60">
        <v>15</v>
      </c>
      <c r="I27" s="60">
        <v>10.39</v>
      </c>
      <c r="J27" s="60">
        <v>7.0000000000000007E-2</v>
      </c>
      <c r="K27" s="60">
        <v>117.99</v>
      </c>
      <c r="L27" s="60">
        <v>30.32</v>
      </c>
      <c r="M27" s="60">
        <v>88.36</v>
      </c>
      <c r="N27" s="60">
        <v>15</v>
      </c>
      <c r="O27" s="60">
        <v>0</v>
      </c>
      <c r="P27" s="60">
        <v>3.04</v>
      </c>
      <c r="Q27" s="60">
        <v>65.489999999999995</v>
      </c>
      <c r="R27" s="197"/>
      <c r="S27" s="197"/>
      <c r="T27" s="197"/>
      <c r="U27" s="197"/>
    </row>
    <row r="28" spans="1:21" s="12" customFormat="1" x14ac:dyDescent="0.25">
      <c r="A28" s="200" t="s">
        <v>2475</v>
      </c>
      <c r="B28" s="60">
        <v>11.35</v>
      </c>
      <c r="C28" s="60">
        <v>6.41</v>
      </c>
      <c r="D28" s="60">
        <v>17.760000000000002</v>
      </c>
      <c r="E28" s="60">
        <v>6.26</v>
      </c>
      <c r="F28" s="60">
        <v>0.06</v>
      </c>
      <c r="G28" s="60">
        <v>27.34</v>
      </c>
      <c r="H28" s="60">
        <v>15</v>
      </c>
      <c r="I28" s="60">
        <v>10.1</v>
      </c>
      <c r="J28" s="60">
        <v>0.04</v>
      </c>
      <c r="K28" s="60">
        <v>30.66</v>
      </c>
      <c r="L28" s="60">
        <v>30.39</v>
      </c>
      <c r="M28" s="60">
        <v>82.61</v>
      </c>
      <c r="N28" s="60">
        <v>14.8</v>
      </c>
      <c r="O28" s="60">
        <v>0</v>
      </c>
      <c r="P28" s="60">
        <v>3.02</v>
      </c>
      <c r="Q28" s="60">
        <v>69.510000000000005</v>
      </c>
      <c r="R28" s="197"/>
      <c r="S28" s="197"/>
      <c r="T28" s="197"/>
      <c r="U28" s="197"/>
    </row>
    <row r="29" spans="1:21" s="12" customFormat="1" x14ac:dyDescent="0.25">
      <c r="A29" s="200" t="s">
        <v>2476</v>
      </c>
      <c r="B29" s="60">
        <v>11.04</v>
      </c>
      <c r="C29" s="60">
        <v>6.41</v>
      </c>
      <c r="D29" s="60">
        <v>17.45</v>
      </c>
      <c r="E29" s="60">
        <v>6.74</v>
      </c>
      <c r="F29" s="60">
        <v>0.08</v>
      </c>
      <c r="G29" s="60">
        <v>27.34</v>
      </c>
      <c r="H29" s="60">
        <v>15</v>
      </c>
      <c r="I29" s="60">
        <v>10.17</v>
      </c>
      <c r="J29" s="60">
        <v>0.04</v>
      </c>
      <c r="K29" s="60">
        <v>219.32</v>
      </c>
      <c r="L29" s="60">
        <v>30.41</v>
      </c>
      <c r="M29" s="60">
        <v>81.459999999999994</v>
      </c>
      <c r="N29" s="60">
        <v>15</v>
      </c>
      <c r="O29" s="60">
        <v>0</v>
      </c>
      <c r="P29" s="60">
        <v>3.02</v>
      </c>
      <c r="Q29" s="60">
        <v>69.03</v>
      </c>
      <c r="R29" s="197"/>
      <c r="S29" s="197"/>
      <c r="T29" s="197"/>
      <c r="U29" s="197"/>
    </row>
    <row r="30" spans="1:21" s="12" customFormat="1" x14ac:dyDescent="0.25">
      <c r="A30" s="200" t="s">
        <v>2477</v>
      </c>
      <c r="B30" s="60">
        <v>10.95</v>
      </c>
      <c r="C30" s="60">
        <v>6.24</v>
      </c>
      <c r="D30" s="60">
        <v>17.190000000000001</v>
      </c>
      <c r="E30" s="60">
        <v>6.29</v>
      </c>
      <c r="F30" s="60">
        <v>0.2</v>
      </c>
      <c r="G30" s="60">
        <v>26.98</v>
      </c>
      <c r="H30" s="60">
        <v>15</v>
      </c>
      <c r="I30" s="60">
        <v>10.199999999999999</v>
      </c>
      <c r="J30" s="60">
        <v>0.05</v>
      </c>
      <c r="K30" s="60">
        <v>322.44</v>
      </c>
      <c r="L30" s="60">
        <v>30.28</v>
      </c>
      <c r="M30" s="60">
        <v>83.33</v>
      </c>
      <c r="N30" s="60">
        <v>15</v>
      </c>
      <c r="O30" s="60">
        <v>0</v>
      </c>
      <c r="P30" s="60">
        <v>3</v>
      </c>
      <c r="Q30" s="60">
        <v>68.8</v>
      </c>
      <c r="R30" s="197"/>
      <c r="S30" s="197"/>
      <c r="T30" s="197"/>
      <c r="U30" s="197"/>
    </row>
    <row r="31" spans="1:21" s="12" customFormat="1" x14ac:dyDescent="0.25">
      <c r="A31" s="200" t="s">
        <v>2478</v>
      </c>
      <c r="B31" s="60">
        <v>10.88</v>
      </c>
      <c r="C31" s="60">
        <v>6.53</v>
      </c>
      <c r="D31" s="60">
        <v>17.399999999999999</v>
      </c>
      <c r="E31" s="60">
        <v>7.33</v>
      </c>
      <c r="F31" s="60">
        <v>0.11</v>
      </c>
      <c r="G31" s="60">
        <v>19.14</v>
      </c>
      <c r="H31" s="60">
        <v>14.87</v>
      </c>
      <c r="I31" s="60">
        <v>10.32</v>
      </c>
      <c r="J31" s="60">
        <v>0.15</v>
      </c>
      <c r="K31" s="60">
        <v>353</v>
      </c>
      <c r="L31" s="60">
        <v>30.16</v>
      </c>
      <c r="M31" s="60">
        <v>84.31</v>
      </c>
      <c r="N31" s="60">
        <v>17.399999999999999</v>
      </c>
      <c r="O31" s="60">
        <v>0</v>
      </c>
      <c r="P31" s="60">
        <v>3</v>
      </c>
      <c r="Q31" s="60">
        <v>69.77</v>
      </c>
      <c r="R31" s="197"/>
      <c r="S31" s="197"/>
      <c r="T31" s="197"/>
      <c r="U31" s="197"/>
    </row>
    <row r="32" spans="1:21" s="12" customFormat="1" x14ac:dyDescent="0.25">
      <c r="A32" s="200" t="s">
        <v>2479</v>
      </c>
      <c r="B32" s="60">
        <v>10.99</v>
      </c>
      <c r="C32" s="60">
        <v>6.53</v>
      </c>
      <c r="D32" s="60">
        <v>17.52</v>
      </c>
      <c r="E32" s="60">
        <v>6.75</v>
      </c>
      <c r="F32" s="60">
        <v>0.01</v>
      </c>
      <c r="G32" s="60">
        <v>19.14</v>
      </c>
      <c r="H32" s="60">
        <v>14.87</v>
      </c>
      <c r="I32" s="60">
        <v>10.38</v>
      </c>
      <c r="J32" s="60">
        <v>0.18</v>
      </c>
      <c r="K32" s="60">
        <v>330.21</v>
      </c>
      <c r="L32" s="60">
        <v>30.02</v>
      </c>
      <c r="M32" s="60">
        <v>85.42</v>
      </c>
      <c r="N32" s="60">
        <v>29.1</v>
      </c>
      <c r="O32" s="60">
        <v>0</v>
      </c>
      <c r="P32" s="60">
        <v>3</v>
      </c>
      <c r="Q32" s="60">
        <v>69.489999999999995</v>
      </c>
      <c r="R32" s="197"/>
      <c r="S32" s="197"/>
      <c r="T32" s="197"/>
      <c r="U32" s="197"/>
    </row>
    <row r="33" spans="1:21" s="12" customFormat="1" x14ac:dyDescent="0.25">
      <c r="A33" s="200" t="s">
        <v>2480</v>
      </c>
      <c r="B33" s="60">
        <v>11.08</v>
      </c>
      <c r="C33" s="60">
        <v>6.38</v>
      </c>
      <c r="D33" s="60">
        <v>17.47</v>
      </c>
      <c r="E33" s="60">
        <v>6.47</v>
      </c>
      <c r="F33" s="60">
        <v>0.11</v>
      </c>
      <c r="G33" s="60">
        <v>19.14</v>
      </c>
      <c r="H33" s="60">
        <v>14.87</v>
      </c>
      <c r="I33" s="60">
        <v>10.5</v>
      </c>
      <c r="J33" s="60">
        <v>0.28999999999999998</v>
      </c>
      <c r="K33" s="60">
        <v>315.68</v>
      </c>
      <c r="L33" s="60">
        <v>30.22</v>
      </c>
      <c r="M33" s="60">
        <v>84.29</v>
      </c>
      <c r="N33" s="60">
        <v>50.7</v>
      </c>
      <c r="O33" s="60">
        <v>0</v>
      </c>
      <c r="P33" s="60">
        <v>3</v>
      </c>
      <c r="Q33" s="60">
        <v>68.33</v>
      </c>
      <c r="R33" s="197"/>
      <c r="S33" s="197"/>
      <c r="T33" s="197"/>
      <c r="U33" s="197"/>
    </row>
    <row r="34" spans="1:21" s="12" customFormat="1" x14ac:dyDescent="0.25">
      <c r="A34" s="200" t="s">
        <v>2481</v>
      </c>
      <c r="B34" s="60">
        <v>11.24</v>
      </c>
      <c r="C34" s="60">
        <v>6.54</v>
      </c>
      <c r="D34" s="60">
        <v>17.79</v>
      </c>
      <c r="E34" s="60">
        <v>6.89</v>
      </c>
      <c r="F34" s="60">
        <v>0.22</v>
      </c>
      <c r="G34" s="60">
        <v>19.079999999999998</v>
      </c>
      <c r="H34" s="60">
        <v>14.91</v>
      </c>
      <c r="I34" s="60">
        <v>10.56</v>
      </c>
      <c r="J34" s="60">
        <v>0.17</v>
      </c>
      <c r="K34" s="60">
        <v>323.14</v>
      </c>
      <c r="L34" s="60">
        <v>30.43</v>
      </c>
      <c r="M34" s="60">
        <v>82.54</v>
      </c>
      <c r="N34" s="60">
        <v>56.2</v>
      </c>
      <c r="O34" s="60">
        <v>0</v>
      </c>
      <c r="P34" s="60">
        <v>3</v>
      </c>
      <c r="Q34" s="60">
        <v>67.81</v>
      </c>
      <c r="R34" s="197"/>
      <c r="S34" s="197"/>
      <c r="T34" s="197"/>
      <c r="U34" s="197"/>
    </row>
    <row r="35" spans="1:21" s="12" customFormat="1" x14ac:dyDescent="0.25">
      <c r="A35" s="200" t="s">
        <v>2482</v>
      </c>
      <c r="B35" s="60">
        <v>11.36</v>
      </c>
      <c r="C35" s="60">
        <v>7.23</v>
      </c>
      <c r="D35" s="60">
        <v>18.59</v>
      </c>
      <c r="E35" s="60">
        <v>7.17</v>
      </c>
      <c r="F35" s="60">
        <v>0.05</v>
      </c>
      <c r="G35" s="10" t="s">
        <v>43</v>
      </c>
      <c r="H35" s="60">
        <v>15.6</v>
      </c>
      <c r="I35" s="60">
        <v>10.46</v>
      </c>
      <c r="J35" s="60">
        <v>0.21</v>
      </c>
      <c r="K35" s="60">
        <v>345.26</v>
      </c>
      <c r="L35" s="60">
        <v>30.52</v>
      </c>
      <c r="M35" s="60">
        <v>82.74</v>
      </c>
      <c r="N35" s="60">
        <v>72.599999999999994</v>
      </c>
      <c r="O35" s="60">
        <v>0</v>
      </c>
      <c r="P35" s="60">
        <v>3.01</v>
      </c>
      <c r="Q35" s="60">
        <v>69.09</v>
      </c>
      <c r="R35" s="197"/>
      <c r="S35" s="197"/>
      <c r="T35" s="197"/>
      <c r="U35" s="197"/>
    </row>
    <row r="36" spans="1:21" s="12" customFormat="1" x14ac:dyDescent="0.25">
      <c r="A36" s="200" t="s">
        <v>2483</v>
      </c>
      <c r="B36" s="60">
        <v>11.61</v>
      </c>
      <c r="C36" s="60">
        <v>7.8</v>
      </c>
      <c r="D36" s="60">
        <v>19.41</v>
      </c>
      <c r="E36" s="60">
        <v>7.59</v>
      </c>
      <c r="F36" s="60">
        <v>0.4</v>
      </c>
      <c r="G36" s="10" t="s">
        <v>43</v>
      </c>
      <c r="H36" s="60">
        <v>15.6</v>
      </c>
      <c r="I36" s="60">
        <v>10.38</v>
      </c>
      <c r="J36" s="60">
        <v>0.16</v>
      </c>
      <c r="K36" s="60">
        <v>16.190000000000001</v>
      </c>
      <c r="L36" s="60">
        <v>30.78</v>
      </c>
      <c r="M36" s="60">
        <v>81.599999999999994</v>
      </c>
      <c r="N36" s="60">
        <v>102.8</v>
      </c>
      <c r="O36" s="60">
        <v>0</v>
      </c>
      <c r="P36" s="60">
        <v>3.01</v>
      </c>
      <c r="Q36" s="60">
        <v>67.91</v>
      </c>
      <c r="R36" s="197"/>
      <c r="S36" s="197"/>
      <c r="T36" s="197"/>
      <c r="U36" s="197"/>
    </row>
    <row r="37" spans="1:21" s="12" customFormat="1" x14ac:dyDescent="0.25">
      <c r="A37" s="200" t="s">
        <v>2484</v>
      </c>
      <c r="B37" s="60">
        <v>11.82</v>
      </c>
      <c r="C37" s="60">
        <v>8.14</v>
      </c>
      <c r="D37" s="60">
        <v>19.95</v>
      </c>
      <c r="E37" s="60">
        <v>6.59</v>
      </c>
      <c r="F37" s="60">
        <v>0.3</v>
      </c>
      <c r="G37" s="10" t="s">
        <v>43</v>
      </c>
      <c r="H37" s="60">
        <v>15.6</v>
      </c>
      <c r="I37" s="60">
        <v>10.43</v>
      </c>
      <c r="J37" s="60">
        <v>0.25</v>
      </c>
      <c r="K37" s="60">
        <v>323.91000000000003</v>
      </c>
      <c r="L37" s="60">
        <v>31.35</v>
      </c>
      <c r="M37" s="60">
        <v>80.599999999999994</v>
      </c>
      <c r="N37" s="60">
        <v>136.80000000000001</v>
      </c>
      <c r="O37" s="60">
        <v>0</v>
      </c>
      <c r="P37" s="60">
        <v>3.03</v>
      </c>
      <c r="Q37" s="60">
        <v>65.37</v>
      </c>
      <c r="R37" s="197"/>
      <c r="S37" s="197"/>
      <c r="T37" s="197"/>
      <c r="U37" s="197"/>
    </row>
    <row r="38" spans="1:21" s="12" customFormat="1" x14ac:dyDescent="0.25">
      <c r="A38" s="200" t="s">
        <v>2485</v>
      </c>
      <c r="B38" s="60">
        <v>12.3</v>
      </c>
      <c r="C38" s="60">
        <v>9.0500000000000007</v>
      </c>
      <c r="D38" s="60">
        <v>21.35</v>
      </c>
      <c r="E38" s="60">
        <v>6.89</v>
      </c>
      <c r="F38" s="60">
        <v>0.18</v>
      </c>
      <c r="G38" s="10" t="s">
        <v>43</v>
      </c>
      <c r="H38" s="60">
        <v>15.83</v>
      </c>
      <c r="I38" s="60">
        <v>10.3</v>
      </c>
      <c r="J38" s="60">
        <v>0.19</v>
      </c>
      <c r="K38" s="60">
        <v>328.67</v>
      </c>
      <c r="L38" s="60">
        <v>31.83</v>
      </c>
      <c r="M38" s="60">
        <v>78.790000000000006</v>
      </c>
      <c r="N38" s="60">
        <v>148.19999999999999</v>
      </c>
      <c r="O38" s="60">
        <v>0</v>
      </c>
      <c r="P38" s="60">
        <v>3.05</v>
      </c>
      <c r="Q38" s="60">
        <v>66.62</v>
      </c>
      <c r="R38" s="197"/>
      <c r="S38" s="197"/>
      <c r="T38" s="197"/>
      <c r="U38" s="197"/>
    </row>
    <row r="39" spans="1:21" s="12" customFormat="1" x14ac:dyDescent="0.25">
      <c r="A39" s="200" t="s">
        <v>2486</v>
      </c>
      <c r="B39" s="60">
        <v>12.42</v>
      </c>
      <c r="C39" s="60">
        <v>9.51</v>
      </c>
      <c r="D39" s="60">
        <v>21.92</v>
      </c>
      <c r="E39" s="60">
        <v>6.68</v>
      </c>
      <c r="F39" s="60">
        <v>0.03</v>
      </c>
      <c r="G39" s="10" t="s">
        <v>43</v>
      </c>
      <c r="H39" s="60">
        <v>19.79</v>
      </c>
      <c r="I39" s="60">
        <v>10.210000000000001</v>
      </c>
      <c r="J39" s="60">
        <v>0.06</v>
      </c>
      <c r="K39" s="60">
        <v>32</v>
      </c>
      <c r="L39" s="60">
        <v>32.24</v>
      </c>
      <c r="M39" s="60">
        <v>76.959999999999994</v>
      </c>
      <c r="N39" s="60">
        <v>299.89999999999998</v>
      </c>
      <c r="O39" s="60">
        <v>0</v>
      </c>
      <c r="P39" s="60">
        <v>3.06</v>
      </c>
      <c r="Q39" s="60">
        <v>65.94</v>
      </c>
      <c r="R39" s="197"/>
      <c r="S39" s="197"/>
      <c r="T39" s="197"/>
      <c r="U39" s="197"/>
    </row>
    <row r="40" spans="1:21" s="12" customFormat="1" x14ac:dyDescent="0.25">
      <c r="A40" s="200" t="s">
        <v>2487</v>
      </c>
      <c r="B40" s="60">
        <v>12.63</v>
      </c>
      <c r="C40" s="60">
        <v>9.82</v>
      </c>
      <c r="D40" s="60">
        <v>22.45</v>
      </c>
      <c r="E40" s="60">
        <v>2.94</v>
      </c>
      <c r="F40" s="60">
        <v>0.38</v>
      </c>
      <c r="G40" s="10" t="s">
        <v>43</v>
      </c>
      <c r="H40" s="60">
        <v>19.79</v>
      </c>
      <c r="I40" s="60">
        <v>10.15</v>
      </c>
      <c r="J40" s="60">
        <v>0.17</v>
      </c>
      <c r="K40" s="60">
        <v>340.63</v>
      </c>
      <c r="L40" s="60">
        <v>33.15</v>
      </c>
      <c r="M40" s="60">
        <v>74.430000000000007</v>
      </c>
      <c r="N40" s="60">
        <v>233.4</v>
      </c>
      <c r="O40" s="60">
        <v>0</v>
      </c>
      <c r="P40" s="60">
        <v>3.05</v>
      </c>
      <c r="Q40" s="60">
        <v>64.790000000000006</v>
      </c>
      <c r="R40" s="197"/>
      <c r="S40" s="197"/>
      <c r="T40" s="197"/>
      <c r="U40" s="197"/>
    </row>
    <row r="41" spans="1:21" s="12" customFormat="1" x14ac:dyDescent="0.25">
      <c r="A41" s="200" t="s">
        <v>2488</v>
      </c>
      <c r="B41" s="60">
        <v>12.64</v>
      </c>
      <c r="C41" s="60">
        <v>10.41</v>
      </c>
      <c r="D41" s="60">
        <v>23.05</v>
      </c>
      <c r="E41" s="60">
        <v>5.41</v>
      </c>
      <c r="F41" s="60">
        <v>0.15</v>
      </c>
      <c r="G41" s="10" t="s">
        <v>43</v>
      </c>
      <c r="H41" s="60">
        <v>19.79</v>
      </c>
      <c r="I41" s="60">
        <v>10.15</v>
      </c>
      <c r="J41" s="60">
        <v>0.16</v>
      </c>
      <c r="K41" s="60">
        <v>350.92</v>
      </c>
      <c r="L41" s="60">
        <v>32.630000000000003</v>
      </c>
      <c r="M41" s="60">
        <v>76.819999999999993</v>
      </c>
      <c r="N41" s="60">
        <v>102</v>
      </c>
      <c r="O41" s="60">
        <v>0</v>
      </c>
      <c r="P41" s="60">
        <v>3.08</v>
      </c>
      <c r="Q41" s="60">
        <v>63.12</v>
      </c>
      <c r="R41" s="197"/>
      <c r="S41" s="197"/>
      <c r="T41" s="197"/>
      <c r="U41" s="197"/>
    </row>
    <row r="42" spans="1:21" s="12" customFormat="1" x14ac:dyDescent="0.25">
      <c r="A42" s="200" t="s">
        <v>2489</v>
      </c>
      <c r="B42" s="60">
        <v>12.18</v>
      </c>
      <c r="C42" s="60">
        <v>11.29</v>
      </c>
      <c r="D42" s="60">
        <v>23.47</v>
      </c>
      <c r="E42" s="60">
        <v>5.87</v>
      </c>
      <c r="F42" s="60">
        <v>0.17</v>
      </c>
      <c r="G42" s="60">
        <v>70.37</v>
      </c>
      <c r="H42" s="60">
        <v>19.940000000000001</v>
      </c>
      <c r="I42" s="60">
        <v>9.93</v>
      </c>
      <c r="J42" s="60">
        <v>0.1</v>
      </c>
      <c r="K42" s="60">
        <v>359.49</v>
      </c>
      <c r="L42" s="60">
        <v>31.31</v>
      </c>
      <c r="M42" s="60">
        <v>81.03</v>
      </c>
      <c r="N42" s="60">
        <v>129.1</v>
      </c>
      <c r="O42" s="60">
        <v>0</v>
      </c>
      <c r="P42" s="60">
        <v>3.07</v>
      </c>
      <c r="Q42" s="60">
        <v>63.42</v>
      </c>
      <c r="R42" s="197"/>
      <c r="S42" s="197"/>
      <c r="T42" s="197"/>
      <c r="U42" s="197"/>
    </row>
    <row r="43" spans="1:21" s="12" customFormat="1" x14ac:dyDescent="0.25">
      <c r="A43" s="200" t="s">
        <v>2490</v>
      </c>
      <c r="B43" s="60">
        <v>11.76</v>
      </c>
      <c r="C43" s="60">
        <v>11.69</v>
      </c>
      <c r="D43" s="60">
        <v>23.45</v>
      </c>
      <c r="E43" s="60">
        <v>5.72</v>
      </c>
      <c r="F43" s="60">
        <v>0.04</v>
      </c>
      <c r="G43" s="10" t="s">
        <v>43</v>
      </c>
      <c r="H43" s="60">
        <v>22.46</v>
      </c>
      <c r="I43" s="60">
        <v>9.6999999999999993</v>
      </c>
      <c r="J43" s="60">
        <v>0.13</v>
      </c>
      <c r="K43" s="60">
        <v>17.43</v>
      </c>
      <c r="L43" s="60">
        <v>32.14</v>
      </c>
      <c r="M43" s="60">
        <v>78.709999999999994</v>
      </c>
      <c r="N43" s="60">
        <v>224.7</v>
      </c>
      <c r="O43" s="60">
        <v>0</v>
      </c>
      <c r="P43" s="60">
        <v>3.09</v>
      </c>
      <c r="Q43" s="60">
        <v>63.77</v>
      </c>
      <c r="R43" s="197"/>
      <c r="S43" s="197"/>
      <c r="T43" s="197"/>
      <c r="U43" s="197"/>
    </row>
    <row r="44" spans="1:21" s="12" customFormat="1" x14ac:dyDescent="0.25">
      <c r="A44" s="200" t="s">
        <v>2491</v>
      </c>
      <c r="B44" s="60">
        <v>11.54</v>
      </c>
      <c r="C44" s="60">
        <v>11.83</v>
      </c>
      <c r="D44" s="60">
        <v>23.37</v>
      </c>
      <c r="E44" s="60">
        <v>5.45</v>
      </c>
      <c r="F44" s="60">
        <v>0.28999999999999998</v>
      </c>
      <c r="G44" s="10" t="s">
        <v>43</v>
      </c>
      <c r="H44" s="60">
        <v>22.46</v>
      </c>
      <c r="I44" s="60">
        <v>9.34</v>
      </c>
      <c r="J44" s="60">
        <v>0.17</v>
      </c>
      <c r="K44" s="60">
        <v>8.56</v>
      </c>
      <c r="L44" s="60">
        <v>32.869999999999997</v>
      </c>
      <c r="M44" s="60">
        <v>75.41</v>
      </c>
      <c r="N44" s="60">
        <v>363</v>
      </c>
      <c r="O44" s="60">
        <v>0</v>
      </c>
      <c r="P44" s="60">
        <v>3.1</v>
      </c>
      <c r="Q44" s="60">
        <v>63.15</v>
      </c>
      <c r="R44" s="197"/>
      <c r="S44" s="197"/>
      <c r="T44" s="197"/>
      <c r="U44" s="197"/>
    </row>
    <row r="45" spans="1:21" s="12" customFormat="1" x14ac:dyDescent="0.25">
      <c r="A45" s="200" t="s">
        <v>2492</v>
      </c>
      <c r="B45" s="60">
        <v>11.19</v>
      </c>
      <c r="C45" s="60">
        <v>12.33</v>
      </c>
      <c r="D45" s="60">
        <v>23.52</v>
      </c>
      <c r="E45" s="60">
        <v>5.78</v>
      </c>
      <c r="F45" s="60">
        <v>0.06</v>
      </c>
      <c r="G45" s="10" t="s">
        <v>43</v>
      </c>
      <c r="H45" s="60">
        <v>22.46</v>
      </c>
      <c r="I45" s="60">
        <v>9.34</v>
      </c>
      <c r="J45" s="60">
        <v>0.38</v>
      </c>
      <c r="K45" s="60">
        <v>317.25</v>
      </c>
      <c r="L45" s="60">
        <v>34.659999999999997</v>
      </c>
      <c r="M45" s="60">
        <v>70.64</v>
      </c>
      <c r="N45" s="60">
        <v>409.8</v>
      </c>
      <c r="O45" s="60">
        <v>0</v>
      </c>
      <c r="P45" s="60">
        <v>3.13</v>
      </c>
      <c r="Q45" s="60">
        <v>62.01</v>
      </c>
      <c r="R45" s="197"/>
      <c r="S45" s="197"/>
      <c r="T45" s="197"/>
      <c r="U45" s="197"/>
    </row>
    <row r="46" spans="1:21" s="12" customFormat="1" x14ac:dyDescent="0.25">
      <c r="A46" s="200" t="s">
        <v>2493</v>
      </c>
      <c r="B46" s="60">
        <v>11.26</v>
      </c>
      <c r="C46" s="60">
        <v>12.32</v>
      </c>
      <c r="D46" s="60">
        <v>23.58</v>
      </c>
      <c r="E46" s="60">
        <v>5.97</v>
      </c>
      <c r="F46" s="60">
        <v>0.2</v>
      </c>
      <c r="G46" s="10" t="s">
        <v>43</v>
      </c>
      <c r="H46" s="60">
        <v>22.89</v>
      </c>
      <c r="I46" s="60">
        <v>9.2899999999999991</v>
      </c>
      <c r="J46" s="60">
        <v>0.44</v>
      </c>
      <c r="K46" s="60">
        <v>313.42</v>
      </c>
      <c r="L46" s="60">
        <v>35.700000000000003</v>
      </c>
      <c r="M46" s="60">
        <v>67.72</v>
      </c>
      <c r="N46" s="60">
        <v>362.6</v>
      </c>
      <c r="O46" s="60">
        <v>0</v>
      </c>
      <c r="P46" s="60">
        <v>3.15</v>
      </c>
      <c r="Q46" s="60">
        <v>60.91</v>
      </c>
      <c r="R46" s="197"/>
      <c r="S46" s="197"/>
      <c r="T46" s="197"/>
      <c r="U46" s="197"/>
    </row>
    <row r="47" spans="1:21" s="12" customFormat="1" x14ac:dyDescent="0.25">
      <c r="A47" s="200" t="s">
        <v>2494</v>
      </c>
      <c r="B47" s="60">
        <v>11.29</v>
      </c>
      <c r="C47" s="60">
        <v>12.72</v>
      </c>
      <c r="D47" s="60">
        <v>24.01</v>
      </c>
      <c r="E47" s="60">
        <v>5.36</v>
      </c>
      <c r="F47" s="60">
        <v>0.2</v>
      </c>
      <c r="G47" s="60">
        <v>104.13</v>
      </c>
      <c r="H47" s="60">
        <v>30.26</v>
      </c>
      <c r="I47" s="60">
        <v>9.15</v>
      </c>
      <c r="J47" s="60">
        <v>0.23</v>
      </c>
      <c r="K47" s="60">
        <v>349.45</v>
      </c>
      <c r="L47" s="60">
        <v>35.659999999999997</v>
      </c>
      <c r="M47" s="60">
        <v>67.31</v>
      </c>
      <c r="N47" s="60">
        <v>694</v>
      </c>
      <c r="O47" s="60">
        <v>0</v>
      </c>
      <c r="P47" s="60">
        <v>3.17</v>
      </c>
      <c r="Q47" s="60">
        <v>61.35</v>
      </c>
      <c r="R47" s="197"/>
      <c r="S47" s="197"/>
      <c r="T47" s="197"/>
      <c r="U47" s="197"/>
    </row>
    <row r="48" spans="1:21" s="12" customFormat="1" x14ac:dyDescent="0.25">
      <c r="A48" s="200" t="s">
        <v>2495</v>
      </c>
      <c r="B48" s="60">
        <v>10.78</v>
      </c>
      <c r="C48" s="60">
        <v>12.97</v>
      </c>
      <c r="D48" s="60">
        <v>23.75</v>
      </c>
      <c r="E48" s="60">
        <v>5.46</v>
      </c>
      <c r="F48" s="60">
        <v>0.19</v>
      </c>
      <c r="G48" s="60">
        <v>104.13</v>
      </c>
      <c r="H48" s="60">
        <v>30.26</v>
      </c>
      <c r="I48" s="60">
        <v>9.2200000000000006</v>
      </c>
      <c r="J48" s="60">
        <v>0.63</v>
      </c>
      <c r="K48" s="60">
        <v>316.79000000000002</v>
      </c>
      <c r="L48" s="60">
        <v>38.799999999999997</v>
      </c>
      <c r="M48" s="60">
        <v>59.04</v>
      </c>
      <c r="N48" s="60">
        <v>769.8</v>
      </c>
      <c r="O48" s="60">
        <v>0</v>
      </c>
      <c r="P48" s="60">
        <v>3.19</v>
      </c>
      <c r="Q48" s="60">
        <v>59.81</v>
      </c>
      <c r="R48" s="197"/>
      <c r="S48" s="197"/>
      <c r="T48" s="197"/>
      <c r="U48" s="197"/>
    </row>
    <row r="49" spans="1:21" s="12" customFormat="1" x14ac:dyDescent="0.25">
      <c r="A49" s="200" t="s">
        <v>2496</v>
      </c>
      <c r="B49" s="60">
        <v>9.59</v>
      </c>
      <c r="C49" s="60">
        <v>15.87</v>
      </c>
      <c r="D49" s="60">
        <v>25.46</v>
      </c>
      <c r="E49" s="60">
        <v>5.07</v>
      </c>
      <c r="F49" s="60">
        <v>0.67</v>
      </c>
      <c r="G49" s="60">
        <v>104.13</v>
      </c>
      <c r="H49" s="60">
        <v>30.26</v>
      </c>
      <c r="I49" s="60">
        <v>9.34</v>
      </c>
      <c r="J49" s="60">
        <v>0.67</v>
      </c>
      <c r="K49" s="60">
        <v>328.27</v>
      </c>
      <c r="L49" s="60">
        <v>39.619999999999997</v>
      </c>
      <c r="M49" s="60">
        <v>57.2</v>
      </c>
      <c r="N49" s="60">
        <v>848</v>
      </c>
      <c r="O49" s="60">
        <v>0</v>
      </c>
      <c r="P49" s="60">
        <v>3.2</v>
      </c>
      <c r="Q49" s="60">
        <v>60.34</v>
      </c>
      <c r="R49" s="197"/>
      <c r="S49" s="197"/>
      <c r="T49" s="197"/>
      <c r="U49" s="197"/>
    </row>
    <row r="50" spans="1:21" s="12" customFormat="1" x14ac:dyDescent="0.25">
      <c r="A50" s="200" t="s">
        <v>2497</v>
      </c>
      <c r="B50" s="60">
        <v>7.52</v>
      </c>
      <c r="C50" s="60">
        <v>19.5</v>
      </c>
      <c r="D50" s="60">
        <v>27.02</v>
      </c>
      <c r="E50" s="60">
        <v>4.79</v>
      </c>
      <c r="F50" s="60">
        <v>1.1599999999999999</v>
      </c>
      <c r="G50" s="60">
        <v>102.03</v>
      </c>
      <c r="H50" s="60">
        <v>30.09</v>
      </c>
      <c r="I50" s="60">
        <v>9.32</v>
      </c>
      <c r="J50" s="60">
        <v>1.17</v>
      </c>
      <c r="K50" s="60">
        <v>316.85000000000002</v>
      </c>
      <c r="L50" s="60">
        <v>41.3</v>
      </c>
      <c r="M50" s="60">
        <v>53.6</v>
      </c>
      <c r="N50" s="60">
        <v>756.8</v>
      </c>
      <c r="O50" s="60">
        <v>0</v>
      </c>
      <c r="P50" s="60">
        <v>3.22</v>
      </c>
      <c r="Q50" s="60">
        <v>59.63</v>
      </c>
      <c r="R50" s="197"/>
      <c r="S50" s="197"/>
      <c r="T50" s="197"/>
      <c r="U50" s="197"/>
    </row>
    <row r="51" spans="1:21" s="12" customFormat="1" x14ac:dyDescent="0.25">
      <c r="A51" s="200" t="s">
        <v>2498</v>
      </c>
      <c r="B51" s="60">
        <v>5.32</v>
      </c>
      <c r="C51" s="60">
        <v>22.2</v>
      </c>
      <c r="D51" s="60">
        <v>27.52</v>
      </c>
      <c r="E51" s="60">
        <v>3.82</v>
      </c>
      <c r="F51" s="60">
        <v>2.2999999999999998</v>
      </c>
      <c r="G51" s="60">
        <v>66.34</v>
      </c>
      <c r="H51" s="60">
        <v>27.18</v>
      </c>
      <c r="I51" s="60">
        <v>9</v>
      </c>
      <c r="J51" s="60">
        <v>1.1100000000000001</v>
      </c>
      <c r="K51" s="60">
        <v>318.41000000000003</v>
      </c>
      <c r="L51" s="60">
        <v>41.64</v>
      </c>
      <c r="M51" s="60">
        <v>52.32</v>
      </c>
      <c r="N51" s="60">
        <v>639.79999999999995</v>
      </c>
      <c r="O51" s="60">
        <v>0</v>
      </c>
      <c r="P51" s="60">
        <v>100.12</v>
      </c>
      <c r="Q51" s="60">
        <v>59.58</v>
      </c>
      <c r="R51" s="197"/>
      <c r="S51" s="197"/>
      <c r="T51" s="197"/>
      <c r="U51" s="197"/>
    </row>
    <row r="52" spans="1:21" s="12" customFormat="1" x14ac:dyDescent="0.25">
      <c r="A52" s="200" t="s">
        <v>2499</v>
      </c>
      <c r="B52" s="60">
        <v>3.69</v>
      </c>
      <c r="C52" s="60">
        <v>22.96</v>
      </c>
      <c r="D52" s="60">
        <v>26.65</v>
      </c>
      <c r="E52" s="60">
        <v>3.01</v>
      </c>
      <c r="F52" s="60">
        <v>2.34</v>
      </c>
      <c r="G52" s="60">
        <v>66.34</v>
      </c>
      <c r="H52" s="60">
        <v>27.18</v>
      </c>
      <c r="I52" s="60">
        <v>8.83</v>
      </c>
      <c r="J52" s="60">
        <v>1.1000000000000001</v>
      </c>
      <c r="K52" s="60">
        <v>323.29000000000002</v>
      </c>
      <c r="L52" s="10" t="s">
        <v>43</v>
      </c>
      <c r="M52" s="60">
        <v>53.43</v>
      </c>
      <c r="N52" s="60">
        <v>616.6</v>
      </c>
      <c r="O52" s="60">
        <v>0</v>
      </c>
      <c r="P52" s="60">
        <v>106.02</v>
      </c>
      <c r="Q52" s="60">
        <v>28.86</v>
      </c>
      <c r="R52" s="197"/>
      <c r="S52" s="197"/>
      <c r="T52" s="197"/>
      <c r="U52" s="197"/>
    </row>
    <row r="53" spans="1:21" s="12" customFormat="1" x14ac:dyDescent="0.25">
      <c r="A53" s="200" t="s">
        <v>2500</v>
      </c>
      <c r="B53" s="60">
        <v>3.56</v>
      </c>
      <c r="C53" s="60">
        <v>20.75</v>
      </c>
      <c r="D53" s="60">
        <v>24.31</v>
      </c>
      <c r="E53" s="60">
        <v>3.29</v>
      </c>
      <c r="F53" s="60">
        <v>1.44</v>
      </c>
      <c r="G53" s="60">
        <v>66.34</v>
      </c>
      <c r="H53" s="60">
        <v>27.18</v>
      </c>
      <c r="I53" s="60">
        <v>13.29</v>
      </c>
      <c r="J53" s="60">
        <v>0.98</v>
      </c>
      <c r="K53" s="60">
        <v>316.75</v>
      </c>
      <c r="L53" s="10" t="s">
        <v>43</v>
      </c>
      <c r="M53" s="60">
        <v>56.01</v>
      </c>
      <c r="N53" s="60">
        <v>279.7</v>
      </c>
      <c r="O53" s="60">
        <v>0</v>
      </c>
      <c r="P53" s="60">
        <v>7.38</v>
      </c>
      <c r="Q53" s="60">
        <v>24.26</v>
      </c>
      <c r="R53" s="197"/>
      <c r="S53" s="197"/>
      <c r="T53" s="197"/>
      <c r="U53" s="197"/>
    </row>
    <row r="54" spans="1:21" s="12" customFormat="1" x14ac:dyDescent="0.25">
      <c r="A54" s="200" t="s">
        <v>2501</v>
      </c>
      <c r="B54" s="60">
        <v>3.78</v>
      </c>
      <c r="C54" s="60">
        <v>18.43</v>
      </c>
      <c r="D54" s="60">
        <v>22.21</v>
      </c>
      <c r="E54" s="60">
        <v>2.96</v>
      </c>
      <c r="F54" s="60">
        <v>1.41</v>
      </c>
      <c r="G54" s="60">
        <v>65.260000000000005</v>
      </c>
      <c r="H54" s="60">
        <v>27.04</v>
      </c>
      <c r="I54" s="60">
        <v>28.64</v>
      </c>
      <c r="J54" s="60">
        <v>1.08</v>
      </c>
      <c r="K54" s="60">
        <v>313.86</v>
      </c>
      <c r="L54" s="10" t="s">
        <v>43</v>
      </c>
      <c r="M54" s="60">
        <v>57.65</v>
      </c>
      <c r="N54" s="60">
        <v>541.9</v>
      </c>
      <c r="O54" s="60">
        <v>0</v>
      </c>
      <c r="P54" s="60">
        <v>1.19</v>
      </c>
      <c r="Q54" s="60">
        <v>29.69</v>
      </c>
      <c r="R54" s="197"/>
      <c r="S54" s="197"/>
      <c r="T54" s="197"/>
      <c r="U54" s="197"/>
    </row>
    <row r="55" spans="1:21" s="12" customFormat="1" x14ac:dyDescent="0.25">
      <c r="A55" s="200" t="s">
        <v>2502</v>
      </c>
      <c r="B55" s="60">
        <v>2.91</v>
      </c>
      <c r="C55" s="60">
        <v>18.489999999999998</v>
      </c>
      <c r="D55" s="60">
        <v>21.4</v>
      </c>
      <c r="E55" s="60">
        <v>2.75</v>
      </c>
      <c r="F55" s="60">
        <v>2.74</v>
      </c>
      <c r="G55" s="60">
        <v>46.92</v>
      </c>
      <c r="H55" s="60">
        <v>24.56</v>
      </c>
      <c r="I55" s="60">
        <v>54.7</v>
      </c>
      <c r="J55" s="60">
        <v>0.87</v>
      </c>
      <c r="K55" s="60">
        <v>317.89</v>
      </c>
      <c r="L55" s="10" t="s">
        <v>43</v>
      </c>
      <c r="M55" s="60">
        <v>58.44</v>
      </c>
      <c r="N55" s="60">
        <v>162.19999999999999</v>
      </c>
      <c r="O55" s="60">
        <v>0</v>
      </c>
      <c r="P55" s="60">
        <v>1.1299999999999999</v>
      </c>
      <c r="Q55" s="60">
        <v>30.22</v>
      </c>
      <c r="R55" s="197"/>
      <c r="S55" s="197"/>
      <c r="T55" s="197"/>
      <c r="U55" s="197"/>
    </row>
    <row r="56" spans="1:21" s="12" customFormat="1" x14ac:dyDescent="0.25">
      <c r="A56" s="200" t="s">
        <v>2503</v>
      </c>
      <c r="B56" s="60">
        <v>2.4700000000000002</v>
      </c>
      <c r="C56" s="60">
        <v>18.93</v>
      </c>
      <c r="D56" s="60">
        <v>21.39</v>
      </c>
      <c r="E56" s="60">
        <v>1.86</v>
      </c>
      <c r="F56" s="60">
        <v>2.54</v>
      </c>
      <c r="G56" s="60">
        <v>46.92</v>
      </c>
      <c r="H56" s="60">
        <v>24.56</v>
      </c>
      <c r="I56" s="60">
        <v>98.12</v>
      </c>
      <c r="J56" s="60">
        <v>0.06</v>
      </c>
      <c r="K56" s="60">
        <v>213.29</v>
      </c>
      <c r="L56" s="10" t="s">
        <v>43</v>
      </c>
      <c r="M56" s="60">
        <v>70.33</v>
      </c>
      <c r="N56" s="60">
        <v>107.6</v>
      </c>
      <c r="O56" s="60">
        <v>0</v>
      </c>
      <c r="P56" s="60">
        <v>1.1000000000000001</v>
      </c>
      <c r="Q56" s="60">
        <v>30.6</v>
      </c>
      <c r="R56" s="197"/>
      <c r="S56" s="197"/>
      <c r="T56" s="197"/>
      <c r="U56" s="197"/>
    </row>
    <row r="57" spans="1:21" s="12" customFormat="1" x14ac:dyDescent="0.25">
      <c r="A57" s="200" t="s">
        <v>2504</v>
      </c>
      <c r="B57" s="60">
        <v>1.88</v>
      </c>
      <c r="C57" s="60">
        <v>19.739999999999998</v>
      </c>
      <c r="D57" s="60">
        <v>21.62</v>
      </c>
      <c r="E57" s="60">
        <v>2.98</v>
      </c>
      <c r="F57" s="60">
        <v>1.47</v>
      </c>
      <c r="G57" s="60">
        <v>46.92</v>
      </c>
      <c r="H57" s="60">
        <v>24.56</v>
      </c>
      <c r="I57" s="60">
        <v>3203.68</v>
      </c>
      <c r="J57" s="60">
        <v>0.54</v>
      </c>
      <c r="K57" s="60">
        <v>168.65</v>
      </c>
      <c r="L57" s="10" t="s">
        <v>43</v>
      </c>
      <c r="M57" s="60">
        <v>72.819999999999993</v>
      </c>
      <c r="N57" s="60">
        <v>121.6</v>
      </c>
      <c r="O57" s="60">
        <v>0</v>
      </c>
      <c r="P57" s="60">
        <v>0.86</v>
      </c>
      <c r="Q57" s="60">
        <v>20.29</v>
      </c>
      <c r="R57" s="197"/>
      <c r="S57" s="197"/>
      <c r="T57" s="197"/>
      <c r="U57" s="197"/>
    </row>
    <row r="58" spans="1:21" s="12" customFormat="1" x14ac:dyDescent="0.25">
      <c r="A58" s="200" t="s">
        <v>2505</v>
      </c>
      <c r="B58" s="60">
        <v>1.43</v>
      </c>
      <c r="C58" s="60">
        <v>18.489999999999998</v>
      </c>
      <c r="D58" s="60">
        <v>19.920000000000002</v>
      </c>
      <c r="E58" s="60">
        <v>3.2</v>
      </c>
      <c r="F58" s="60">
        <v>1.36</v>
      </c>
      <c r="G58" s="60">
        <v>49.01</v>
      </c>
      <c r="H58" s="60">
        <v>24.6</v>
      </c>
      <c r="I58" s="218" t="s">
        <v>43</v>
      </c>
      <c r="J58" s="60">
        <v>0.8</v>
      </c>
      <c r="K58" s="60">
        <v>171.3</v>
      </c>
      <c r="L58" s="10" t="s">
        <v>43</v>
      </c>
      <c r="M58" s="60">
        <v>73.87</v>
      </c>
      <c r="N58" s="60">
        <v>133.1</v>
      </c>
      <c r="O58" s="60">
        <v>0</v>
      </c>
      <c r="P58" s="60">
        <v>0.72</v>
      </c>
      <c r="Q58" s="60">
        <v>5.9</v>
      </c>
      <c r="R58" s="197"/>
      <c r="S58" s="197"/>
      <c r="T58" s="197"/>
      <c r="U58" s="197"/>
    </row>
    <row r="59" spans="1:21" s="12" customFormat="1" x14ac:dyDescent="0.25">
      <c r="A59" s="200" t="s">
        <v>2506</v>
      </c>
      <c r="B59" s="60">
        <v>1.45</v>
      </c>
      <c r="C59" s="60">
        <v>16.670000000000002</v>
      </c>
      <c r="D59" s="60">
        <v>18.12</v>
      </c>
      <c r="E59" s="60">
        <v>3.46</v>
      </c>
      <c r="F59" s="60">
        <v>0.27</v>
      </c>
      <c r="G59" s="60">
        <v>84.65</v>
      </c>
      <c r="H59" s="60">
        <v>25.35</v>
      </c>
      <c r="I59" s="218" t="s">
        <v>43</v>
      </c>
      <c r="J59" s="60">
        <v>0.62</v>
      </c>
      <c r="K59" s="60">
        <v>174.03</v>
      </c>
      <c r="L59" s="10" t="s">
        <v>43</v>
      </c>
      <c r="M59" s="60">
        <v>75.680000000000007</v>
      </c>
      <c r="N59" s="60">
        <v>150.30000000000001</v>
      </c>
      <c r="O59" s="60">
        <v>0</v>
      </c>
      <c r="P59" s="60">
        <v>1.06</v>
      </c>
      <c r="Q59" s="60">
        <v>8.8000000000000007</v>
      </c>
      <c r="R59" s="197"/>
      <c r="S59" s="197"/>
      <c r="T59" s="197"/>
      <c r="U59" s="197"/>
    </row>
    <row r="60" spans="1:21" s="12" customFormat="1" x14ac:dyDescent="0.25">
      <c r="A60" s="200" t="s">
        <v>2507</v>
      </c>
      <c r="B60" s="60">
        <v>1.6</v>
      </c>
      <c r="C60" s="60">
        <v>15.25</v>
      </c>
      <c r="D60" s="60">
        <v>16.86</v>
      </c>
      <c r="E60" s="60">
        <v>3.35</v>
      </c>
      <c r="F60" s="60">
        <v>0.96</v>
      </c>
      <c r="G60" s="60">
        <v>84.65</v>
      </c>
      <c r="H60" s="60">
        <v>25.35</v>
      </c>
      <c r="I60" s="218" t="s">
        <v>43</v>
      </c>
      <c r="J60" s="60">
        <v>0.91</v>
      </c>
      <c r="K60" s="60">
        <v>160.4</v>
      </c>
      <c r="L60" s="10" t="s">
        <v>43</v>
      </c>
      <c r="M60" s="60">
        <v>73.430000000000007</v>
      </c>
      <c r="N60" s="60">
        <v>211.3</v>
      </c>
      <c r="O60" s="60">
        <v>0</v>
      </c>
      <c r="P60" s="60">
        <v>7.15</v>
      </c>
      <c r="Q60" s="60">
        <v>15.11</v>
      </c>
      <c r="R60" s="197"/>
      <c r="S60" s="197"/>
      <c r="T60" s="197"/>
      <c r="U60" s="197"/>
    </row>
    <row r="61" spans="1:21" s="12" customFormat="1" x14ac:dyDescent="0.25">
      <c r="A61" s="200" t="s">
        <v>2508</v>
      </c>
      <c r="B61" s="60">
        <v>1.45</v>
      </c>
      <c r="C61" s="60">
        <v>14.89</v>
      </c>
      <c r="D61" s="60">
        <v>16.34</v>
      </c>
      <c r="E61" s="60">
        <v>3.1</v>
      </c>
      <c r="F61" s="60">
        <v>0.72</v>
      </c>
      <c r="G61" s="60">
        <v>84.65</v>
      </c>
      <c r="H61" s="60">
        <v>25.35</v>
      </c>
      <c r="I61" s="218" t="s">
        <v>43</v>
      </c>
      <c r="J61" s="60">
        <v>0.94</v>
      </c>
      <c r="K61" s="60">
        <v>161.68</v>
      </c>
      <c r="L61" s="10" t="s">
        <v>43</v>
      </c>
      <c r="M61" s="60">
        <v>73.239999999999995</v>
      </c>
      <c r="N61" s="60">
        <v>331.9</v>
      </c>
      <c r="O61" s="60">
        <v>0</v>
      </c>
      <c r="P61" s="60">
        <v>0.63</v>
      </c>
      <c r="Q61" s="60">
        <v>14.49</v>
      </c>
      <c r="R61" s="197"/>
      <c r="S61" s="197"/>
      <c r="T61" s="197"/>
      <c r="U61" s="197"/>
    </row>
    <row r="62" spans="1:21" s="12" customFormat="1" x14ac:dyDescent="0.25">
      <c r="A62" s="200" t="s">
        <v>2509</v>
      </c>
      <c r="B62" s="60">
        <v>1.24</v>
      </c>
      <c r="C62" s="60">
        <v>14.82</v>
      </c>
      <c r="D62" s="60">
        <v>16.059999999999999</v>
      </c>
      <c r="E62" s="60">
        <v>0.26</v>
      </c>
      <c r="F62" s="60">
        <v>1.22</v>
      </c>
      <c r="G62" s="60">
        <v>84.65</v>
      </c>
      <c r="H62" s="60">
        <v>25.35</v>
      </c>
      <c r="I62" s="218" t="s">
        <v>43</v>
      </c>
      <c r="J62" s="60">
        <v>0.92</v>
      </c>
      <c r="K62" s="60">
        <v>158.9</v>
      </c>
      <c r="L62" s="10" t="s">
        <v>43</v>
      </c>
      <c r="M62" s="60">
        <v>69.459999999999994</v>
      </c>
      <c r="N62" s="60">
        <v>459.7</v>
      </c>
      <c r="O62" s="60">
        <v>0</v>
      </c>
      <c r="P62" s="60">
        <v>0.63</v>
      </c>
      <c r="Q62" s="60">
        <v>13.85</v>
      </c>
      <c r="R62" s="197"/>
      <c r="S62" s="197"/>
      <c r="T62" s="197"/>
      <c r="U62" s="197"/>
    </row>
    <row r="63" spans="1:21" s="12" customFormat="1" x14ac:dyDescent="0.25">
      <c r="A63" s="200" t="s">
        <v>2510</v>
      </c>
      <c r="B63" s="60">
        <v>1.1599999999999999</v>
      </c>
      <c r="C63" s="60">
        <v>14.3</v>
      </c>
      <c r="D63" s="60">
        <v>15.45</v>
      </c>
      <c r="E63" s="218" t="s">
        <v>43</v>
      </c>
      <c r="F63" s="60">
        <v>0.93</v>
      </c>
      <c r="G63" s="60">
        <v>84.65</v>
      </c>
      <c r="H63" s="60">
        <v>25.35</v>
      </c>
      <c r="I63" s="218" t="s">
        <v>43</v>
      </c>
      <c r="J63" s="60">
        <v>0.15</v>
      </c>
      <c r="K63" s="60">
        <v>184.57</v>
      </c>
      <c r="L63" s="10" t="s">
        <v>43</v>
      </c>
      <c r="M63" s="60">
        <v>65.709999999999994</v>
      </c>
      <c r="N63" s="60">
        <v>730.6</v>
      </c>
      <c r="O63" s="60">
        <v>0</v>
      </c>
      <c r="P63" s="60">
        <v>0.6</v>
      </c>
      <c r="Q63" s="60">
        <v>15.57</v>
      </c>
      <c r="R63" s="197"/>
      <c r="S63" s="197"/>
      <c r="T63" s="197"/>
      <c r="U63" s="197"/>
    </row>
    <row r="64" spans="1:21" s="12" customFormat="1" x14ac:dyDescent="0.25">
      <c r="A64" s="200" t="s">
        <v>2511</v>
      </c>
      <c r="B64" s="60">
        <v>1.27</v>
      </c>
      <c r="C64" s="60">
        <v>14.52</v>
      </c>
      <c r="D64" s="60">
        <v>15.79</v>
      </c>
      <c r="E64" s="60">
        <v>4.72</v>
      </c>
      <c r="F64" s="60">
        <v>1.78</v>
      </c>
      <c r="G64" s="219" t="s">
        <v>40</v>
      </c>
      <c r="H64" s="219" t="s">
        <v>40</v>
      </c>
      <c r="I64" s="60">
        <v>98.62</v>
      </c>
      <c r="J64" s="60">
        <v>0.02</v>
      </c>
      <c r="K64" s="60">
        <v>1.22</v>
      </c>
      <c r="L64" s="10" t="s">
        <v>43</v>
      </c>
      <c r="M64" s="60">
        <v>65.28</v>
      </c>
      <c r="N64" s="60">
        <v>379.2</v>
      </c>
      <c r="O64" s="60">
        <v>0</v>
      </c>
      <c r="P64" s="60">
        <v>0.63</v>
      </c>
      <c r="Q64" s="60">
        <v>24.75</v>
      </c>
      <c r="R64" s="197"/>
      <c r="S64" s="197"/>
      <c r="T64" s="197"/>
      <c r="U64" s="197"/>
    </row>
    <row r="65" spans="1:21" s="12" customFormat="1" x14ac:dyDescent="0.25">
      <c r="A65" s="200" t="s">
        <v>2512</v>
      </c>
      <c r="B65" s="60">
        <v>1.25</v>
      </c>
      <c r="C65" s="60">
        <v>15.51</v>
      </c>
      <c r="D65" s="60">
        <v>16.760000000000002</v>
      </c>
      <c r="E65" s="60">
        <v>6.25</v>
      </c>
      <c r="F65" s="60">
        <v>1.95</v>
      </c>
      <c r="G65" s="219" t="s">
        <v>40</v>
      </c>
      <c r="H65" s="219" t="s">
        <v>40</v>
      </c>
      <c r="I65" s="60">
        <v>148.51</v>
      </c>
      <c r="J65" s="60">
        <v>7.0000000000000007E-2</v>
      </c>
      <c r="K65" s="60">
        <v>244.33</v>
      </c>
      <c r="L65" s="10" t="s">
        <v>43</v>
      </c>
      <c r="M65" s="60">
        <v>65.63</v>
      </c>
      <c r="N65" s="60">
        <v>384.2</v>
      </c>
      <c r="O65" s="60">
        <v>0</v>
      </c>
      <c r="P65" s="60">
        <v>0.63</v>
      </c>
      <c r="Q65" s="60">
        <v>23.06</v>
      </c>
      <c r="R65" s="197"/>
      <c r="S65" s="197"/>
      <c r="T65" s="197"/>
      <c r="U65" s="197"/>
    </row>
    <row r="66" spans="1:21" s="12" customFormat="1" x14ac:dyDescent="0.25">
      <c r="A66" s="200" t="s">
        <v>2513</v>
      </c>
      <c r="B66" s="60">
        <v>1.21</v>
      </c>
      <c r="C66" s="60">
        <v>15.21</v>
      </c>
      <c r="D66" s="60">
        <v>16.420000000000002</v>
      </c>
      <c r="E66" s="60">
        <v>6.83</v>
      </c>
      <c r="F66" s="60">
        <v>1.62</v>
      </c>
      <c r="G66" s="219" t="s">
        <v>40</v>
      </c>
      <c r="H66" s="219" t="s">
        <v>40</v>
      </c>
      <c r="I66" s="60">
        <v>149.57</v>
      </c>
      <c r="J66" s="60">
        <v>0.23</v>
      </c>
      <c r="K66" s="60">
        <v>341.9</v>
      </c>
      <c r="L66" s="10" t="s">
        <v>43</v>
      </c>
      <c r="M66" s="60">
        <v>64.58</v>
      </c>
      <c r="N66" s="60">
        <v>469.1</v>
      </c>
      <c r="O66" s="60">
        <v>0</v>
      </c>
      <c r="P66" s="60">
        <v>0.64</v>
      </c>
      <c r="Q66" s="60">
        <v>10.46</v>
      </c>
      <c r="R66" s="197"/>
      <c r="S66" s="197"/>
      <c r="T66" s="197"/>
      <c r="U66" s="197"/>
    </row>
    <row r="67" spans="1:21" s="12" customFormat="1" x14ac:dyDescent="0.25">
      <c r="A67" s="200" t="s">
        <v>2514</v>
      </c>
      <c r="B67" s="60">
        <v>1.77</v>
      </c>
      <c r="C67" s="60">
        <v>14.85</v>
      </c>
      <c r="D67" s="60">
        <v>16.62</v>
      </c>
      <c r="E67" s="60">
        <v>7.18</v>
      </c>
      <c r="F67" s="60">
        <v>1.64</v>
      </c>
      <c r="G67" s="219" t="s">
        <v>40</v>
      </c>
      <c r="H67" s="219" t="s">
        <v>40</v>
      </c>
      <c r="I67" s="60">
        <v>167.63</v>
      </c>
      <c r="J67" s="60">
        <v>0.1</v>
      </c>
      <c r="K67" s="60">
        <v>352.88</v>
      </c>
      <c r="L67" s="10" t="s">
        <v>43</v>
      </c>
      <c r="M67" s="60">
        <v>61.19</v>
      </c>
      <c r="N67" s="60">
        <v>343.7</v>
      </c>
      <c r="O67" s="60">
        <v>0</v>
      </c>
      <c r="P67" s="60">
        <v>0.65</v>
      </c>
      <c r="Q67" s="60">
        <v>9.36</v>
      </c>
      <c r="R67" s="197"/>
      <c r="S67" s="197"/>
      <c r="T67" s="197"/>
      <c r="U67" s="197"/>
    </row>
    <row r="68" spans="1:21" s="12" customFormat="1" x14ac:dyDescent="0.25">
      <c r="A68" s="200" t="s">
        <v>2515</v>
      </c>
      <c r="B68" s="60">
        <v>2.77</v>
      </c>
      <c r="C68" s="60">
        <v>17.28</v>
      </c>
      <c r="D68" s="60">
        <v>20.05</v>
      </c>
      <c r="E68" s="60">
        <v>7.84</v>
      </c>
      <c r="F68" s="60">
        <v>1.69</v>
      </c>
      <c r="G68" s="60">
        <v>22.19</v>
      </c>
      <c r="H68" s="60">
        <v>11.1</v>
      </c>
      <c r="I68" s="215" t="s">
        <v>36</v>
      </c>
      <c r="J68" s="60">
        <v>0.1</v>
      </c>
      <c r="K68" s="60">
        <v>223.37</v>
      </c>
      <c r="L68" s="10" t="s">
        <v>43</v>
      </c>
      <c r="M68" s="60">
        <v>63.63</v>
      </c>
      <c r="N68" s="60">
        <v>240.6</v>
      </c>
      <c r="O68" s="60">
        <v>0</v>
      </c>
      <c r="P68" s="60">
        <v>0.67</v>
      </c>
      <c r="Q68" s="60">
        <v>11.7</v>
      </c>
      <c r="R68" s="197"/>
      <c r="S68" s="197"/>
      <c r="T68" s="197"/>
      <c r="U68" s="197"/>
    </row>
    <row r="69" spans="1:21" s="12" customFormat="1" x14ac:dyDescent="0.25">
      <c r="A69" s="200" t="s">
        <v>2516</v>
      </c>
      <c r="B69" s="60">
        <v>2.68</v>
      </c>
      <c r="C69" s="60">
        <v>17.91</v>
      </c>
      <c r="D69" s="60">
        <v>20.59</v>
      </c>
      <c r="E69" s="60">
        <v>0.14000000000000001</v>
      </c>
      <c r="F69" s="60">
        <v>1.86</v>
      </c>
      <c r="G69" s="60">
        <v>58.74</v>
      </c>
      <c r="H69" s="60">
        <v>30.28</v>
      </c>
      <c r="I69" s="215" t="s">
        <v>36</v>
      </c>
      <c r="J69" s="60">
        <v>0.81</v>
      </c>
      <c r="K69" s="60">
        <v>349.75</v>
      </c>
      <c r="L69" s="10" t="s">
        <v>43</v>
      </c>
      <c r="M69" s="60">
        <v>62.84</v>
      </c>
      <c r="N69" s="60">
        <v>167.3</v>
      </c>
      <c r="O69" s="60">
        <v>0</v>
      </c>
      <c r="P69" s="60">
        <v>0.65</v>
      </c>
      <c r="Q69" s="60">
        <v>12.31</v>
      </c>
      <c r="R69" s="197"/>
      <c r="S69" s="197"/>
      <c r="T69" s="197"/>
      <c r="U69" s="197"/>
    </row>
    <row r="70" spans="1:21" s="12" customFormat="1" x14ac:dyDescent="0.25">
      <c r="A70" s="200" t="s">
        <v>2517</v>
      </c>
      <c r="B70" s="60">
        <v>4.74</v>
      </c>
      <c r="C70" s="60">
        <v>19.8</v>
      </c>
      <c r="D70" s="60">
        <v>24.55</v>
      </c>
      <c r="E70" s="60">
        <v>7.87</v>
      </c>
      <c r="F70" s="60">
        <v>1.29</v>
      </c>
      <c r="G70" s="60">
        <v>58.74</v>
      </c>
      <c r="H70" s="60">
        <v>30.28</v>
      </c>
      <c r="I70" s="215" t="s">
        <v>36</v>
      </c>
      <c r="J70" s="60">
        <v>0.89</v>
      </c>
      <c r="K70" s="60">
        <v>340.35</v>
      </c>
      <c r="L70" s="10" t="s">
        <v>43</v>
      </c>
      <c r="M70" s="60">
        <v>60.22</v>
      </c>
      <c r="N70" s="60">
        <v>137.5</v>
      </c>
      <c r="O70" s="60">
        <v>0</v>
      </c>
      <c r="P70" s="60">
        <v>0.76</v>
      </c>
      <c r="Q70" s="60">
        <v>15.94</v>
      </c>
      <c r="R70" s="197"/>
      <c r="S70" s="197"/>
      <c r="T70" s="197"/>
      <c r="U70" s="197"/>
    </row>
    <row r="71" spans="1:21" s="12" customFormat="1" x14ac:dyDescent="0.25">
      <c r="A71" s="200" t="s">
        <v>2518</v>
      </c>
      <c r="B71" s="60">
        <v>6.69</v>
      </c>
      <c r="C71" s="60">
        <v>21.79</v>
      </c>
      <c r="D71" s="60">
        <v>28.49</v>
      </c>
      <c r="E71" s="60">
        <v>7.99</v>
      </c>
      <c r="F71" s="60">
        <v>0.81</v>
      </c>
      <c r="G71" s="60">
        <v>58.74</v>
      </c>
      <c r="H71" s="60">
        <v>30.28</v>
      </c>
      <c r="I71" s="215" t="s">
        <v>36</v>
      </c>
      <c r="J71" s="60">
        <v>0.71</v>
      </c>
      <c r="K71" s="60">
        <v>342.62</v>
      </c>
      <c r="L71" s="10" t="s">
        <v>43</v>
      </c>
      <c r="M71" s="60">
        <v>59.84</v>
      </c>
      <c r="N71" s="60">
        <v>107.8</v>
      </c>
      <c r="O71" s="60">
        <v>0</v>
      </c>
      <c r="P71" s="60">
        <v>0.85</v>
      </c>
      <c r="Q71" s="60">
        <v>19.73</v>
      </c>
      <c r="R71" s="197"/>
      <c r="S71" s="197"/>
      <c r="T71" s="197"/>
      <c r="U71" s="197"/>
    </row>
    <row r="72" spans="1:21" s="12" customFormat="1" x14ac:dyDescent="0.25">
      <c r="A72" s="200" t="s">
        <v>2519</v>
      </c>
      <c r="B72" s="60">
        <v>9.06</v>
      </c>
      <c r="C72" s="60">
        <v>22.9</v>
      </c>
      <c r="D72" s="60">
        <v>31.97</v>
      </c>
      <c r="E72" s="60">
        <v>0.12</v>
      </c>
      <c r="F72" s="60">
        <v>0.74</v>
      </c>
      <c r="G72" s="60">
        <v>62.55</v>
      </c>
      <c r="H72" s="60">
        <v>30.42</v>
      </c>
      <c r="I72" s="215" t="s">
        <v>36</v>
      </c>
      <c r="J72" s="60">
        <v>0.6</v>
      </c>
      <c r="K72" s="60">
        <v>2.02</v>
      </c>
      <c r="L72" s="10" t="s">
        <v>43</v>
      </c>
      <c r="M72" s="60">
        <v>59.47</v>
      </c>
      <c r="N72" s="60">
        <v>77.400000000000006</v>
      </c>
      <c r="O72" s="60">
        <v>0</v>
      </c>
      <c r="P72" s="60">
        <v>0.95</v>
      </c>
      <c r="Q72" s="60">
        <v>25.62</v>
      </c>
      <c r="R72" s="197"/>
      <c r="S72" s="197"/>
      <c r="T72" s="197"/>
      <c r="U72" s="197"/>
    </row>
    <row r="73" spans="1:21" s="12" customFormat="1" x14ac:dyDescent="0.25">
      <c r="A73" s="200" t="s">
        <v>2520</v>
      </c>
      <c r="B73" s="60">
        <v>12.24</v>
      </c>
      <c r="C73" s="60">
        <v>24.31</v>
      </c>
      <c r="D73" s="60">
        <v>36.549999999999997</v>
      </c>
      <c r="E73" s="60">
        <v>6.7</v>
      </c>
      <c r="F73" s="60">
        <v>0.72</v>
      </c>
      <c r="G73" s="60">
        <v>68.83</v>
      </c>
      <c r="H73" s="60">
        <v>30.67</v>
      </c>
      <c r="I73" s="215" t="s">
        <v>36</v>
      </c>
      <c r="J73" s="60">
        <v>0.28000000000000003</v>
      </c>
      <c r="K73" s="60">
        <v>32.520000000000003</v>
      </c>
      <c r="L73" s="10" t="s">
        <v>43</v>
      </c>
      <c r="M73" s="60">
        <v>60.78</v>
      </c>
      <c r="N73" s="60">
        <v>60.9</v>
      </c>
      <c r="O73" s="60">
        <v>0</v>
      </c>
      <c r="P73" s="60">
        <v>1.05</v>
      </c>
      <c r="Q73" s="60">
        <v>27.6</v>
      </c>
      <c r="R73" s="197"/>
      <c r="S73" s="197"/>
      <c r="T73" s="197"/>
      <c r="U73" s="197"/>
    </row>
    <row r="74" spans="1:21" s="12" customFormat="1" x14ac:dyDescent="0.25">
      <c r="A74" s="200" t="s">
        <v>2521</v>
      </c>
      <c r="B74" s="60">
        <v>15.53</v>
      </c>
      <c r="C74" s="60">
        <v>27.33</v>
      </c>
      <c r="D74" s="60">
        <v>42.85</v>
      </c>
      <c r="E74" s="60">
        <v>0.27</v>
      </c>
      <c r="F74" s="60">
        <v>0.13</v>
      </c>
      <c r="G74" s="60">
        <v>68.83</v>
      </c>
      <c r="H74" s="60">
        <v>30.67</v>
      </c>
      <c r="I74" s="215" t="s">
        <v>36</v>
      </c>
      <c r="J74" s="60">
        <v>0.31</v>
      </c>
      <c r="K74" s="60">
        <v>74.510000000000005</v>
      </c>
      <c r="L74" s="10" t="s">
        <v>43</v>
      </c>
      <c r="M74" s="60">
        <v>62.2</v>
      </c>
      <c r="N74" s="60">
        <v>49.5</v>
      </c>
      <c r="O74" s="60">
        <v>0</v>
      </c>
      <c r="P74" s="60">
        <v>1.23</v>
      </c>
      <c r="Q74" s="60">
        <v>32.07</v>
      </c>
      <c r="R74" s="197"/>
      <c r="S74" s="197"/>
      <c r="T74" s="197"/>
      <c r="U74" s="197"/>
    </row>
    <row r="75" spans="1:21" s="12" customFormat="1" x14ac:dyDescent="0.25">
      <c r="A75" s="200" t="s">
        <v>2522</v>
      </c>
      <c r="B75" s="60">
        <v>16.97</v>
      </c>
      <c r="C75" s="60">
        <v>31.72</v>
      </c>
      <c r="D75" s="60">
        <v>48.69</v>
      </c>
      <c r="E75" s="218" t="s">
        <v>43</v>
      </c>
      <c r="F75" s="60">
        <v>0.72</v>
      </c>
      <c r="G75" s="60">
        <v>68.83</v>
      </c>
      <c r="H75" s="60">
        <v>30.67</v>
      </c>
      <c r="I75" s="215" t="s">
        <v>36</v>
      </c>
      <c r="J75" s="60">
        <v>0.79</v>
      </c>
      <c r="K75" s="60">
        <v>96.3</v>
      </c>
      <c r="L75" s="10" t="s">
        <v>43</v>
      </c>
      <c r="M75" s="60">
        <v>70.239999999999995</v>
      </c>
      <c r="N75" s="60">
        <v>43.5</v>
      </c>
      <c r="O75" s="60">
        <v>0</v>
      </c>
      <c r="P75" s="60">
        <v>1.26</v>
      </c>
      <c r="Q75" s="60">
        <v>33.82</v>
      </c>
      <c r="R75" s="197"/>
      <c r="S75" s="197"/>
      <c r="T75" s="197"/>
      <c r="U75" s="197"/>
    </row>
    <row r="76" spans="1:21" s="12" customFormat="1" x14ac:dyDescent="0.25">
      <c r="A76" s="200" t="s">
        <v>2523</v>
      </c>
      <c r="B76" s="60">
        <v>12.28</v>
      </c>
      <c r="C76" s="60">
        <v>31.11</v>
      </c>
      <c r="D76" s="60">
        <v>43.39</v>
      </c>
      <c r="E76" s="60">
        <v>15.27</v>
      </c>
      <c r="F76" s="60">
        <v>0.83</v>
      </c>
      <c r="G76" s="60">
        <v>75.89</v>
      </c>
      <c r="H76" s="60">
        <v>36.159999999999997</v>
      </c>
      <c r="I76" s="215" t="s">
        <v>36</v>
      </c>
      <c r="J76" s="60">
        <v>0.43</v>
      </c>
      <c r="K76" s="60">
        <v>175.45</v>
      </c>
      <c r="L76" s="10" t="s">
        <v>43</v>
      </c>
      <c r="M76" s="60">
        <v>79.099999999999994</v>
      </c>
      <c r="N76" s="60">
        <v>40.200000000000003</v>
      </c>
      <c r="O76" s="60">
        <v>0</v>
      </c>
      <c r="P76" s="60">
        <v>1.1299999999999999</v>
      </c>
      <c r="Q76" s="60">
        <v>32.24</v>
      </c>
      <c r="R76" s="197"/>
      <c r="S76" s="197"/>
      <c r="T76" s="197"/>
      <c r="U76" s="197"/>
    </row>
    <row r="77" spans="1:21" s="12" customFormat="1" x14ac:dyDescent="0.25">
      <c r="A77" s="200" t="s">
        <v>2524</v>
      </c>
      <c r="B77" s="60">
        <v>9.2200000000000006</v>
      </c>
      <c r="C77" s="60">
        <v>28.4</v>
      </c>
      <c r="D77" s="60">
        <v>37.619999999999997</v>
      </c>
      <c r="E77" s="60">
        <v>22.59</v>
      </c>
      <c r="F77" s="60">
        <v>0.24</v>
      </c>
      <c r="G77" s="60">
        <v>87.51</v>
      </c>
      <c r="H77" s="60">
        <v>45.64</v>
      </c>
      <c r="I77" s="215" t="s">
        <v>36</v>
      </c>
      <c r="J77" s="60">
        <v>0.4</v>
      </c>
      <c r="K77" s="60">
        <v>170.75</v>
      </c>
      <c r="L77" s="10" t="s">
        <v>43</v>
      </c>
      <c r="M77" s="60">
        <v>83.17</v>
      </c>
      <c r="N77" s="60">
        <v>46.7</v>
      </c>
      <c r="O77" s="60">
        <v>0</v>
      </c>
      <c r="P77" s="60">
        <v>1.03</v>
      </c>
      <c r="Q77" s="60">
        <v>33.880000000000003</v>
      </c>
      <c r="R77" s="197"/>
      <c r="S77" s="197"/>
      <c r="T77" s="197"/>
      <c r="U77" s="197"/>
    </row>
    <row r="78" spans="1:21" s="12" customFormat="1" x14ac:dyDescent="0.25">
      <c r="A78" s="200" t="s">
        <v>2525</v>
      </c>
      <c r="B78" s="60">
        <v>7.79</v>
      </c>
      <c r="C78" s="60">
        <v>25.3</v>
      </c>
      <c r="D78" s="60">
        <v>33.1</v>
      </c>
      <c r="E78" s="60">
        <v>12.14</v>
      </c>
      <c r="F78" s="60">
        <v>0.73</v>
      </c>
      <c r="G78" s="60">
        <v>87.51</v>
      </c>
      <c r="H78" s="60">
        <v>45.64</v>
      </c>
      <c r="I78" s="215" t="s">
        <v>36</v>
      </c>
      <c r="J78" s="60">
        <v>0.43</v>
      </c>
      <c r="K78" s="60">
        <v>161.03</v>
      </c>
      <c r="L78" s="10" t="s">
        <v>43</v>
      </c>
      <c r="M78" s="60">
        <v>84.22</v>
      </c>
      <c r="N78" s="60">
        <v>48.2</v>
      </c>
      <c r="O78" s="60">
        <v>0</v>
      </c>
      <c r="P78" s="60">
        <v>0.98</v>
      </c>
      <c r="Q78" s="60">
        <v>31.78</v>
      </c>
      <c r="R78" s="197"/>
      <c r="S78" s="197"/>
      <c r="T78" s="197"/>
      <c r="U78" s="197"/>
    </row>
    <row r="79" spans="1:21" s="12" customFormat="1" x14ac:dyDescent="0.25">
      <c r="A79" s="200" t="s">
        <v>2526</v>
      </c>
      <c r="B79" s="60">
        <v>7</v>
      </c>
      <c r="C79" s="60">
        <v>24.18</v>
      </c>
      <c r="D79" s="60">
        <v>31.18</v>
      </c>
      <c r="E79" s="60">
        <v>41.85</v>
      </c>
      <c r="F79" s="60">
        <v>0.67</v>
      </c>
      <c r="G79" s="60">
        <v>87.51</v>
      </c>
      <c r="H79" s="60">
        <v>45.64</v>
      </c>
      <c r="I79" s="215" t="s">
        <v>36</v>
      </c>
      <c r="J79" s="60">
        <v>0.46</v>
      </c>
      <c r="K79" s="60">
        <v>341.36</v>
      </c>
      <c r="L79" s="10" t="s">
        <v>43</v>
      </c>
      <c r="M79" s="60">
        <v>80.430000000000007</v>
      </c>
      <c r="N79" s="60">
        <v>21</v>
      </c>
      <c r="O79" s="60">
        <v>0</v>
      </c>
      <c r="P79" s="60">
        <v>0.95</v>
      </c>
      <c r="Q79" s="60">
        <v>30.92</v>
      </c>
      <c r="R79" s="197"/>
      <c r="S79" s="197"/>
      <c r="T79" s="197"/>
      <c r="U79" s="197"/>
    </row>
    <row r="80" spans="1:21" s="12" customFormat="1" x14ac:dyDescent="0.25">
      <c r="A80" s="200" t="s">
        <v>2527</v>
      </c>
      <c r="B80" s="60">
        <v>6.19</v>
      </c>
      <c r="C80" s="60">
        <v>23.38</v>
      </c>
      <c r="D80" s="60">
        <v>29.56</v>
      </c>
      <c r="E80" s="60">
        <v>302.52</v>
      </c>
      <c r="F80" s="60">
        <v>1.1399999999999999</v>
      </c>
      <c r="G80" s="60">
        <v>87.14</v>
      </c>
      <c r="H80" s="60">
        <v>38.950000000000003</v>
      </c>
      <c r="I80" s="215" t="s">
        <v>36</v>
      </c>
      <c r="J80" s="60">
        <v>0.21</v>
      </c>
      <c r="K80" s="60">
        <v>283.58</v>
      </c>
      <c r="L80" s="10" t="s">
        <v>43</v>
      </c>
      <c r="M80" s="60">
        <v>86.46</v>
      </c>
      <c r="N80" s="60">
        <v>23.4</v>
      </c>
      <c r="O80" s="60">
        <v>2.6</v>
      </c>
      <c r="P80" s="60">
        <v>0.9</v>
      </c>
      <c r="Q80" s="60">
        <v>26.44</v>
      </c>
      <c r="R80" s="197"/>
      <c r="S80" s="197"/>
      <c r="T80" s="197"/>
      <c r="U80" s="197"/>
    </row>
    <row r="81" spans="1:26" s="12" customFormat="1" x14ac:dyDescent="0.25">
      <c r="A81" s="200" t="s">
        <v>2528</v>
      </c>
      <c r="B81" s="60">
        <v>5.26</v>
      </c>
      <c r="C81" s="60">
        <v>22.66</v>
      </c>
      <c r="D81" s="60">
        <v>27.92</v>
      </c>
      <c r="E81" s="60">
        <v>444.36</v>
      </c>
      <c r="F81" s="60">
        <v>1.01</v>
      </c>
      <c r="G81" s="60">
        <v>86.53</v>
      </c>
      <c r="H81" s="60">
        <v>27.39</v>
      </c>
      <c r="I81" s="215" t="s">
        <v>36</v>
      </c>
      <c r="J81" s="60">
        <v>0.16</v>
      </c>
      <c r="K81" s="60">
        <v>208.58</v>
      </c>
      <c r="L81" s="10" t="s">
        <v>43</v>
      </c>
      <c r="M81" s="60">
        <v>95.78</v>
      </c>
      <c r="N81" s="60">
        <v>18.5</v>
      </c>
      <c r="O81" s="60">
        <v>0.4</v>
      </c>
      <c r="P81" s="60">
        <v>0.83</v>
      </c>
      <c r="Q81" s="60">
        <v>20.98</v>
      </c>
      <c r="R81" s="197"/>
      <c r="S81" s="197"/>
      <c r="T81" s="197"/>
      <c r="U81" s="197"/>
    </row>
    <row r="82" spans="1:26" s="12" customFormat="1" x14ac:dyDescent="0.25">
      <c r="A82" s="200" t="s">
        <v>2529</v>
      </c>
      <c r="B82" s="60">
        <v>4.41</v>
      </c>
      <c r="C82" s="60">
        <v>21.66</v>
      </c>
      <c r="D82" s="60">
        <v>26.07</v>
      </c>
      <c r="E82" s="60">
        <v>8.24</v>
      </c>
      <c r="F82" s="60">
        <v>0.71</v>
      </c>
      <c r="G82" s="60">
        <v>86.53</v>
      </c>
      <c r="H82" s="60">
        <v>27.39</v>
      </c>
      <c r="I82" s="215" t="s">
        <v>36</v>
      </c>
      <c r="J82" s="60">
        <v>0.24</v>
      </c>
      <c r="K82" s="60">
        <v>187.75</v>
      </c>
      <c r="L82" s="60">
        <v>43.98</v>
      </c>
      <c r="M82" s="60">
        <v>91.17</v>
      </c>
      <c r="N82" s="60">
        <v>16.2</v>
      </c>
      <c r="O82" s="60">
        <v>0.2</v>
      </c>
      <c r="P82" s="60">
        <v>0.82</v>
      </c>
      <c r="Q82" s="60">
        <v>18.75</v>
      </c>
      <c r="R82" s="197"/>
      <c r="S82" s="197"/>
      <c r="T82" s="197"/>
      <c r="U82" s="197"/>
    </row>
    <row r="83" spans="1:26" s="12" customFormat="1" x14ac:dyDescent="0.25">
      <c r="A83" s="200" t="s">
        <v>2530</v>
      </c>
      <c r="B83" s="60">
        <v>3.65</v>
      </c>
      <c r="C83" s="60">
        <v>21.2</v>
      </c>
      <c r="D83" s="60">
        <v>24.85</v>
      </c>
      <c r="E83" s="60">
        <v>2.67</v>
      </c>
      <c r="F83" s="60">
        <v>0.06</v>
      </c>
      <c r="G83" s="60">
        <v>86.53</v>
      </c>
      <c r="H83" s="60">
        <v>27.39</v>
      </c>
      <c r="I83" s="215" t="s">
        <v>36</v>
      </c>
      <c r="J83" s="60">
        <v>0.33</v>
      </c>
      <c r="K83" s="60">
        <v>200.93</v>
      </c>
      <c r="L83" s="60">
        <v>31.64</v>
      </c>
      <c r="M83" s="60">
        <v>89.13</v>
      </c>
      <c r="N83" s="60">
        <v>15.3</v>
      </c>
      <c r="O83" s="60">
        <v>0</v>
      </c>
      <c r="P83" s="60">
        <v>0.86</v>
      </c>
      <c r="Q83" s="60">
        <v>22.42</v>
      </c>
      <c r="R83" s="197"/>
      <c r="S83" s="197"/>
      <c r="T83" s="197"/>
      <c r="U83" s="197"/>
    </row>
    <row r="84" spans="1:26" s="12" customFormat="1" x14ac:dyDescent="0.25">
      <c r="A84" s="200" t="s">
        <v>2531</v>
      </c>
      <c r="B84" s="60">
        <v>3.33</v>
      </c>
      <c r="C84" s="60">
        <v>18.78</v>
      </c>
      <c r="D84" s="60">
        <v>22.1</v>
      </c>
      <c r="E84" s="60">
        <v>2.89</v>
      </c>
      <c r="F84" s="60">
        <v>0.23</v>
      </c>
      <c r="G84" s="60">
        <v>78.959999999999994</v>
      </c>
      <c r="H84" s="60">
        <v>27.28</v>
      </c>
      <c r="I84" s="215" t="s">
        <v>36</v>
      </c>
      <c r="J84" s="60">
        <v>0.95</v>
      </c>
      <c r="K84" s="60">
        <v>158.13</v>
      </c>
      <c r="L84" s="60">
        <v>26.52</v>
      </c>
      <c r="M84" s="60">
        <v>87.58</v>
      </c>
      <c r="N84" s="60">
        <v>15</v>
      </c>
      <c r="O84" s="60">
        <v>0</v>
      </c>
      <c r="P84" s="60">
        <v>0.87</v>
      </c>
      <c r="Q84" s="60">
        <v>19.100000000000001</v>
      </c>
      <c r="R84" s="197"/>
      <c r="S84" s="197"/>
      <c r="T84" s="197"/>
      <c r="U84" s="197"/>
    </row>
    <row r="85" spans="1:26" s="12" customFormat="1" x14ac:dyDescent="0.25">
      <c r="A85" s="200" t="s">
        <v>2532</v>
      </c>
      <c r="B85" s="60">
        <v>3.24</v>
      </c>
      <c r="C85" s="60">
        <v>16.55</v>
      </c>
      <c r="D85" s="60">
        <v>19.79</v>
      </c>
      <c r="E85" s="60">
        <v>3.55</v>
      </c>
      <c r="F85" s="215" t="s">
        <v>36</v>
      </c>
      <c r="G85" s="60">
        <v>66.489999999999995</v>
      </c>
      <c r="H85" s="60">
        <v>27.11</v>
      </c>
      <c r="I85" s="215" t="s">
        <v>36</v>
      </c>
      <c r="J85" s="60">
        <v>0.71</v>
      </c>
      <c r="K85" s="60">
        <v>165.72</v>
      </c>
      <c r="L85" s="60">
        <v>26.77</v>
      </c>
      <c r="M85" s="60">
        <v>85.71</v>
      </c>
      <c r="N85" s="60">
        <v>16.3</v>
      </c>
      <c r="O85" s="60">
        <v>0</v>
      </c>
      <c r="P85" s="60">
        <v>0.73</v>
      </c>
      <c r="Q85" s="60">
        <v>22.74</v>
      </c>
      <c r="R85" s="197"/>
      <c r="S85" s="197"/>
      <c r="T85" s="197"/>
      <c r="U85" s="197"/>
    </row>
    <row r="86" spans="1:26" s="12" customFormat="1" x14ac:dyDescent="0.25">
      <c r="A86" s="200" t="s">
        <v>2533</v>
      </c>
      <c r="B86" s="60">
        <v>3.21</v>
      </c>
      <c r="C86" s="60">
        <v>14.6</v>
      </c>
      <c r="D86" s="60">
        <v>17.809999999999999</v>
      </c>
      <c r="E86" s="60">
        <v>3.37</v>
      </c>
      <c r="F86" s="60">
        <v>0.02</v>
      </c>
      <c r="G86" s="60">
        <v>66.489999999999995</v>
      </c>
      <c r="H86" s="60">
        <v>27.11</v>
      </c>
      <c r="I86" s="215" t="s">
        <v>36</v>
      </c>
      <c r="J86" s="60">
        <v>0.77</v>
      </c>
      <c r="K86" s="60">
        <v>344.67</v>
      </c>
      <c r="L86" s="60">
        <v>26.66</v>
      </c>
      <c r="M86" s="60">
        <v>91.18</v>
      </c>
      <c r="N86" s="60">
        <v>15.9</v>
      </c>
      <c r="O86" s="60">
        <v>0</v>
      </c>
      <c r="P86" s="60">
        <v>0.79</v>
      </c>
      <c r="Q86" s="60">
        <v>23.79</v>
      </c>
      <c r="R86" s="197"/>
      <c r="S86" s="197"/>
      <c r="T86" s="197"/>
      <c r="U86" s="197"/>
    </row>
    <row r="87" spans="1:26" s="12" customFormat="1" x14ac:dyDescent="0.25">
      <c r="A87" s="200" t="s">
        <v>2534</v>
      </c>
      <c r="B87" s="60">
        <v>3.69</v>
      </c>
      <c r="C87" s="60">
        <v>13.29</v>
      </c>
      <c r="D87" s="60">
        <v>16.98</v>
      </c>
      <c r="E87" s="60">
        <v>3.53</v>
      </c>
      <c r="F87" s="60">
        <v>0.01</v>
      </c>
      <c r="G87" s="60">
        <v>66.489999999999995</v>
      </c>
      <c r="H87" s="60">
        <v>27.11</v>
      </c>
      <c r="I87" s="215" t="s">
        <v>36</v>
      </c>
      <c r="J87" s="60">
        <v>0.05</v>
      </c>
      <c r="K87" s="60">
        <v>274.08999999999997</v>
      </c>
      <c r="L87" s="60">
        <v>27.09</v>
      </c>
      <c r="M87" s="60">
        <v>89.31</v>
      </c>
      <c r="N87" s="60">
        <v>15.9</v>
      </c>
      <c r="O87" s="60">
        <v>0</v>
      </c>
      <c r="P87" s="60">
        <v>0.83</v>
      </c>
      <c r="Q87" s="60">
        <v>24.44</v>
      </c>
      <c r="R87" s="197"/>
      <c r="S87" s="197"/>
      <c r="T87" s="197"/>
      <c r="U87" s="197"/>
    </row>
    <row r="88" spans="1:26" s="12" customFormat="1" x14ac:dyDescent="0.25">
      <c r="A88" s="200" t="s">
        <v>2535</v>
      </c>
      <c r="B88" s="60">
        <v>4.6900000000000004</v>
      </c>
      <c r="C88" s="60">
        <v>12.19</v>
      </c>
      <c r="D88" s="60">
        <v>16.89</v>
      </c>
      <c r="E88" s="60">
        <v>1.63</v>
      </c>
      <c r="F88" s="60">
        <v>0.02</v>
      </c>
      <c r="G88" s="60">
        <v>56.44</v>
      </c>
      <c r="H88" s="60">
        <v>25.68</v>
      </c>
      <c r="I88" s="215" t="s">
        <v>36</v>
      </c>
      <c r="J88" s="60">
        <v>0.28999999999999998</v>
      </c>
      <c r="K88" s="60">
        <v>9.1300000000000008</v>
      </c>
      <c r="L88" s="60">
        <v>27.27</v>
      </c>
      <c r="M88" s="60">
        <v>91.59</v>
      </c>
      <c r="N88" s="60">
        <v>15.8</v>
      </c>
      <c r="O88" s="60">
        <v>0</v>
      </c>
      <c r="P88" s="60">
        <v>0.88</v>
      </c>
      <c r="Q88" s="60">
        <v>25.03</v>
      </c>
      <c r="R88" s="197"/>
      <c r="S88" s="197"/>
      <c r="T88" s="197"/>
      <c r="U88" s="197"/>
    </row>
    <row r="89" spans="1:26" s="12" customFormat="1" x14ac:dyDescent="0.25">
      <c r="A89" s="200" t="s">
        <v>2536</v>
      </c>
      <c r="B89" s="60">
        <v>6.63</v>
      </c>
      <c r="C89" s="60">
        <v>11.64</v>
      </c>
      <c r="D89" s="60">
        <v>18.27</v>
      </c>
      <c r="E89" s="60">
        <v>3.17</v>
      </c>
      <c r="F89" s="215" t="s">
        <v>36</v>
      </c>
      <c r="G89" s="60">
        <v>39.89</v>
      </c>
      <c r="H89" s="60">
        <v>23.32</v>
      </c>
      <c r="I89" s="215" t="s">
        <v>36</v>
      </c>
      <c r="J89" s="60">
        <v>0.8</v>
      </c>
      <c r="K89" s="60">
        <v>22.92</v>
      </c>
      <c r="L89" s="60">
        <v>30.23</v>
      </c>
      <c r="M89" s="60">
        <v>90.52</v>
      </c>
      <c r="N89" s="60">
        <v>16.3</v>
      </c>
      <c r="O89" s="60">
        <v>0.2</v>
      </c>
      <c r="P89" s="60">
        <v>0.95</v>
      </c>
      <c r="Q89" s="60">
        <v>27.52</v>
      </c>
      <c r="R89" s="197"/>
      <c r="S89" s="197"/>
      <c r="T89" s="197"/>
      <c r="U89" s="197"/>
    </row>
    <row r="90" spans="1:26" s="12" customFormat="1" x14ac:dyDescent="0.25">
      <c r="A90" s="200" t="s">
        <v>2537</v>
      </c>
      <c r="B90" s="60">
        <v>8</v>
      </c>
      <c r="C90" s="60">
        <v>11.04</v>
      </c>
      <c r="D90" s="60">
        <v>19.04</v>
      </c>
      <c r="E90" s="60">
        <v>4.12</v>
      </c>
      <c r="F90" s="60">
        <v>0.13</v>
      </c>
      <c r="G90" s="60">
        <v>39.89</v>
      </c>
      <c r="H90" s="60">
        <v>23.32</v>
      </c>
      <c r="I90" s="215" t="s">
        <v>36</v>
      </c>
      <c r="J90" s="60">
        <v>1.3</v>
      </c>
      <c r="K90" s="60">
        <v>90.05</v>
      </c>
      <c r="L90" s="60">
        <v>44.41</v>
      </c>
      <c r="M90" s="60">
        <v>96.72</v>
      </c>
      <c r="N90" s="60">
        <v>15.8</v>
      </c>
      <c r="O90" s="60">
        <v>0.8</v>
      </c>
      <c r="P90" s="60">
        <v>0.99</v>
      </c>
      <c r="Q90" s="60">
        <v>29.59</v>
      </c>
      <c r="R90" s="197"/>
      <c r="S90" s="197"/>
      <c r="T90" s="197"/>
      <c r="U90" s="197"/>
    </row>
    <row r="91" spans="1:26" s="12" customFormat="1" x14ac:dyDescent="0.25">
      <c r="A91" s="200" t="s">
        <v>2538</v>
      </c>
      <c r="B91" s="60">
        <v>8.42</v>
      </c>
      <c r="C91" s="60">
        <v>10.17</v>
      </c>
      <c r="D91" s="60">
        <v>18.600000000000001</v>
      </c>
      <c r="E91" s="60">
        <v>4.34</v>
      </c>
      <c r="F91" s="60">
        <v>0.13</v>
      </c>
      <c r="G91" s="60">
        <v>39.89</v>
      </c>
      <c r="H91" s="60">
        <v>23.32</v>
      </c>
      <c r="I91" s="215" t="s">
        <v>36</v>
      </c>
      <c r="J91" s="60">
        <v>1.02</v>
      </c>
      <c r="K91" s="60">
        <v>91.01</v>
      </c>
      <c r="L91" s="60">
        <v>41.79</v>
      </c>
      <c r="M91" s="60">
        <v>98.37</v>
      </c>
      <c r="N91" s="60">
        <v>15.4</v>
      </c>
      <c r="O91" s="60">
        <v>0.6</v>
      </c>
      <c r="P91" s="60">
        <v>0.99</v>
      </c>
      <c r="Q91" s="60">
        <v>33.619999999999997</v>
      </c>
      <c r="R91" s="197"/>
      <c r="S91" s="197"/>
      <c r="T91" s="197"/>
      <c r="U91" s="197"/>
    </row>
    <row r="92" spans="1:26" s="12" customFormat="1" x14ac:dyDescent="0.25">
      <c r="A92" s="200" t="s">
        <v>2539</v>
      </c>
      <c r="B92" s="60">
        <v>8.61</v>
      </c>
      <c r="C92" s="60">
        <v>9.56</v>
      </c>
      <c r="D92" s="60">
        <v>18.170000000000002</v>
      </c>
      <c r="E92" s="60">
        <v>4.93</v>
      </c>
      <c r="F92" s="60">
        <v>0.1</v>
      </c>
      <c r="G92" s="60">
        <v>38.81</v>
      </c>
      <c r="H92" s="60">
        <v>21.39</v>
      </c>
      <c r="I92" s="215" t="s">
        <v>36</v>
      </c>
      <c r="J92" s="60">
        <v>1.64</v>
      </c>
      <c r="K92" s="60">
        <v>99.42</v>
      </c>
      <c r="L92" s="60">
        <v>42.8</v>
      </c>
      <c r="M92" s="60">
        <v>98.6</v>
      </c>
      <c r="N92" s="60">
        <v>15.1</v>
      </c>
      <c r="O92" s="60">
        <v>0.6</v>
      </c>
      <c r="P92" s="60">
        <v>0.99</v>
      </c>
      <c r="Q92" s="60">
        <v>37.42</v>
      </c>
      <c r="R92" s="197"/>
      <c r="S92" s="197"/>
      <c r="T92" s="197"/>
      <c r="U92" s="197"/>
    </row>
    <row r="93" spans="1:26" s="12" customFormat="1" x14ac:dyDescent="0.25">
      <c r="A93" s="200" t="s">
        <v>2540</v>
      </c>
      <c r="B93" s="60">
        <v>8.64</v>
      </c>
      <c r="C93" s="60">
        <v>9.42</v>
      </c>
      <c r="D93" s="60">
        <v>18.059999999999999</v>
      </c>
      <c r="E93" s="60">
        <v>5.69</v>
      </c>
      <c r="F93" s="60">
        <v>0.1</v>
      </c>
      <c r="G93" s="60">
        <v>37.020000000000003</v>
      </c>
      <c r="H93" s="60">
        <v>18.07</v>
      </c>
      <c r="I93" s="215" t="s">
        <v>36</v>
      </c>
      <c r="J93" s="60">
        <v>1.05</v>
      </c>
      <c r="K93" s="60">
        <v>129.99</v>
      </c>
      <c r="L93" s="60">
        <v>42.52</v>
      </c>
      <c r="M93" s="60">
        <v>98.5</v>
      </c>
      <c r="N93" s="60">
        <v>15.2</v>
      </c>
      <c r="O93" s="60">
        <v>0.2</v>
      </c>
      <c r="P93" s="60">
        <v>0.98</v>
      </c>
      <c r="Q93" s="60">
        <v>43.3</v>
      </c>
      <c r="R93" s="197"/>
      <c r="S93" s="197"/>
      <c r="T93" s="197"/>
      <c r="U93" s="197"/>
    </row>
    <row r="94" spans="1:26" s="12" customFormat="1" x14ac:dyDescent="0.25">
      <c r="A94" s="200" t="s">
        <v>2541</v>
      </c>
      <c r="B94" s="60">
        <v>8.92</v>
      </c>
      <c r="C94" s="60">
        <v>9.5500000000000007</v>
      </c>
      <c r="D94" s="60">
        <v>18.47</v>
      </c>
      <c r="E94" s="60">
        <v>5.75</v>
      </c>
      <c r="F94" s="60">
        <v>0.51</v>
      </c>
      <c r="G94" s="60">
        <v>37.020000000000003</v>
      </c>
      <c r="H94" s="60">
        <v>18.07</v>
      </c>
      <c r="I94" s="215" t="s">
        <v>36</v>
      </c>
      <c r="J94" s="60">
        <v>1.41</v>
      </c>
      <c r="K94" s="60">
        <v>158.9</v>
      </c>
      <c r="L94" s="60">
        <v>40.25</v>
      </c>
      <c r="M94" s="60">
        <v>98.66</v>
      </c>
      <c r="N94" s="60">
        <v>15.5</v>
      </c>
      <c r="O94" s="60">
        <v>1.4</v>
      </c>
      <c r="P94" s="60">
        <v>0.95</v>
      </c>
      <c r="Q94" s="60">
        <v>42.69</v>
      </c>
      <c r="R94" s="197"/>
      <c r="S94" s="197"/>
      <c r="T94" s="197"/>
      <c r="U94" s="197"/>
    </row>
    <row r="95" spans="1:26" s="12" customFormat="1" x14ac:dyDescent="0.25">
      <c r="A95" s="200" t="s">
        <v>2542</v>
      </c>
      <c r="B95" s="60">
        <v>8.91</v>
      </c>
      <c r="C95" s="60">
        <v>9.77</v>
      </c>
      <c r="D95" s="60">
        <v>18.68</v>
      </c>
      <c r="E95" s="60">
        <v>5.84</v>
      </c>
      <c r="F95" s="60">
        <v>0.14000000000000001</v>
      </c>
      <c r="G95" s="60">
        <v>37.020000000000003</v>
      </c>
      <c r="H95" s="60">
        <v>18.07</v>
      </c>
      <c r="I95" s="215" t="s">
        <v>36</v>
      </c>
      <c r="J95" s="60">
        <v>1.18</v>
      </c>
      <c r="K95" s="60">
        <v>164.16</v>
      </c>
      <c r="L95" s="60">
        <v>41.07</v>
      </c>
      <c r="M95" s="60">
        <v>98.71</v>
      </c>
      <c r="N95" s="60">
        <v>15.3</v>
      </c>
      <c r="O95" s="60">
        <v>0.8</v>
      </c>
      <c r="P95" s="60">
        <v>0.96</v>
      </c>
      <c r="Q95" s="60">
        <v>39.880000000000003</v>
      </c>
      <c r="R95" s="197"/>
      <c r="S95" s="197"/>
      <c r="T95" s="197"/>
      <c r="U95" s="197"/>
    </row>
    <row r="96" spans="1:26" s="12" customFormat="1" x14ac:dyDescent="0.25">
      <c r="A96" s="200" t="s">
        <v>2543</v>
      </c>
      <c r="B96" s="60">
        <v>8.59</v>
      </c>
      <c r="C96" s="60">
        <v>9.68</v>
      </c>
      <c r="D96" s="60">
        <v>18.27</v>
      </c>
      <c r="E96" s="60">
        <v>5.49</v>
      </c>
      <c r="F96" s="60">
        <v>0.31</v>
      </c>
      <c r="G96" s="60">
        <v>33.799999999999997</v>
      </c>
      <c r="H96" s="60">
        <v>16.670000000000002</v>
      </c>
      <c r="I96" s="215" t="s">
        <v>36</v>
      </c>
      <c r="J96" s="60">
        <v>2.14</v>
      </c>
      <c r="K96" s="60">
        <v>160.04</v>
      </c>
      <c r="L96" s="60">
        <v>41.09</v>
      </c>
      <c r="M96" s="60">
        <v>99.12</v>
      </c>
      <c r="N96" s="60">
        <v>15.5</v>
      </c>
      <c r="O96" s="60">
        <v>0.6</v>
      </c>
      <c r="P96" s="60">
        <v>0.91</v>
      </c>
      <c r="Q96" s="60">
        <v>37.159999999999997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2544</v>
      </c>
      <c r="B97" s="60">
        <v>7.79</v>
      </c>
      <c r="C97" s="60">
        <v>9.85</v>
      </c>
      <c r="D97" s="60">
        <v>17.64</v>
      </c>
      <c r="E97" s="60">
        <v>5.62</v>
      </c>
      <c r="F97" s="60">
        <v>7.0000000000000007E-2</v>
      </c>
      <c r="G97" s="60">
        <v>28.49</v>
      </c>
      <c r="H97" s="60">
        <v>14.36</v>
      </c>
      <c r="I97" s="215" t="s">
        <v>36</v>
      </c>
      <c r="J97" s="60">
        <v>1.1299999999999999</v>
      </c>
      <c r="K97" s="60">
        <v>164.35</v>
      </c>
      <c r="L97" s="60">
        <v>39.06</v>
      </c>
      <c r="M97" s="60">
        <v>98.68</v>
      </c>
      <c r="N97" s="60">
        <v>15.2</v>
      </c>
      <c r="O97" s="60">
        <v>0</v>
      </c>
      <c r="P97" s="60">
        <v>0.92</v>
      </c>
      <c r="Q97" s="60">
        <v>35.39</v>
      </c>
      <c r="R97" s="197"/>
      <c r="S97" s="197"/>
      <c r="T97" s="197"/>
      <c r="U97" s="197"/>
    </row>
    <row r="98" spans="1:33" s="12" customFormat="1" x14ac:dyDescent="0.25">
      <c r="A98" s="200" t="s">
        <v>2545</v>
      </c>
      <c r="B98" s="60">
        <v>7.18</v>
      </c>
      <c r="C98" s="60">
        <v>9.75</v>
      </c>
      <c r="D98" s="60">
        <v>16.93</v>
      </c>
      <c r="E98" s="60">
        <v>5.48</v>
      </c>
      <c r="F98" s="60">
        <v>0.32</v>
      </c>
      <c r="G98" s="60">
        <v>28.49</v>
      </c>
      <c r="H98" s="60">
        <v>14.36</v>
      </c>
      <c r="I98" s="60">
        <v>181.6</v>
      </c>
      <c r="J98" s="60">
        <v>1.99</v>
      </c>
      <c r="K98" s="60">
        <v>153.79</v>
      </c>
      <c r="L98" s="60">
        <v>38.159999999999997</v>
      </c>
      <c r="M98" s="60">
        <v>98.68</v>
      </c>
      <c r="N98" s="60">
        <v>15.3</v>
      </c>
      <c r="O98" s="60">
        <v>0.2</v>
      </c>
      <c r="P98" s="60">
        <v>0.89</v>
      </c>
      <c r="Q98" s="60">
        <v>33.86</v>
      </c>
      <c r="R98" s="197"/>
      <c r="S98" s="197"/>
      <c r="T98" s="197"/>
      <c r="U98" s="197"/>
    </row>
    <row r="99" spans="1:33" s="12" customFormat="1" x14ac:dyDescent="0.25">
      <c r="A99" s="200" t="s">
        <v>2546</v>
      </c>
      <c r="B99" s="60">
        <v>6.51</v>
      </c>
      <c r="C99" s="60">
        <v>9.73</v>
      </c>
      <c r="D99" s="60">
        <v>16.239999999999998</v>
      </c>
      <c r="E99" s="60">
        <v>5.27</v>
      </c>
      <c r="F99" s="60">
        <v>0.15</v>
      </c>
      <c r="G99" s="60">
        <v>28.49</v>
      </c>
      <c r="H99" s="60">
        <v>14.36</v>
      </c>
      <c r="I99" s="60">
        <v>172.64</v>
      </c>
      <c r="J99" s="60">
        <v>1.77</v>
      </c>
      <c r="K99" s="60">
        <v>158.08000000000001</v>
      </c>
      <c r="L99" s="60">
        <v>37.700000000000003</v>
      </c>
      <c r="M99" s="60">
        <v>98.78</v>
      </c>
      <c r="N99" s="60">
        <v>15.6</v>
      </c>
      <c r="O99" s="60">
        <v>0</v>
      </c>
      <c r="P99" s="60">
        <v>0.87</v>
      </c>
      <c r="Q99" s="60">
        <v>33.119999999999997</v>
      </c>
      <c r="R99" s="197"/>
      <c r="S99" s="197"/>
      <c r="T99" s="197"/>
      <c r="U99" s="197"/>
    </row>
    <row r="100" spans="1:33" s="12" customFormat="1" x14ac:dyDescent="0.25">
      <c r="A100" s="200" t="s">
        <v>2547</v>
      </c>
      <c r="B100" s="60">
        <v>5.77</v>
      </c>
      <c r="C100" s="60">
        <v>9.41</v>
      </c>
      <c r="D100" s="60">
        <v>15.18</v>
      </c>
      <c r="E100" s="60">
        <v>5.68</v>
      </c>
      <c r="F100" s="60">
        <v>0.13</v>
      </c>
      <c r="G100" s="60">
        <v>27.01</v>
      </c>
      <c r="H100" s="60">
        <v>15.93</v>
      </c>
      <c r="I100" s="60">
        <v>164.23</v>
      </c>
      <c r="J100" s="60">
        <v>1.6</v>
      </c>
      <c r="K100" s="60">
        <v>156.36000000000001</v>
      </c>
      <c r="L100" s="60">
        <v>37.99</v>
      </c>
      <c r="M100" s="60">
        <v>98.86</v>
      </c>
      <c r="N100" s="60">
        <v>15.3</v>
      </c>
      <c r="O100" s="60">
        <v>0</v>
      </c>
      <c r="P100" s="60">
        <v>0.84</v>
      </c>
      <c r="Q100" s="60">
        <v>31.16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2548</v>
      </c>
      <c r="B101" s="60">
        <v>5.15</v>
      </c>
      <c r="C101" s="60">
        <v>9.01</v>
      </c>
      <c r="D101" s="60">
        <v>14.16</v>
      </c>
      <c r="E101" s="60">
        <v>5.86</v>
      </c>
      <c r="F101" s="60">
        <v>0.06</v>
      </c>
      <c r="G101" s="60">
        <v>24.57</v>
      </c>
      <c r="H101" s="60">
        <v>18.53</v>
      </c>
      <c r="I101" s="60">
        <v>156.13</v>
      </c>
      <c r="J101" s="60">
        <v>1.05</v>
      </c>
      <c r="K101" s="60">
        <v>162.47999999999999</v>
      </c>
      <c r="L101" s="60">
        <v>37.229999999999997</v>
      </c>
      <c r="M101" s="60">
        <v>98.65</v>
      </c>
      <c r="N101" s="60">
        <v>15.5</v>
      </c>
      <c r="O101" s="60">
        <v>0</v>
      </c>
      <c r="P101" s="60">
        <v>0.83</v>
      </c>
      <c r="Q101" s="60">
        <v>32.96</v>
      </c>
      <c r="R101" s="197"/>
      <c r="S101" s="197"/>
      <c r="T101" s="197"/>
      <c r="U101" s="197"/>
    </row>
    <row r="102" spans="1:33" s="12" customFormat="1" x14ac:dyDescent="0.25">
      <c r="A102" s="200" t="s">
        <v>2549</v>
      </c>
      <c r="B102" s="60">
        <v>4.6399999999999997</v>
      </c>
      <c r="C102" s="60">
        <v>8.57</v>
      </c>
      <c r="D102" s="60">
        <v>13.22</v>
      </c>
      <c r="E102" s="60">
        <v>5.61</v>
      </c>
      <c r="F102" s="60">
        <v>7.0000000000000007E-2</v>
      </c>
      <c r="G102" s="60">
        <v>24.57</v>
      </c>
      <c r="H102" s="60">
        <v>18.53</v>
      </c>
      <c r="I102" s="60">
        <v>148.47</v>
      </c>
      <c r="J102" s="60">
        <v>1.08</v>
      </c>
      <c r="K102" s="60">
        <v>158.69</v>
      </c>
      <c r="L102" s="60">
        <v>35.46</v>
      </c>
      <c r="M102" s="60">
        <v>98.69</v>
      </c>
      <c r="N102" s="60">
        <v>15.3</v>
      </c>
      <c r="O102" s="60">
        <v>0</v>
      </c>
      <c r="P102" s="60">
        <v>0.82</v>
      </c>
      <c r="Q102" s="60">
        <v>31.94</v>
      </c>
      <c r="R102" s="197"/>
      <c r="S102" s="197"/>
      <c r="T102" s="197"/>
      <c r="U102" s="197"/>
    </row>
    <row r="103" spans="1:33" s="12" customFormat="1" x14ac:dyDescent="0.25">
      <c r="A103" s="200" t="s">
        <v>2550</v>
      </c>
      <c r="B103" s="60">
        <v>4.3</v>
      </c>
      <c r="C103" s="60">
        <v>8.1199999999999992</v>
      </c>
      <c r="D103" s="60">
        <v>12.42</v>
      </c>
      <c r="E103" s="60">
        <v>5.66</v>
      </c>
      <c r="F103" s="60">
        <v>0.03</v>
      </c>
      <c r="G103" s="60">
        <v>24.57</v>
      </c>
      <c r="H103" s="60">
        <v>18.53</v>
      </c>
      <c r="I103" s="60">
        <v>142.41</v>
      </c>
      <c r="J103" s="60">
        <v>0.82</v>
      </c>
      <c r="K103" s="60">
        <v>164.86</v>
      </c>
      <c r="L103" s="60">
        <v>35.840000000000003</v>
      </c>
      <c r="M103" s="60">
        <v>99.13</v>
      </c>
      <c r="N103" s="60">
        <v>15.3</v>
      </c>
      <c r="O103" s="60">
        <v>0</v>
      </c>
      <c r="P103" s="60">
        <v>0.81</v>
      </c>
      <c r="Q103" s="60">
        <v>30.85</v>
      </c>
      <c r="R103" s="197"/>
      <c r="S103" s="197"/>
      <c r="T103" s="197"/>
      <c r="U103" s="197"/>
    </row>
    <row r="104" spans="1:33" s="12" customFormat="1" x14ac:dyDescent="0.25">
      <c r="A104" s="200" t="s">
        <v>2551</v>
      </c>
      <c r="B104" s="60">
        <v>3.98</v>
      </c>
      <c r="C104" s="60">
        <v>7.73</v>
      </c>
      <c r="D104" s="60">
        <v>11.7</v>
      </c>
      <c r="E104" s="60">
        <v>2.64</v>
      </c>
      <c r="F104" s="60">
        <v>0.19</v>
      </c>
      <c r="G104" s="60">
        <v>23.11</v>
      </c>
      <c r="H104" s="60">
        <v>16.53</v>
      </c>
      <c r="I104" s="60">
        <v>136.94999999999999</v>
      </c>
      <c r="J104" s="60">
        <v>0.57999999999999996</v>
      </c>
      <c r="K104" s="60">
        <v>167.9</v>
      </c>
      <c r="L104" s="60">
        <v>36.54</v>
      </c>
      <c r="M104" s="60">
        <v>98.69</v>
      </c>
      <c r="N104" s="60">
        <v>15.4</v>
      </c>
      <c r="O104" s="60">
        <v>0</v>
      </c>
      <c r="P104" s="60">
        <v>0.79</v>
      </c>
      <c r="Q104" s="60">
        <v>30.15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5" t="s">
        <v>59</v>
      </c>
      <c r="B106" s="67">
        <f>MIN(B9:B104)</f>
        <v>1.1599999999999999</v>
      </c>
      <c r="C106" s="67">
        <f>MIN(C9:C104)</f>
        <v>4.9000000000000004</v>
      </c>
      <c r="D106" s="67">
        <f t="shared" ref="D106:Q106" si="0">MIN(D9:D104)</f>
        <v>11.7</v>
      </c>
      <c r="E106" s="67">
        <f t="shared" si="0"/>
        <v>0.12</v>
      </c>
      <c r="F106" s="67">
        <f t="shared" si="0"/>
        <v>0.01</v>
      </c>
      <c r="G106" s="67">
        <f t="shared" si="0"/>
        <v>19.079999999999998</v>
      </c>
      <c r="H106" s="67">
        <f t="shared" si="0"/>
        <v>11.1</v>
      </c>
      <c r="I106" s="67">
        <f t="shared" si="0"/>
        <v>8.83</v>
      </c>
      <c r="J106" s="67">
        <f t="shared" si="0"/>
        <v>0.02</v>
      </c>
      <c r="K106" s="67">
        <f t="shared" si="0"/>
        <v>1.22</v>
      </c>
      <c r="L106" s="67">
        <f t="shared" si="0"/>
        <v>26.52</v>
      </c>
      <c r="M106" s="67">
        <f t="shared" si="0"/>
        <v>52.32</v>
      </c>
      <c r="N106" s="67">
        <f t="shared" si="0"/>
        <v>14.8</v>
      </c>
      <c r="O106" s="67">
        <f t="shared" si="0"/>
        <v>0</v>
      </c>
      <c r="P106" s="67">
        <f t="shared" si="0"/>
        <v>0.6</v>
      </c>
      <c r="Q106" s="67">
        <f t="shared" si="0"/>
        <v>5.9</v>
      </c>
      <c r="R106" s="198"/>
      <c r="S106" s="198"/>
      <c r="T106" s="198"/>
      <c r="U106" s="198"/>
    </row>
    <row r="107" spans="1:33" x14ac:dyDescent="0.25">
      <c r="A107" s="65" t="s">
        <v>60</v>
      </c>
      <c r="B107" s="66">
        <f>MAX(B9:B104)</f>
        <v>20.440000000000001</v>
      </c>
      <c r="C107" s="66">
        <f t="shared" ref="C107:Q107" si="1">MAX(C9:C104)</f>
        <v>31.72</v>
      </c>
      <c r="D107" s="66">
        <f t="shared" si="1"/>
        <v>48.69</v>
      </c>
      <c r="E107" s="66">
        <f t="shared" si="1"/>
        <v>444.36</v>
      </c>
      <c r="F107" s="66">
        <f t="shared" si="1"/>
        <v>2.74</v>
      </c>
      <c r="G107" s="66">
        <f t="shared" si="1"/>
        <v>104.13</v>
      </c>
      <c r="H107" s="66">
        <f t="shared" si="1"/>
        <v>45.64</v>
      </c>
      <c r="I107" s="66">
        <f t="shared" si="1"/>
        <v>3203.68</v>
      </c>
      <c r="J107" s="66">
        <f t="shared" si="1"/>
        <v>2.14</v>
      </c>
      <c r="K107" s="66">
        <f t="shared" si="1"/>
        <v>359.49</v>
      </c>
      <c r="L107" s="66">
        <f t="shared" si="1"/>
        <v>44.41</v>
      </c>
      <c r="M107" s="66">
        <f t="shared" si="1"/>
        <v>99.13</v>
      </c>
      <c r="N107" s="66">
        <f t="shared" si="1"/>
        <v>848</v>
      </c>
      <c r="O107" s="66">
        <f t="shared" si="1"/>
        <v>2.6</v>
      </c>
      <c r="P107" s="66">
        <f t="shared" si="1"/>
        <v>106.02</v>
      </c>
      <c r="Q107" s="66">
        <f t="shared" si="1"/>
        <v>72.83</v>
      </c>
      <c r="R107" s="199"/>
      <c r="S107" s="199"/>
      <c r="T107" s="199"/>
      <c r="U107" s="199"/>
    </row>
    <row r="108" spans="1:33" x14ac:dyDescent="0.25">
      <c r="A108" s="65" t="s">
        <v>61</v>
      </c>
      <c r="B108" s="67">
        <f>AVERAGE(B9:B104)</f>
        <v>8.7768749999999986</v>
      </c>
      <c r="C108" s="67">
        <f t="shared" ref="C108:Q108" si="2">AVERAGE(C9:C104)</f>
        <v>12.939166666666663</v>
      </c>
      <c r="D108" s="67">
        <f t="shared" si="2"/>
        <v>21.716041666666655</v>
      </c>
      <c r="E108" s="67">
        <f t="shared" si="2"/>
        <v>13.645425531914892</v>
      </c>
      <c r="F108" s="67">
        <f t="shared" si="2"/>
        <v>0.59774193548387111</v>
      </c>
      <c r="G108" s="67">
        <f t="shared" si="2"/>
        <v>51.504444444444431</v>
      </c>
      <c r="H108" s="67">
        <f t="shared" si="2"/>
        <v>22.608043478260864</v>
      </c>
      <c r="I108" s="67">
        <f t="shared" si="2"/>
        <v>91.856833333333327</v>
      </c>
      <c r="J108" s="67">
        <f t="shared" si="2"/>
        <v>0.52760416666666676</v>
      </c>
      <c r="K108" s="67">
        <f t="shared" si="2"/>
        <v>210.39041666666677</v>
      </c>
      <c r="L108" s="67">
        <f t="shared" si="2"/>
        <v>34.25</v>
      </c>
      <c r="M108" s="67">
        <f t="shared" si="2"/>
        <v>81.560208333333335</v>
      </c>
      <c r="N108" s="67">
        <f t="shared" si="2"/>
        <v>142.0708333333333</v>
      </c>
      <c r="O108" s="67">
        <f t="shared" si="2"/>
        <v>8.9583333333333334E-2</v>
      </c>
      <c r="P108" s="67">
        <f t="shared" si="2"/>
        <v>4.1129166666666661</v>
      </c>
      <c r="Q108" s="67">
        <f t="shared" si="2"/>
        <v>44.388125000000002</v>
      </c>
      <c r="R108" s="198"/>
      <c r="S108" s="198"/>
      <c r="T108" s="198"/>
      <c r="U108" s="198"/>
    </row>
    <row r="109" spans="1:33" x14ac:dyDescent="0.25">
      <c r="A109" s="65" t="s">
        <v>77</v>
      </c>
      <c r="B109" s="67">
        <f>STDEV(B9:B104)</f>
        <v>4.9885176181222208</v>
      </c>
      <c r="C109" s="67">
        <f t="shared" ref="C109:Q109" si="3">STDEV(C9:C104)</f>
        <v>6.7538043340369391</v>
      </c>
      <c r="D109" s="67">
        <f t="shared" si="3"/>
        <v>6.4151643502213878</v>
      </c>
      <c r="E109" s="67">
        <f t="shared" si="3"/>
        <v>54.541196556914542</v>
      </c>
      <c r="F109" s="67">
        <f t="shared" si="3"/>
        <v>0.66077709362645942</v>
      </c>
      <c r="G109" s="67">
        <f t="shared" si="3"/>
        <v>25.31153788294975</v>
      </c>
      <c r="H109" s="67">
        <f t="shared" si="3"/>
        <v>7.462095607483989</v>
      </c>
      <c r="I109" s="67">
        <f t="shared" si="3"/>
        <v>412.37065667480812</v>
      </c>
      <c r="J109" s="67">
        <f t="shared" si="3"/>
        <v>0.48445681963175952</v>
      </c>
      <c r="K109" s="67">
        <f t="shared" si="3"/>
        <v>104.26746695440373</v>
      </c>
      <c r="L109" s="67">
        <f t="shared" si="3"/>
        <v>5.1364576239931097</v>
      </c>
      <c r="M109" s="67">
        <f t="shared" si="3"/>
        <v>14.120328457426677</v>
      </c>
      <c r="N109" s="67">
        <f t="shared" si="3"/>
        <v>207.16751112726786</v>
      </c>
      <c r="O109" s="67">
        <f t="shared" si="3"/>
        <v>0.33450015078799733</v>
      </c>
      <c r="P109" s="67">
        <f t="shared" si="3"/>
        <v>14.578191275915989</v>
      </c>
      <c r="Q109" s="67">
        <f t="shared" si="3"/>
        <v>21.960940556624166</v>
      </c>
      <c r="R109" s="198"/>
      <c r="S109" s="198"/>
      <c r="T109" s="198"/>
      <c r="U109" s="198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>COUNT(E9:E104)+2</f>
        <v>96</v>
      </c>
      <c r="F110" s="66">
        <f>COUNT(F9:F104)+3</f>
        <v>96</v>
      </c>
      <c r="G110" s="66">
        <f>COUNT(G9:G104)+4</f>
        <v>85</v>
      </c>
      <c r="H110" s="66">
        <f>COUNT(H9:H104)+9-5</f>
        <v>96</v>
      </c>
      <c r="I110" s="66">
        <f>COUNT(I9:I104)+7+29</f>
        <v>96</v>
      </c>
      <c r="J110" s="66">
        <f>COUNT(J9:J104)</f>
        <v>96</v>
      </c>
      <c r="K110" s="66">
        <f t="shared" si="4"/>
        <v>96</v>
      </c>
      <c r="L110" s="66">
        <f t="shared" si="4"/>
        <v>66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9"/>
      <c r="S110" s="199"/>
      <c r="T110" s="199"/>
      <c r="U110" s="199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&lt;90%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LESS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218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7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40" sqref="G40:G5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25-08-2022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234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2552</v>
      </c>
      <c r="B9" s="60">
        <v>3.71</v>
      </c>
      <c r="C9" s="60">
        <v>7.41</v>
      </c>
      <c r="D9" s="60">
        <v>11.11</v>
      </c>
      <c r="E9" s="60">
        <v>5.86</v>
      </c>
      <c r="F9" s="60">
        <v>0.22</v>
      </c>
      <c r="G9" s="60">
        <v>20.7</v>
      </c>
      <c r="H9" s="60">
        <v>13.23</v>
      </c>
      <c r="I9" s="60">
        <v>132.05000000000001</v>
      </c>
      <c r="J9" s="60">
        <v>0.73</v>
      </c>
      <c r="K9" s="60">
        <v>166.49</v>
      </c>
      <c r="L9" s="60">
        <v>36.19</v>
      </c>
      <c r="M9" s="60">
        <v>98.68</v>
      </c>
      <c r="N9" s="60">
        <v>15.4</v>
      </c>
      <c r="O9" s="60">
        <v>0</v>
      </c>
      <c r="P9" s="60">
        <v>0.78</v>
      </c>
      <c r="Q9" s="60">
        <v>30.1</v>
      </c>
      <c r="R9" s="197"/>
      <c r="S9" s="197"/>
      <c r="T9" s="197"/>
      <c r="U9" s="197"/>
    </row>
    <row r="10" spans="1:21" s="12" customFormat="1" x14ac:dyDescent="0.25">
      <c r="A10" s="200" t="s">
        <v>2553</v>
      </c>
      <c r="B10" s="60">
        <v>3.5</v>
      </c>
      <c r="C10" s="60">
        <v>7.07</v>
      </c>
      <c r="D10" s="60">
        <v>10.57</v>
      </c>
      <c r="E10" s="60">
        <v>5.93</v>
      </c>
      <c r="F10" s="60">
        <v>0.3</v>
      </c>
      <c r="G10" s="60">
        <v>20.7</v>
      </c>
      <c r="H10" s="60">
        <v>13.23</v>
      </c>
      <c r="I10" s="60">
        <v>127.45</v>
      </c>
      <c r="J10" s="60">
        <v>0.83</v>
      </c>
      <c r="K10" s="60">
        <v>158.47999999999999</v>
      </c>
      <c r="L10" s="60">
        <v>36.56</v>
      </c>
      <c r="M10" s="60">
        <v>98.82</v>
      </c>
      <c r="N10" s="60">
        <v>15.4</v>
      </c>
      <c r="O10" s="60">
        <v>0</v>
      </c>
      <c r="P10" s="60">
        <v>0.77</v>
      </c>
      <c r="Q10" s="60">
        <v>29.23</v>
      </c>
      <c r="R10" s="197"/>
      <c r="S10" s="197"/>
      <c r="T10" s="197"/>
      <c r="U10" s="197"/>
    </row>
    <row r="11" spans="1:21" s="12" customFormat="1" x14ac:dyDescent="0.25">
      <c r="A11" s="200" t="s">
        <v>2554</v>
      </c>
      <c r="B11" s="60">
        <v>3.36</v>
      </c>
      <c r="C11" s="60">
        <v>6.77</v>
      </c>
      <c r="D11" s="60">
        <v>10.119999999999999</v>
      </c>
      <c r="E11" s="60">
        <v>5.94</v>
      </c>
      <c r="F11" s="60">
        <v>0.32</v>
      </c>
      <c r="G11" s="60">
        <v>20.7</v>
      </c>
      <c r="H11" s="60">
        <v>13.23</v>
      </c>
      <c r="I11" s="60">
        <v>123.21</v>
      </c>
      <c r="J11" s="60">
        <v>0.56000000000000005</v>
      </c>
      <c r="K11" s="60">
        <v>175.62</v>
      </c>
      <c r="L11" s="60">
        <v>38.659999999999997</v>
      </c>
      <c r="M11" s="60">
        <v>99</v>
      </c>
      <c r="N11" s="60">
        <v>15.2</v>
      </c>
      <c r="O11" s="60">
        <v>0</v>
      </c>
      <c r="P11" s="60">
        <v>0.76</v>
      </c>
      <c r="Q11" s="60">
        <v>28.44</v>
      </c>
      <c r="R11" s="197"/>
      <c r="S11" s="197"/>
      <c r="T11" s="197"/>
      <c r="U11" s="197"/>
    </row>
    <row r="12" spans="1:21" s="12" customFormat="1" x14ac:dyDescent="0.25">
      <c r="A12" s="200" t="s">
        <v>2555</v>
      </c>
      <c r="B12" s="60">
        <v>3.2</v>
      </c>
      <c r="C12" s="60">
        <v>6.72</v>
      </c>
      <c r="D12" s="60">
        <v>9.92</v>
      </c>
      <c r="E12" s="60">
        <v>6.02</v>
      </c>
      <c r="F12" s="60">
        <v>0.22</v>
      </c>
      <c r="G12" s="60">
        <v>19.940000000000001</v>
      </c>
      <c r="H12" s="60">
        <v>12.5</v>
      </c>
      <c r="I12" s="60">
        <v>119.35</v>
      </c>
      <c r="J12" s="60">
        <v>0.44</v>
      </c>
      <c r="K12" s="60">
        <v>189.82</v>
      </c>
      <c r="L12" s="60">
        <v>38.619999999999997</v>
      </c>
      <c r="M12" s="60">
        <v>98.67</v>
      </c>
      <c r="N12" s="60">
        <v>15.3</v>
      </c>
      <c r="O12" s="60">
        <v>0</v>
      </c>
      <c r="P12" s="60">
        <v>0.74</v>
      </c>
      <c r="Q12" s="60">
        <v>28.78</v>
      </c>
      <c r="R12" s="197"/>
      <c r="S12" s="197"/>
      <c r="T12" s="197"/>
      <c r="U12" s="197"/>
    </row>
    <row r="13" spans="1:21" s="12" customFormat="1" x14ac:dyDescent="0.25">
      <c r="A13" s="200" t="s">
        <v>2556</v>
      </c>
      <c r="B13" s="60">
        <v>2.96</v>
      </c>
      <c r="C13" s="60">
        <v>6.09</v>
      </c>
      <c r="D13" s="60">
        <v>9.0500000000000007</v>
      </c>
      <c r="E13" s="60">
        <v>6.26</v>
      </c>
      <c r="F13" s="60">
        <v>0.41</v>
      </c>
      <c r="G13" s="60">
        <v>18.7</v>
      </c>
      <c r="H13" s="60">
        <v>11.29</v>
      </c>
      <c r="I13" s="60">
        <v>115.64</v>
      </c>
      <c r="J13" s="60">
        <v>0.54</v>
      </c>
      <c r="K13" s="60">
        <v>176.72</v>
      </c>
      <c r="L13" s="60">
        <v>38.57</v>
      </c>
      <c r="M13" s="60">
        <v>98.69</v>
      </c>
      <c r="N13" s="60">
        <v>15.2</v>
      </c>
      <c r="O13" s="60">
        <v>0</v>
      </c>
      <c r="P13" s="60">
        <v>0.84</v>
      </c>
      <c r="Q13" s="60">
        <v>23.56</v>
      </c>
      <c r="R13" s="197"/>
      <c r="S13" s="197"/>
      <c r="T13" s="197"/>
      <c r="U13" s="197"/>
    </row>
    <row r="14" spans="1:21" s="12" customFormat="1" x14ac:dyDescent="0.25">
      <c r="A14" s="200" t="s">
        <v>2557</v>
      </c>
      <c r="B14" s="60">
        <v>2.69</v>
      </c>
      <c r="C14" s="60">
        <v>6.13</v>
      </c>
      <c r="D14" s="60">
        <v>8.81</v>
      </c>
      <c r="E14" s="60">
        <v>6.75</v>
      </c>
      <c r="F14" s="60">
        <v>0.39</v>
      </c>
      <c r="G14" s="60">
        <v>18.7</v>
      </c>
      <c r="H14" s="60">
        <v>11.29</v>
      </c>
      <c r="I14" s="60">
        <v>111.84</v>
      </c>
      <c r="J14" s="60">
        <v>0.72</v>
      </c>
      <c r="K14" s="60">
        <v>163.86</v>
      </c>
      <c r="L14" s="60">
        <v>40.619999999999997</v>
      </c>
      <c r="M14" s="60">
        <v>99.01</v>
      </c>
      <c r="N14" s="60">
        <v>15.4</v>
      </c>
      <c r="O14" s="60">
        <v>0</v>
      </c>
      <c r="P14" s="60">
        <v>0.88</v>
      </c>
      <c r="Q14" s="60">
        <v>23.33</v>
      </c>
      <c r="R14" s="197"/>
      <c r="S14" s="197"/>
      <c r="T14" s="197"/>
      <c r="U14" s="197"/>
    </row>
    <row r="15" spans="1:21" s="12" customFormat="1" x14ac:dyDescent="0.25">
      <c r="A15" s="200" t="s">
        <v>2558</v>
      </c>
      <c r="B15" s="60">
        <v>2.4</v>
      </c>
      <c r="C15" s="60">
        <v>5.97</v>
      </c>
      <c r="D15" s="60">
        <v>8.3699999999999992</v>
      </c>
      <c r="E15" s="60">
        <v>6.42</v>
      </c>
      <c r="F15" s="60">
        <v>0.28999999999999998</v>
      </c>
      <c r="G15" s="60">
        <v>18.7</v>
      </c>
      <c r="H15" s="60">
        <v>11.29</v>
      </c>
      <c r="I15" s="60">
        <v>107.65</v>
      </c>
      <c r="J15" s="60">
        <v>0.23</v>
      </c>
      <c r="K15" s="60">
        <v>200.58</v>
      </c>
      <c r="L15" s="60">
        <v>36.340000000000003</v>
      </c>
      <c r="M15" s="60">
        <v>98.68</v>
      </c>
      <c r="N15" s="60">
        <v>15.4</v>
      </c>
      <c r="O15" s="60">
        <v>0</v>
      </c>
      <c r="P15" s="60">
        <v>0.88</v>
      </c>
      <c r="Q15" s="60">
        <v>21.54</v>
      </c>
      <c r="R15" s="197"/>
      <c r="S15" s="197"/>
      <c r="T15" s="197"/>
      <c r="U15" s="197"/>
    </row>
    <row r="16" spans="1:21" s="12" customFormat="1" x14ac:dyDescent="0.25">
      <c r="A16" s="200" t="s">
        <v>2559</v>
      </c>
      <c r="B16" s="60">
        <v>2.17</v>
      </c>
      <c r="C16" s="60">
        <v>5.88</v>
      </c>
      <c r="D16" s="60">
        <v>8.0399999999999991</v>
      </c>
      <c r="E16" s="60">
        <v>5.98</v>
      </c>
      <c r="F16" s="60">
        <v>0.54</v>
      </c>
      <c r="G16" s="60">
        <v>16.75</v>
      </c>
      <c r="H16" s="60">
        <v>10.99</v>
      </c>
      <c r="I16" s="60">
        <v>103.22</v>
      </c>
      <c r="J16" s="60">
        <v>0.15</v>
      </c>
      <c r="K16" s="60">
        <v>211.98</v>
      </c>
      <c r="L16" s="60">
        <v>35.020000000000003</v>
      </c>
      <c r="M16" s="60">
        <v>98.9</v>
      </c>
      <c r="N16" s="60">
        <v>15.4</v>
      </c>
      <c r="O16" s="60">
        <v>0</v>
      </c>
      <c r="P16" s="60">
        <v>0.84</v>
      </c>
      <c r="Q16" s="60">
        <v>21.56</v>
      </c>
      <c r="R16" s="197"/>
      <c r="S16" s="197"/>
      <c r="T16" s="197"/>
      <c r="U16" s="197"/>
    </row>
    <row r="17" spans="1:21" s="12" customFormat="1" x14ac:dyDescent="0.25">
      <c r="A17" s="200" t="s">
        <v>2560</v>
      </c>
      <c r="B17" s="60">
        <v>1.97</v>
      </c>
      <c r="C17" s="60">
        <v>5.96</v>
      </c>
      <c r="D17" s="60">
        <v>7.93</v>
      </c>
      <c r="E17" s="60">
        <v>5.9</v>
      </c>
      <c r="F17" s="60">
        <v>0.09</v>
      </c>
      <c r="G17" s="60">
        <v>13.53</v>
      </c>
      <c r="H17" s="60">
        <v>10.48</v>
      </c>
      <c r="I17" s="60">
        <v>99.08</v>
      </c>
      <c r="J17" s="60">
        <v>0.13</v>
      </c>
      <c r="K17" s="60">
        <v>195.86</v>
      </c>
      <c r="L17" s="60">
        <v>35.22</v>
      </c>
      <c r="M17" s="60">
        <v>99.14</v>
      </c>
      <c r="N17" s="60">
        <v>15.3</v>
      </c>
      <c r="O17" s="60">
        <v>0</v>
      </c>
      <c r="P17" s="60">
        <v>0.82</v>
      </c>
      <c r="Q17" s="60">
        <v>20.9</v>
      </c>
      <c r="R17" s="197"/>
      <c r="S17" s="197"/>
      <c r="T17" s="197"/>
      <c r="U17" s="197"/>
    </row>
    <row r="18" spans="1:21" s="12" customFormat="1" x14ac:dyDescent="0.25">
      <c r="A18" s="200" t="s">
        <v>2561</v>
      </c>
      <c r="B18" s="60">
        <v>1.83</v>
      </c>
      <c r="C18" s="60">
        <v>5.83</v>
      </c>
      <c r="D18" s="60">
        <v>7.65</v>
      </c>
      <c r="E18" s="60">
        <v>6.44</v>
      </c>
      <c r="F18" s="60">
        <v>0.21</v>
      </c>
      <c r="G18" s="60">
        <v>13.53</v>
      </c>
      <c r="H18" s="60">
        <v>10.48</v>
      </c>
      <c r="I18" s="60">
        <v>95.2</v>
      </c>
      <c r="J18" s="60">
        <v>0.13</v>
      </c>
      <c r="K18" s="60">
        <v>186.78</v>
      </c>
      <c r="L18" s="60">
        <v>36.78</v>
      </c>
      <c r="M18" s="60">
        <v>99.15</v>
      </c>
      <c r="N18" s="60">
        <v>15.2</v>
      </c>
      <c r="O18" s="60">
        <v>0</v>
      </c>
      <c r="P18" s="60">
        <v>0.72</v>
      </c>
      <c r="Q18" s="60">
        <v>20.21</v>
      </c>
      <c r="R18" s="197"/>
      <c r="S18" s="197"/>
      <c r="T18" s="197"/>
      <c r="U18" s="197"/>
    </row>
    <row r="19" spans="1:21" s="12" customFormat="1" x14ac:dyDescent="0.25">
      <c r="A19" s="200" t="s">
        <v>2562</v>
      </c>
      <c r="B19" s="60">
        <v>1.73</v>
      </c>
      <c r="C19" s="60">
        <v>7.82</v>
      </c>
      <c r="D19" s="60">
        <v>9.5500000000000007</v>
      </c>
      <c r="E19" s="60">
        <v>6.39</v>
      </c>
      <c r="F19" s="60">
        <v>0.09</v>
      </c>
      <c r="G19" s="60">
        <v>13.53</v>
      </c>
      <c r="H19" s="60">
        <v>10.48</v>
      </c>
      <c r="I19" s="60">
        <v>91.81</v>
      </c>
      <c r="J19" s="60">
        <v>0.65</v>
      </c>
      <c r="K19" s="60">
        <v>155.44999999999999</v>
      </c>
      <c r="L19" s="60">
        <v>37.299999999999997</v>
      </c>
      <c r="M19" s="60">
        <v>99.14</v>
      </c>
      <c r="N19" s="60">
        <v>15.7</v>
      </c>
      <c r="O19" s="60">
        <v>0</v>
      </c>
      <c r="P19" s="60">
        <v>0.73</v>
      </c>
      <c r="Q19" s="60">
        <v>22.06</v>
      </c>
      <c r="R19" s="197"/>
      <c r="S19" s="197"/>
      <c r="T19" s="197"/>
      <c r="U19" s="197"/>
    </row>
    <row r="20" spans="1:21" s="12" customFormat="1" x14ac:dyDescent="0.25">
      <c r="A20" s="200" t="s">
        <v>2563</v>
      </c>
      <c r="B20" s="60">
        <v>1.82</v>
      </c>
      <c r="C20" s="60">
        <v>8.16</v>
      </c>
      <c r="D20" s="60">
        <v>9.98</v>
      </c>
      <c r="E20" s="60">
        <v>6.57</v>
      </c>
      <c r="F20" s="60">
        <v>0.05</v>
      </c>
      <c r="G20" s="60">
        <v>13.8</v>
      </c>
      <c r="H20" s="60">
        <v>10.15</v>
      </c>
      <c r="I20" s="60">
        <v>88.15</v>
      </c>
      <c r="J20" s="60">
        <v>0.42</v>
      </c>
      <c r="K20" s="60">
        <v>62.85</v>
      </c>
      <c r="L20" s="60">
        <v>37.07</v>
      </c>
      <c r="M20" s="60">
        <v>99.13</v>
      </c>
      <c r="N20" s="60">
        <v>15.4</v>
      </c>
      <c r="O20" s="60">
        <v>0</v>
      </c>
      <c r="P20" s="60">
        <v>0.73</v>
      </c>
      <c r="Q20" s="60">
        <v>25.67</v>
      </c>
      <c r="R20" s="197"/>
      <c r="S20" s="197"/>
      <c r="T20" s="197"/>
      <c r="U20" s="197"/>
    </row>
    <row r="21" spans="1:21" s="12" customFormat="1" x14ac:dyDescent="0.25">
      <c r="A21" s="200" t="s">
        <v>2564</v>
      </c>
      <c r="B21" s="60">
        <v>1.94</v>
      </c>
      <c r="C21" s="60">
        <v>7.88</v>
      </c>
      <c r="D21" s="60">
        <v>9.81</v>
      </c>
      <c r="E21" s="60">
        <v>6.86</v>
      </c>
      <c r="F21" s="60">
        <v>0.1</v>
      </c>
      <c r="G21" s="60">
        <v>14.25</v>
      </c>
      <c r="H21" s="60">
        <v>9.58</v>
      </c>
      <c r="I21" s="60">
        <v>85.58</v>
      </c>
      <c r="J21" s="60">
        <v>0.34</v>
      </c>
      <c r="K21" s="60">
        <v>53.14</v>
      </c>
      <c r="L21" s="60">
        <v>36.6</v>
      </c>
      <c r="M21" s="60">
        <v>99.1</v>
      </c>
      <c r="N21" s="60">
        <v>15.3</v>
      </c>
      <c r="O21" s="60">
        <v>0</v>
      </c>
      <c r="P21" s="60">
        <v>0.72</v>
      </c>
      <c r="Q21" s="60">
        <v>28.36</v>
      </c>
      <c r="R21" s="197"/>
      <c r="S21" s="197"/>
      <c r="T21" s="197"/>
      <c r="U21" s="197"/>
    </row>
    <row r="22" spans="1:21" s="12" customFormat="1" x14ac:dyDescent="0.25">
      <c r="A22" s="200" t="s">
        <v>2565</v>
      </c>
      <c r="B22" s="60">
        <v>2.0699999999999998</v>
      </c>
      <c r="C22" s="60">
        <v>7.27</v>
      </c>
      <c r="D22" s="60">
        <v>9.34</v>
      </c>
      <c r="E22" s="60">
        <v>6.78</v>
      </c>
      <c r="F22" s="60">
        <v>0.08</v>
      </c>
      <c r="G22" s="60">
        <v>14.25</v>
      </c>
      <c r="H22" s="60">
        <v>9.58</v>
      </c>
      <c r="I22" s="60">
        <v>83.52</v>
      </c>
      <c r="J22" s="60">
        <v>0.51</v>
      </c>
      <c r="K22" s="60">
        <v>78.290000000000006</v>
      </c>
      <c r="L22" s="60">
        <v>37.14</v>
      </c>
      <c r="M22" s="60">
        <v>99.1</v>
      </c>
      <c r="N22" s="60">
        <v>15.3</v>
      </c>
      <c r="O22" s="60">
        <v>0</v>
      </c>
      <c r="P22" s="60">
        <v>0.72</v>
      </c>
      <c r="Q22" s="60">
        <v>29.44</v>
      </c>
      <c r="R22" s="197"/>
      <c r="S22" s="197"/>
      <c r="T22" s="197"/>
      <c r="U22" s="197"/>
    </row>
    <row r="23" spans="1:21" s="12" customFormat="1" x14ac:dyDescent="0.25">
      <c r="A23" s="200" t="s">
        <v>2566</v>
      </c>
      <c r="B23" s="60">
        <v>2.2200000000000002</v>
      </c>
      <c r="C23" s="60">
        <v>6.87</v>
      </c>
      <c r="D23" s="60">
        <v>9.09</v>
      </c>
      <c r="E23" s="60">
        <v>6.91</v>
      </c>
      <c r="F23" s="60">
        <v>0.22</v>
      </c>
      <c r="G23" s="60">
        <v>14.25</v>
      </c>
      <c r="H23" s="60">
        <v>9.58</v>
      </c>
      <c r="I23" s="60">
        <v>81.680000000000007</v>
      </c>
      <c r="J23" s="60">
        <v>0.67</v>
      </c>
      <c r="K23" s="60">
        <v>72.59</v>
      </c>
      <c r="L23" s="60">
        <v>38.53</v>
      </c>
      <c r="M23" s="60">
        <v>99.11</v>
      </c>
      <c r="N23" s="60">
        <v>15.3</v>
      </c>
      <c r="O23" s="60">
        <v>0</v>
      </c>
      <c r="P23" s="60">
        <v>0.72</v>
      </c>
      <c r="Q23" s="60">
        <v>30.76</v>
      </c>
      <c r="R23" s="197"/>
      <c r="S23" s="197"/>
      <c r="T23" s="197"/>
      <c r="U23" s="197"/>
    </row>
    <row r="24" spans="1:21" s="12" customFormat="1" x14ac:dyDescent="0.25">
      <c r="A24" s="200" t="s">
        <v>2567</v>
      </c>
      <c r="B24" s="60">
        <v>2.35</v>
      </c>
      <c r="C24" s="60">
        <v>6.64</v>
      </c>
      <c r="D24" s="60">
        <v>8.98</v>
      </c>
      <c r="E24" s="60">
        <v>4</v>
      </c>
      <c r="F24" s="60">
        <v>0.23</v>
      </c>
      <c r="G24" s="60">
        <v>12.64</v>
      </c>
      <c r="H24" s="60">
        <v>8.58</v>
      </c>
      <c r="I24" s="60">
        <v>79.78</v>
      </c>
      <c r="J24" s="60">
        <v>0.57999999999999996</v>
      </c>
      <c r="K24" s="60">
        <v>36.35</v>
      </c>
      <c r="L24" s="60">
        <v>38.909999999999997</v>
      </c>
      <c r="M24" s="60">
        <v>99.08</v>
      </c>
      <c r="N24" s="60">
        <v>15.5</v>
      </c>
      <c r="O24" s="60">
        <v>0.4</v>
      </c>
      <c r="P24" s="60">
        <v>0.71</v>
      </c>
      <c r="Q24" s="60">
        <v>32.94</v>
      </c>
      <c r="R24" s="197"/>
      <c r="S24" s="197"/>
      <c r="T24" s="197"/>
      <c r="U24" s="197"/>
    </row>
    <row r="25" spans="1:21" s="12" customFormat="1" x14ac:dyDescent="0.25">
      <c r="A25" s="200" t="s">
        <v>2568</v>
      </c>
      <c r="B25" s="60">
        <v>2.44</v>
      </c>
      <c r="C25" s="60">
        <v>6.66</v>
      </c>
      <c r="D25" s="60">
        <v>9.1</v>
      </c>
      <c r="E25" s="60">
        <v>8.08</v>
      </c>
      <c r="F25" s="60">
        <v>0.16</v>
      </c>
      <c r="G25" s="60">
        <v>9.98</v>
      </c>
      <c r="H25" s="60">
        <v>6.85</v>
      </c>
      <c r="I25" s="60">
        <v>77.84</v>
      </c>
      <c r="J25" s="60">
        <v>0.5</v>
      </c>
      <c r="K25" s="60">
        <v>54.29</v>
      </c>
      <c r="L25" s="60">
        <v>36.090000000000003</v>
      </c>
      <c r="M25" s="60">
        <v>99.14</v>
      </c>
      <c r="N25" s="60">
        <v>15.6</v>
      </c>
      <c r="O25" s="60">
        <v>3.8</v>
      </c>
      <c r="P25" s="60">
        <v>0.7</v>
      </c>
      <c r="Q25" s="60">
        <v>34.729999999999997</v>
      </c>
      <c r="R25" s="197"/>
      <c r="S25" s="197"/>
      <c r="T25" s="197"/>
      <c r="U25" s="197"/>
    </row>
    <row r="26" spans="1:21" s="12" customFormat="1" x14ac:dyDescent="0.25">
      <c r="A26" s="200" t="s">
        <v>2569</v>
      </c>
      <c r="B26" s="60">
        <v>2.54</v>
      </c>
      <c r="C26" s="60">
        <v>6.26</v>
      </c>
      <c r="D26" s="60">
        <v>8.8000000000000007</v>
      </c>
      <c r="E26" s="60">
        <v>8.58</v>
      </c>
      <c r="F26" s="60">
        <v>0.24</v>
      </c>
      <c r="G26" s="60">
        <v>9.98</v>
      </c>
      <c r="H26" s="60">
        <v>6.85</v>
      </c>
      <c r="I26" s="60">
        <v>75.59</v>
      </c>
      <c r="J26" s="60">
        <v>0.96</v>
      </c>
      <c r="K26" s="60">
        <v>87.17</v>
      </c>
      <c r="L26" s="60">
        <v>34.67</v>
      </c>
      <c r="M26" s="60">
        <v>99.15</v>
      </c>
      <c r="N26" s="60">
        <v>16</v>
      </c>
      <c r="O26" s="60">
        <v>8</v>
      </c>
      <c r="P26" s="60">
        <v>0.69</v>
      </c>
      <c r="Q26" s="60">
        <v>35.28</v>
      </c>
      <c r="R26" s="197"/>
      <c r="S26" s="197"/>
      <c r="T26" s="197"/>
      <c r="U26" s="197"/>
    </row>
    <row r="27" spans="1:21" s="12" customFormat="1" x14ac:dyDescent="0.25">
      <c r="A27" s="200" t="s">
        <v>2570</v>
      </c>
      <c r="B27" s="60">
        <v>2.73</v>
      </c>
      <c r="C27" s="60">
        <v>6.05</v>
      </c>
      <c r="D27" s="60">
        <v>8.7799999999999994</v>
      </c>
      <c r="E27" s="60">
        <v>8.49</v>
      </c>
      <c r="F27" s="60">
        <v>0.78</v>
      </c>
      <c r="G27" s="60">
        <v>9.98</v>
      </c>
      <c r="H27" s="60">
        <v>6.85</v>
      </c>
      <c r="I27" s="60">
        <v>73.47</v>
      </c>
      <c r="J27" s="60">
        <v>0.63</v>
      </c>
      <c r="K27" s="60">
        <v>96.21</v>
      </c>
      <c r="L27" s="60">
        <v>34.17</v>
      </c>
      <c r="M27" s="60">
        <v>99.15</v>
      </c>
      <c r="N27" s="60">
        <v>15.8</v>
      </c>
      <c r="O27" s="60">
        <v>8.6</v>
      </c>
      <c r="P27" s="60">
        <v>0.67</v>
      </c>
      <c r="Q27" s="60">
        <v>34.86</v>
      </c>
      <c r="R27" s="197"/>
      <c r="S27" s="197"/>
      <c r="T27" s="197"/>
      <c r="U27" s="197"/>
    </row>
    <row r="28" spans="1:21" s="12" customFormat="1" x14ac:dyDescent="0.25">
      <c r="A28" s="200" t="s">
        <v>2571</v>
      </c>
      <c r="B28" s="60">
        <v>2.91</v>
      </c>
      <c r="C28" s="60">
        <v>6.71</v>
      </c>
      <c r="D28" s="60">
        <v>9.6199999999999992</v>
      </c>
      <c r="E28" s="60">
        <v>8.1999999999999993</v>
      </c>
      <c r="F28" s="60">
        <v>0.22</v>
      </c>
      <c r="G28" s="60">
        <v>11.31</v>
      </c>
      <c r="H28" s="60">
        <v>6.3</v>
      </c>
      <c r="I28" s="60">
        <v>71.150000000000006</v>
      </c>
      <c r="J28" s="60">
        <v>0.52</v>
      </c>
      <c r="K28" s="60">
        <v>125.1</v>
      </c>
      <c r="L28" s="60">
        <v>34.15</v>
      </c>
      <c r="M28" s="60">
        <v>99.15</v>
      </c>
      <c r="N28" s="60">
        <v>15.4</v>
      </c>
      <c r="O28" s="60">
        <v>1.6</v>
      </c>
      <c r="P28" s="60">
        <v>0.69</v>
      </c>
      <c r="Q28" s="60">
        <v>34.979999999999997</v>
      </c>
      <c r="R28" s="197"/>
      <c r="S28" s="197"/>
      <c r="T28" s="197"/>
      <c r="U28" s="197"/>
    </row>
    <row r="29" spans="1:21" s="12" customFormat="1" x14ac:dyDescent="0.25">
      <c r="A29" s="200" t="s">
        <v>2572</v>
      </c>
      <c r="B29" s="60">
        <v>3.19</v>
      </c>
      <c r="C29" s="60">
        <v>7.31</v>
      </c>
      <c r="D29" s="60">
        <v>10.49</v>
      </c>
      <c r="E29" s="60">
        <v>8.26</v>
      </c>
      <c r="F29" s="60">
        <v>0.27</v>
      </c>
      <c r="G29" s="60">
        <v>13.5</v>
      </c>
      <c r="H29" s="60">
        <v>5.33</v>
      </c>
      <c r="I29" s="60">
        <v>68.52</v>
      </c>
      <c r="J29" s="60">
        <v>0.12</v>
      </c>
      <c r="K29" s="60">
        <v>262.45</v>
      </c>
      <c r="L29" s="60">
        <v>34.130000000000003</v>
      </c>
      <c r="M29" s="60">
        <v>99.15</v>
      </c>
      <c r="N29" s="60">
        <v>15.5</v>
      </c>
      <c r="O29" s="60">
        <v>0.2</v>
      </c>
      <c r="P29" s="60">
        <v>0.67</v>
      </c>
      <c r="Q29" s="60">
        <v>37.200000000000003</v>
      </c>
      <c r="R29" s="197"/>
      <c r="S29" s="197"/>
      <c r="T29" s="197"/>
      <c r="U29" s="197"/>
    </row>
    <row r="30" spans="1:21" s="12" customFormat="1" x14ac:dyDescent="0.25">
      <c r="A30" s="200" t="s">
        <v>2573</v>
      </c>
      <c r="B30" s="60">
        <v>3.68</v>
      </c>
      <c r="C30" s="60">
        <v>7.9</v>
      </c>
      <c r="D30" s="60">
        <v>11.57</v>
      </c>
      <c r="E30" s="60">
        <v>8.3699999999999992</v>
      </c>
      <c r="F30" s="60">
        <v>0.01</v>
      </c>
      <c r="G30" s="60">
        <v>13.5</v>
      </c>
      <c r="H30" s="60">
        <v>5.33</v>
      </c>
      <c r="I30" s="60">
        <v>66.08</v>
      </c>
      <c r="J30" s="60">
        <v>0.8</v>
      </c>
      <c r="K30" s="60">
        <v>348.83</v>
      </c>
      <c r="L30" s="60">
        <v>34.33</v>
      </c>
      <c r="M30" s="60">
        <v>99.15</v>
      </c>
      <c r="N30" s="60">
        <v>15.5</v>
      </c>
      <c r="O30" s="60">
        <v>0.4</v>
      </c>
      <c r="P30" s="60">
        <v>0.67</v>
      </c>
      <c r="Q30" s="60">
        <v>37.049999999999997</v>
      </c>
      <c r="R30" s="197"/>
      <c r="S30" s="197"/>
      <c r="T30" s="197"/>
      <c r="U30" s="197"/>
    </row>
    <row r="31" spans="1:21" s="12" customFormat="1" x14ac:dyDescent="0.25">
      <c r="A31" s="200" t="s">
        <v>2574</v>
      </c>
      <c r="B31" s="60">
        <v>4.2699999999999996</v>
      </c>
      <c r="C31" s="60">
        <v>8.33</v>
      </c>
      <c r="D31" s="60">
        <v>12.6</v>
      </c>
      <c r="E31" s="60">
        <v>8.27</v>
      </c>
      <c r="F31" s="60">
        <v>0.4</v>
      </c>
      <c r="G31" s="60">
        <v>13.5</v>
      </c>
      <c r="H31" s="60">
        <v>5.33</v>
      </c>
      <c r="I31" s="60">
        <v>63.58</v>
      </c>
      <c r="J31" s="60">
        <v>1.01</v>
      </c>
      <c r="K31" s="60">
        <v>346.07</v>
      </c>
      <c r="L31" s="60">
        <v>34.56</v>
      </c>
      <c r="M31" s="60">
        <v>99.15</v>
      </c>
      <c r="N31" s="60">
        <v>16.100000000000001</v>
      </c>
      <c r="O31" s="60">
        <v>1.8</v>
      </c>
      <c r="P31" s="60">
        <v>0.65</v>
      </c>
      <c r="Q31" s="60">
        <v>34.99</v>
      </c>
      <c r="R31" s="197"/>
      <c r="S31" s="197"/>
      <c r="T31" s="197"/>
      <c r="U31" s="197"/>
    </row>
    <row r="32" spans="1:21" s="12" customFormat="1" x14ac:dyDescent="0.25">
      <c r="A32" s="200" t="s">
        <v>2575</v>
      </c>
      <c r="B32" s="60">
        <v>4.63</v>
      </c>
      <c r="C32" s="60">
        <v>8.9700000000000006</v>
      </c>
      <c r="D32" s="60">
        <v>13.6</v>
      </c>
      <c r="E32" s="60">
        <v>7.87</v>
      </c>
      <c r="F32" s="60">
        <v>0.11</v>
      </c>
      <c r="G32" s="60">
        <v>12.59</v>
      </c>
      <c r="H32" s="60">
        <v>6.44</v>
      </c>
      <c r="I32" s="60">
        <v>60.81</v>
      </c>
      <c r="J32" s="60">
        <v>0.75</v>
      </c>
      <c r="K32" s="60">
        <v>7.92</v>
      </c>
      <c r="L32" s="60">
        <v>34.5</v>
      </c>
      <c r="M32" s="60">
        <v>99.15</v>
      </c>
      <c r="N32" s="60">
        <v>17.3</v>
      </c>
      <c r="O32" s="60">
        <v>1</v>
      </c>
      <c r="P32" s="60">
        <v>0.66</v>
      </c>
      <c r="Q32" s="60">
        <v>34.64</v>
      </c>
      <c r="R32" s="197"/>
      <c r="S32" s="197"/>
      <c r="T32" s="197"/>
      <c r="U32" s="197"/>
    </row>
    <row r="33" spans="1:21" s="12" customFormat="1" x14ac:dyDescent="0.25">
      <c r="A33" s="200" t="s">
        <v>2576</v>
      </c>
      <c r="B33" s="60">
        <v>4.8099999999999996</v>
      </c>
      <c r="C33" s="60">
        <v>9.36</v>
      </c>
      <c r="D33" s="60">
        <v>14.17</v>
      </c>
      <c r="E33" s="60">
        <v>8.0500000000000007</v>
      </c>
      <c r="F33" s="60">
        <v>7.0000000000000007E-2</v>
      </c>
      <c r="G33" s="60">
        <v>11.1</v>
      </c>
      <c r="H33" s="60">
        <v>8.3699999999999992</v>
      </c>
      <c r="I33" s="60">
        <v>57</v>
      </c>
      <c r="J33" s="60">
        <v>0.57999999999999996</v>
      </c>
      <c r="K33" s="60">
        <v>83.08</v>
      </c>
      <c r="L33" s="60">
        <v>34.11</v>
      </c>
      <c r="M33" s="60">
        <v>99.15</v>
      </c>
      <c r="N33" s="60">
        <v>22.7</v>
      </c>
      <c r="O33" s="60">
        <v>1</v>
      </c>
      <c r="P33" s="60">
        <v>0.67</v>
      </c>
      <c r="Q33" s="60">
        <v>34.26</v>
      </c>
      <c r="R33" s="197"/>
      <c r="S33" s="197"/>
      <c r="T33" s="197"/>
      <c r="U33" s="197"/>
    </row>
    <row r="34" spans="1:21" s="12" customFormat="1" x14ac:dyDescent="0.25">
      <c r="A34" s="200" t="s">
        <v>2577</v>
      </c>
      <c r="B34" s="60">
        <v>5.0599999999999996</v>
      </c>
      <c r="C34" s="60">
        <v>9.52</v>
      </c>
      <c r="D34" s="60">
        <v>14.58</v>
      </c>
      <c r="E34" s="60">
        <v>8.2200000000000006</v>
      </c>
      <c r="F34" s="60">
        <v>0.03</v>
      </c>
      <c r="G34" s="60">
        <v>11.1</v>
      </c>
      <c r="H34" s="60">
        <v>8.3699999999999992</v>
      </c>
      <c r="I34" s="60">
        <v>54.4</v>
      </c>
      <c r="J34" s="60">
        <v>0.5</v>
      </c>
      <c r="K34" s="60">
        <v>83.82</v>
      </c>
      <c r="L34" s="60">
        <v>33.72</v>
      </c>
      <c r="M34" s="60">
        <v>99.15</v>
      </c>
      <c r="N34" s="60">
        <v>34.4</v>
      </c>
      <c r="O34" s="60">
        <v>0.2</v>
      </c>
      <c r="P34" s="60">
        <v>0.68</v>
      </c>
      <c r="Q34" s="60">
        <v>38.03</v>
      </c>
      <c r="R34" s="197"/>
      <c r="S34" s="197"/>
      <c r="T34" s="197"/>
      <c r="U34" s="197"/>
    </row>
    <row r="35" spans="1:21" s="12" customFormat="1" x14ac:dyDescent="0.25">
      <c r="A35" s="200" t="s">
        <v>2578</v>
      </c>
      <c r="B35" s="60">
        <v>5.31</v>
      </c>
      <c r="C35" s="60">
        <v>9.3800000000000008</v>
      </c>
      <c r="D35" s="60">
        <v>14.69</v>
      </c>
      <c r="E35" s="60">
        <v>8.5</v>
      </c>
      <c r="F35" s="60">
        <v>0.15</v>
      </c>
      <c r="G35" s="60">
        <v>11.1</v>
      </c>
      <c r="H35" s="60">
        <v>8.3699999999999992</v>
      </c>
      <c r="I35" s="60">
        <v>52.82</v>
      </c>
      <c r="J35" s="60">
        <v>0.54</v>
      </c>
      <c r="K35" s="60">
        <v>157.41999999999999</v>
      </c>
      <c r="L35" s="60">
        <v>33.75</v>
      </c>
      <c r="M35" s="60">
        <v>99.15</v>
      </c>
      <c r="N35" s="60">
        <v>49.9</v>
      </c>
      <c r="O35" s="60">
        <v>0.2</v>
      </c>
      <c r="P35" s="60">
        <v>0.68</v>
      </c>
      <c r="Q35" s="60">
        <v>40.770000000000003</v>
      </c>
      <c r="R35" s="197"/>
      <c r="S35" s="197"/>
      <c r="T35" s="197"/>
      <c r="U35" s="197"/>
    </row>
    <row r="36" spans="1:21" s="12" customFormat="1" x14ac:dyDescent="0.25">
      <c r="A36" s="200" t="s">
        <v>2579</v>
      </c>
      <c r="B36" s="60">
        <v>5.48</v>
      </c>
      <c r="C36" s="60">
        <v>9.25</v>
      </c>
      <c r="D36" s="60">
        <v>14.74</v>
      </c>
      <c r="E36" s="60">
        <v>9.0399999999999991</v>
      </c>
      <c r="F36" s="60">
        <v>0.06</v>
      </c>
      <c r="G36" s="60">
        <v>9.9499999999999993</v>
      </c>
      <c r="H36" s="60">
        <v>9.06</v>
      </c>
      <c r="I36" s="60">
        <v>51.63</v>
      </c>
      <c r="J36" s="60">
        <v>1.19</v>
      </c>
      <c r="K36" s="60">
        <v>177.41</v>
      </c>
      <c r="L36" s="60">
        <v>35.909999999999997</v>
      </c>
      <c r="M36" s="60">
        <v>99.15</v>
      </c>
      <c r="N36" s="60">
        <v>70.8</v>
      </c>
      <c r="O36" s="60">
        <v>0</v>
      </c>
      <c r="P36" s="60">
        <v>0.7</v>
      </c>
      <c r="Q36" s="60">
        <v>42.07</v>
      </c>
      <c r="R36" s="197"/>
      <c r="S36" s="197"/>
      <c r="T36" s="197"/>
      <c r="U36" s="197"/>
    </row>
    <row r="37" spans="1:21" s="12" customFormat="1" x14ac:dyDescent="0.25">
      <c r="A37" s="200" t="s">
        <v>2580</v>
      </c>
      <c r="B37" s="60">
        <v>5.78</v>
      </c>
      <c r="C37" s="60">
        <v>9.56</v>
      </c>
      <c r="D37" s="60">
        <v>15.35</v>
      </c>
      <c r="E37" s="60">
        <v>9</v>
      </c>
      <c r="F37" s="60">
        <v>0.18</v>
      </c>
      <c r="G37" s="60">
        <v>8.0500000000000007</v>
      </c>
      <c r="H37" s="60">
        <v>10.27</v>
      </c>
      <c r="I37" s="60">
        <v>50.54</v>
      </c>
      <c r="J37" s="60">
        <v>1.1499999999999999</v>
      </c>
      <c r="K37" s="60">
        <v>167.64</v>
      </c>
      <c r="L37" s="60">
        <v>35.42</v>
      </c>
      <c r="M37" s="60">
        <v>99.15</v>
      </c>
      <c r="N37" s="60">
        <v>90.7</v>
      </c>
      <c r="O37" s="60">
        <v>0</v>
      </c>
      <c r="P37" s="60">
        <v>0.55000000000000004</v>
      </c>
      <c r="Q37" s="60">
        <v>42.46</v>
      </c>
      <c r="R37" s="197"/>
      <c r="S37" s="197"/>
      <c r="T37" s="197"/>
      <c r="U37" s="197"/>
    </row>
    <row r="38" spans="1:21" s="12" customFormat="1" x14ac:dyDescent="0.25">
      <c r="A38" s="200" t="s">
        <v>2581</v>
      </c>
      <c r="B38" s="60">
        <v>6.19</v>
      </c>
      <c r="C38" s="60">
        <v>9.99</v>
      </c>
      <c r="D38" s="60">
        <v>16.18</v>
      </c>
      <c r="E38" s="60">
        <v>9.1300000000000008</v>
      </c>
      <c r="F38" s="60">
        <v>0.26</v>
      </c>
      <c r="G38" s="60">
        <v>8.0500000000000007</v>
      </c>
      <c r="H38" s="60">
        <v>10.27</v>
      </c>
      <c r="I38" s="60">
        <v>49.34</v>
      </c>
      <c r="J38" s="60">
        <v>1.38</v>
      </c>
      <c r="K38" s="60">
        <v>162.84</v>
      </c>
      <c r="L38" s="60">
        <v>35.520000000000003</v>
      </c>
      <c r="M38" s="60">
        <v>99.15</v>
      </c>
      <c r="N38" s="60">
        <v>133.80000000000001</v>
      </c>
      <c r="O38" s="60">
        <v>0</v>
      </c>
      <c r="P38" s="60">
        <v>0.61</v>
      </c>
      <c r="Q38" s="60">
        <v>41.27</v>
      </c>
      <c r="R38" s="197"/>
      <c r="S38" s="197"/>
      <c r="T38" s="197"/>
      <c r="U38" s="197"/>
    </row>
    <row r="39" spans="1:21" s="12" customFormat="1" x14ac:dyDescent="0.25">
      <c r="A39" s="200" t="s">
        <v>2582</v>
      </c>
      <c r="B39" s="60">
        <v>6.41</v>
      </c>
      <c r="C39" s="60">
        <v>10.27</v>
      </c>
      <c r="D39" s="60">
        <v>16.68</v>
      </c>
      <c r="E39" s="60">
        <v>8.49</v>
      </c>
      <c r="F39" s="60">
        <v>0.15</v>
      </c>
      <c r="G39" s="60">
        <v>8.0500000000000007</v>
      </c>
      <c r="H39" s="60">
        <v>10.27</v>
      </c>
      <c r="I39" s="60">
        <v>47.94</v>
      </c>
      <c r="J39" s="60">
        <v>1.1399999999999999</v>
      </c>
      <c r="K39" s="60">
        <v>162.08000000000001</v>
      </c>
      <c r="L39" s="60">
        <v>35.729999999999997</v>
      </c>
      <c r="M39" s="60">
        <v>99.15</v>
      </c>
      <c r="N39" s="60">
        <v>187.5</v>
      </c>
      <c r="O39" s="60">
        <v>0</v>
      </c>
      <c r="P39" s="60">
        <v>0.61</v>
      </c>
      <c r="Q39" s="60">
        <v>40.33</v>
      </c>
      <c r="R39" s="197"/>
      <c r="S39" s="197"/>
      <c r="T39" s="197"/>
      <c r="U39" s="197"/>
    </row>
    <row r="40" spans="1:21" s="12" customFormat="1" x14ac:dyDescent="0.25">
      <c r="A40" s="200" t="s">
        <v>2583</v>
      </c>
      <c r="B40" s="60">
        <v>6.65</v>
      </c>
      <c r="C40" s="60">
        <v>10.46</v>
      </c>
      <c r="D40" s="60">
        <v>17.11</v>
      </c>
      <c r="E40" s="60">
        <v>4.17</v>
      </c>
      <c r="F40" s="60">
        <v>0.06</v>
      </c>
      <c r="G40" s="10" t="s">
        <v>43</v>
      </c>
      <c r="H40" s="60">
        <v>9.75</v>
      </c>
      <c r="I40" s="60">
        <v>46.35</v>
      </c>
      <c r="J40" s="60">
        <v>1.56</v>
      </c>
      <c r="K40" s="60">
        <v>161.61000000000001</v>
      </c>
      <c r="L40" s="60">
        <v>35.29</v>
      </c>
      <c r="M40" s="60">
        <v>99.14</v>
      </c>
      <c r="N40" s="60">
        <v>212.6</v>
      </c>
      <c r="O40" s="60">
        <v>0</v>
      </c>
      <c r="P40" s="60">
        <v>0.63</v>
      </c>
      <c r="Q40" s="60">
        <v>39.659999999999997</v>
      </c>
      <c r="R40" s="197"/>
      <c r="S40" s="197"/>
      <c r="T40" s="197"/>
      <c r="U40" s="197"/>
    </row>
    <row r="41" spans="1:21" s="12" customFormat="1" x14ac:dyDescent="0.25">
      <c r="A41" s="200" t="s">
        <v>2584</v>
      </c>
      <c r="B41" s="60">
        <v>6.75</v>
      </c>
      <c r="C41" s="60">
        <v>10.14</v>
      </c>
      <c r="D41" s="60">
        <v>16.89</v>
      </c>
      <c r="E41" s="60">
        <v>7.33</v>
      </c>
      <c r="F41" s="60">
        <v>0.38</v>
      </c>
      <c r="G41" s="10" t="s">
        <v>43</v>
      </c>
      <c r="H41" s="60">
        <v>8.8699999999999992</v>
      </c>
      <c r="I41" s="60">
        <v>44.86</v>
      </c>
      <c r="J41" s="60">
        <v>1.66</v>
      </c>
      <c r="K41" s="60">
        <v>155.25</v>
      </c>
      <c r="L41" s="60">
        <v>25.39</v>
      </c>
      <c r="M41" s="60">
        <v>98.43</v>
      </c>
      <c r="N41" s="60">
        <v>298</v>
      </c>
      <c r="O41" s="60">
        <v>0</v>
      </c>
      <c r="P41" s="60">
        <v>0.61</v>
      </c>
      <c r="Q41" s="60">
        <v>38.270000000000003</v>
      </c>
      <c r="R41" s="197"/>
      <c r="S41" s="197"/>
      <c r="T41" s="197"/>
      <c r="U41" s="197"/>
    </row>
    <row r="42" spans="1:21" s="12" customFormat="1" x14ac:dyDescent="0.25">
      <c r="A42" s="200" t="s">
        <v>2585</v>
      </c>
      <c r="B42" s="60">
        <v>6.71</v>
      </c>
      <c r="C42" s="60">
        <v>9.4</v>
      </c>
      <c r="D42" s="60">
        <v>16.11</v>
      </c>
      <c r="E42" s="60">
        <v>7.77</v>
      </c>
      <c r="F42" s="60">
        <v>0.4</v>
      </c>
      <c r="G42" s="10" t="s">
        <v>43</v>
      </c>
      <c r="H42" s="60">
        <v>8.8699999999999992</v>
      </c>
      <c r="I42" s="60">
        <v>43.46</v>
      </c>
      <c r="J42" s="60">
        <v>1.23</v>
      </c>
      <c r="K42" s="60">
        <v>167.18</v>
      </c>
      <c r="L42" s="60">
        <v>26.35</v>
      </c>
      <c r="M42" s="60">
        <v>96.77</v>
      </c>
      <c r="N42" s="60">
        <v>336.2</v>
      </c>
      <c r="O42" s="60">
        <v>0</v>
      </c>
      <c r="P42" s="60">
        <v>0.62</v>
      </c>
      <c r="Q42" s="60">
        <v>32.6</v>
      </c>
      <c r="R42" s="197"/>
      <c r="S42" s="197"/>
      <c r="T42" s="197"/>
      <c r="U42" s="197"/>
    </row>
    <row r="43" spans="1:21" s="12" customFormat="1" x14ac:dyDescent="0.25">
      <c r="A43" s="200" t="s">
        <v>2586</v>
      </c>
      <c r="B43" s="60">
        <v>6.38</v>
      </c>
      <c r="C43" s="60">
        <v>9.6</v>
      </c>
      <c r="D43" s="60">
        <v>15.98</v>
      </c>
      <c r="E43" s="60">
        <v>7.22</v>
      </c>
      <c r="F43" s="60">
        <v>0.17</v>
      </c>
      <c r="G43" s="10" t="s">
        <v>43</v>
      </c>
      <c r="H43" s="60">
        <v>8.8699999999999992</v>
      </c>
      <c r="I43" s="60">
        <v>41.98</v>
      </c>
      <c r="J43" s="60">
        <v>1.1000000000000001</v>
      </c>
      <c r="K43" s="60">
        <v>163.4</v>
      </c>
      <c r="L43" s="60">
        <v>26.65</v>
      </c>
      <c r="M43" s="60">
        <v>96.61</v>
      </c>
      <c r="N43" s="60">
        <v>369.4</v>
      </c>
      <c r="O43" s="60">
        <v>0</v>
      </c>
      <c r="P43" s="60">
        <v>0.61</v>
      </c>
      <c r="Q43" s="60">
        <v>32.200000000000003</v>
      </c>
      <c r="R43" s="197"/>
      <c r="S43" s="197"/>
      <c r="T43" s="197"/>
      <c r="U43" s="197"/>
    </row>
    <row r="44" spans="1:21" s="12" customFormat="1" x14ac:dyDescent="0.25">
      <c r="A44" s="200" t="s">
        <v>2587</v>
      </c>
      <c r="B44" s="60">
        <v>5.99</v>
      </c>
      <c r="C44" s="60">
        <v>9.33</v>
      </c>
      <c r="D44" s="60">
        <v>15.31</v>
      </c>
      <c r="E44" s="60">
        <v>7.52</v>
      </c>
      <c r="F44" s="60">
        <v>0.23</v>
      </c>
      <c r="G44" s="10" t="s">
        <v>43</v>
      </c>
      <c r="H44" s="60">
        <v>9.91</v>
      </c>
      <c r="I44" s="60">
        <v>40.29</v>
      </c>
      <c r="J44" s="60">
        <v>1.26</v>
      </c>
      <c r="K44" s="60">
        <v>158.13999999999999</v>
      </c>
      <c r="L44" s="60">
        <v>27.37</v>
      </c>
      <c r="M44" s="60">
        <v>94.53</v>
      </c>
      <c r="N44" s="60">
        <v>554.1</v>
      </c>
      <c r="O44" s="60">
        <v>0</v>
      </c>
      <c r="P44" s="60">
        <v>0.62</v>
      </c>
      <c r="Q44" s="60">
        <v>29.35</v>
      </c>
      <c r="R44" s="197"/>
      <c r="S44" s="197"/>
      <c r="T44" s="197"/>
      <c r="U44" s="197"/>
    </row>
    <row r="45" spans="1:21" s="12" customFormat="1" x14ac:dyDescent="0.25">
      <c r="A45" s="200" t="s">
        <v>2588</v>
      </c>
      <c r="B45" s="60">
        <v>5.71</v>
      </c>
      <c r="C45" s="60">
        <v>9.26</v>
      </c>
      <c r="D45" s="60">
        <v>14.98</v>
      </c>
      <c r="E45" s="60">
        <v>7.61</v>
      </c>
      <c r="F45" s="60">
        <v>0.27</v>
      </c>
      <c r="G45" s="10" t="s">
        <v>43</v>
      </c>
      <c r="H45" s="60">
        <v>11.71</v>
      </c>
      <c r="I45" s="60">
        <v>38.770000000000003</v>
      </c>
      <c r="J45" s="60">
        <v>0.67</v>
      </c>
      <c r="K45" s="60">
        <v>170.56</v>
      </c>
      <c r="L45" s="60">
        <v>28.82</v>
      </c>
      <c r="M45" s="60">
        <v>87.26</v>
      </c>
      <c r="N45" s="60">
        <v>788.6</v>
      </c>
      <c r="O45" s="60">
        <v>0</v>
      </c>
      <c r="P45" s="60">
        <v>0.6</v>
      </c>
      <c r="Q45" s="60">
        <v>29.26</v>
      </c>
      <c r="R45" s="197"/>
      <c r="S45" s="197"/>
      <c r="T45" s="197"/>
      <c r="U45" s="197"/>
    </row>
    <row r="46" spans="1:21" s="12" customFormat="1" x14ac:dyDescent="0.25">
      <c r="A46" s="200" t="s">
        <v>2589</v>
      </c>
      <c r="B46" s="60">
        <v>5.24</v>
      </c>
      <c r="C46" s="60">
        <v>8.9600000000000009</v>
      </c>
      <c r="D46" s="60">
        <v>14.2</v>
      </c>
      <c r="E46" s="60">
        <v>7.11</v>
      </c>
      <c r="F46" s="60">
        <v>0.43</v>
      </c>
      <c r="G46" s="10" t="s">
        <v>43</v>
      </c>
      <c r="H46" s="60">
        <v>11.71</v>
      </c>
      <c r="I46" s="60">
        <v>37.22</v>
      </c>
      <c r="J46" s="60">
        <v>1.55</v>
      </c>
      <c r="K46" s="60">
        <v>163.16999999999999</v>
      </c>
      <c r="L46" s="60">
        <v>28.95</v>
      </c>
      <c r="M46" s="60">
        <v>85.43</v>
      </c>
      <c r="N46" s="60">
        <v>817.7</v>
      </c>
      <c r="O46" s="60">
        <v>0</v>
      </c>
      <c r="P46" s="60">
        <v>0.61</v>
      </c>
      <c r="Q46" s="60">
        <v>25.66</v>
      </c>
      <c r="R46" s="197"/>
      <c r="S46" s="197"/>
      <c r="T46" s="197"/>
      <c r="U46" s="197"/>
    </row>
    <row r="47" spans="1:21" s="12" customFormat="1" x14ac:dyDescent="0.25">
      <c r="A47" s="200" t="s">
        <v>2590</v>
      </c>
      <c r="B47" s="60">
        <v>4.74</v>
      </c>
      <c r="C47" s="60">
        <v>9.1999999999999993</v>
      </c>
      <c r="D47" s="60">
        <v>13.95</v>
      </c>
      <c r="E47" s="60">
        <v>6.69</v>
      </c>
      <c r="F47" s="60">
        <v>0.39</v>
      </c>
      <c r="G47" s="10" t="s">
        <v>43</v>
      </c>
      <c r="H47" s="60">
        <v>11.71</v>
      </c>
      <c r="I47" s="60">
        <v>35.630000000000003</v>
      </c>
      <c r="J47" s="60">
        <v>0.91</v>
      </c>
      <c r="K47" s="60">
        <v>187.19</v>
      </c>
      <c r="L47" s="60">
        <v>29.6</v>
      </c>
      <c r="M47" s="60">
        <v>83.5</v>
      </c>
      <c r="N47" s="60">
        <v>811.9</v>
      </c>
      <c r="O47" s="60">
        <v>0</v>
      </c>
      <c r="P47" s="60">
        <v>0.59</v>
      </c>
      <c r="Q47" s="60">
        <v>25.7</v>
      </c>
      <c r="R47" s="197"/>
      <c r="S47" s="197"/>
      <c r="T47" s="197"/>
      <c r="U47" s="197"/>
    </row>
    <row r="48" spans="1:21" s="12" customFormat="1" x14ac:dyDescent="0.25">
      <c r="A48" s="200" t="s">
        <v>2591</v>
      </c>
      <c r="B48" s="60">
        <v>4.2699999999999996</v>
      </c>
      <c r="C48" s="60">
        <v>10.73</v>
      </c>
      <c r="D48" s="60">
        <v>15</v>
      </c>
      <c r="E48" s="60">
        <v>6.64</v>
      </c>
      <c r="F48" s="60">
        <v>0.43</v>
      </c>
      <c r="G48" s="10" t="s">
        <v>43</v>
      </c>
      <c r="H48" s="60">
        <v>10.95</v>
      </c>
      <c r="I48" s="60">
        <v>33.96</v>
      </c>
      <c r="J48" s="60">
        <v>1.06</v>
      </c>
      <c r="K48" s="60">
        <v>172.16</v>
      </c>
      <c r="L48" s="60">
        <v>30.18</v>
      </c>
      <c r="M48" s="60">
        <v>79.23</v>
      </c>
      <c r="N48" s="60">
        <v>846.5</v>
      </c>
      <c r="O48" s="60">
        <v>0</v>
      </c>
      <c r="P48" s="60">
        <v>0.59</v>
      </c>
      <c r="Q48" s="60">
        <v>27.3</v>
      </c>
      <c r="R48" s="197"/>
      <c r="S48" s="197"/>
      <c r="T48" s="197"/>
      <c r="U48" s="197"/>
    </row>
    <row r="49" spans="1:21" s="12" customFormat="1" x14ac:dyDescent="0.25">
      <c r="A49" s="200" t="s">
        <v>2592</v>
      </c>
      <c r="B49" s="60">
        <v>3.84</v>
      </c>
      <c r="C49" s="60">
        <v>11.13</v>
      </c>
      <c r="D49" s="60">
        <v>14.97</v>
      </c>
      <c r="E49" s="60">
        <v>6.74</v>
      </c>
      <c r="F49" s="60">
        <v>0.37</v>
      </c>
      <c r="G49" s="10" t="s">
        <v>43</v>
      </c>
      <c r="H49" s="60">
        <v>9.6199999999999992</v>
      </c>
      <c r="I49" s="60">
        <v>32.5</v>
      </c>
      <c r="J49" s="60">
        <v>0.71</v>
      </c>
      <c r="K49" s="60">
        <v>190.88</v>
      </c>
      <c r="L49" s="60">
        <v>32.659999999999997</v>
      </c>
      <c r="M49" s="60">
        <v>76.650000000000006</v>
      </c>
      <c r="N49" s="60">
        <v>921.9</v>
      </c>
      <c r="O49" s="60">
        <v>0</v>
      </c>
      <c r="P49" s="60">
        <v>0.57999999999999996</v>
      </c>
      <c r="Q49" s="60">
        <v>29</v>
      </c>
      <c r="R49" s="197"/>
      <c r="S49" s="197"/>
      <c r="T49" s="197"/>
      <c r="U49" s="197"/>
    </row>
    <row r="50" spans="1:21" s="12" customFormat="1" x14ac:dyDescent="0.25">
      <c r="A50" s="200" t="s">
        <v>2593</v>
      </c>
      <c r="B50" s="60">
        <v>3.55</v>
      </c>
      <c r="C50" s="60">
        <v>11.04</v>
      </c>
      <c r="D50" s="60">
        <v>14.59</v>
      </c>
      <c r="E50" s="60">
        <v>7.06</v>
      </c>
      <c r="F50" s="60">
        <v>0.42</v>
      </c>
      <c r="G50" s="10" t="s">
        <v>43</v>
      </c>
      <c r="H50" s="60">
        <v>9.6199999999999992</v>
      </c>
      <c r="I50" s="60">
        <v>31.42</v>
      </c>
      <c r="J50" s="60">
        <v>0.24</v>
      </c>
      <c r="K50" s="60">
        <v>171.81</v>
      </c>
      <c r="L50" s="10" t="s">
        <v>43</v>
      </c>
      <c r="M50" s="60">
        <v>75.459999999999994</v>
      </c>
      <c r="N50" s="60">
        <v>911</v>
      </c>
      <c r="O50" s="60">
        <v>0</v>
      </c>
      <c r="P50" s="60">
        <v>0.59</v>
      </c>
      <c r="Q50" s="60">
        <v>28.39</v>
      </c>
      <c r="R50" s="197"/>
      <c r="S50" s="197"/>
      <c r="T50" s="197"/>
      <c r="U50" s="197"/>
    </row>
    <row r="51" spans="1:21" s="12" customFormat="1" x14ac:dyDescent="0.25">
      <c r="A51" s="200" t="s">
        <v>2594</v>
      </c>
      <c r="B51" s="60">
        <v>3.14</v>
      </c>
      <c r="C51" s="60">
        <v>10.99</v>
      </c>
      <c r="D51" s="60">
        <v>14.12</v>
      </c>
      <c r="E51" s="60">
        <v>6.74</v>
      </c>
      <c r="F51" s="60">
        <v>0.54</v>
      </c>
      <c r="G51" s="10" t="s">
        <v>43</v>
      </c>
      <c r="H51" s="60">
        <v>9.6199999999999992</v>
      </c>
      <c r="I51" s="60">
        <v>30.29</v>
      </c>
      <c r="J51" s="60">
        <v>0.28999999999999998</v>
      </c>
      <c r="K51" s="60">
        <v>173.22</v>
      </c>
      <c r="L51" s="10" t="s">
        <v>43</v>
      </c>
      <c r="M51" s="60">
        <v>73.38</v>
      </c>
      <c r="N51" s="60">
        <v>797</v>
      </c>
      <c r="O51" s="60">
        <v>0</v>
      </c>
      <c r="P51" s="60">
        <v>0.57999999999999996</v>
      </c>
      <c r="Q51" s="60">
        <v>27.24</v>
      </c>
      <c r="R51" s="197"/>
      <c r="S51" s="197"/>
      <c r="T51" s="197"/>
      <c r="U51" s="197"/>
    </row>
    <row r="52" spans="1:21" s="12" customFormat="1" x14ac:dyDescent="0.25">
      <c r="A52" s="200" t="s">
        <v>2595</v>
      </c>
      <c r="B52" s="60">
        <v>2.7</v>
      </c>
      <c r="C52" s="60">
        <v>11.2</v>
      </c>
      <c r="D52" s="60">
        <v>13.9</v>
      </c>
      <c r="E52" s="60">
        <v>6.65</v>
      </c>
      <c r="F52" s="60">
        <v>0.5</v>
      </c>
      <c r="G52" s="10" t="s">
        <v>43</v>
      </c>
      <c r="H52" s="60">
        <v>9.65</v>
      </c>
      <c r="I52" s="60">
        <v>28.96</v>
      </c>
      <c r="J52" s="60">
        <v>0.02</v>
      </c>
      <c r="K52" s="60">
        <v>13.78</v>
      </c>
      <c r="L52" s="10" t="s">
        <v>43</v>
      </c>
      <c r="M52" s="60">
        <v>70.739999999999995</v>
      </c>
      <c r="N52" s="60">
        <v>792</v>
      </c>
      <c r="O52" s="60">
        <v>0</v>
      </c>
      <c r="P52" s="60">
        <v>0.6</v>
      </c>
      <c r="Q52" s="60">
        <v>26.66</v>
      </c>
      <c r="R52" s="197"/>
      <c r="S52" s="197"/>
      <c r="T52" s="197"/>
      <c r="U52" s="197"/>
    </row>
    <row r="53" spans="1:21" s="12" customFormat="1" x14ac:dyDescent="0.25">
      <c r="A53" s="200" t="s">
        <v>2596</v>
      </c>
      <c r="B53" s="60">
        <v>2.77</v>
      </c>
      <c r="C53" s="60">
        <v>11.72</v>
      </c>
      <c r="D53" s="60">
        <v>14.49</v>
      </c>
      <c r="E53" s="60">
        <v>6.54</v>
      </c>
      <c r="F53" s="60">
        <v>0.52</v>
      </c>
      <c r="G53" s="10" t="s">
        <v>43</v>
      </c>
      <c r="H53" s="60">
        <v>9.7100000000000009</v>
      </c>
      <c r="I53" s="60">
        <v>27.64</v>
      </c>
      <c r="J53" s="60">
        <v>0.14000000000000001</v>
      </c>
      <c r="K53" s="60">
        <v>323.36</v>
      </c>
      <c r="L53" s="60">
        <v>40.18</v>
      </c>
      <c r="M53" s="60">
        <v>68.88</v>
      </c>
      <c r="N53" s="60">
        <v>881.3</v>
      </c>
      <c r="O53" s="60">
        <v>0</v>
      </c>
      <c r="P53" s="60">
        <v>0.62</v>
      </c>
      <c r="Q53" s="60">
        <v>26.33</v>
      </c>
      <c r="R53" s="197"/>
      <c r="S53" s="197"/>
      <c r="T53" s="197"/>
      <c r="U53" s="197"/>
    </row>
    <row r="54" spans="1:21" s="12" customFormat="1" x14ac:dyDescent="0.25">
      <c r="A54" s="200" t="s">
        <v>2597</v>
      </c>
      <c r="B54" s="60">
        <v>3</v>
      </c>
      <c r="C54" s="60">
        <v>12.07</v>
      </c>
      <c r="D54" s="60">
        <v>15.07</v>
      </c>
      <c r="E54" s="60">
        <v>6.3</v>
      </c>
      <c r="F54" s="60">
        <v>0.33</v>
      </c>
      <c r="G54" s="10" t="s">
        <v>43</v>
      </c>
      <c r="H54" s="60">
        <v>9.7100000000000009</v>
      </c>
      <c r="I54" s="60">
        <v>26.61</v>
      </c>
      <c r="J54" s="60">
        <v>0.81</v>
      </c>
      <c r="K54" s="60">
        <v>315.49</v>
      </c>
      <c r="L54" s="60">
        <v>39.99</v>
      </c>
      <c r="M54" s="60">
        <v>64.92</v>
      </c>
      <c r="N54" s="60">
        <v>1021.2</v>
      </c>
      <c r="O54" s="60">
        <v>0</v>
      </c>
      <c r="P54" s="60">
        <v>0.64</v>
      </c>
      <c r="Q54" s="60">
        <v>24.62</v>
      </c>
      <c r="R54" s="197"/>
      <c r="S54" s="197"/>
      <c r="T54" s="197"/>
      <c r="U54" s="197"/>
    </row>
    <row r="55" spans="1:21" s="12" customFormat="1" x14ac:dyDescent="0.25">
      <c r="A55" s="200" t="s">
        <v>2598</v>
      </c>
      <c r="B55" s="60">
        <v>3.27</v>
      </c>
      <c r="C55" s="60">
        <v>12.55</v>
      </c>
      <c r="D55" s="60">
        <v>15.83</v>
      </c>
      <c r="E55" s="60">
        <v>6.51</v>
      </c>
      <c r="F55" s="60">
        <v>0.66</v>
      </c>
      <c r="G55" s="10" t="s">
        <v>43</v>
      </c>
      <c r="H55" s="60">
        <v>9.7100000000000009</v>
      </c>
      <c r="I55" s="60">
        <v>25.68</v>
      </c>
      <c r="J55" s="60">
        <v>0.39</v>
      </c>
      <c r="K55" s="60">
        <v>312.18</v>
      </c>
      <c r="L55" s="60">
        <v>46.32</v>
      </c>
      <c r="M55" s="60">
        <v>62.34</v>
      </c>
      <c r="N55" s="60">
        <v>950.8</v>
      </c>
      <c r="O55" s="60">
        <v>0</v>
      </c>
      <c r="P55" s="60">
        <v>0.66</v>
      </c>
      <c r="Q55" s="60">
        <v>23.97</v>
      </c>
      <c r="R55" s="197"/>
      <c r="S55" s="197"/>
      <c r="T55" s="197"/>
      <c r="U55" s="197"/>
    </row>
    <row r="56" spans="1:21" s="12" customFormat="1" x14ac:dyDescent="0.25">
      <c r="A56" s="200" t="s">
        <v>2599</v>
      </c>
      <c r="B56" s="60">
        <v>3.39</v>
      </c>
      <c r="C56" s="60">
        <v>12.12</v>
      </c>
      <c r="D56" s="60">
        <v>15.51</v>
      </c>
      <c r="E56" s="60">
        <v>2.62</v>
      </c>
      <c r="F56" s="60">
        <v>1.1200000000000001</v>
      </c>
      <c r="G56" s="10" t="s">
        <v>43</v>
      </c>
      <c r="H56" s="60">
        <v>11.29</v>
      </c>
      <c r="I56" s="60">
        <v>24.71</v>
      </c>
      <c r="J56" s="60">
        <v>0.49</v>
      </c>
      <c r="K56" s="60">
        <v>318.35000000000002</v>
      </c>
      <c r="L56" s="10" t="s">
        <v>43</v>
      </c>
      <c r="M56" s="60">
        <v>61.91</v>
      </c>
      <c r="N56" s="60">
        <v>937</v>
      </c>
      <c r="O56" s="60">
        <v>0</v>
      </c>
      <c r="P56" s="60">
        <v>0.69</v>
      </c>
      <c r="Q56" s="60">
        <v>20.92</v>
      </c>
      <c r="R56" s="197"/>
      <c r="S56" s="197"/>
      <c r="T56" s="197"/>
      <c r="U56" s="197"/>
    </row>
    <row r="57" spans="1:21" s="12" customFormat="1" x14ac:dyDescent="0.25">
      <c r="A57" s="200" t="s">
        <v>2600</v>
      </c>
      <c r="B57" s="60">
        <v>3.31</v>
      </c>
      <c r="C57" s="60">
        <v>12.15</v>
      </c>
      <c r="D57" s="60">
        <v>15.46</v>
      </c>
      <c r="E57" s="60">
        <v>5.6</v>
      </c>
      <c r="F57" s="60">
        <v>1.35</v>
      </c>
      <c r="G57" s="60">
        <v>18.05</v>
      </c>
      <c r="H57" s="60">
        <v>14.01</v>
      </c>
      <c r="I57" s="60">
        <v>23.69</v>
      </c>
      <c r="J57" s="60">
        <v>0.56000000000000005</v>
      </c>
      <c r="K57" s="60">
        <v>316.87</v>
      </c>
      <c r="L57" s="10" t="s">
        <v>43</v>
      </c>
      <c r="M57" s="60">
        <v>63.8</v>
      </c>
      <c r="N57" s="60">
        <v>814.8</v>
      </c>
      <c r="O57" s="60">
        <v>0</v>
      </c>
      <c r="P57" s="60">
        <v>0.71</v>
      </c>
      <c r="Q57" s="60">
        <v>16.64</v>
      </c>
      <c r="R57" s="197"/>
      <c r="S57" s="197"/>
      <c r="T57" s="197"/>
      <c r="U57" s="197"/>
    </row>
    <row r="58" spans="1:21" s="12" customFormat="1" x14ac:dyDescent="0.25">
      <c r="A58" s="200" t="s">
        <v>2601</v>
      </c>
      <c r="B58" s="60">
        <v>3.53</v>
      </c>
      <c r="C58" s="60">
        <v>12.66</v>
      </c>
      <c r="D58" s="60">
        <v>16.190000000000001</v>
      </c>
      <c r="E58" s="60">
        <v>5.96</v>
      </c>
      <c r="F58" s="60">
        <v>1.28</v>
      </c>
      <c r="G58" s="60">
        <v>18.05</v>
      </c>
      <c r="H58" s="60">
        <v>14.01</v>
      </c>
      <c r="I58" s="60">
        <v>22.8</v>
      </c>
      <c r="J58" s="60">
        <v>1.05</v>
      </c>
      <c r="K58" s="60">
        <v>347.95</v>
      </c>
      <c r="L58" s="10" t="s">
        <v>43</v>
      </c>
      <c r="M58" s="60">
        <v>60.81</v>
      </c>
      <c r="N58" s="60">
        <v>800.5</v>
      </c>
      <c r="O58" s="60">
        <v>0</v>
      </c>
      <c r="P58" s="60">
        <v>0.76</v>
      </c>
      <c r="Q58" s="60">
        <v>13.58</v>
      </c>
      <c r="R58" s="197"/>
      <c r="S58" s="197"/>
      <c r="T58" s="197"/>
      <c r="U58" s="197"/>
    </row>
    <row r="59" spans="1:21" s="12" customFormat="1" x14ac:dyDescent="0.25">
      <c r="A59" s="200" t="s">
        <v>2602</v>
      </c>
      <c r="B59" s="60">
        <v>4</v>
      </c>
      <c r="C59" s="60">
        <v>13.79</v>
      </c>
      <c r="D59" s="60">
        <v>17.79</v>
      </c>
      <c r="E59" s="60">
        <v>6.17</v>
      </c>
      <c r="F59" s="60">
        <v>0.63</v>
      </c>
      <c r="G59" s="60">
        <v>18.05</v>
      </c>
      <c r="H59" s="60">
        <v>14.01</v>
      </c>
      <c r="I59" s="60">
        <v>21.92</v>
      </c>
      <c r="J59" s="60">
        <v>0.51</v>
      </c>
      <c r="K59" s="60">
        <v>315.72000000000003</v>
      </c>
      <c r="L59" s="10" t="s">
        <v>43</v>
      </c>
      <c r="M59" s="60">
        <v>59.26</v>
      </c>
      <c r="N59" s="60">
        <v>829.7</v>
      </c>
      <c r="O59" s="60">
        <v>0</v>
      </c>
      <c r="P59" s="60">
        <v>0.79</v>
      </c>
      <c r="Q59" s="60">
        <v>14.77</v>
      </c>
      <c r="R59" s="197"/>
      <c r="S59" s="197"/>
      <c r="T59" s="197"/>
      <c r="U59" s="197"/>
    </row>
    <row r="60" spans="1:21" s="12" customFormat="1" x14ac:dyDescent="0.25">
      <c r="A60" s="200" t="s">
        <v>2603</v>
      </c>
      <c r="B60" s="60">
        <v>3.76</v>
      </c>
      <c r="C60" s="60">
        <v>14.05</v>
      </c>
      <c r="D60" s="60">
        <v>17.809999999999999</v>
      </c>
      <c r="E60" s="60">
        <v>5.78</v>
      </c>
      <c r="F60" s="60">
        <v>0.78</v>
      </c>
      <c r="G60" s="60">
        <v>20.8</v>
      </c>
      <c r="H60" s="60">
        <v>15.37</v>
      </c>
      <c r="I60" s="60">
        <v>21.14</v>
      </c>
      <c r="J60" s="60">
        <v>0.15</v>
      </c>
      <c r="K60" s="60">
        <v>3.48</v>
      </c>
      <c r="L60" s="10" t="s">
        <v>43</v>
      </c>
      <c r="M60" s="60">
        <v>61.41</v>
      </c>
      <c r="N60" s="60">
        <v>545.6</v>
      </c>
      <c r="O60" s="60">
        <v>0</v>
      </c>
      <c r="P60" s="60">
        <v>0.8</v>
      </c>
      <c r="Q60" s="60">
        <v>16.43</v>
      </c>
      <c r="R60" s="197"/>
      <c r="S60" s="197"/>
      <c r="T60" s="197"/>
      <c r="U60" s="197"/>
    </row>
    <row r="61" spans="1:21" s="12" customFormat="1" x14ac:dyDescent="0.25">
      <c r="A61" s="200" t="s">
        <v>2604</v>
      </c>
      <c r="B61" s="60">
        <v>3.53</v>
      </c>
      <c r="C61" s="60">
        <v>13.71</v>
      </c>
      <c r="D61" s="60">
        <v>17.239999999999998</v>
      </c>
      <c r="E61" s="60">
        <v>6.22</v>
      </c>
      <c r="F61" s="60">
        <v>1.1100000000000001</v>
      </c>
      <c r="G61" s="60">
        <v>25.33</v>
      </c>
      <c r="H61" s="60">
        <v>17.71</v>
      </c>
      <c r="I61" s="60">
        <v>20.61</v>
      </c>
      <c r="J61" s="60">
        <v>0.01</v>
      </c>
      <c r="K61" s="60">
        <v>51.08</v>
      </c>
      <c r="L61" s="60">
        <v>37.29</v>
      </c>
      <c r="M61" s="60">
        <v>59.93</v>
      </c>
      <c r="N61" s="60">
        <v>626.4</v>
      </c>
      <c r="O61" s="60">
        <v>0</v>
      </c>
      <c r="P61" s="60">
        <v>0.7</v>
      </c>
      <c r="Q61" s="60">
        <v>14.18</v>
      </c>
      <c r="R61" s="197"/>
      <c r="S61" s="197"/>
      <c r="T61" s="197"/>
      <c r="U61" s="197"/>
    </row>
    <row r="62" spans="1:21" s="12" customFormat="1" x14ac:dyDescent="0.25">
      <c r="A62" s="200" t="s">
        <v>2605</v>
      </c>
      <c r="B62" s="60">
        <v>3.21</v>
      </c>
      <c r="C62" s="60">
        <v>14.64</v>
      </c>
      <c r="D62" s="60">
        <v>17.86</v>
      </c>
      <c r="E62" s="60">
        <v>5.65</v>
      </c>
      <c r="F62" s="60">
        <v>0.52</v>
      </c>
      <c r="G62" s="60">
        <v>25.33</v>
      </c>
      <c r="H62" s="60">
        <v>17.71</v>
      </c>
      <c r="I62" s="60">
        <v>19.97</v>
      </c>
      <c r="J62" s="60">
        <v>0.44</v>
      </c>
      <c r="K62" s="60">
        <v>180.39</v>
      </c>
      <c r="L62" s="60">
        <v>35.799999999999997</v>
      </c>
      <c r="M62" s="60">
        <v>63.08</v>
      </c>
      <c r="N62" s="60">
        <v>818.5</v>
      </c>
      <c r="O62" s="60">
        <v>0</v>
      </c>
      <c r="P62" s="60">
        <v>0.74</v>
      </c>
      <c r="Q62" s="60">
        <v>16.11</v>
      </c>
      <c r="R62" s="197"/>
      <c r="S62" s="197"/>
      <c r="T62" s="197"/>
      <c r="U62" s="197"/>
    </row>
    <row r="63" spans="1:21" s="12" customFormat="1" x14ac:dyDescent="0.25">
      <c r="A63" s="200" t="s">
        <v>2606</v>
      </c>
      <c r="B63" s="60">
        <v>2.72</v>
      </c>
      <c r="C63" s="60">
        <v>14.31</v>
      </c>
      <c r="D63" s="60">
        <v>17.02</v>
      </c>
      <c r="E63" s="60">
        <v>5.45</v>
      </c>
      <c r="F63" s="60">
        <v>0.49</v>
      </c>
      <c r="G63" s="60">
        <v>25.33</v>
      </c>
      <c r="H63" s="60">
        <v>17.71</v>
      </c>
      <c r="I63" s="60">
        <v>19.559999999999999</v>
      </c>
      <c r="J63" s="60">
        <v>0.08</v>
      </c>
      <c r="K63" s="60">
        <v>330.07</v>
      </c>
      <c r="L63" s="60">
        <v>37.200000000000003</v>
      </c>
      <c r="M63" s="60">
        <v>61.15</v>
      </c>
      <c r="N63" s="60">
        <v>633.79999999999995</v>
      </c>
      <c r="O63" s="60">
        <v>0</v>
      </c>
      <c r="P63" s="60">
        <v>0.62</v>
      </c>
      <c r="Q63" s="60">
        <v>18.940000000000001</v>
      </c>
      <c r="R63" s="197"/>
      <c r="S63" s="197"/>
      <c r="T63" s="197"/>
      <c r="U63" s="197"/>
    </row>
    <row r="64" spans="1:21" s="12" customFormat="1" x14ac:dyDescent="0.25">
      <c r="A64" s="200" t="s">
        <v>2607</v>
      </c>
      <c r="B64" s="60">
        <v>2.95</v>
      </c>
      <c r="C64" s="60">
        <v>14.09</v>
      </c>
      <c r="D64" s="60">
        <v>17.04</v>
      </c>
      <c r="E64" s="60">
        <v>6.35</v>
      </c>
      <c r="F64" s="60">
        <v>0.51</v>
      </c>
      <c r="G64" s="60">
        <v>26.01</v>
      </c>
      <c r="H64" s="60">
        <v>18.600000000000001</v>
      </c>
      <c r="I64" s="60">
        <v>19.27</v>
      </c>
      <c r="J64" s="60">
        <v>0.26</v>
      </c>
      <c r="K64" s="60">
        <v>307.73</v>
      </c>
      <c r="L64" s="60">
        <v>37.770000000000003</v>
      </c>
      <c r="M64" s="60">
        <v>58.07</v>
      </c>
      <c r="N64" s="60">
        <v>931.4</v>
      </c>
      <c r="O64" s="60">
        <v>0</v>
      </c>
      <c r="P64" s="60">
        <v>0.63</v>
      </c>
      <c r="Q64" s="60">
        <v>20.83</v>
      </c>
      <c r="R64" s="197"/>
      <c r="S64" s="197"/>
      <c r="T64" s="197"/>
      <c r="U64" s="197"/>
    </row>
    <row r="65" spans="1:21" s="12" customFormat="1" x14ac:dyDescent="0.25">
      <c r="A65" s="200" t="s">
        <v>2608</v>
      </c>
      <c r="B65" s="60">
        <v>3.55</v>
      </c>
      <c r="C65" s="60">
        <v>14.26</v>
      </c>
      <c r="D65" s="60">
        <v>17.809999999999999</v>
      </c>
      <c r="E65" s="60">
        <v>6.26</v>
      </c>
      <c r="F65" s="60">
        <v>0.48</v>
      </c>
      <c r="G65" s="60">
        <v>27.14</v>
      </c>
      <c r="H65" s="60">
        <v>20.14</v>
      </c>
      <c r="I65" s="60">
        <v>18.989999999999998</v>
      </c>
      <c r="J65" s="60">
        <v>0.22</v>
      </c>
      <c r="K65" s="60">
        <v>316.11</v>
      </c>
      <c r="L65" s="60">
        <v>39.19</v>
      </c>
      <c r="M65" s="60">
        <v>55.38</v>
      </c>
      <c r="N65" s="60">
        <v>578.1</v>
      </c>
      <c r="O65" s="60">
        <v>0</v>
      </c>
      <c r="P65" s="60">
        <v>0.63</v>
      </c>
      <c r="Q65" s="60">
        <v>22.54</v>
      </c>
      <c r="R65" s="197"/>
      <c r="S65" s="197"/>
      <c r="T65" s="197"/>
      <c r="U65" s="197"/>
    </row>
    <row r="66" spans="1:21" s="12" customFormat="1" x14ac:dyDescent="0.25">
      <c r="A66" s="200" t="s">
        <v>2609</v>
      </c>
      <c r="B66" s="60">
        <v>4.5</v>
      </c>
      <c r="C66" s="60">
        <v>14.16</v>
      </c>
      <c r="D66" s="60">
        <v>18.649999999999999</v>
      </c>
      <c r="E66" s="60">
        <v>6.1</v>
      </c>
      <c r="F66" s="60">
        <v>0.34</v>
      </c>
      <c r="G66" s="60">
        <v>27.14</v>
      </c>
      <c r="H66" s="60">
        <v>20.14</v>
      </c>
      <c r="I66" s="60">
        <v>18.739999999999998</v>
      </c>
      <c r="J66" s="60">
        <v>0.41</v>
      </c>
      <c r="K66" s="60">
        <v>177.59</v>
      </c>
      <c r="L66" s="60">
        <v>36.909999999999997</v>
      </c>
      <c r="M66" s="60">
        <v>65.27</v>
      </c>
      <c r="N66" s="60">
        <v>256.7</v>
      </c>
      <c r="O66" s="60">
        <v>0</v>
      </c>
      <c r="P66" s="60">
        <v>0.6</v>
      </c>
      <c r="Q66" s="60">
        <v>22.13</v>
      </c>
      <c r="R66" s="197"/>
      <c r="S66" s="197"/>
      <c r="T66" s="197"/>
      <c r="U66" s="197"/>
    </row>
    <row r="67" spans="1:21" s="12" customFormat="1" x14ac:dyDescent="0.25">
      <c r="A67" s="200" t="s">
        <v>2610</v>
      </c>
      <c r="B67" s="60">
        <v>4.1900000000000004</v>
      </c>
      <c r="C67" s="60">
        <v>13.35</v>
      </c>
      <c r="D67" s="60">
        <v>17.54</v>
      </c>
      <c r="E67" s="60">
        <v>5.91</v>
      </c>
      <c r="F67" s="60">
        <v>0.89</v>
      </c>
      <c r="G67" s="60">
        <v>27.14</v>
      </c>
      <c r="H67" s="60">
        <v>20.14</v>
      </c>
      <c r="I67" s="60">
        <v>18.5</v>
      </c>
      <c r="J67" s="60">
        <v>0.56000000000000005</v>
      </c>
      <c r="K67" s="60">
        <v>174.43</v>
      </c>
      <c r="L67" s="60">
        <v>36.03</v>
      </c>
      <c r="M67" s="60">
        <v>66.91</v>
      </c>
      <c r="N67" s="60">
        <v>286.3</v>
      </c>
      <c r="O67" s="60">
        <v>0</v>
      </c>
      <c r="P67" s="60">
        <v>0.59</v>
      </c>
      <c r="Q67" s="60">
        <v>22.17</v>
      </c>
      <c r="R67" s="197"/>
      <c r="S67" s="197"/>
      <c r="T67" s="197"/>
      <c r="U67" s="197"/>
    </row>
    <row r="68" spans="1:21" s="12" customFormat="1" x14ac:dyDescent="0.25">
      <c r="A68" s="200" t="s">
        <v>2611</v>
      </c>
      <c r="B68" s="60">
        <v>4.1900000000000004</v>
      </c>
      <c r="C68" s="60">
        <v>13.35</v>
      </c>
      <c r="D68" s="60">
        <v>17.54</v>
      </c>
      <c r="E68" s="60">
        <v>5.91</v>
      </c>
      <c r="F68" s="60">
        <v>0.89</v>
      </c>
      <c r="G68" s="60">
        <v>27.14</v>
      </c>
      <c r="H68" s="60">
        <v>20.14</v>
      </c>
      <c r="I68" s="60">
        <v>18.5</v>
      </c>
      <c r="J68" s="60">
        <v>0.56000000000000005</v>
      </c>
      <c r="K68" s="60">
        <v>174.43</v>
      </c>
      <c r="L68" s="60">
        <v>36.03</v>
      </c>
      <c r="M68" s="60">
        <v>66.91</v>
      </c>
      <c r="N68" s="60">
        <v>286.3</v>
      </c>
      <c r="O68" s="60">
        <v>0</v>
      </c>
      <c r="P68" s="60">
        <v>0.59</v>
      </c>
      <c r="Q68" s="60">
        <v>22.17</v>
      </c>
      <c r="R68" s="197"/>
      <c r="S68" s="197"/>
      <c r="T68" s="197"/>
      <c r="U68" s="197"/>
    </row>
    <row r="69" spans="1:21" s="12" customFormat="1" x14ac:dyDescent="0.25">
      <c r="A69" s="200" t="s">
        <v>2612</v>
      </c>
      <c r="B69" s="60">
        <v>4.1900000000000004</v>
      </c>
      <c r="C69" s="60">
        <v>13.35</v>
      </c>
      <c r="D69" s="60">
        <v>17.54</v>
      </c>
      <c r="E69" s="60">
        <v>5.91</v>
      </c>
      <c r="F69" s="60">
        <v>0.89</v>
      </c>
      <c r="G69" s="60">
        <v>27.14</v>
      </c>
      <c r="H69" s="60">
        <v>20.14</v>
      </c>
      <c r="I69" s="60">
        <v>18.5</v>
      </c>
      <c r="J69" s="60">
        <v>0.56000000000000005</v>
      </c>
      <c r="K69" s="60">
        <v>174.43</v>
      </c>
      <c r="L69" s="60">
        <v>36.03</v>
      </c>
      <c r="M69" s="60">
        <v>66.91</v>
      </c>
      <c r="N69" s="60">
        <v>286.3</v>
      </c>
      <c r="O69" s="60">
        <v>0</v>
      </c>
      <c r="P69" s="60">
        <v>0.59</v>
      </c>
      <c r="Q69" s="60">
        <v>22.17</v>
      </c>
      <c r="R69" s="197"/>
      <c r="S69" s="197"/>
      <c r="T69" s="197"/>
      <c r="U69" s="197"/>
    </row>
    <row r="70" spans="1:21" s="12" customFormat="1" x14ac:dyDescent="0.25">
      <c r="A70" s="200" t="s">
        <v>2613</v>
      </c>
      <c r="B70" s="60">
        <v>3.78</v>
      </c>
      <c r="C70" s="60">
        <v>13.08</v>
      </c>
      <c r="D70" s="60">
        <v>16.87</v>
      </c>
      <c r="E70" s="60">
        <v>6.06</v>
      </c>
      <c r="F70" s="60">
        <v>0.68</v>
      </c>
      <c r="G70" s="60">
        <v>29.11</v>
      </c>
      <c r="H70" s="60">
        <v>16.52</v>
      </c>
      <c r="I70" s="60">
        <v>18.23</v>
      </c>
      <c r="J70" s="60">
        <v>0.64</v>
      </c>
      <c r="K70" s="60">
        <v>332.28</v>
      </c>
      <c r="L70" s="60">
        <v>37.42</v>
      </c>
      <c r="M70" s="60">
        <v>61.37</v>
      </c>
      <c r="N70" s="60">
        <v>370.6</v>
      </c>
      <c r="O70" s="60">
        <v>0</v>
      </c>
      <c r="P70" s="60">
        <v>0.61</v>
      </c>
      <c r="Q70" s="60">
        <v>22.38</v>
      </c>
      <c r="R70" s="197"/>
      <c r="S70" s="197"/>
      <c r="T70" s="197"/>
      <c r="U70" s="197"/>
    </row>
    <row r="71" spans="1:21" s="12" customFormat="1" x14ac:dyDescent="0.25">
      <c r="A71" s="200" t="s">
        <v>2614</v>
      </c>
      <c r="B71" s="60">
        <v>3.79</v>
      </c>
      <c r="C71" s="60">
        <v>13.2</v>
      </c>
      <c r="D71" s="60">
        <v>16.989999999999998</v>
      </c>
      <c r="E71" s="60">
        <v>5.77</v>
      </c>
      <c r="F71" s="60">
        <v>1.75</v>
      </c>
      <c r="G71" s="60">
        <v>30.41</v>
      </c>
      <c r="H71" s="60">
        <v>14.14</v>
      </c>
      <c r="I71" s="60">
        <v>17.809999999999999</v>
      </c>
      <c r="J71" s="60">
        <v>3.31</v>
      </c>
      <c r="K71" s="60">
        <v>335.3</v>
      </c>
      <c r="L71" s="60">
        <v>34.31</v>
      </c>
      <c r="M71" s="60">
        <v>71.2</v>
      </c>
      <c r="N71" s="60">
        <v>105.3</v>
      </c>
      <c r="O71" s="60">
        <v>0</v>
      </c>
      <c r="P71" s="60">
        <v>0.64</v>
      </c>
      <c r="Q71" s="215" t="s">
        <v>36</v>
      </c>
      <c r="R71" s="197"/>
      <c r="S71" s="197"/>
      <c r="T71" s="197"/>
      <c r="U71" s="197"/>
    </row>
    <row r="72" spans="1:21" s="12" customFormat="1" x14ac:dyDescent="0.25">
      <c r="A72" s="200" t="s">
        <v>2615</v>
      </c>
      <c r="B72" s="60">
        <v>3.79</v>
      </c>
      <c r="C72" s="60">
        <v>13.2</v>
      </c>
      <c r="D72" s="60">
        <v>16.989999999999998</v>
      </c>
      <c r="E72" s="60">
        <v>5.77</v>
      </c>
      <c r="F72" s="60">
        <v>1.75</v>
      </c>
      <c r="G72" s="60">
        <v>30.41</v>
      </c>
      <c r="H72" s="60">
        <v>14.14</v>
      </c>
      <c r="I72" s="60">
        <v>17.809999999999999</v>
      </c>
      <c r="J72" s="60">
        <v>3.31</v>
      </c>
      <c r="K72" s="60">
        <v>335.3</v>
      </c>
      <c r="L72" s="60">
        <v>34.31</v>
      </c>
      <c r="M72" s="60">
        <v>71.2</v>
      </c>
      <c r="N72" s="60">
        <v>105.3</v>
      </c>
      <c r="O72" s="60">
        <v>0</v>
      </c>
      <c r="P72" s="60">
        <v>0.64</v>
      </c>
      <c r="Q72" s="215" t="s">
        <v>36</v>
      </c>
      <c r="R72" s="197"/>
      <c r="S72" s="197"/>
      <c r="T72" s="197"/>
      <c r="U72" s="197"/>
    </row>
    <row r="73" spans="1:21" s="12" customFormat="1" x14ac:dyDescent="0.25">
      <c r="A73" s="200" t="s">
        <v>2616</v>
      </c>
      <c r="B73" s="60">
        <v>3.79</v>
      </c>
      <c r="C73" s="60">
        <v>13.2</v>
      </c>
      <c r="D73" s="60">
        <v>16.989999999999998</v>
      </c>
      <c r="E73" s="60">
        <v>5.77</v>
      </c>
      <c r="F73" s="60">
        <v>1.75</v>
      </c>
      <c r="G73" s="60">
        <v>30.41</v>
      </c>
      <c r="H73" s="60">
        <v>14.14</v>
      </c>
      <c r="I73" s="60">
        <v>17.809999999999999</v>
      </c>
      <c r="J73" s="60">
        <v>3.31</v>
      </c>
      <c r="K73" s="60">
        <v>335.3</v>
      </c>
      <c r="L73" s="60">
        <v>34.31</v>
      </c>
      <c r="M73" s="60">
        <v>71.2</v>
      </c>
      <c r="N73" s="60">
        <v>105.3</v>
      </c>
      <c r="O73" s="60">
        <v>0</v>
      </c>
      <c r="P73" s="60">
        <v>0.64</v>
      </c>
      <c r="Q73" s="215" t="s">
        <v>36</v>
      </c>
      <c r="R73" s="197"/>
      <c r="S73" s="197"/>
      <c r="T73" s="197"/>
      <c r="U73" s="197"/>
    </row>
    <row r="74" spans="1:21" s="12" customFormat="1" x14ac:dyDescent="0.25">
      <c r="A74" s="200" t="s">
        <v>2617</v>
      </c>
      <c r="B74" s="60">
        <v>3.89</v>
      </c>
      <c r="C74" s="60">
        <v>14.41</v>
      </c>
      <c r="D74" s="60">
        <v>18.3</v>
      </c>
      <c r="E74" s="60">
        <v>4.47</v>
      </c>
      <c r="F74" s="60">
        <v>1.3</v>
      </c>
      <c r="G74" s="60">
        <v>34.9</v>
      </c>
      <c r="H74" s="60">
        <v>16.329999999999998</v>
      </c>
      <c r="I74" s="60">
        <v>16.32</v>
      </c>
      <c r="J74" s="60">
        <v>2.62</v>
      </c>
      <c r="K74" s="60">
        <v>333.73</v>
      </c>
      <c r="L74" s="60">
        <v>32.36</v>
      </c>
      <c r="M74" s="60">
        <v>77.83</v>
      </c>
      <c r="N74" s="60">
        <v>93.6</v>
      </c>
      <c r="O74" s="60">
        <v>0</v>
      </c>
      <c r="P74" s="60">
        <v>0.62</v>
      </c>
      <c r="Q74" s="60">
        <v>13.92</v>
      </c>
      <c r="R74" s="197"/>
      <c r="S74" s="197"/>
      <c r="T74" s="197"/>
      <c r="U74" s="197"/>
    </row>
    <row r="75" spans="1:21" s="12" customFormat="1" x14ac:dyDescent="0.25">
      <c r="A75" s="200" t="s">
        <v>2618</v>
      </c>
      <c r="B75" s="60">
        <v>4.3499999999999996</v>
      </c>
      <c r="C75" s="60">
        <v>15.17</v>
      </c>
      <c r="D75" s="60">
        <v>19.510000000000002</v>
      </c>
      <c r="E75" s="60">
        <v>5.57</v>
      </c>
      <c r="F75" s="60">
        <v>0.12</v>
      </c>
      <c r="G75" s="60">
        <v>38.82</v>
      </c>
      <c r="H75" s="60">
        <v>18.309999999999999</v>
      </c>
      <c r="I75" s="60">
        <v>12.7</v>
      </c>
      <c r="J75" s="60">
        <v>0.68</v>
      </c>
      <c r="K75" s="60">
        <v>313.66000000000003</v>
      </c>
      <c r="L75" s="60">
        <v>30.92</v>
      </c>
      <c r="M75" s="60">
        <v>83.33</v>
      </c>
      <c r="N75" s="60">
        <v>48</v>
      </c>
      <c r="O75" s="60">
        <v>0</v>
      </c>
      <c r="P75" s="60">
        <v>0.62</v>
      </c>
      <c r="Q75" s="215" t="s">
        <v>36</v>
      </c>
      <c r="R75" s="197"/>
      <c r="S75" s="197"/>
      <c r="T75" s="197"/>
      <c r="U75" s="197"/>
    </row>
    <row r="76" spans="1:21" s="12" customFormat="1" x14ac:dyDescent="0.25">
      <c r="A76" s="200" t="s">
        <v>2619</v>
      </c>
      <c r="B76" s="60">
        <v>4.46</v>
      </c>
      <c r="C76" s="60">
        <v>15.49</v>
      </c>
      <c r="D76" s="60">
        <v>19.95</v>
      </c>
      <c r="E76" s="60">
        <v>5.52</v>
      </c>
      <c r="F76" s="60">
        <v>0.4</v>
      </c>
      <c r="G76" s="60">
        <v>37.409999999999997</v>
      </c>
      <c r="H76" s="60">
        <v>16.989999999999998</v>
      </c>
      <c r="I76" s="60">
        <v>11.98</v>
      </c>
      <c r="J76" s="60">
        <v>0.25</v>
      </c>
      <c r="K76" s="60">
        <v>353.63</v>
      </c>
      <c r="L76" s="60">
        <v>30.87</v>
      </c>
      <c r="M76" s="60">
        <v>81.25</v>
      </c>
      <c r="N76" s="60">
        <v>44.8</v>
      </c>
      <c r="O76" s="60">
        <v>0</v>
      </c>
      <c r="P76" s="60">
        <v>0.6</v>
      </c>
      <c r="Q76" s="60">
        <v>12.05</v>
      </c>
      <c r="R76" s="197"/>
      <c r="S76" s="197"/>
      <c r="T76" s="197"/>
      <c r="U76" s="197"/>
    </row>
    <row r="77" spans="1:21" s="12" customFormat="1" x14ac:dyDescent="0.25">
      <c r="A77" s="200" t="s">
        <v>2620</v>
      </c>
      <c r="B77" s="60">
        <v>4.5199999999999996</v>
      </c>
      <c r="C77" s="60">
        <v>17.02</v>
      </c>
      <c r="D77" s="60">
        <v>21.54</v>
      </c>
      <c r="E77" s="60">
        <v>5.48</v>
      </c>
      <c r="F77" s="60">
        <v>0.28000000000000003</v>
      </c>
      <c r="G77" s="60">
        <v>35.090000000000003</v>
      </c>
      <c r="H77" s="60">
        <v>14.82</v>
      </c>
      <c r="I77" s="60">
        <v>11.42</v>
      </c>
      <c r="J77" s="60">
        <v>0.1</v>
      </c>
      <c r="K77" s="60">
        <v>348.51</v>
      </c>
      <c r="L77" s="60">
        <v>30.78</v>
      </c>
      <c r="M77" s="60">
        <v>80.010000000000005</v>
      </c>
      <c r="N77" s="60">
        <v>33.700000000000003</v>
      </c>
      <c r="O77" s="60">
        <v>0</v>
      </c>
      <c r="P77" s="60">
        <v>0.62</v>
      </c>
      <c r="Q77" s="60">
        <v>14.47</v>
      </c>
      <c r="R77" s="197"/>
      <c r="S77" s="197"/>
      <c r="T77" s="197"/>
      <c r="U77" s="197"/>
    </row>
    <row r="78" spans="1:21" s="12" customFormat="1" x14ac:dyDescent="0.25">
      <c r="A78" s="200" t="s">
        <v>2621</v>
      </c>
      <c r="B78" s="60">
        <v>4.78</v>
      </c>
      <c r="C78" s="60">
        <v>16.52</v>
      </c>
      <c r="D78" s="60">
        <v>21.29</v>
      </c>
      <c r="E78" s="60">
        <v>5.21</v>
      </c>
      <c r="F78" s="60">
        <v>0.11</v>
      </c>
      <c r="G78" s="60">
        <v>35.090000000000003</v>
      </c>
      <c r="H78" s="60">
        <v>14.82</v>
      </c>
      <c r="I78" s="60">
        <v>10.84</v>
      </c>
      <c r="J78" s="60">
        <v>0.09</v>
      </c>
      <c r="K78" s="60">
        <v>236.78</v>
      </c>
      <c r="L78" s="60">
        <v>30.55</v>
      </c>
      <c r="M78" s="60">
        <v>81.680000000000007</v>
      </c>
      <c r="N78" s="60">
        <v>29</v>
      </c>
      <c r="O78" s="60">
        <v>0</v>
      </c>
      <c r="P78" s="60">
        <v>0.63</v>
      </c>
      <c r="Q78" s="60">
        <v>16.27</v>
      </c>
      <c r="R78" s="197"/>
      <c r="S78" s="197"/>
      <c r="T78" s="197"/>
      <c r="U78" s="197"/>
    </row>
    <row r="79" spans="1:21" s="12" customFormat="1" x14ac:dyDescent="0.25">
      <c r="A79" s="200" t="s">
        <v>2622</v>
      </c>
      <c r="B79" s="60">
        <v>5</v>
      </c>
      <c r="C79" s="60">
        <v>15.24</v>
      </c>
      <c r="D79" s="60">
        <v>20.239999999999998</v>
      </c>
      <c r="E79" s="60">
        <v>5.44</v>
      </c>
      <c r="F79" s="60">
        <v>0.19</v>
      </c>
      <c r="G79" s="60">
        <v>35.090000000000003</v>
      </c>
      <c r="H79" s="60">
        <v>14.82</v>
      </c>
      <c r="I79" s="60">
        <v>10.59</v>
      </c>
      <c r="J79" s="60">
        <v>0.21</v>
      </c>
      <c r="K79" s="60">
        <v>175.75</v>
      </c>
      <c r="L79" s="60">
        <v>30.56</v>
      </c>
      <c r="M79" s="60">
        <v>82.4</v>
      </c>
      <c r="N79" s="60">
        <v>23.9</v>
      </c>
      <c r="O79" s="60">
        <v>0</v>
      </c>
      <c r="P79" s="60">
        <v>0.63</v>
      </c>
      <c r="Q79" s="60">
        <v>17.14</v>
      </c>
      <c r="R79" s="197"/>
      <c r="S79" s="197"/>
      <c r="T79" s="197"/>
      <c r="U79" s="197"/>
    </row>
    <row r="80" spans="1:21" s="12" customFormat="1" x14ac:dyDescent="0.25">
      <c r="A80" s="200" t="s">
        <v>2623</v>
      </c>
      <c r="B80" s="60">
        <v>5.16</v>
      </c>
      <c r="C80" s="60">
        <v>14.28</v>
      </c>
      <c r="D80" s="60">
        <v>19.440000000000001</v>
      </c>
      <c r="E80" s="60">
        <v>6</v>
      </c>
      <c r="F80" s="60">
        <v>0.05</v>
      </c>
      <c r="G80" s="60">
        <v>34.06</v>
      </c>
      <c r="H80" s="60">
        <v>16.16</v>
      </c>
      <c r="I80" s="60">
        <v>10.62</v>
      </c>
      <c r="J80" s="60">
        <v>1.02</v>
      </c>
      <c r="K80" s="60">
        <v>99.73</v>
      </c>
      <c r="L80" s="60">
        <v>30.53</v>
      </c>
      <c r="M80" s="60">
        <v>82.28</v>
      </c>
      <c r="N80" s="60">
        <v>20.3</v>
      </c>
      <c r="O80" s="60">
        <v>0</v>
      </c>
      <c r="P80" s="60">
        <v>0.64</v>
      </c>
      <c r="Q80" s="60">
        <v>18.48</v>
      </c>
      <c r="R80" s="197"/>
      <c r="S80" s="197"/>
      <c r="T80" s="197"/>
      <c r="U80" s="197"/>
    </row>
    <row r="81" spans="1:26" s="12" customFormat="1" x14ac:dyDescent="0.25">
      <c r="A81" s="200" t="s">
        <v>2624</v>
      </c>
      <c r="B81" s="60">
        <v>5.31</v>
      </c>
      <c r="C81" s="60">
        <v>13.2</v>
      </c>
      <c r="D81" s="60">
        <v>18.510000000000002</v>
      </c>
      <c r="E81" s="60">
        <v>5.81</v>
      </c>
      <c r="F81" s="60">
        <v>0.06</v>
      </c>
      <c r="G81" s="60">
        <v>32.369999999999997</v>
      </c>
      <c r="H81" s="60">
        <v>18.48</v>
      </c>
      <c r="I81" s="60">
        <v>10.86</v>
      </c>
      <c r="J81" s="60">
        <v>0.47</v>
      </c>
      <c r="K81" s="60">
        <v>98.77</v>
      </c>
      <c r="L81" s="60">
        <v>30.56</v>
      </c>
      <c r="M81" s="60">
        <v>84.01</v>
      </c>
      <c r="N81" s="60">
        <v>20.100000000000001</v>
      </c>
      <c r="O81" s="60">
        <v>0</v>
      </c>
      <c r="P81" s="60">
        <v>0.63</v>
      </c>
      <c r="Q81" s="60">
        <v>22.66</v>
      </c>
      <c r="R81" s="197"/>
      <c r="S81" s="197"/>
      <c r="T81" s="197"/>
      <c r="U81" s="197"/>
    </row>
    <row r="82" spans="1:26" s="12" customFormat="1" x14ac:dyDescent="0.25">
      <c r="A82" s="200" t="s">
        <v>2625</v>
      </c>
      <c r="B82" s="60">
        <v>6.48</v>
      </c>
      <c r="C82" s="60">
        <v>12.17</v>
      </c>
      <c r="D82" s="60">
        <v>18.649999999999999</v>
      </c>
      <c r="E82" s="60">
        <v>5.82</v>
      </c>
      <c r="F82" s="60">
        <v>0.04</v>
      </c>
      <c r="G82" s="60">
        <v>32.369999999999997</v>
      </c>
      <c r="H82" s="60">
        <v>18.48</v>
      </c>
      <c r="I82" s="60">
        <v>11.54</v>
      </c>
      <c r="J82" s="60">
        <v>0.22</v>
      </c>
      <c r="K82" s="60">
        <v>70.72</v>
      </c>
      <c r="L82" s="60">
        <v>30.73</v>
      </c>
      <c r="M82" s="60">
        <v>83.54</v>
      </c>
      <c r="N82" s="60">
        <v>16.8</v>
      </c>
      <c r="O82" s="60">
        <v>0</v>
      </c>
      <c r="P82" s="60">
        <v>0.67</v>
      </c>
      <c r="Q82" s="60">
        <v>24.94</v>
      </c>
      <c r="R82" s="197"/>
      <c r="S82" s="197"/>
      <c r="T82" s="197"/>
      <c r="U82" s="197"/>
    </row>
    <row r="83" spans="1:26" s="12" customFormat="1" x14ac:dyDescent="0.25">
      <c r="A83" s="200" t="s">
        <v>2626</v>
      </c>
      <c r="B83" s="60">
        <v>7.64</v>
      </c>
      <c r="C83" s="60">
        <v>11.61</v>
      </c>
      <c r="D83" s="60">
        <v>19.25</v>
      </c>
      <c r="E83" s="60">
        <v>6.64</v>
      </c>
      <c r="F83" s="60">
        <v>0.16</v>
      </c>
      <c r="G83" s="60">
        <v>32.369999999999997</v>
      </c>
      <c r="H83" s="60">
        <v>18.48</v>
      </c>
      <c r="I83" s="60">
        <v>12.62</v>
      </c>
      <c r="J83" s="60">
        <v>0.24</v>
      </c>
      <c r="K83" s="60">
        <v>197.63</v>
      </c>
      <c r="L83" s="60">
        <v>30.92</v>
      </c>
      <c r="M83" s="60">
        <v>80.63</v>
      </c>
      <c r="N83" s="60">
        <v>15.2</v>
      </c>
      <c r="O83" s="60">
        <v>0</v>
      </c>
      <c r="P83" s="60">
        <v>0.7</v>
      </c>
      <c r="Q83" s="60">
        <v>26.47</v>
      </c>
      <c r="R83" s="197"/>
      <c r="S83" s="197"/>
      <c r="T83" s="197"/>
      <c r="U83" s="197"/>
    </row>
    <row r="84" spans="1:26" s="12" customFormat="1" x14ac:dyDescent="0.25">
      <c r="A84" s="200" t="s">
        <v>2627</v>
      </c>
      <c r="B84" s="60">
        <v>7.86</v>
      </c>
      <c r="C84" s="60">
        <v>11.05</v>
      </c>
      <c r="D84" s="60">
        <v>18.91</v>
      </c>
      <c r="E84" s="60">
        <v>7.01</v>
      </c>
      <c r="F84" s="60">
        <v>0.25</v>
      </c>
      <c r="G84" s="60">
        <v>33.26</v>
      </c>
      <c r="H84" s="60">
        <v>17.77</v>
      </c>
      <c r="I84" s="60">
        <v>13.24</v>
      </c>
      <c r="J84" s="60">
        <v>0.44</v>
      </c>
      <c r="K84" s="60">
        <v>182.9</v>
      </c>
      <c r="L84" s="60">
        <v>30.75</v>
      </c>
      <c r="M84" s="60">
        <v>85.39</v>
      </c>
      <c r="N84" s="60">
        <v>15.3</v>
      </c>
      <c r="O84" s="60">
        <v>0</v>
      </c>
      <c r="P84" s="60">
        <v>0.71</v>
      </c>
      <c r="Q84" s="60">
        <v>26.83</v>
      </c>
      <c r="R84" s="197"/>
      <c r="S84" s="197"/>
      <c r="T84" s="197"/>
      <c r="U84" s="197"/>
    </row>
    <row r="85" spans="1:26" s="12" customFormat="1" x14ac:dyDescent="0.25">
      <c r="A85" s="200" t="s">
        <v>2628</v>
      </c>
      <c r="B85" s="60">
        <v>7.78</v>
      </c>
      <c r="C85" s="60">
        <v>9.52</v>
      </c>
      <c r="D85" s="60">
        <v>17.309999999999999</v>
      </c>
      <c r="E85" s="60">
        <v>6.55</v>
      </c>
      <c r="F85" s="60">
        <v>0.78</v>
      </c>
      <c r="G85" s="60">
        <v>34.74</v>
      </c>
      <c r="H85" s="60">
        <v>16.559999999999999</v>
      </c>
      <c r="I85" s="60">
        <v>13.65</v>
      </c>
      <c r="J85" s="60">
        <v>0.56999999999999995</v>
      </c>
      <c r="K85" s="60">
        <v>156.62</v>
      </c>
      <c r="L85" s="60">
        <v>30.35</v>
      </c>
      <c r="M85" s="60">
        <v>88.36</v>
      </c>
      <c r="N85" s="60">
        <v>15.4</v>
      </c>
      <c r="O85" s="60">
        <v>0</v>
      </c>
      <c r="P85" s="60">
        <v>0.75</v>
      </c>
      <c r="Q85" s="60">
        <v>22.39</v>
      </c>
      <c r="R85" s="197"/>
      <c r="S85" s="197"/>
      <c r="T85" s="197"/>
      <c r="U85" s="197"/>
    </row>
    <row r="86" spans="1:26" s="12" customFormat="1" x14ac:dyDescent="0.25">
      <c r="A86" s="200" t="s">
        <v>2629</v>
      </c>
      <c r="B86" s="60">
        <v>7.43</v>
      </c>
      <c r="C86" s="60">
        <v>9.5399999999999991</v>
      </c>
      <c r="D86" s="60">
        <v>16.98</v>
      </c>
      <c r="E86" s="60">
        <v>6.6</v>
      </c>
      <c r="F86" s="60">
        <v>0.32</v>
      </c>
      <c r="G86" s="60">
        <v>34.74</v>
      </c>
      <c r="H86" s="60">
        <v>16.559999999999999</v>
      </c>
      <c r="I86" s="60">
        <v>13.71</v>
      </c>
      <c r="J86" s="60">
        <v>0.11</v>
      </c>
      <c r="K86" s="60">
        <v>175.89</v>
      </c>
      <c r="L86" s="60">
        <v>30.26</v>
      </c>
      <c r="M86" s="60">
        <v>87.94</v>
      </c>
      <c r="N86" s="60">
        <v>15.1</v>
      </c>
      <c r="O86" s="60">
        <v>0</v>
      </c>
      <c r="P86" s="60">
        <v>0.8</v>
      </c>
      <c r="Q86" s="60">
        <v>19.62</v>
      </c>
      <c r="R86" s="197"/>
      <c r="S86" s="197"/>
      <c r="T86" s="197"/>
      <c r="U86" s="197"/>
    </row>
    <row r="87" spans="1:26" s="12" customFormat="1" x14ac:dyDescent="0.25">
      <c r="A87" s="200" t="s">
        <v>2630</v>
      </c>
      <c r="B87" s="60">
        <v>7.19</v>
      </c>
      <c r="C87" s="60">
        <v>9.52</v>
      </c>
      <c r="D87" s="60">
        <v>16.71</v>
      </c>
      <c r="E87" s="60">
        <v>6.87</v>
      </c>
      <c r="F87" s="60">
        <v>0.18</v>
      </c>
      <c r="G87" s="60">
        <v>34.74</v>
      </c>
      <c r="H87" s="60">
        <v>16.559999999999999</v>
      </c>
      <c r="I87" s="60">
        <v>13.51</v>
      </c>
      <c r="J87" s="60">
        <v>0.33</v>
      </c>
      <c r="K87" s="60">
        <v>212.18</v>
      </c>
      <c r="L87" s="60">
        <v>30.12</v>
      </c>
      <c r="M87" s="60">
        <v>90.01</v>
      </c>
      <c r="N87" s="60">
        <v>15.1</v>
      </c>
      <c r="O87" s="60">
        <v>0</v>
      </c>
      <c r="P87" s="60">
        <v>0.78</v>
      </c>
      <c r="Q87" s="60">
        <v>20.04</v>
      </c>
      <c r="R87" s="197"/>
      <c r="S87" s="197"/>
      <c r="T87" s="197"/>
      <c r="U87" s="197"/>
    </row>
    <row r="88" spans="1:26" s="12" customFormat="1" x14ac:dyDescent="0.25">
      <c r="A88" s="200" t="s">
        <v>2631</v>
      </c>
      <c r="B88" s="60">
        <v>6.85</v>
      </c>
      <c r="C88" s="60">
        <v>9.2899999999999991</v>
      </c>
      <c r="D88" s="60">
        <v>16.14</v>
      </c>
      <c r="E88" s="60">
        <v>3.29</v>
      </c>
      <c r="F88" s="60">
        <v>0.13</v>
      </c>
      <c r="G88" s="60">
        <v>33.340000000000003</v>
      </c>
      <c r="H88" s="60">
        <v>16.809999999999999</v>
      </c>
      <c r="I88" s="60">
        <v>13.36</v>
      </c>
      <c r="J88" s="60">
        <v>0.27</v>
      </c>
      <c r="K88" s="60">
        <v>191.28</v>
      </c>
      <c r="L88" s="60">
        <v>29.86</v>
      </c>
      <c r="M88" s="60">
        <v>89.29</v>
      </c>
      <c r="N88" s="60">
        <v>15.1</v>
      </c>
      <c r="O88" s="60">
        <v>0</v>
      </c>
      <c r="P88" s="60">
        <v>0.79</v>
      </c>
      <c r="Q88" s="60">
        <v>16.510000000000002</v>
      </c>
      <c r="R88" s="197"/>
      <c r="S88" s="197"/>
      <c r="T88" s="197"/>
      <c r="U88" s="197"/>
    </row>
    <row r="89" spans="1:26" s="12" customFormat="1" x14ac:dyDescent="0.25">
      <c r="A89" s="200" t="s">
        <v>2632</v>
      </c>
      <c r="B89" s="60">
        <v>6.55</v>
      </c>
      <c r="C89" s="60">
        <v>9.5399999999999991</v>
      </c>
      <c r="D89" s="60">
        <v>16.09</v>
      </c>
      <c r="E89" s="60">
        <v>5.87</v>
      </c>
      <c r="F89" s="60">
        <v>0.22</v>
      </c>
      <c r="G89" s="60">
        <v>31.02</v>
      </c>
      <c r="H89" s="60">
        <v>17.21</v>
      </c>
      <c r="I89" s="60">
        <v>13.09</v>
      </c>
      <c r="J89" s="60">
        <v>0.15</v>
      </c>
      <c r="K89" s="60">
        <v>144.74</v>
      </c>
      <c r="L89" s="60">
        <v>29.78</v>
      </c>
      <c r="M89" s="60">
        <v>88.81</v>
      </c>
      <c r="N89" s="60">
        <v>15</v>
      </c>
      <c r="O89" s="60">
        <v>0</v>
      </c>
      <c r="P89" s="60">
        <v>0.77</v>
      </c>
      <c r="Q89" s="60">
        <v>17.37</v>
      </c>
      <c r="R89" s="197"/>
      <c r="S89" s="197"/>
      <c r="T89" s="197"/>
      <c r="U89" s="197"/>
    </row>
    <row r="90" spans="1:26" s="12" customFormat="1" x14ac:dyDescent="0.25">
      <c r="A90" s="200" t="s">
        <v>2633</v>
      </c>
      <c r="B90" s="60">
        <v>6.24</v>
      </c>
      <c r="C90" s="60">
        <v>9.33</v>
      </c>
      <c r="D90" s="60">
        <v>15.56</v>
      </c>
      <c r="E90" s="60">
        <v>5.99</v>
      </c>
      <c r="F90" s="60">
        <v>0.2</v>
      </c>
      <c r="G90" s="60">
        <v>31.02</v>
      </c>
      <c r="H90" s="60">
        <v>17.21</v>
      </c>
      <c r="I90" s="60">
        <v>12.91</v>
      </c>
      <c r="J90" s="60">
        <v>0.31</v>
      </c>
      <c r="K90" s="60">
        <v>179.77</v>
      </c>
      <c r="L90" s="60">
        <v>29.79</v>
      </c>
      <c r="M90" s="60">
        <v>88.94</v>
      </c>
      <c r="N90" s="60">
        <v>14.8</v>
      </c>
      <c r="O90" s="60">
        <v>0</v>
      </c>
      <c r="P90" s="60">
        <v>0.76</v>
      </c>
      <c r="Q90" s="60">
        <v>15.49</v>
      </c>
      <c r="R90" s="197"/>
      <c r="S90" s="197"/>
      <c r="T90" s="197"/>
      <c r="U90" s="197"/>
    </row>
    <row r="91" spans="1:26" s="12" customFormat="1" x14ac:dyDescent="0.25">
      <c r="A91" s="200" t="s">
        <v>2634</v>
      </c>
      <c r="B91" s="60">
        <v>6.05</v>
      </c>
      <c r="C91" s="60">
        <v>10.26</v>
      </c>
      <c r="D91" s="60">
        <v>16.309999999999999</v>
      </c>
      <c r="E91" s="60">
        <v>6.03</v>
      </c>
      <c r="F91" s="60">
        <v>0.05</v>
      </c>
      <c r="G91" s="60">
        <v>31.02</v>
      </c>
      <c r="H91" s="60">
        <v>17.21</v>
      </c>
      <c r="I91" s="60">
        <v>12.8</v>
      </c>
      <c r="J91" s="60">
        <v>0.4</v>
      </c>
      <c r="K91" s="60">
        <v>166.71</v>
      </c>
      <c r="L91" s="60">
        <v>29.7</v>
      </c>
      <c r="M91" s="60">
        <v>89.17</v>
      </c>
      <c r="N91" s="60">
        <v>14.8</v>
      </c>
      <c r="O91" s="60">
        <v>0</v>
      </c>
      <c r="P91" s="60">
        <v>0.77</v>
      </c>
      <c r="Q91" s="60">
        <v>18.93</v>
      </c>
      <c r="R91" s="197"/>
      <c r="S91" s="197"/>
      <c r="T91" s="197"/>
      <c r="U91" s="197"/>
    </row>
    <row r="92" spans="1:26" s="12" customFormat="1" x14ac:dyDescent="0.25">
      <c r="A92" s="200" t="s">
        <v>2635</v>
      </c>
      <c r="B92" s="60">
        <v>6.11</v>
      </c>
      <c r="C92" s="60">
        <v>10.24</v>
      </c>
      <c r="D92" s="60">
        <v>16.350000000000001</v>
      </c>
      <c r="E92" s="60">
        <v>6.71</v>
      </c>
      <c r="F92" s="60">
        <v>0.02</v>
      </c>
      <c r="G92" s="60">
        <v>27.72</v>
      </c>
      <c r="H92" s="60">
        <v>15.37</v>
      </c>
      <c r="I92" s="60">
        <v>12.73</v>
      </c>
      <c r="J92" s="60">
        <v>0.11</v>
      </c>
      <c r="K92" s="60">
        <v>184.84</v>
      </c>
      <c r="L92" s="60">
        <v>29.68</v>
      </c>
      <c r="M92" s="60">
        <v>88.66</v>
      </c>
      <c r="N92" s="60">
        <v>14.9</v>
      </c>
      <c r="O92" s="60">
        <v>0</v>
      </c>
      <c r="P92" s="60">
        <v>0.77</v>
      </c>
      <c r="Q92" s="60">
        <v>20.74</v>
      </c>
      <c r="R92" s="197"/>
      <c r="S92" s="197"/>
      <c r="T92" s="197"/>
      <c r="U92" s="197"/>
    </row>
    <row r="93" spans="1:26" s="12" customFormat="1" x14ac:dyDescent="0.25">
      <c r="A93" s="200" t="s">
        <v>2636</v>
      </c>
      <c r="B93" s="60">
        <v>6.22</v>
      </c>
      <c r="C93" s="60">
        <v>10.06</v>
      </c>
      <c r="D93" s="60">
        <v>16.28</v>
      </c>
      <c r="E93" s="60">
        <v>6.41</v>
      </c>
      <c r="F93" s="60">
        <v>0.02</v>
      </c>
      <c r="G93" s="60">
        <v>22.3</v>
      </c>
      <c r="H93" s="60">
        <v>12.35</v>
      </c>
      <c r="I93" s="60">
        <v>12.84</v>
      </c>
      <c r="J93" s="60">
        <v>0.18</v>
      </c>
      <c r="K93" s="60">
        <v>232.06</v>
      </c>
      <c r="L93" s="60">
        <v>29.63</v>
      </c>
      <c r="M93" s="60">
        <v>88.66</v>
      </c>
      <c r="N93" s="60">
        <v>14.8</v>
      </c>
      <c r="O93" s="60">
        <v>0</v>
      </c>
      <c r="P93" s="60">
        <v>0.77</v>
      </c>
      <c r="Q93" s="60">
        <v>22.33</v>
      </c>
      <c r="R93" s="197"/>
      <c r="S93" s="197"/>
      <c r="T93" s="197"/>
      <c r="U93" s="197"/>
    </row>
    <row r="94" spans="1:26" s="12" customFormat="1" x14ac:dyDescent="0.25">
      <c r="A94" s="200" t="s">
        <v>2637</v>
      </c>
      <c r="B94" s="60">
        <v>6.33</v>
      </c>
      <c r="C94" s="60">
        <v>9.58</v>
      </c>
      <c r="D94" s="60">
        <v>15.91</v>
      </c>
      <c r="E94" s="60">
        <v>6.48</v>
      </c>
      <c r="F94" s="60">
        <v>0.13</v>
      </c>
      <c r="G94" s="60">
        <v>22.3</v>
      </c>
      <c r="H94" s="60">
        <v>12.35</v>
      </c>
      <c r="I94" s="60">
        <v>13.15</v>
      </c>
      <c r="J94" s="60">
        <v>0.32</v>
      </c>
      <c r="K94" s="60">
        <v>164.87</v>
      </c>
      <c r="L94" s="60">
        <v>29.6</v>
      </c>
      <c r="M94" s="60">
        <v>88.74</v>
      </c>
      <c r="N94" s="60">
        <v>15</v>
      </c>
      <c r="O94" s="60">
        <v>0</v>
      </c>
      <c r="P94" s="60">
        <v>0.76</v>
      </c>
      <c r="Q94" s="60">
        <v>22.74</v>
      </c>
      <c r="R94" s="197"/>
      <c r="S94" s="197"/>
      <c r="T94" s="197"/>
      <c r="U94" s="197"/>
    </row>
    <row r="95" spans="1:26" s="12" customFormat="1" x14ac:dyDescent="0.25">
      <c r="A95" s="200" t="s">
        <v>2638</v>
      </c>
      <c r="B95" s="60">
        <v>6.39</v>
      </c>
      <c r="C95" s="60">
        <v>9.35</v>
      </c>
      <c r="D95" s="60">
        <v>15.74</v>
      </c>
      <c r="E95" s="60">
        <v>7.11</v>
      </c>
      <c r="F95" s="60">
        <v>0.14000000000000001</v>
      </c>
      <c r="G95" s="60">
        <v>22.3</v>
      </c>
      <c r="H95" s="60">
        <v>12.35</v>
      </c>
      <c r="I95" s="60">
        <v>13.4</v>
      </c>
      <c r="J95" s="60">
        <v>0.37</v>
      </c>
      <c r="K95" s="60">
        <v>173.67</v>
      </c>
      <c r="L95" s="60">
        <v>29.63</v>
      </c>
      <c r="M95" s="60">
        <v>88.87</v>
      </c>
      <c r="N95" s="60">
        <v>15</v>
      </c>
      <c r="O95" s="60">
        <v>0</v>
      </c>
      <c r="P95" s="60">
        <v>0.77</v>
      </c>
      <c r="Q95" s="60">
        <v>23.29</v>
      </c>
      <c r="R95" s="197"/>
      <c r="S95" s="197"/>
      <c r="T95" s="197"/>
      <c r="U95" s="197"/>
    </row>
    <row r="96" spans="1:26" s="12" customFormat="1" x14ac:dyDescent="0.25">
      <c r="A96" s="200" t="s">
        <v>2639</v>
      </c>
      <c r="B96" s="60">
        <v>6.39</v>
      </c>
      <c r="C96" s="60">
        <v>9.2100000000000009</v>
      </c>
      <c r="D96" s="60">
        <v>15.6</v>
      </c>
      <c r="E96" s="60">
        <v>7.33</v>
      </c>
      <c r="F96" s="60">
        <v>0.17</v>
      </c>
      <c r="G96" s="60">
        <v>21.99</v>
      </c>
      <c r="H96" s="60">
        <v>12.01</v>
      </c>
      <c r="I96" s="60">
        <v>13.62</v>
      </c>
      <c r="J96" s="60">
        <v>0.18</v>
      </c>
      <c r="K96" s="60">
        <v>213.79</v>
      </c>
      <c r="L96" s="60">
        <v>29.62</v>
      </c>
      <c r="M96" s="60">
        <v>90.16</v>
      </c>
      <c r="N96" s="60">
        <v>15</v>
      </c>
      <c r="O96" s="60">
        <v>0</v>
      </c>
      <c r="P96" s="60">
        <v>0.76</v>
      </c>
      <c r="Q96" s="60">
        <v>23.65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2640</v>
      </c>
      <c r="B97" s="60">
        <v>6.4</v>
      </c>
      <c r="C97" s="60">
        <v>9.16</v>
      </c>
      <c r="D97" s="60">
        <v>15.56</v>
      </c>
      <c r="E97" s="60">
        <v>6.89</v>
      </c>
      <c r="F97" s="60">
        <v>0.1</v>
      </c>
      <c r="G97" s="60">
        <v>21.49</v>
      </c>
      <c r="H97" s="60">
        <v>11.45</v>
      </c>
      <c r="I97" s="60">
        <v>13.82</v>
      </c>
      <c r="J97" s="60">
        <v>0.21</v>
      </c>
      <c r="K97" s="60">
        <v>198.11</v>
      </c>
      <c r="L97" s="60">
        <v>29.59</v>
      </c>
      <c r="M97" s="60">
        <v>92.07</v>
      </c>
      <c r="N97" s="60">
        <v>15</v>
      </c>
      <c r="O97" s="60">
        <v>0</v>
      </c>
      <c r="P97" s="60">
        <v>0.74</v>
      </c>
      <c r="Q97" s="60">
        <v>24.46</v>
      </c>
      <c r="R97" s="197"/>
      <c r="S97" s="197"/>
      <c r="T97" s="197"/>
      <c r="U97" s="197"/>
    </row>
    <row r="98" spans="1:33" s="12" customFormat="1" x14ac:dyDescent="0.25">
      <c r="A98" s="200" t="s">
        <v>2641</v>
      </c>
      <c r="B98" s="60">
        <v>6.44</v>
      </c>
      <c r="C98" s="60">
        <v>8.77</v>
      </c>
      <c r="D98" s="60">
        <v>15.21</v>
      </c>
      <c r="E98" s="60">
        <v>7.04</v>
      </c>
      <c r="F98" s="60">
        <v>0.14000000000000001</v>
      </c>
      <c r="G98" s="60">
        <v>21.49</v>
      </c>
      <c r="H98" s="60">
        <v>11.45</v>
      </c>
      <c r="I98" s="60">
        <v>13.91</v>
      </c>
      <c r="J98" s="60">
        <v>0.7</v>
      </c>
      <c r="K98" s="60">
        <v>152.47999999999999</v>
      </c>
      <c r="L98" s="60">
        <v>29.53</v>
      </c>
      <c r="M98" s="60">
        <v>93.04</v>
      </c>
      <c r="N98" s="60">
        <v>14.8</v>
      </c>
      <c r="O98" s="60">
        <v>0</v>
      </c>
      <c r="P98" s="60">
        <v>0.76</v>
      </c>
      <c r="Q98" s="60">
        <v>24.62</v>
      </c>
      <c r="R98" s="197"/>
      <c r="S98" s="197"/>
      <c r="T98" s="197"/>
      <c r="U98" s="197"/>
    </row>
    <row r="99" spans="1:33" s="12" customFormat="1" x14ac:dyDescent="0.25">
      <c r="A99" s="200" t="s">
        <v>2642</v>
      </c>
      <c r="B99" s="60">
        <v>6.48</v>
      </c>
      <c r="C99" s="60">
        <v>8.0299999999999994</v>
      </c>
      <c r="D99" s="60">
        <v>14.51</v>
      </c>
      <c r="E99" s="60">
        <v>7.24</v>
      </c>
      <c r="F99" s="60">
        <v>0.59</v>
      </c>
      <c r="G99" s="60">
        <v>21.49</v>
      </c>
      <c r="H99" s="60">
        <v>11.45</v>
      </c>
      <c r="I99" s="60">
        <v>14.19</v>
      </c>
      <c r="J99" s="60">
        <v>0.13</v>
      </c>
      <c r="K99" s="60">
        <v>184.61</v>
      </c>
      <c r="L99" s="60">
        <v>29.45</v>
      </c>
      <c r="M99" s="60">
        <v>94.85</v>
      </c>
      <c r="N99" s="60">
        <v>15</v>
      </c>
      <c r="O99" s="60">
        <v>0</v>
      </c>
      <c r="P99" s="60">
        <v>0.75</v>
      </c>
      <c r="Q99" s="60">
        <v>22.7</v>
      </c>
      <c r="R99" s="197"/>
      <c r="S99" s="197"/>
      <c r="T99" s="197"/>
      <c r="U99" s="197"/>
    </row>
    <row r="100" spans="1:33" s="12" customFormat="1" x14ac:dyDescent="0.25">
      <c r="A100" s="200" t="s">
        <v>2643</v>
      </c>
      <c r="B100" s="60">
        <v>6.37</v>
      </c>
      <c r="C100" s="60">
        <v>8.01</v>
      </c>
      <c r="D100" s="60">
        <v>14.37</v>
      </c>
      <c r="E100" s="60">
        <v>6.4</v>
      </c>
      <c r="F100" s="60">
        <v>0.41</v>
      </c>
      <c r="G100" s="60">
        <v>21.08</v>
      </c>
      <c r="H100" s="60">
        <v>12.23</v>
      </c>
      <c r="I100" s="60">
        <v>14.5</v>
      </c>
      <c r="J100" s="60">
        <v>0.21</v>
      </c>
      <c r="K100" s="60">
        <v>173.08</v>
      </c>
      <c r="L100" s="60">
        <v>29.33</v>
      </c>
      <c r="M100" s="60">
        <v>95.53</v>
      </c>
      <c r="N100" s="60">
        <v>14.8</v>
      </c>
      <c r="O100" s="60">
        <v>0</v>
      </c>
      <c r="P100" s="60">
        <v>0.77</v>
      </c>
      <c r="Q100" s="60">
        <v>19.329999999999998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2644</v>
      </c>
      <c r="B101" s="60">
        <v>6.26</v>
      </c>
      <c r="C101" s="60">
        <v>8.33</v>
      </c>
      <c r="D101" s="60">
        <v>14.58</v>
      </c>
      <c r="E101" s="60">
        <v>6.74</v>
      </c>
      <c r="F101" s="60">
        <v>0.17</v>
      </c>
      <c r="G101" s="60">
        <v>20.399999999999999</v>
      </c>
      <c r="H101" s="60">
        <v>13.51</v>
      </c>
      <c r="I101" s="60">
        <v>14.3</v>
      </c>
      <c r="J101" s="60">
        <v>0.26</v>
      </c>
      <c r="K101" s="60">
        <v>186.02</v>
      </c>
      <c r="L101" s="60">
        <v>29.31</v>
      </c>
      <c r="M101" s="60">
        <v>96.39</v>
      </c>
      <c r="N101" s="60">
        <v>14.8</v>
      </c>
      <c r="O101" s="60">
        <v>0</v>
      </c>
      <c r="P101" s="60">
        <v>0.75</v>
      </c>
      <c r="Q101" s="60">
        <v>19.89</v>
      </c>
      <c r="R101" s="197"/>
      <c r="S101" s="197"/>
      <c r="T101" s="197"/>
      <c r="U101" s="197"/>
    </row>
    <row r="102" spans="1:33" s="12" customFormat="1" x14ac:dyDescent="0.25">
      <c r="A102" s="200" t="s">
        <v>2645</v>
      </c>
      <c r="B102" s="60">
        <v>6.2</v>
      </c>
      <c r="C102" s="60">
        <v>8.5</v>
      </c>
      <c r="D102" s="60">
        <v>14.69</v>
      </c>
      <c r="E102" s="60">
        <v>7.35</v>
      </c>
      <c r="F102" s="60">
        <v>0.08</v>
      </c>
      <c r="G102" s="60">
        <v>20.399999999999999</v>
      </c>
      <c r="H102" s="60">
        <v>13.51</v>
      </c>
      <c r="I102" s="60">
        <v>14</v>
      </c>
      <c r="J102" s="60">
        <v>0.08</v>
      </c>
      <c r="K102" s="60">
        <v>213.72</v>
      </c>
      <c r="L102" s="60">
        <v>29.39</v>
      </c>
      <c r="M102" s="60">
        <v>96.76</v>
      </c>
      <c r="N102" s="60">
        <v>14.9</v>
      </c>
      <c r="O102" s="60">
        <v>0</v>
      </c>
      <c r="P102" s="60">
        <v>0.77</v>
      </c>
      <c r="Q102" s="60">
        <v>18.78</v>
      </c>
      <c r="R102" s="197"/>
      <c r="S102" s="197"/>
      <c r="T102" s="197"/>
      <c r="U102" s="197"/>
    </row>
    <row r="103" spans="1:33" s="12" customFormat="1" x14ac:dyDescent="0.25">
      <c r="A103" s="200" t="s">
        <v>2646</v>
      </c>
      <c r="B103" s="60">
        <v>6.32</v>
      </c>
      <c r="C103" s="60">
        <v>8.33</v>
      </c>
      <c r="D103" s="60">
        <v>14.65</v>
      </c>
      <c r="E103" s="60">
        <v>6.82</v>
      </c>
      <c r="F103" s="60">
        <v>0.32</v>
      </c>
      <c r="G103" s="60">
        <v>20.399999999999999</v>
      </c>
      <c r="H103" s="60">
        <v>13.51</v>
      </c>
      <c r="I103" s="60">
        <v>13.79</v>
      </c>
      <c r="J103" s="60">
        <v>0.09</v>
      </c>
      <c r="K103" s="60">
        <v>7.61</v>
      </c>
      <c r="L103" s="60">
        <v>29.57</v>
      </c>
      <c r="M103" s="60">
        <v>94.41</v>
      </c>
      <c r="N103" s="60">
        <v>15</v>
      </c>
      <c r="O103" s="60">
        <v>0</v>
      </c>
      <c r="P103" s="60">
        <v>0.75</v>
      </c>
      <c r="Q103" s="60">
        <v>18.32</v>
      </c>
      <c r="R103" s="197"/>
      <c r="S103" s="197"/>
      <c r="T103" s="197"/>
      <c r="U103" s="197"/>
    </row>
    <row r="104" spans="1:33" s="12" customFormat="1" x14ac:dyDescent="0.25">
      <c r="A104" s="200" t="s">
        <v>2647</v>
      </c>
      <c r="B104" s="60">
        <v>6.27</v>
      </c>
      <c r="C104" s="60">
        <v>8.81</v>
      </c>
      <c r="D104" s="60">
        <v>15.08</v>
      </c>
      <c r="E104" s="60">
        <v>3.53</v>
      </c>
      <c r="F104" s="60">
        <v>0.05</v>
      </c>
      <c r="G104" s="60">
        <v>20.5</v>
      </c>
      <c r="H104" s="60">
        <v>13.05</v>
      </c>
      <c r="I104" s="60">
        <v>13.71</v>
      </c>
      <c r="J104" s="60">
        <v>0.08</v>
      </c>
      <c r="K104" s="60">
        <v>44.58</v>
      </c>
      <c r="L104" s="60">
        <v>29.59</v>
      </c>
      <c r="M104" s="60">
        <v>93.02</v>
      </c>
      <c r="N104" s="60">
        <v>15</v>
      </c>
      <c r="O104" s="60">
        <v>0</v>
      </c>
      <c r="P104" s="60">
        <v>0.76</v>
      </c>
      <c r="Q104" s="60">
        <v>17.79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5" t="s">
        <v>59</v>
      </c>
      <c r="B106" s="67">
        <f>MIN(B9:B104)</f>
        <v>1.73</v>
      </c>
      <c r="C106" s="67">
        <f>MIN(C9:C104)</f>
        <v>5.83</v>
      </c>
      <c r="D106" s="67">
        <f t="shared" ref="D106:Q106" si="0">MIN(D9:D104)</f>
        <v>7.65</v>
      </c>
      <c r="E106" s="67">
        <f t="shared" si="0"/>
        <v>2.62</v>
      </c>
      <c r="F106" s="67">
        <f t="shared" si="0"/>
        <v>0.01</v>
      </c>
      <c r="G106" s="67">
        <f t="shared" si="0"/>
        <v>8.0500000000000007</v>
      </c>
      <c r="H106" s="67">
        <f t="shared" si="0"/>
        <v>5.33</v>
      </c>
      <c r="I106" s="67">
        <f t="shared" si="0"/>
        <v>10.59</v>
      </c>
      <c r="J106" s="67">
        <f t="shared" si="0"/>
        <v>0.01</v>
      </c>
      <c r="K106" s="67">
        <f t="shared" si="0"/>
        <v>3.48</v>
      </c>
      <c r="L106" s="67">
        <f t="shared" si="0"/>
        <v>25.39</v>
      </c>
      <c r="M106" s="67">
        <f t="shared" si="0"/>
        <v>55.38</v>
      </c>
      <c r="N106" s="67">
        <f t="shared" si="0"/>
        <v>14.8</v>
      </c>
      <c r="O106" s="67">
        <f t="shared" si="0"/>
        <v>0</v>
      </c>
      <c r="P106" s="67">
        <f t="shared" si="0"/>
        <v>0.55000000000000004</v>
      </c>
      <c r="Q106" s="67">
        <f t="shared" si="0"/>
        <v>12.05</v>
      </c>
      <c r="R106" s="198"/>
      <c r="S106" s="198"/>
      <c r="T106" s="198"/>
      <c r="U106" s="198"/>
    </row>
    <row r="107" spans="1:33" x14ac:dyDescent="0.25">
      <c r="A107" s="65" t="s">
        <v>60</v>
      </c>
      <c r="B107" s="66">
        <f>MAX(B9:B104)</f>
        <v>7.86</v>
      </c>
      <c r="C107" s="66">
        <f t="shared" ref="C107:Q107" si="1">MAX(C9:C104)</f>
        <v>17.02</v>
      </c>
      <c r="D107" s="66">
        <f t="shared" si="1"/>
        <v>21.54</v>
      </c>
      <c r="E107" s="66">
        <f t="shared" si="1"/>
        <v>9.1300000000000008</v>
      </c>
      <c r="F107" s="66">
        <f t="shared" si="1"/>
        <v>1.75</v>
      </c>
      <c r="G107" s="66">
        <f t="shared" si="1"/>
        <v>38.82</v>
      </c>
      <c r="H107" s="66">
        <f t="shared" si="1"/>
        <v>20.14</v>
      </c>
      <c r="I107" s="66">
        <f t="shared" si="1"/>
        <v>132.05000000000001</v>
      </c>
      <c r="J107" s="66">
        <f t="shared" si="1"/>
        <v>3.31</v>
      </c>
      <c r="K107" s="66">
        <f t="shared" si="1"/>
        <v>353.63</v>
      </c>
      <c r="L107" s="66">
        <f t="shared" si="1"/>
        <v>46.32</v>
      </c>
      <c r="M107" s="66">
        <f t="shared" si="1"/>
        <v>99.15</v>
      </c>
      <c r="N107" s="66">
        <f t="shared" si="1"/>
        <v>1021.2</v>
      </c>
      <c r="O107" s="66">
        <f t="shared" si="1"/>
        <v>8.6</v>
      </c>
      <c r="P107" s="66">
        <f t="shared" si="1"/>
        <v>0.88</v>
      </c>
      <c r="Q107" s="66">
        <f t="shared" si="1"/>
        <v>42.46</v>
      </c>
      <c r="R107" s="199"/>
      <c r="S107" s="199"/>
      <c r="T107" s="199"/>
      <c r="U107" s="199"/>
    </row>
    <row r="108" spans="1:33" x14ac:dyDescent="0.25">
      <c r="A108" s="65" t="s">
        <v>61</v>
      </c>
      <c r="B108" s="67">
        <f>AVERAGE(B9:B104)</f>
        <v>4.5411458333333332</v>
      </c>
      <c r="C108" s="67">
        <f t="shared" ref="C108:Q108" si="2">AVERAGE(C9:C104)</f>
        <v>10.249791666666667</v>
      </c>
      <c r="D108" s="67">
        <f t="shared" si="2"/>
        <v>14.789895833333331</v>
      </c>
      <c r="E108" s="67">
        <f t="shared" si="2"/>
        <v>6.5379166666666677</v>
      </c>
      <c r="F108" s="67">
        <f t="shared" si="2"/>
        <v>0.38895833333333335</v>
      </c>
      <c r="G108" s="67">
        <f t="shared" si="2"/>
        <v>22.211518987341766</v>
      </c>
      <c r="H108" s="67">
        <f t="shared" si="2"/>
        <v>12.692083333333329</v>
      </c>
      <c r="I108" s="67">
        <f t="shared" si="2"/>
        <v>40.560625000000009</v>
      </c>
      <c r="J108" s="67">
        <f t="shared" si="2"/>
        <v>0.63364583333333335</v>
      </c>
      <c r="K108" s="67">
        <f t="shared" si="2"/>
        <v>186.4772916666667</v>
      </c>
      <c r="L108" s="67">
        <f t="shared" si="2"/>
        <v>33.438068181818181</v>
      </c>
      <c r="M108" s="67">
        <f t="shared" si="2"/>
        <v>85.996979166666662</v>
      </c>
      <c r="N108" s="67">
        <f t="shared" si="2"/>
        <v>231.7791666666665</v>
      </c>
      <c r="O108" s="67">
        <f t="shared" si="2"/>
        <v>0.28333333333333327</v>
      </c>
      <c r="P108" s="67">
        <f t="shared" si="2"/>
        <v>0.69114583333333357</v>
      </c>
      <c r="Q108" s="67">
        <f t="shared" si="2"/>
        <v>25.37163043478261</v>
      </c>
      <c r="R108" s="198"/>
      <c r="S108" s="198"/>
      <c r="T108" s="198"/>
      <c r="U108" s="198"/>
    </row>
    <row r="109" spans="1:33" x14ac:dyDescent="0.25">
      <c r="A109" s="65" t="s">
        <v>77</v>
      </c>
      <c r="B109" s="67">
        <f>STDEV(B9:B104)</f>
        <v>1.6552219566804898</v>
      </c>
      <c r="C109" s="67">
        <f t="shared" ref="C109:Q109" si="3">STDEV(C9:C104)</f>
        <v>2.7951205525895921</v>
      </c>
      <c r="D109" s="67">
        <f t="shared" si="3"/>
        <v>3.4012782410802123</v>
      </c>
      <c r="E109" s="67">
        <f t="shared" si="3"/>
        <v>1.1892447109220785</v>
      </c>
      <c r="F109" s="67">
        <f t="shared" si="3"/>
        <v>0.38690806514880632</v>
      </c>
      <c r="G109" s="67">
        <f t="shared" si="3"/>
        <v>8.5836584586580411</v>
      </c>
      <c r="H109" s="67">
        <f t="shared" si="3"/>
        <v>3.8597286287664576</v>
      </c>
      <c r="I109" s="67">
        <f t="shared" si="3"/>
        <v>33.54461537501799</v>
      </c>
      <c r="J109" s="67">
        <f t="shared" si="3"/>
        <v>0.64878853872618347</v>
      </c>
      <c r="K109" s="67">
        <f t="shared" si="3"/>
        <v>90.420348891388031</v>
      </c>
      <c r="L109" s="67">
        <f t="shared" si="3"/>
        <v>3.9153299821166261</v>
      </c>
      <c r="M109" s="67">
        <f t="shared" si="3"/>
        <v>13.81592743099448</v>
      </c>
      <c r="N109" s="67">
        <f t="shared" si="3"/>
        <v>328.9568242079535</v>
      </c>
      <c r="O109" s="67">
        <f t="shared" si="3"/>
        <v>1.2687886196697653</v>
      </c>
      <c r="P109" s="67">
        <f t="shared" si="3"/>
        <v>7.6693097084095038E-2</v>
      </c>
      <c r="Q109" s="67">
        <f t="shared" si="3"/>
        <v>7.5330448986009744</v>
      </c>
      <c r="R109" s="198"/>
      <c r="S109" s="198"/>
      <c r="T109" s="198"/>
      <c r="U109" s="198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79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88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COUNT(Q9:Q104)+4</f>
        <v>96</v>
      </c>
      <c r="R110" s="199"/>
      <c r="S110" s="199"/>
      <c r="T110" s="199"/>
      <c r="U110" s="199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218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51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0" sqref="H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26-08-2022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234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2648</v>
      </c>
      <c r="B9" s="60">
        <v>6.16</v>
      </c>
      <c r="C9" s="60">
        <v>9.06</v>
      </c>
      <c r="D9" s="60">
        <v>15.23</v>
      </c>
      <c r="E9" s="60">
        <v>6.57</v>
      </c>
      <c r="F9" s="60">
        <v>0.13</v>
      </c>
      <c r="G9" s="60">
        <v>20.67</v>
      </c>
      <c r="H9" s="60">
        <v>12.25</v>
      </c>
      <c r="I9" s="60">
        <v>13.17</v>
      </c>
      <c r="J9" s="60">
        <v>7.0000000000000007E-2</v>
      </c>
      <c r="K9" s="60">
        <v>33.090000000000003</v>
      </c>
      <c r="L9" s="60">
        <v>29.52</v>
      </c>
      <c r="M9" s="60">
        <v>94.52</v>
      </c>
      <c r="N9" s="60">
        <v>14.9</v>
      </c>
      <c r="O9" s="60">
        <v>0</v>
      </c>
      <c r="P9" s="60">
        <v>0.75</v>
      </c>
      <c r="Q9" s="60">
        <v>18.46</v>
      </c>
      <c r="R9" s="197"/>
      <c r="S9" s="197"/>
      <c r="T9" s="197"/>
      <c r="U9" s="197"/>
    </row>
    <row r="10" spans="1:21" s="12" customFormat="1" x14ac:dyDescent="0.25">
      <c r="A10" s="200" t="s">
        <v>2649</v>
      </c>
      <c r="B10" s="60">
        <v>6.04</v>
      </c>
      <c r="C10" s="60">
        <v>9.73</v>
      </c>
      <c r="D10" s="60">
        <v>15.78</v>
      </c>
      <c r="E10" s="60">
        <v>6.67</v>
      </c>
      <c r="F10" s="60">
        <v>7.0000000000000007E-2</v>
      </c>
      <c r="G10" s="60">
        <v>20.67</v>
      </c>
      <c r="H10" s="60">
        <v>12.25</v>
      </c>
      <c r="I10" s="60">
        <v>13.08</v>
      </c>
      <c r="J10" s="60">
        <v>0.08</v>
      </c>
      <c r="K10" s="60">
        <v>182.59</v>
      </c>
      <c r="L10" s="60">
        <v>29.48</v>
      </c>
      <c r="M10" s="60">
        <v>94.03</v>
      </c>
      <c r="N10" s="60">
        <v>14.6</v>
      </c>
      <c r="O10" s="60">
        <v>0</v>
      </c>
      <c r="P10" s="60">
        <v>0.75</v>
      </c>
      <c r="Q10" s="60">
        <v>19.86</v>
      </c>
      <c r="R10" s="197"/>
      <c r="S10" s="197"/>
      <c r="T10" s="197"/>
      <c r="U10" s="197"/>
    </row>
    <row r="11" spans="1:21" s="12" customFormat="1" x14ac:dyDescent="0.25">
      <c r="A11" s="200" t="s">
        <v>2650</v>
      </c>
      <c r="B11" s="60">
        <v>5.9</v>
      </c>
      <c r="C11" s="60">
        <v>9.59</v>
      </c>
      <c r="D11" s="60">
        <v>15.49</v>
      </c>
      <c r="E11" s="60">
        <v>7.08</v>
      </c>
      <c r="F11" s="60">
        <v>0.09</v>
      </c>
      <c r="G11" s="60">
        <v>20.67</v>
      </c>
      <c r="H11" s="60">
        <v>12.25</v>
      </c>
      <c r="I11" s="60">
        <v>12.86</v>
      </c>
      <c r="J11" s="60">
        <v>0.06</v>
      </c>
      <c r="K11" s="60">
        <v>83.33</v>
      </c>
      <c r="L11" s="60">
        <v>29.43</v>
      </c>
      <c r="M11" s="60">
        <v>94.1</v>
      </c>
      <c r="N11" s="60">
        <v>14.6</v>
      </c>
      <c r="O11" s="60">
        <v>0</v>
      </c>
      <c r="P11" s="60">
        <v>0.74</v>
      </c>
      <c r="Q11" s="60">
        <v>21.2</v>
      </c>
      <c r="R11" s="197"/>
      <c r="S11" s="197"/>
      <c r="T11" s="197"/>
      <c r="U11" s="197"/>
    </row>
    <row r="12" spans="1:21" s="12" customFormat="1" x14ac:dyDescent="0.25">
      <c r="A12" s="200" t="s">
        <v>2651</v>
      </c>
      <c r="B12" s="60">
        <v>5.77</v>
      </c>
      <c r="C12" s="60">
        <v>9.43</v>
      </c>
      <c r="D12" s="60">
        <v>15.2</v>
      </c>
      <c r="E12" s="60">
        <v>6.97</v>
      </c>
      <c r="F12" s="60">
        <v>0.02</v>
      </c>
      <c r="G12" s="60">
        <v>18.510000000000002</v>
      </c>
      <c r="H12" s="60">
        <v>12.44</v>
      </c>
      <c r="I12" s="60">
        <v>12.88</v>
      </c>
      <c r="J12" s="60">
        <v>0.04</v>
      </c>
      <c r="K12" s="60">
        <v>353.38</v>
      </c>
      <c r="L12" s="60">
        <v>29.44</v>
      </c>
      <c r="M12" s="60">
        <v>94.19</v>
      </c>
      <c r="N12" s="60">
        <v>14.6</v>
      </c>
      <c r="O12" s="60">
        <v>0</v>
      </c>
      <c r="P12" s="60">
        <v>0.74</v>
      </c>
      <c r="Q12" s="60">
        <v>22.07</v>
      </c>
      <c r="R12" s="197"/>
      <c r="S12" s="197"/>
      <c r="T12" s="197"/>
      <c r="U12" s="197"/>
    </row>
    <row r="13" spans="1:21" s="12" customFormat="1" x14ac:dyDescent="0.25">
      <c r="A13" s="200" t="s">
        <v>2652</v>
      </c>
      <c r="B13" s="60">
        <v>5.71</v>
      </c>
      <c r="C13" s="60">
        <v>9.25</v>
      </c>
      <c r="D13" s="60">
        <v>14.97</v>
      </c>
      <c r="E13" s="60">
        <v>6.52</v>
      </c>
      <c r="F13" s="60">
        <v>0.11</v>
      </c>
      <c r="G13" s="60">
        <v>14.96</v>
      </c>
      <c r="H13" s="60">
        <v>12.75</v>
      </c>
      <c r="I13" s="60">
        <v>12.88</v>
      </c>
      <c r="J13" s="60">
        <v>0.05</v>
      </c>
      <c r="K13" s="60">
        <v>125.33</v>
      </c>
      <c r="L13" s="60">
        <v>29.57</v>
      </c>
      <c r="M13" s="60">
        <v>93.97</v>
      </c>
      <c r="N13" s="60">
        <v>15</v>
      </c>
      <c r="O13" s="60">
        <v>0</v>
      </c>
      <c r="P13" s="60">
        <v>0.71</v>
      </c>
      <c r="Q13" s="60">
        <v>23.44</v>
      </c>
      <c r="R13" s="197"/>
      <c r="S13" s="197"/>
      <c r="T13" s="197"/>
      <c r="U13" s="197"/>
    </row>
    <row r="14" spans="1:21" s="12" customFormat="1" x14ac:dyDescent="0.25">
      <c r="A14" s="200" t="s">
        <v>2653</v>
      </c>
      <c r="B14" s="60">
        <v>5.76</v>
      </c>
      <c r="C14" s="60">
        <v>8.83</v>
      </c>
      <c r="D14" s="60">
        <v>14.59</v>
      </c>
      <c r="E14" s="60">
        <v>6.64</v>
      </c>
      <c r="F14" s="60">
        <v>0.01</v>
      </c>
      <c r="G14" s="60">
        <v>14.96</v>
      </c>
      <c r="H14" s="60">
        <v>12.75</v>
      </c>
      <c r="I14" s="60">
        <v>13.01</v>
      </c>
      <c r="J14" s="60">
        <v>0.16</v>
      </c>
      <c r="K14" s="60">
        <v>225.44</v>
      </c>
      <c r="L14" s="60">
        <v>29.54</v>
      </c>
      <c r="M14" s="60">
        <v>94.11</v>
      </c>
      <c r="N14" s="60">
        <v>15</v>
      </c>
      <c r="O14" s="60">
        <v>0</v>
      </c>
      <c r="P14" s="60">
        <v>0.72</v>
      </c>
      <c r="Q14" s="60">
        <v>23.87</v>
      </c>
      <c r="R14" s="197"/>
      <c r="S14" s="197"/>
      <c r="T14" s="197"/>
      <c r="U14" s="197"/>
    </row>
    <row r="15" spans="1:21" s="12" customFormat="1" x14ac:dyDescent="0.25">
      <c r="A15" s="200" t="s">
        <v>2654</v>
      </c>
      <c r="B15" s="60">
        <v>5.77</v>
      </c>
      <c r="C15" s="60">
        <v>8.52</v>
      </c>
      <c r="D15" s="60">
        <v>14.29</v>
      </c>
      <c r="E15" s="60">
        <v>6.97</v>
      </c>
      <c r="F15" s="60">
        <v>0.05</v>
      </c>
      <c r="G15" s="60">
        <v>14.96</v>
      </c>
      <c r="H15" s="60">
        <v>12.75</v>
      </c>
      <c r="I15" s="60">
        <v>13.43</v>
      </c>
      <c r="J15" s="60">
        <v>0.18</v>
      </c>
      <c r="K15" s="60">
        <v>237.49</v>
      </c>
      <c r="L15" s="60">
        <v>29.52</v>
      </c>
      <c r="M15" s="60">
        <v>94.75</v>
      </c>
      <c r="N15" s="60">
        <v>15</v>
      </c>
      <c r="O15" s="60">
        <v>0</v>
      </c>
      <c r="P15" s="60">
        <v>0.71</v>
      </c>
      <c r="Q15" s="60">
        <v>24.41</v>
      </c>
      <c r="R15" s="197"/>
      <c r="S15" s="197"/>
      <c r="T15" s="197"/>
      <c r="U15" s="197"/>
    </row>
    <row r="16" spans="1:21" s="12" customFormat="1" x14ac:dyDescent="0.25">
      <c r="A16" s="200" t="s">
        <v>2655</v>
      </c>
      <c r="B16" s="60">
        <v>5.84</v>
      </c>
      <c r="C16" s="60">
        <v>8.15</v>
      </c>
      <c r="D16" s="60">
        <v>13.98</v>
      </c>
      <c r="E16" s="60">
        <v>7.15</v>
      </c>
      <c r="F16" s="60">
        <v>7.0000000000000007E-2</v>
      </c>
      <c r="G16" s="60">
        <v>14.88</v>
      </c>
      <c r="H16" s="60">
        <v>12.4</v>
      </c>
      <c r="I16" s="60">
        <v>13.61</v>
      </c>
      <c r="J16" s="60">
        <v>0.14000000000000001</v>
      </c>
      <c r="K16" s="60">
        <v>226.85</v>
      </c>
      <c r="L16" s="60">
        <v>29.47</v>
      </c>
      <c r="M16" s="60">
        <v>95.8</v>
      </c>
      <c r="N16" s="60">
        <v>14.9</v>
      </c>
      <c r="O16" s="60">
        <v>0</v>
      </c>
      <c r="P16" s="60">
        <v>0.71</v>
      </c>
      <c r="Q16" s="60">
        <v>24.87</v>
      </c>
      <c r="R16" s="197"/>
      <c r="S16" s="197"/>
      <c r="T16" s="197"/>
      <c r="U16" s="197"/>
    </row>
    <row r="17" spans="1:21" s="12" customFormat="1" x14ac:dyDescent="0.25">
      <c r="A17" s="200" t="s">
        <v>2656</v>
      </c>
      <c r="B17" s="60">
        <v>5.86</v>
      </c>
      <c r="C17" s="60">
        <v>8.0500000000000007</v>
      </c>
      <c r="D17" s="60">
        <v>13.91</v>
      </c>
      <c r="E17" s="60">
        <v>7.23</v>
      </c>
      <c r="F17" s="60">
        <v>0.17</v>
      </c>
      <c r="G17" s="60">
        <v>14.75</v>
      </c>
      <c r="H17" s="60">
        <v>11.79</v>
      </c>
      <c r="I17" s="60">
        <v>13.85</v>
      </c>
      <c r="J17" s="60">
        <v>0.12</v>
      </c>
      <c r="K17" s="60">
        <v>231.94</v>
      </c>
      <c r="L17" s="60">
        <v>29.47</v>
      </c>
      <c r="M17" s="60">
        <v>96.33</v>
      </c>
      <c r="N17" s="60">
        <v>14.8</v>
      </c>
      <c r="O17" s="60">
        <v>0</v>
      </c>
      <c r="P17" s="60">
        <v>0.71</v>
      </c>
      <c r="Q17" s="60">
        <v>25.54</v>
      </c>
      <c r="R17" s="197"/>
      <c r="S17" s="197"/>
      <c r="T17" s="197"/>
      <c r="U17" s="197"/>
    </row>
    <row r="18" spans="1:21" s="12" customFormat="1" x14ac:dyDescent="0.25">
      <c r="A18" s="200" t="s">
        <v>2657</v>
      </c>
      <c r="B18" s="60">
        <v>5.74</v>
      </c>
      <c r="C18" s="60">
        <v>6.77</v>
      </c>
      <c r="D18" s="60">
        <v>12.51</v>
      </c>
      <c r="E18" s="60">
        <v>7.34</v>
      </c>
      <c r="F18" s="60">
        <v>0.61</v>
      </c>
      <c r="G18" s="60">
        <v>14.75</v>
      </c>
      <c r="H18" s="60">
        <v>11.79</v>
      </c>
      <c r="I18" s="60">
        <v>14.07</v>
      </c>
      <c r="J18" s="60">
        <v>0.06</v>
      </c>
      <c r="K18" s="60">
        <v>311.33999999999997</v>
      </c>
      <c r="L18" s="60">
        <v>29.39</v>
      </c>
      <c r="M18" s="60">
        <v>97.31</v>
      </c>
      <c r="N18" s="60">
        <v>14.8</v>
      </c>
      <c r="O18" s="60">
        <v>0</v>
      </c>
      <c r="P18" s="60">
        <v>0.73</v>
      </c>
      <c r="Q18" s="60">
        <v>20.74</v>
      </c>
      <c r="R18" s="197"/>
      <c r="S18" s="197"/>
      <c r="T18" s="197"/>
      <c r="U18" s="197"/>
    </row>
    <row r="19" spans="1:21" s="12" customFormat="1" x14ac:dyDescent="0.25">
      <c r="A19" s="200" t="s">
        <v>2658</v>
      </c>
      <c r="B19" s="60">
        <v>5.53</v>
      </c>
      <c r="C19" s="60">
        <v>6.92</v>
      </c>
      <c r="D19" s="60">
        <v>12.44</v>
      </c>
      <c r="E19" s="60">
        <v>7.49</v>
      </c>
      <c r="F19" s="60">
        <v>0.18</v>
      </c>
      <c r="G19" s="60">
        <v>14.75</v>
      </c>
      <c r="H19" s="60">
        <v>11.79</v>
      </c>
      <c r="I19" s="60">
        <v>14.05</v>
      </c>
      <c r="J19" s="60">
        <v>0.15</v>
      </c>
      <c r="K19" s="60">
        <v>339.66</v>
      </c>
      <c r="L19" s="60">
        <v>29.24</v>
      </c>
      <c r="M19" s="60">
        <v>98.49</v>
      </c>
      <c r="N19" s="60">
        <v>14.8</v>
      </c>
      <c r="O19" s="60">
        <v>0</v>
      </c>
      <c r="P19" s="60">
        <v>0.76</v>
      </c>
      <c r="Q19" s="60">
        <v>17.559999999999999</v>
      </c>
      <c r="R19" s="197"/>
      <c r="S19" s="197"/>
      <c r="T19" s="197"/>
      <c r="U19" s="197"/>
    </row>
    <row r="20" spans="1:21" s="12" customFormat="1" x14ac:dyDescent="0.25">
      <c r="A20" s="200" t="s">
        <v>2659</v>
      </c>
      <c r="B20" s="60">
        <v>5.33</v>
      </c>
      <c r="C20" s="60">
        <v>7.35</v>
      </c>
      <c r="D20" s="60">
        <v>12.67</v>
      </c>
      <c r="E20" s="60">
        <v>7.16</v>
      </c>
      <c r="F20" s="60">
        <v>0.16</v>
      </c>
      <c r="G20" s="60">
        <v>20.41</v>
      </c>
      <c r="H20" s="60">
        <v>10.67</v>
      </c>
      <c r="I20" s="60">
        <v>13.6</v>
      </c>
      <c r="J20" s="60">
        <v>0.11</v>
      </c>
      <c r="K20" s="60">
        <v>346.12</v>
      </c>
      <c r="L20" s="60">
        <v>29.14</v>
      </c>
      <c r="M20" s="60">
        <v>98.99</v>
      </c>
      <c r="N20" s="60">
        <v>14.7</v>
      </c>
      <c r="O20" s="60">
        <v>0</v>
      </c>
      <c r="P20" s="60">
        <v>0.73</v>
      </c>
      <c r="Q20" s="60">
        <v>18.829999999999998</v>
      </c>
      <c r="R20" s="197"/>
      <c r="S20" s="197"/>
      <c r="T20" s="197"/>
      <c r="U20" s="197"/>
    </row>
    <row r="21" spans="1:21" s="12" customFormat="1" x14ac:dyDescent="0.25">
      <c r="A21" s="200" t="s">
        <v>2660</v>
      </c>
      <c r="B21" s="60">
        <v>5.0599999999999996</v>
      </c>
      <c r="C21" s="60">
        <v>7.37</v>
      </c>
      <c r="D21" s="60">
        <v>12.43</v>
      </c>
      <c r="E21" s="60">
        <v>7.08</v>
      </c>
      <c r="F21" s="60">
        <v>0.03</v>
      </c>
      <c r="G21" s="60">
        <v>29.74</v>
      </c>
      <c r="H21" s="60">
        <v>8.74</v>
      </c>
      <c r="I21" s="60">
        <v>13.34</v>
      </c>
      <c r="J21" s="60">
        <v>0.16</v>
      </c>
      <c r="K21" s="60">
        <v>319.75</v>
      </c>
      <c r="L21" s="60">
        <v>29.03</v>
      </c>
      <c r="M21" s="60">
        <v>99.09</v>
      </c>
      <c r="N21" s="60">
        <v>14.8</v>
      </c>
      <c r="O21" s="60">
        <v>0</v>
      </c>
      <c r="P21" s="60">
        <v>0.73</v>
      </c>
      <c r="Q21" s="60">
        <v>17.97</v>
      </c>
      <c r="R21" s="197"/>
      <c r="S21" s="197"/>
      <c r="T21" s="197"/>
      <c r="U21" s="197"/>
    </row>
    <row r="22" spans="1:21" s="12" customFormat="1" x14ac:dyDescent="0.25">
      <c r="A22" s="200" t="s">
        <v>2661</v>
      </c>
      <c r="B22" s="60">
        <v>4.9400000000000004</v>
      </c>
      <c r="C22" s="60">
        <v>7</v>
      </c>
      <c r="D22" s="60">
        <v>11.94</v>
      </c>
      <c r="E22" s="60">
        <v>6.76</v>
      </c>
      <c r="F22" s="60">
        <v>0.28999999999999998</v>
      </c>
      <c r="G22" s="60">
        <v>29.74</v>
      </c>
      <c r="H22" s="60">
        <v>8.74</v>
      </c>
      <c r="I22" s="60">
        <v>13.08</v>
      </c>
      <c r="J22" s="60">
        <v>0.09</v>
      </c>
      <c r="K22" s="60">
        <v>6.54</v>
      </c>
      <c r="L22" s="60">
        <v>28.97</v>
      </c>
      <c r="M22" s="60">
        <v>98.86</v>
      </c>
      <c r="N22" s="60">
        <v>14.6</v>
      </c>
      <c r="O22" s="60">
        <v>0</v>
      </c>
      <c r="P22" s="60">
        <v>0.72</v>
      </c>
      <c r="Q22" s="60">
        <v>16.8</v>
      </c>
      <c r="R22" s="197"/>
      <c r="S22" s="197"/>
      <c r="T22" s="197"/>
      <c r="U22" s="197"/>
    </row>
    <row r="23" spans="1:21" s="12" customFormat="1" x14ac:dyDescent="0.25">
      <c r="A23" s="200" t="s">
        <v>2662</v>
      </c>
      <c r="B23" s="60">
        <v>4.79</v>
      </c>
      <c r="C23" s="60">
        <v>7.36</v>
      </c>
      <c r="D23" s="60">
        <v>12.15</v>
      </c>
      <c r="E23" s="60">
        <v>7.36</v>
      </c>
      <c r="F23" s="60">
        <v>0.04</v>
      </c>
      <c r="G23" s="60">
        <v>29.74</v>
      </c>
      <c r="H23" s="60">
        <v>8.74</v>
      </c>
      <c r="I23" s="60">
        <v>12.9</v>
      </c>
      <c r="J23" s="60">
        <v>0.28000000000000003</v>
      </c>
      <c r="K23" s="60">
        <v>319.64999999999998</v>
      </c>
      <c r="L23" s="60">
        <v>28.97</v>
      </c>
      <c r="M23" s="60">
        <v>97.98</v>
      </c>
      <c r="N23" s="60">
        <v>14.6</v>
      </c>
      <c r="O23" s="60">
        <v>0</v>
      </c>
      <c r="P23" s="60">
        <v>0.73</v>
      </c>
      <c r="Q23" s="60">
        <v>15.07</v>
      </c>
      <c r="R23" s="197"/>
      <c r="S23" s="197"/>
      <c r="T23" s="197"/>
      <c r="U23" s="197"/>
    </row>
    <row r="24" spans="1:21" s="12" customFormat="1" x14ac:dyDescent="0.25">
      <c r="A24" s="200" t="s">
        <v>2663</v>
      </c>
      <c r="B24" s="60">
        <v>4.7300000000000004</v>
      </c>
      <c r="C24" s="60">
        <v>8.34</v>
      </c>
      <c r="D24" s="60">
        <v>13.08</v>
      </c>
      <c r="E24" s="60">
        <v>3.53</v>
      </c>
      <c r="F24" s="60">
        <v>0.01</v>
      </c>
      <c r="G24" s="60">
        <v>28.17</v>
      </c>
      <c r="H24" s="60">
        <v>8.34</v>
      </c>
      <c r="I24" s="60">
        <v>12.65</v>
      </c>
      <c r="J24" s="60">
        <v>0.54</v>
      </c>
      <c r="K24" s="60">
        <v>308.37</v>
      </c>
      <c r="L24" s="60">
        <v>28.97</v>
      </c>
      <c r="M24" s="60">
        <v>96.9</v>
      </c>
      <c r="N24" s="60">
        <v>14.1</v>
      </c>
      <c r="O24" s="60">
        <v>0</v>
      </c>
      <c r="P24" s="60">
        <v>0.73</v>
      </c>
      <c r="Q24" s="60">
        <v>18.63</v>
      </c>
      <c r="R24" s="197"/>
      <c r="S24" s="197"/>
      <c r="T24" s="197"/>
      <c r="U24" s="197"/>
    </row>
    <row r="25" spans="1:21" s="12" customFormat="1" x14ac:dyDescent="0.25">
      <c r="A25" s="200" t="s">
        <v>2664</v>
      </c>
      <c r="B25" s="60">
        <v>4.7699999999999996</v>
      </c>
      <c r="C25" s="60">
        <v>8.6</v>
      </c>
      <c r="D25" s="60">
        <v>13.37</v>
      </c>
      <c r="E25" s="60">
        <v>5.9</v>
      </c>
      <c r="F25" s="217" t="s">
        <v>47</v>
      </c>
      <c r="G25" s="60">
        <v>25.6</v>
      </c>
      <c r="H25" s="60">
        <v>7.64</v>
      </c>
      <c r="I25" s="60">
        <v>12.58</v>
      </c>
      <c r="J25" s="60">
        <v>0.74</v>
      </c>
      <c r="K25" s="60">
        <v>308.81</v>
      </c>
      <c r="L25" s="60">
        <v>28.99</v>
      </c>
      <c r="M25" s="60">
        <v>96.05</v>
      </c>
      <c r="N25" s="60">
        <v>14.1</v>
      </c>
      <c r="O25" s="60">
        <v>0</v>
      </c>
      <c r="P25" s="60">
        <v>0.72</v>
      </c>
      <c r="Q25" s="60">
        <v>20.02</v>
      </c>
      <c r="R25" s="197"/>
      <c r="S25" s="197"/>
      <c r="T25" s="197"/>
      <c r="U25" s="197"/>
    </row>
    <row r="26" spans="1:21" s="12" customFormat="1" x14ac:dyDescent="0.25">
      <c r="A26" s="200" t="s">
        <v>2665</v>
      </c>
      <c r="B26" s="60">
        <v>4.8</v>
      </c>
      <c r="C26" s="60">
        <v>8.44</v>
      </c>
      <c r="D26" s="60">
        <v>13.24</v>
      </c>
      <c r="E26" s="60">
        <v>6.47</v>
      </c>
      <c r="F26" s="60">
        <v>0.05</v>
      </c>
      <c r="G26" s="60">
        <v>25.6</v>
      </c>
      <c r="H26" s="60">
        <v>7.64</v>
      </c>
      <c r="I26" s="60">
        <v>12.29</v>
      </c>
      <c r="J26" s="60">
        <v>0.52</v>
      </c>
      <c r="K26" s="60">
        <v>307.2</v>
      </c>
      <c r="L26" s="60">
        <v>28.85</v>
      </c>
      <c r="M26" s="60">
        <v>96.56</v>
      </c>
      <c r="N26" s="60">
        <v>14.6</v>
      </c>
      <c r="O26" s="60">
        <v>0</v>
      </c>
      <c r="P26" s="60">
        <v>0.71</v>
      </c>
      <c r="Q26" s="60">
        <v>20.13</v>
      </c>
      <c r="R26" s="197"/>
      <c r="S26" s="197"/>
      <c r="T26" s="197"/>
      <c r="U26" s="197"/>
    </row>
    <row r="27" spans="1:21" s="12" customFormat="1" x14ac:dyDescent="0.25">
      <c r="A27" s="200" t="s">
        <v>2666</v>
      </c>
      <c r="B27" s="60">
        <v>4.88</v>
      </c>
      <c r="C27" s="60">
        <v>8.2799999999999994</v>
      </c>
      <c r="D27" s="60">
        <v>13.16</v>
      </c>
      <c r="E27" s="60">
        <v>6.78</v>
      </c>
      <c r="F27" s="60">
        <v>0.08</v>
      </c>
      <c r="G27" s="60">
        <v>25.6</v>
      </c>
      <c r="H27" s="60">
        <v>7.64</v>
      </c>
      <c r="I27" s="60">
        <v>12.23</v>
      </c>
      <c r="J27" s="60">
        <v>0.39</v>
      </c>
      <c r="K27" s="60">
        <v>303.56</v>
      </c>
      <c r="L27" s="60">
        <v>28.72</v>
      </c>
      <c r="M27" s="60">
        <v>96.45</v>
      </c>
      <c r="N27" s="60">
        <v>14.7</v>
      </c>
      <c r="O27" s="60">
        <v>0</v>
      </c>
      <c r="P27" s="60">
        <v>0.71</v>
      </c>
      <c r="Q27" s="60">
        <v>20</v>
      </c>
      <c r="R27" s="197"/>
      <c r="S27" s="197"/>
      <c r="T27" s="197"/>
      <c r="U27" s="197"/>
    </row>
    <row r="28" spans="1:21" s="12" customFormat="1" x14ac:dyDescent="0.25">
      <c r="A28" s="200" t="s">
        <v>2667</v>
      </c>
      <c r="B28" s="60">
        <v>5.16</v>
      </c>
      <c r="C28" s="60">
        <v>8.14</v>
      </c>
      <c r="D28" s="60">
        <v>13.3</v>
      </c>
      <c r="E28" s="60">
        <v>6.92</v>
      </c>
      <c r="F28" s="60">
        <v>0.1</v>
      </c>
      <c r="G28" s="60">
        <v>26.13</v>
      </c>
      <c r="H28" s="60">
        <v>9.09</v>
      </c>
      <c r="I28" s="60">
        <v>12.12</v>
      </c>
      <c r="J28" s="60">
        <v>0.12</v>
      </c>
      <c r="K28" s="60">
        <v>251.18</v>
      </c>
      <c r="L28" s="60">
        <v>28.74</v>
      </c>
      <c r="M28" s="60">
        <v>96.23</v>
      </c>
      <c r="N28" s="60">
        <v>14.9</v>
      </c>
      <c r="O28" s="60">
        <v>0</v>
      </c>
      <c r="P28" s="60">
        <v>0.72</v>
      </c>
      <c r="Q28" s="60">
        <v>20.84</v>
      </c>
      <c r="R28" s="197"/>
      <c r="S28" s="197"/>
      <c r="T28" s="197"/>
      <c r="U28" s="197"/>
    </row>
    <row r="29" spans="1:21" s="12" customFormat="1" x14ac:dyDescent="0.25">
      <c r="A29" s="200" t="s">
        <v>2668</v>
      </c>
      <c r="B29" s="60">
        <v>5.63</v>
      </c>
      <c r="C29" s="60">
        <v>8.19</v>
      </c>
      <c r="D29" s="60">
        <v>13.81</v>
      </c>
      <c r="E29" s="60">
        <v>7.72</v>
      </c>
      <c r="F29" s="60">
        <v>0.04</v>
      </c>
      <c r="G29" s="60">
        <v>27.01</v>
      </c>
      <c r="H29" s="60">
        <v>11.6</v>
      </c>
      <c r="I29" s="60">
        <v>12.17</v>
      </c>
      <c r="J29" s="60">
        <v>0.02</v>
      </c>
      <c r="K29" s="60">
        <v>69.5</v>
      </c>
      <c r="L29" s="60">
        <v>28.71</v>
      </c>
      <c r="M29" s="60">
        <v>96.95</v>
      </c>
      <c r="N29" s="60">
        <v>14.7</v>
      </c>
      <c r="O29" s="60">
        <v>0</v>
      </c>
      <c r="P29" s="60">
        <v>0.7</v>
      </c>
      <c r="Q29" s="60">
        <v>21.89</v>
      </c>
      <c r="R29" s="197"/>
      <c r="S29" s="197"/>
      <c r="T29" s="197"/>
      <c r="U29" s="197"/>
    </row>
    <row r="30" spans="1:21" s="12" customFormat="1" x14ac:dyDescent="0.25">
      <c r="A30" s="200" t="s">
        <v>2669</v>
      </c>
      <c r="B30" s="60">
        <v>6.14</v>
      </c>
      <c r="C30" s="60">
        <v>7.99</v>
      </c>
      <c r="D30" s="60">
        <v>14.13</v>
      </c>
      <c r="E30" s="60">
        <v>7.44</v>
      </c>
      <c r="F30" s="60">
        <v>0.06</v>
      </c>
      <c r="G30" s="60">
        <v>27.01</v>
      </c>
      <c r="H30" s="60">
        <v>11.6</v>
      </c>
      <c r="I30" s="60">
        <v>12.4</v>
      </c>
      <c r="J30" s="60">
        <v>0.21</v>
      </c>
      <c r="K30" s="60">
        <v>311.62</v>
      </c>
      <c r="L30" s="60">
        <v>28.52</v>
      </c>
      <c r="M30" s="60">
        <v>97.62</v>
      </c>
      <c r="N30" s="60">
        <v>14.8</v>
      </c>
      <c r="O30" s="60">
        <v>0</v>
      </c>
      <c r="P30" s="60">
        <v>0.71</v>
      </c>
      <c r="Q30" s="60">
        <v>22.36</v>
      </c>
      <c r="R30" s="197"/>
      <c r="S30" s="197"/>
      <c r="T30" s="197"/>
      <c r="U30" s="197"/>
    </row>
    <row r="31" spans="1:21" s="12" customFormat="1" x14ac:dyDescent="0.25">
      <c r="A31" s="200" t="s">
        <v>2670</v>
      </c>
      <c r="B31" s="60">
        <v>6.56</v>
      </c>
      <c r="C31" s="60">
        <v>8.01</v>
      </c>
      <c r="D31" s="60">
        <v>14.57</v>
      </c>
      <c r="E31" s="60">
        <v>7.28</v>
      </c>
      <c r="F31" s="60">
        <v>0.02</v>
      </c>
      <c r="G31" s="60">
        <v>27.01</v>
      </c>
      <c r="H31" s="60">
        <v>11.6</v>
      </c>
      <c r="I31" s="60">
        <v>12.8</v>
      </c>
      <c r="J31" s="60">
        <v>0.08</v>
      </c>
      <c r="K31" s="60">
        <v>321.95</v>
      </c>
      <c r="L31" s="60">
        <v>28.43</v>
      </c>
      <c r="M31" s="60">
        <v>97.42</v>
      </c>
      <c r="N31" s="60">
        <v>17.100000000000001</v>
      </c>
      <c r="O31" s="60">
        <v>0</v>
      </c>
      <c r="P31" s="60">
        <v>0.73</v>
      </c>
      <c r="Q31" s="60">
        <v>22.78</v>
      </c>
      <c r="R31" s="197"/>
      <c r="S31" s="197"/>
      <c r="T31" s="197"/>
      <c r="U31" s="197"/>
    </row>
    <row r="32" spans="1:21" s="12" customFormat="1" x14ac:dyDescent="0.25">
      <c r="A32" s="200" t="s">
        <v>2671</v>
      </c>
      <c r="B32" s="60">
        <v>7.71</v>
      </c>
      <c r="C32" s="60">
        <v>7.71</v>
      </c>
      <c r="D32" s="60">
        <v>15.42</v>
      </c>
      <c r="E32" s="60">
        <v>7.35</v>
      </c>
      <c r="F32" s="60">
        <v>0.5</v>
      </c>
      <c r="G32" s="60">
        <v>27.03</v>
      </c>
      <c r="H32" s="60">
        <v>12.57</v>
      </c>
      <c r="I32" s="60">
        <v>13</v>
      </c>
      <c r="J32" s="60">
        <v>0.15</v>
      </c>
      <c r="K32" s="60">
        <v>318.62</v>
      </c>
      <c r="L32" s="60">
        <v>28.52</v>
      </c>
      <c r="M32" s="60">
        <v>97.57</v>
      </c>
      <c r="N32" s="60">
        <v>30.1</v>
      </c>
      <c r="O32" s="60">
        <v>0</v>
      </c>
      <c r="P32" s="60">
        <v>0.71</v>
      </c>
      <c r="Q32" s="60">
        <v>22.07</v>
      </c>
      <c r="R32" s="197"/>
      <c r="S32" s="197"/>
      <c r="T32" s="197"/>
      <c r="U32" s="197"/>
    </row>
    <row r="33" spans="1:21" s="12" customFormat="1" x14ac:dyDescent="0.25">
      <c r="A33" s="200" t="s">
        <v>2672</v>
      </c>
      <c r="B33" s="60">
        <v>8.67</v>
      </c>
      <c r="C33" s="60">
        <v>7.69</v>
      </c>
      <c r="D33" s="60">
        <v>16.36</v>
      </c>
      <c r="E33" s="60">
        <v>7.12</v>
      </c>
      <c r="F33" s="60">
        <v>0.2</v>
      </c>
      <c r="G33" s="60">
        <v>27.07</v>
      </c>
      <c r="H33" s="60">
        <v>14.25</v>
      </c>
      <c r="I33" s="60">
        <v>13.05</v>
      </c>
      <c r="J33" s="60">
        <v>0.12</v>
      </c>
      <c r="K33" s="60">
        <v>317.92</v>
      </c>
      <c r="L33" s="60">
        <v>28.95</v>
      </c>
      <c r="M33" s="60">
        <v>95.4</v>
      </c>
      <c r="N33" s="60">
        <v>52.1</v>
      </c>
      <c r="O33" s="60">
        <v>0</v>
      </c>
      <c r="P33" s="60">
        <v>0.73</v>
      </c>
      <c r="Q33" s="60">
        <v>18.920000000000002</v>
      </c>
      <c r="R33" s="197"/>
      <c r="S33" s="197"/>
      <c r="T33" s="197"/>
      <c r="U33" s="197"/>
    </row>
    <row r="34" spans="1:21" s="12" customFormat="1" x14ac:dyDescent="0.25">
      <c r="A34" s="200" t="s">
        <v>2673</v>
      </c>
      <c r="B34" s="60">
        <v>9.8699999999999992</v>
      </c>
      <c r="C34" s="60">
        <v>7.99</v>
      </c>
      <c r="D34" s="60">
        <v>17.86</v>
      </c>
      <c r="E34" s="60">
        <v>6.88</v>
      </c>
      <c r="F34" s="60">
        <v>0.26</v>
      </c>
      <c r="G34" s="60">
        <v>27.07</v>
      </c>
      <c r="H34" s="60">
        <v>14.25</v>
      </c>
      <c r="I34" s="60">
        <v>12.79</v>
      </c>
      <c r="J34" s="60">
        <v>0.17</v>
      </c>
      <c r="K34" s="60">
        <v>338.49</v>
      </c>
      <c r="L34" s="60">
        <v>29.83</v>
      </c>
      <c r="M34" s="60">
        <v>89.76</v>
      </c>
      <c r="N34" s="60">
        <v>79.5</v>
      </c>
      <c r="O34" s="60">
        <v>0</v>
      </c>
      <c r="P34" s="60">
        <v>0.73</v>
      </c>
      <c r="Q34" s="60">
        <v>18.510000000000002</v>
      </c>
      <c r="R34" s="197"/>
      <c r="S34" s="197"/>
      <c r="T34" s="197"/>
      <c r="U34" s="197"/>
    </row>
    <row r="35" spans="1:21" s="12" customFormat="1" x14ac:dyDescent="0.25">
      <c r="A35" s="200" t="s">
        <v>2674</v>
      </c>
      <c r="B35" s="60">
        <v>10.57</v>
      </c>
      <c r="C35" s="60">
        <v>8.43</v>
      </c>
      <c r="D35" s="60">
        <v>19</v>
      </c>
      <c r="E35" s="60">
        <v>6.71</v>
      </c>
      <c r="F35" s="60">
        <v>0.19</v>
      </c>
      <c r="G35" s="60">
        <v>27.07</v>
      </c>
      <c r="H35" s="60">
        <v>14.25</v>
      </c>
      <c r="I35" s="60">
        <v>12.63</v>
      </c>
      <c r="J35" s="60">
        <v>0.16</v>
      </c>
      <c r="K35" s="60">
        <v>336.78</v>
      </c>
      <c r="L35" s="60">
        <v>30.89</v>
      </c>
      <c r="M35" s="60">
        <v>84.45</v>
      </c>
      <c r="N35" s="60">
        <v>127.4</v>
      </c>
      <c r="O35" s="60">
        <v>0</v>
      </c>
      <c r="P35" s="60">
        <v>0.75</v>
      </c>
      <c r="Q35" s="60">
        <v>17.21</v>
      </c>
      <c r="R35" s="197"/>
      <c r="S35" s="197"/>
      <c r="T35" s="197"/>
      <c r="U35" s="197"/>
    </row>
    <row r="36" spans="1:21" s="12" customFormat="1" x14ac:dyDescent="0.25">
      <c r="A36" s="200" t="s">
        <v>2675</v>
      </c>
      <c r="B36" s="60">
        <v>11.18</v>
      </c>
      <c r="C36" s="60">
        <v>8.59</v>
      </c>
      <c r="D36" s="60">
        <v>19.78</v>
      </c>
      <c r="E36" s="60">
        <v>6.72</v>
      </c>
      <c r="F36" s="60">
        <v>0.03</v>
      </c>
      <c r="G36" s="60">
        <v>27.75</v>
      </c>
      <c r="H36" s="60">
        <v>14.29</v>
      </c>
      <c r="I36" s="60">
        <v>12.3</v>
      </c>
      <c r="J36" s="60">
        <v>0.17</v>
      </c>
      <c r="K36" s="60">
        <v>341.45</v>
      </c>
      <c r="L36" s="60">
        <v>31.68</v>
      </c>
      <c r="M36" s="60">
        <v>81.14</v>
      </c>
      <c r="N36" s="60">
        <v>160.19999999999999</v>
      </c>
      <c r="O36" s="60">
        <v>0</v>
      </c>
      <c r="P36" s="60">
        <v>0.73</v>
      </c>
      <c r="Q36" s="60">
        <v>17.79</v>
      </c>
      <c r="R36" s="197"/>
      <c r="S36" s="197"/>
      <c r="T36" s="197"/>
      <c r="U36" s="197"/>
    </row>
    <row r="37" spans="1:21" s="12" customFormat="1" x14ac:dyDescent="0.25">
      <c r="A37" s="200" t="s">
        <v>2676</v>
      </c>
      <c r="B37" s="60">
        <v>11.45</v>
      </c>
      <c r="C37" s="60">
        <v>9.09</v>
      </c>
      <c r="D37" s="60">
        <v>20.54</v>
      </c>
      <c r="E37" s="60">
        <v>7.15</v>
      </c>
      <c r="F37" s="217" t="s">
        <v>47</v>
      </c>
      <c r="G37" s="60">
        <v>28.87</v>
      </c>
      <c r="H37" s="60">
        <v>14.34</v>
      </c>
      <c r="I37" s="60">
        <v>12.02</v>
      </c>
      <c r="J37" s="60">
        <v>0.16</v>
      </c>
      <c r="K37" s="60">
        <v>5.85</v>
      </c>
      <c r="L37" s="60">
        <v>32.01</v>
      </c>
      <c r="M37" s="60">
        <v>80.48</v>
      </c>
      <c r="N37" s="60">
        <v>136.19999999999999</v>
      </c>
      <c r="O37" s="60">
        <v>0</v>
      </c>
      <c r="P37" s="60">
        <v>0.64</v>
      </c>
      <c r="Q37" s="60">
        <v>16.97</v>
      </c>
      <c r="R37" s="197"/>
      <c r="S37" s="197"/>
      <c r="T37" s="197"/>
      <c r="U37" s="197"/>
    </row>
    <row r="38" spans="1:21" s="12" customFormat="1" x14ac:dyDescent="0.25">
      <c r="A38" s="200" t="s">
        <v>2677</v>
      </c>
      <c r="B38" s="60">
        <v>12.65</v>
      </c>
      <c r="C38" s="60">
        <v>9.42</v>
      </c>
      <c r="D38" s="60">
        <v>22.07</v>
      </c>
      <c r="E38" s="60">
        <v>6.81</v>
      </c>
      <c r="F38" s="60">
        <v>0.25</v>
      </c>
      <c r="G38" s="60">
        <v>28.87</v>
      </c>
      <c r="H38" s="60">
        <v>14.34</v>
      </c>
      <c r="I38" s="60">
        <v>11.57</v>
      </c>
      <c r="J38" s="60">
        <v>0.55000000000000004</v>
      </c>
      <c r="K38" s="60">
        <v>311.73</v>
      </c>
      <c r="L38" s="60">
        <v>33.22</v>
      </c>
      <c r="M38" s="60">
        <v>76.34</v>
      </c>
      <c r="N38" s="60">
        <v>279.5</v>
      </c>
      <c r="O38" s="60">
        <v>0</v>
      </c>
      <c r="P38" s="60">
        <v>0.67</v>
      </c>
      <c r="Q38" s="60">
        <v>17.27</v>
      </c>
      <c r="R38" s="197"/>
      <c r="S38" s="197"/>
      <c r="T38" s="197"/>
      <c r="U38" s="197"/>
    </row>
    <row r="39" spans="1:21" s="12" customFormat="1" x14ac:dyDescent="0.25">
      <c r="A39" s="200" t="s">
        <v>2678</v>
      </c>
      <c r="B39" s="60">
        <v>13.31</v>
      </c>
      <c r="C39" s="60">
        <v>10.42</v>
      </c>
      <c r="D39" s="60">
        <v>23.73</v>
      </c>
      <c r="E39" s="60">
        <v>6.47</v>
      </c>
      <c r="F39" s="60">
        <v>0.28000000000000003</v>
      </c>
      <c r="G39" s="60">
        <v>28.87</v>
      </c>
      <c r="H39" s="60">
        <v>14.34</v>
      </c>
      <c r="I39" s="60">
        <v>11.5</v>
      </c>
      <c r="J39" s="60">
        <v>0.54</v>
      </c>
      <c r="K39" s="60">
        <v>315.44</v>
      </c>
      <c r="L39" s="60">
        <v>34.75</v>
      </c>
      <c r="M39" s="60">
        <v>70.77</v>
      </c>
      <c r="N39" s="60">
        <v>347.8</v>
      </c>
      <c r="O39" s="60">
        <v>0</v>
      </c>
      <c r="P39" s="60">
        <v>0.7</v>
      </c>
      <c r="Q39" s="60">
        <v>18.399999999999999</v>
      </c>
      <c r="R39" s="197"/>
      <c r="S39" s="197"/>
      <c r="T39" s="197"/>
      <c r="U39" s="197"/>
    </row>
    <row r="40" spans="1:21" s="12" customFormat="1" x14ac:dyDescent="0.25">
      <c r="A40" s="200" t="s">
        <v>2679</v>
      </c>
      <c r="B40" s="60">
        <v>13.44</v>
      </c>
      <c r="C40" s="60">
        <v>11.02</v>
      </c>
      <c r="D40" s="60">
        <v>24.46</v>
      </c>
      <c r="E40" s="60">
        <v>3.18</v>
      </c>
      <c r="F40" s="60">
        <v>0.14000000000000001</v>
      </c>
      <c r="G40" s="60">
        <v>30.88</v>
      </c>
      <c r="H40" s="60">
        <v>16.66</v>
      </c>
      <c r="I40" s="60">
        <v>11.3</v>
      </c>
      <c r="J40" s="60">
        <v>0.98</v>
      </c>
      <c r="K40" s="60">
        <v>318.08999999999997</v>
      </c>
      <c r="L40" s="60">
        <v>36.22</v>
      </c>
      <c r="M40" s="60">
        <v>66.040000000000006</v>
      </c>
      <c r="N40" s="60">
        <v>405.3</v>
      </c>
      <c r="O40" s="60">
        <v>0</v>
      </c>
      <c r="P40" s="60">
        <v>0.71</v>
      </c>
      <c r="Q40" s="60">
        <v>20.059999999999999</v>
      </c>
      <c r="R40" s="197"/>
      <c r="S40" s="197"/>
      <c r="T40" s="197"/>
      <c r="U40" s="197"/>
    </row>
    <row r="41" spans="1:21" s="12" customFormat="1" x14ac:dyDescent="0.25">
      <c r="A41" s="200" t="s">
        <v>2680</v>
      </c>
      <c r="B41" s="60">
        <v>13.44</v>
      </c>
      <c r="C41" s="60">
        <v>11.34</v>
      </c>
      <c r="D41" s="60">
        <v>24.78</v>
      </c>
      <c r="E41" s="60">
        <v>7.12</v>
      </c>
      <c r="F41" s="60">
        <v>0.1</v>
      </c>
      <c r="G41" s="60">
        <v>34.18</v>
      </c>
      <c r="H41" s="60">
        <v>20.65</v>
      </c>
      <c r="I41" s="60">
        <v>11.26</v>
      </c>
      <c r="J41" s="60">
        <v>1.02</v>
      </c>
      <c r="K41" s="60">
        <v>315.42</v>
      </c>
      <c r="L41" s="60">
        <v>36.950000000000003</v>
      </c>
      <c r="M41" s="60">
        <v>64.19</v>
      </c>
      <c r="N41" s="60">
        <v>468.9</v>
      </c>
      <c r="O41" s="60">
        <v>0</v>
      </c>
      <c r="P41" s="60">
        <v>0.72</v>
      </c>
      <c r="Q41" s="60">
        <v>21.43</v>
      </c>
      <c r="R41" s="197"/>
      <c r="S41" s="197"/>
      <c r="T41" s="197"/>
      <c r="U41" s="197"/>
    </row>
    <row r="42" spans="1:21" s="12" customFormat="1" x14ac:dyDescent="0.25">
      <c r="A42" s="200" t="s">
        <v>2681</v>
      </c>
      <c r="B42" s="60">
        <v>13.63</v>
      </c>
      <c r="C42" s="60">
        <v>11.51</v>
      </c>
      <c r="D42" s="60">
        <v>25.15</v>
      </c>
      <c r="E42" s="60">
        <v>7.12</v>
      </c>
      <c r="F42" s="60">
        <v>0.19</v>
      </c>
      <c r="G42" s="60">
        <v>34.18</v>
      </c>
      <c r="H42" s="60">
        <v>20.65</v>
      </c>
      <c r="I42" s="60">
        <v>11.16</v>
      </c>
      <c r="J42" s="60">
        <v>1.24</v>
      </c>
      <c r="K42" s="60">
        <v>322.81</v>
      </c>
      <c r="L42" s="60">
        <v>37.85</v>
      </c>
      <c r="M42" s="60">
        <v>61.17</v>
      </c>
      <c r="N42" s="60">
        <v>533.70000000000005</v>
      </c>
      <c r="O42" s="60">
        <v>0</v>
      </c>
      <c r="P42" s="60">
        <v>0.72</v>
      </c>
      <c r="Q42" s="60">
        <v>21.08</v>
      </c>
      <c r="R42" s="197"/>
      <c r="S42" s="197"/>
      <c r="T42" s="197"/>
      <c r="U42" s="197"/>
    </row>
    <row r="43" spans="1:21" s="12" customFormat="1" x14ac:dyDescent="0.25">
      <c r="A43" s="200" t="s">
        <v>2682</v>
      </c>
      <c r="B43" s="60">
        <v>13.62</v>
      </c>
      <c r="C43" s="60">
        <v>11.87</v>
      </c>
      <c r="D43" s="60">
        <v>25.48</v>
      </c>
      <c r="E43" s="60">
        <v>7.02</v>
      </c>
      <c r="F43" s="60">
        <v>0.18</v>
      </c>
      <c r="G43" s="60">
        <v>34.18</v>
      </c>
      <c r="H43" s="60">
        <v>20.65</v>
      </c>
      <c r="I43" s="60">
        <v>10.97</v>
      </c>
      <c r="J43" s="60">
        <v>1.04</v>
      </c>
      <c r="K43" s="60">
        <v>328.58</v>
      </c>
      <c r="L43" s="60">
        <v>38.51</v>
      </c>
      <c r="M43" s="60">
        <v>59.86</v>
      </c>
      <c r="N43" s="60">
        <v>581</v>
      </c>
      <c r="O43" s="60">
        <v>0</v>
      </c>
      <c r="P43" s="60">
        <v>0.73</v>
      </c>
      <c r="Q43" s="60">
        <v>20.63</v>
      </c>
      <c r="R43" s="197"/>
      <c r="S43" s="197"/>
      <c r="T43" s="197"/>
      <c r="U43" s="197"/>
    </row>
    <row r="44" spans="1:21" s="12" customFormat="1" x14ac:dyDescent="0.25">
      <c r="A44" s="200" t="s">
        <v>2683</v>
      </c>
      <c r="B44" s="60">
        <v>13.58</v>
      </c>
      <c r="C44" s="60">
        <v>12.31</v>
      </c>
      <c r="D44" s="60">
        <v>25.89</v>
      </c>
      <c r="E44" s="60">
        <v>7.28</v>
      </c>
      <c r="F44" s="60">
        <v>0.13</v>
      </c>
      <c r="G44" s="60">
        <v>34.29</v>
      </c>
      <c r="H44" s="60">
        <v>18.88</v>
      </c>
      <c r="I44" s="60">
        <v>10.78</v>
      </c>
      <c r="J44" s="60">
        <v>1.23</v>
      </c>
      <c r="K44" s="60">
        <v>321.35000000000002</v>
      </c>
      <c r="L44" s="60">
        <v>39.31</v>
      </c>
      <c r="M44" s="60">
        <v>57.94</v>
      </c>
      <c r="N44" s="60">
        <v>650.20000000000005</v>
      </c>
      <c r="O44" s="60">
        <v>0</v>
      </c>
      <c r="P44" s="60">
        <v>0.74</v>
      </c>
      <c r="Q44" s="60">
        <v>20.97</v>
      </c>
      <c r="R44" s="197"/>
      <c r="S44" s="197"/>
      <c r="T44" s="197"/>
      <c r="U44" s="197"/>
    </row>
    <row r="45" spans="1:21" s="12" customFormat="1" x14ac:dyDescent="0.25">
      <c r="A45" s="200" t="s">
        <v>2684</v>
      </c>
      <c r="B45" s="60">
        <v>13.57</v>
      </c>
      <c r="C45" s="60">
        <v>12.94</v>
      </c>
      <c r="D45" s="60">
        <v>26.51</v>
      </c>
      <c r="E45" s="60">
        <v>7.23</v>
      </c>
      <c r="F45" s="60">
        <v>0.1</v>
      </c>
      <c r="G45" s="60">
        <v>34.450000000000003</v>
      </c>
      <c r="H45" s="60">
        <v>15.81</v>
      </c>
      <c r="I45" s="60">
        <v>10.62</v>
      </c>
      <c r="J45" s="60">
        <v>1.29</v>
      </c>
      <c r="K45" s="60">
        <v>337.81</v>
      </c>
      <c r="L45" s="60">
        <v>39.6</v>
      </c>
      <c r="M45" s="60">
        <v>56.58</v>
      </c>
      <c r="N45" s="60">
        <v>700.7</v>
      </c>
      <c r="O45" s="60">
        <v>0</v>
      </c>
      <c r="P45" s="60">
        <v>0.75</v>
      </c>
      <c r="Q45" s="60">
        <v>21.13</v>
      </c>
      <c r="R45" s="197"/>
      <c r="S45" s="197"/>
      <c r="T45" s="197"/>
      <c r="U45" s="197"/>
    </row>
    <row r="46" spans="1:21" s="12" customFormat="1" x14ac:dyDescent="0.25">
      <c r="A46" s="200" t="s">
        <v>2685</v>
      </c>
      <c r="B46" s="60">
        <v>13.75</v>
      </c>
      <c r="C46" s="60">
        <v>13.09</v>
      </c>
      <c r="D46" s="60">
        <v>26.84</v>
      </c>
      <c r="E46" s="60">
        <v>7.23</v>
      </c>
      <c r="F46" s="60">
        <v>0.4</v>
      </c>
      <c r="G46" s="60">
        <v>34.450000000000003</v>
      </c>
      <c r="H46" s="60">
        <v>15.81</v>
      </c>
      <c r="I46" s="60">
        <v>10.53</v>
      </c>
      <c r="J46" s="60">
        <v>1</v>
      </c>
      <c r="K46" s="60">
        <v>332.32</v>
      </c>
      <c r="L46" s="60">
        <v>39.869999999999997</v>
      </c>
      <c r="M46" s="60">
        <v>55.97</v>
      </c>
      <c r="N46" s="60">
        <v>722.7</v>
      </c>
      <c r="O46" s="60">
        <v>0</v>
      </c>
      <c r="P46" s="60">
        <v>0.77</v>
      </c>
      <c r="Q46" s="60">
        <v>19.989999999999998</v>
      </c>
      <c r="R46" s="197"/>
      <c r="S46" s="197"/>
      <c r="T46" s="197"/>
      <c r="U46" s="197"/>
    </row>
    <row r="47" spans="1:21" s="12" customFormat="1" x14ac:dyDescent="0.25">
      <c r="A47" s="200" t="s">
        <v>2686</v>
      </c>
      <c r="B47" s="60">
        <v>13.88</v>
      </c>
      <c r="C47" s="60">
        <v>12.98</v>
      </c>
      <c r="D47" s="60">
        <v>26.86</v>
      </c>
      <c r="E47" s="60">
        <v>7.25</v>
      </c>
      <c r="F47" s="60">
        <v>0.77</v>
      </c>
      <c r="G47" s="60">
        <v>34.450000000000003</v>
      </c>
      <c r="H47" s="60">
        <v>15.81</v>
      </c>
      <c r="I47" s="60">
        <v>10.43</v>
      </c>
      <c r="J47" s="60">
        <v>0.82</v>
      </c>
      <c r="K47" s="60">
        <v>335.3</v>
      </c>
      <c r="L47" s="60">
        <v>44.16</v>
      </c>
      <c r="M47" s="60">
        <v>54.5</v>
      </c>
      <c r="N47" s="60">
        <v>767</v>
      </c>
      <c r="O47" s="60">
        <v>0</v>
      </c>
      <c r="P47" s="60">
        <v>0.79</v>
      </c>
      <c r="Q47" s="60">
        <v>16.95</v>
      </c>
      <c r="R47" s="197"/>
      <c r="S47" s="197"/>
      <c r="T47" s="197"/>
      <c r="U47" s="197"/>
    </row>
    <row r="48" spans="1:21" s="12" customFormat="1" x14ac:dyDescent="0.25">
      <c r="A48" s="200" t="s">
        <v>2687</v>
      </c>
      <c r="B48" s="60">
        <v>13.89</v>
      </c>
      <c r="C48" s="60">
        <v>13.28</v>
      </c>
      <c r="D48" s="60">
        <v>27.17</v>
      </c>
      <c r="E48" s="60">
        <v>6.59</v>
      </c>
      <c r="F48" s="60">
        <v>0.81</v>
      </c>
      <c r="G48" s="60">
        <v>34.450000000000003</v>
      </c>
      <c r="H48" s="60">
        <v>17.22</v>
      </c>
      <c r="I48" s="60">
        <v>10.29</v>
      </c>
      <c r="J48" s="60">
        <v>0.67</v>
      </c>
      <c r="K48" s="60">
        <v>336.96</v>
      </c>
      <c r="L48" s="60">
        <v>46.19</v>
      </c>
      <c r="M48" s="60">
        <v>54.01</v>
      </c>
      <c r="N48" s="60">
        <v>833.1</v>
      </c>
      <c r="O48" s="60">
        <v>0</v>
      </c>
      <c r="P48" s="60">
        <v>0.82</v>
      </c>
      <c r="Q48" s="60">
        <v>14.07</v>
      </c>
      <c r="R48" s="197"/>
      <c r="S48" s="197"/>
      <c r="T48" s="197"/>
      <c r="U48" s="197"/>
    </row>
    <row r="49" spans="1:21" s="12" customFormat="1" x14ac:dyDescent="0.25">
      <c r="A49" s="200" t="s">
        <v>2688</v>
      </c>
      <c r="B49" s="60">
        <v>13.77</v>
      </c>
      <c r="C49" s="60">
        <v>14.91</v>
      </c>
      <c r="D49" s="60">
        <v>28.68</v>
      </c>
      <c r="E49" s="60">
        <v>6.74</v>
      </c>
      <c r="F49" s="60">
        <v>0.15</v>
      </c>
      <c r="G49" s="60">
        <v>34.450000000000003</v>
      </c>
      <c r="H49" s="60">
        <v>19.66</v>
      </c>
      <c r="I49" s="60">
        <v>10.14</v>
      </c>
      <c r="J49" s="60">
        <v>0.93</v>
      </c>
      <c r="K49" s="60">
        <v>332.1</v>
      </c>
      <c r="L49" s="60">
        <v>48</v>
      </c>
      <c r="M49" s="60">
        <v>52.04</v>
      </c>
      <c r="N49" s="60">
        <v>888</v>
      </c>
      <c r="O49" s="60">
        <v>0</v>
      </c>
      <c r="P49" s="60">
        <v>0.85</v>
      </c>
      <c r="Q49" s="60">
        <v>14.94</v>
      </c>
      <c r="R49" s="197"/>
      <c r="S49" s="197"/>
      <c r="T49" s="197"/>
      <c r="U49" s="197"/>
    </row>
    <row r="50" spans="1:21" s="12" customFormat="1" x14ac:dyDescent="0.25">
      <c r="A50" s="200" t="s">
        <v>2689</v>
      </c>
      <c r="B50" s="60">
        <v>13.8</v>
      </c>
      <c r="C50" s="60">
        <v>15.33</v>
      </c>
      <c r="D50" s="60">
        <v>29.13</v>
      </c>
      <c r="E50" s="60">
        <v>6.3</v>
      </c>
      <c r="F50" s="60">
        <v>0.39</v>
      </c>
      <c r="G50" s="60">
        <v>34.450000000000003</v>
      </c>
      <c r="H50" s="60">
        <v>19.66</v>
      </c>
      <c r="I50" s="60">
        <v>10.11</v>
      </c>
      <c r="J50" s="60">
        <v>0.9</v>
      </c>
      <c r="K50" s="60">
        <v>336.51</v>
      </c>
      <c r="L50" s="60">
        <v>45.87</v>
      </c>
      <c r="M50" s="60">
        <v>51.35</v>
      </c>
      <c r="N50" s="60">
        <v>782.7</v>
      </c>
      <c r="O50" s="60">
        <v>0</v>
      </c>
      <c r="P50" s="60">
        <v>0.86</v>
      </c>
      <c r="Q50" s="60">
        <v>17.12</v>
      </c>
      <c r="R50" s="197"/>
      <c r="S50" s="197"/>
      <c r="T50" s="197"/>
      <c r="U50" s="197"/>
    </row>
    <row r="51" spans="1:21" s="12" customFormat="1" x14ac:dyDescent="0.25">
      <c r="A51" s="200" t="s">
        <v>2690</v>
      </c>
      <c r="B51" s="60">
        <v>13.4</v>
      </c>
      <c r="C51" s="60">
        <v>15.57</v>
      </c>
      <c r="D51" s="60">
        <v>28.97</v>
      </c>
      <c r="E51" s="60">
        <v>6.35</v>
      </c>
      <c r="F51" s="60">
        <v>0.69</v>
      </c>
      <c r="G51" s="60">
        <v>34.450000000000003</v>
      </c>
      <c r="H51" s="60">
        <v>19.66</v>
      </c>
      <c r="I51" s="60">
        <v>10.15</v>
      </c>
      <c r="J51" s="60">
        <v>0.38</v>
      </c>
      <c r="K51" s="60">
        <v>327.51</v>
      </c>
      <c r="L51" s="60">
        <v>44.68</v>
      </c>
      <c r="M51" s="60">
        <v>53.53</v>
      </c>
      <c r="N51" s="60">
        <v>912.6</v>
      </c>
      <c r="O51" s="60">
        <v>0</v>
      </c>
      <c r="P51" s="60">
        <v>0.87</v>
      </c>
      <c r="Q51" s="60">
        <v>14.89</v>
      </c>
      <c r="R51" s="197"/>
      <c r="S51" s="197"/>
      <c r="T51" s="197"/>
      <c r="U51" s="197"/>
    </row>
    <row r="52" spans="1:21" s="12" customFormat="1" x14ac:dyDescent="0.25">
      <c r="A52" s="200" t="s">
        <v>2691</v>
      </c>
      <c r="B52" s="60">
        <v>12.28</v>
      </c>
      <c r="C52" s="60">
        <v>16.62</v>
      </c>
      <c r="D52" s="60">
        <v>28.9</v>
      </c>
      <c r="E52" s="60">
        <v>6.67</v>
      </c>
      <c r="F52" s="60">
        <v>0.28000000000000003</v>
      </c>
      <c r="G52" s="60">
        <v>37.07</v>
      </c>
      <c r="H52" s="60">
        <v>22.48</v>
      </c>
      <c r="I52" s="60">
        <v>9.9700000000000006</v>
      </c>
      <c r="J52" s="60">
        <v>0.63</v>
      </c>
      <c r="K52" s="60">
        <v>327.85</v>
      </c>
      <c r="L52" s="60">
        <v>45.55</v>
      </c>
      <c r="M52" s="60">
        <v>51.29</v>
      </c>
      <c r="N52" s="60">
        <v>755</v>
      </c>
      <c r="O52" s="60">
        <v>0</v>
      </c>
      <c r="P52" s="60">
        <v>0.9</v>
      </c>
      <c r="Q52" s="60">
        <v>14.85</v>
      </c>
      <c r="R52" s="197"/>
      <c r="S52" s="197"/>
      <c r="T52" s="197"/>
      <c r="U52" s="197"/>
    </row>
    <row r="53" spans="1:21" s="12" customFormat="1" x14ac:dyDescent="0.25">
      <c r="A53" s="200" t="s">
        <v>2692</v>
      </c>
      <c r="B53" s="60">
        <v>11.61</v>
      </c>
      <c r="C53" s="60">
        <v>17.82</v>
      </c>
      <c r="D53" s="60">
        <v>29.44</v>
      </c>
      <c r="E53" s="60">
        <v>6.64</v>
      </c>
      <c r="F53" s="60">
        <v>7.0000000000000007E-2</v>
      </c>
      <c r="G53" s="60">
        <v>41.37</v>
      </c>
      <c r="H53" s="60">
        <v>27.37</v>
      </c>
      <c r="I53" s="60">
        <v>9.7799999999999994</v>
      </c>
      <c r="J53" s="60">
        <v>0.51</v>
      </c>
      <c r="K53" s="60">
        <v>329.64</v>
      </c>
      <c r="L53" s="60">
        <v>47.77</v>
      </c>
      <c r="M53" s="60">
        <v>50.14</v>
      </c>
      <c r="N53" s="60">
        <v>1015.9</v>
      </c>
      <c r="O53" s="60">
        <v>0</v>
      </c>
      <c r="P53" s="60">
        <v>0.9</v>
      </c>
      <c r="Q53" s="60">
        <v>19.72</v>
      </c>
      <c r="R53" s="197"/>
      <c r="S53" s="197"/>
      <c r="T53" s="197"/>
      <c r="U53" s="197"/>
    </row>
    <row r="54" spans="1:21" s="12" customFormat="1" x14ac:dyDescent="0.25">
      <c r="A54" s="200" t="s">
        <v>2693</v>
      </c>
      <c r="B54" s="60">
        <v>11.03</v>
      </c>
      <c r="C54" s="60">
        <v>17.32</v>
      </c>
      <c r="D54" s="60">
        <v>28.34</v>
      </c>
      <c r="E54" s="60">
        <v>5.96</v>
      </c>
      <c r="F54" s="60">
        <v>0.24</v>
      </c>
      <c r="G54" s="60">
        <v>41.37</v>
      </c>
      <c r="H54" s="60">
        <v>27.37</v>
      </c>
      <c r="I54" s="60">
        <v>9.73</v>
      </c>
      <c r="J54" s="60">
        <v>0.2</v>
      </c>
      <c r="K54" s="60">
        <v>337.59</v>
      </c>
      <c r="L54" s="60">
        <v>44.76</v>
      </c>
      <c r="M54" s="60">
        <v>54.66</v>
      </c>
      <c r="N54" s="60">
        <v>1015.3</v>
      </c>
      <c r="O54" s="60">
        <v>0</v>
      </c>
      <c r="P54" s="60">
        <v>0.9</v>
      </c>
      <c r="Q54" s="60">
        <v>20.56</v>
      </c>
      <c r="R54" s="197"/>
      <c r="S54" s="197"/>
      <c r="T54" s="197"/>
      <c r="U54" s="197"/>
    </row>
    <row r="55" spans="1:21" s="12" customFormat="1" x14ac:dyDescent="0.25">
      <c r="A55" s="200" t="s">
        <v>2694</v>
      </c>
      <c r="B55" s="60">
        <v>9.8699999999999992</v>
      </c>
      <c r="C55" s="60">
        <v>17.22</v>
      </c>
      <c r="D55" s="60">
        <v>27.09</v>
      </c>
      <c r="E55" s="60">
        <v>6.12</v>
      </c>
      <c r="F55" s="60">
        <v>0.25</v>
      </c>
      <c r="G55" s="60">
        <v>41.37</v>
      </c>
      <c r="H55" s="60">
        <v>27.37</v>
      </c>
      <c r="I55" s="60">
        <v>9.68</v>
      </c>
      <c r="J55" s="60">
        <v>0.16</v>
      </c>
      <c r="K55" s="60">
        <v>339.33</v>
      </c>
      <c r="L55" s="60">
        <v>44.3</v>
      </c>
      <c r="M55" s="60">
        <v>55.58</v>
      </c>
      <c r="N55" s="60">
        <v>1029</v>
      </c>
      <c r="O55" s="60">
        <v>0</v>
      </c>
      <c r="P55" s="60">
        <v>0.88</v>
      </c>
      <c r="Q55" s="60">
        <v>21.87</v>
      </c>
      <c r="R55" s="197"/>
      <c r="S55" s="197"/>
      <c r="T55" s="197"/>
      <c r="U55" s="197"/>
    </row>
    <row r="56" spans="1:21" s="12" customFormat="1" x14ac:dyDescent="0.25">
      <c r="A56" s="200" t="s">
        <v>2695</v>
      </c>
      <c r="B56" s="60">
        <v>8.8699999999999992</v>
      </c>
      <c r="C56" s="60">
        <v>17.09</v>
      </c>
      <c r="D56" s="60">
        <v>25.96</v>
      </c>
      <c r="E56" s="60">
        <v>3.36</v>
      </c>
      <c r="F56" s="60">
        <v>0.17</v>
      </c>
      <c r="G56" s="60">
        <v>42.4</v>
      </c>
      <c r="H56" s="60">
        <v>25.86</v>
      </c>
      <c r="I56" s="60">
        <v>9.61</v>
      </c>
      <c r="J56" s="60">
        <v>0.62</v>
      </c>
      <c r="K56" s="60">
        <v>322.60000000000002</v>
      </c>
      <c r="L56" s="60">
        <v>47.23</v>
      </c>
      <c r="M56" s="60">
        <v>52.66</v>
      </c>
      <c r="N56" s="60">
        <v>640.6</v>
      </c>
      <c r="O56" s="60">
        <v>0</v>
      </c>
      <c r="P56" s="60">
        <v>0.87</v>
      </c>
      <c r="Q56" s="60">
        <v>20.94</v>
      </c>
      <c r="R56" s="197"/>
      <c r="S56" s="197"/>
      <c r="T56" s="197"/>
      <c r="U56" s="197"/>
    </row>
    <row r="57" spans="1:21" s="12" customFormat="1" x14ac:dyDescent="0.25">
      <c r="A57" s="200" t="s">
        <v>2696</v>
      </c>
      <c r="B57" s="60">
        <v>8.25</v>
      </c>
      <c r="C57" s="60">
        <v>16.59</v>
      </c>
      <c r="D57" s="60">
        <v>24.84</v>
      </c>
      <c r="E57" s="60">
        <v>5.17</v>
      </c>
      <c r="F57" s="60">
        <v>0.57999999999999996</v>
      </c>
      <c r="G57" s="60">
        <v>44.1</v>
      </c>
      <c r="H57" s="60">
        <v>23.26</v>
      </c>
      <c r="I57" s="60">
        <v>9.52</v>
      </c>
      <c r="J57" s="60">
        <v>0.63</v>
      </c>
      <c r="K57" s="60">
        <v>330.08</v>
      </c>
      <c r="L57" s="60">
        <v>44.7</v>
      </c>
      <c r="M57" s="60">
        <v>54.1</v>
      </c>
      <c r="N57" s="60">
        <v>535.5</v>
      </c>
      <c r="O57" s="60">
        <v>0</v>
      </c>
      <c r="P57" s="60">
        <v>0.87</v>
      </c>
      <c r="Q57" s="60">
        <v>21.74</v>
      </c>
      <c r="R57" s="197"/>
      <c r="S57" s="197"/>
      <c r="T57" s="197"/>
      <c r="U57" s="197"/>
    </row>
    <row r="58" spans="1:21" s="12" customFormat="1" x14ac:dyDescent="0.25">
      <c r="A58" s="200" t="s">
        <v>2697</v>
      </c>
      <c r="B58" s="60">
        <v>8.07</v>
      </c>
      <c r="C58" s="60">
        <v>16.760000000000002</v>
      </c>
      <c r="D58" s="60">
        <v>24.83</v>
      </c>
      <c r="E58" s="60">
        <v>5.58</v>
      </c>
      <c r="F58" s="60">
        <v>0.27</v>
      </c>
      <c r="G58" s="60">
        <v>44.1</v>
      </c>
      <c r="H58" s="60">
        <v>23.26</v>
      </c>
      <c r="I58" s="60">
        <v>9.5500000000000007</v>
      </c>
      <c r="J58" s="60">
        <v>0.56000000000000005</v>
      </c>
      <c r="K58" s="60">
        <v>326.89</v>
      </c>
      <c r="L58" s="60">
        <v>44.36</v>
      </c>
      <c r="M58" s="60">
        <v>55.34</v>
      </c>
      <c r="N58" s="60">
        <v>515.29999999999995</v>
      </c>
      <c r="O58" s="60">
        <v>0</v>
      </c>
      <c r="P58" s="60">
        <v>0.88</v>
      </c>
      <c r="Q58" s="60">
        <v>21.54</v>
      </c>
      <c r="R58" s="197"/>
      <c r="S58" s="197"/>
      <c r="T58" s="197"/>
      <c r="U58" s="197"/>
    </row>
    <row r="59" spans="1:21" s="12" customFormat="1" x14ac:dyDescent="0.25">
      <c r="A59" s="200" t="s">
        <v>2698</v>
      </c>
      <c r="B59" s="60">
        <v>7.6</v>
      </c>
      <c r="C59" s="60">
        <v>16.27</v>
      </c>
      <c r="D59" s="60">
        <v>23.87</v>
      </c>
      <c r="E59" s="60">
        <v>5.71</v>
      </c>
      <c r="F59" s="60">
        <v>0.84</v>
      </c>
      <c r="G59" s="60">
        <v>44.1</v>
      </c>
      <c r="H59" s="60">
        <v>23.26</v>
      </c>
      <c r="I59" s="60">
        <v>9.59</v>
      </c>
      <c r="J59" s="60">
        <v>0.25</v>
      </c>
      <c r="K59" s="60">
        <v>317.77999999999997</v>
      </c>
      <c r="L59" s="60">
        <v>44.16</v>
      </c>
      <c r="M59" s="60">
        <v>53.7</v>
      </c>
      <c r="N59" s="60">
        <v>779.1</v>
      </c>
      <c r="O59" s="60">
        <v>0</v>
      </c>
      <c r="P59" s="60">
        <v>0.87</v>
      </c>
      <c r="Q59" s="60">
        <v>20.49</v>
      </c>
      <c r="R59" s="197"/>
      <c r="S59" s="197"/>
      <c r="T59" s="197"/>
      <c r="U59" s="197"/>
    </row>
    <row r="60" spans="1:21" s="12" customFormat="1" x14ac:dyDescent="0.25">
      <c r="A60" s="200" t="s">
        <v>2699</v>
      </c>
      <c r="B60" s="60">
        <v>6.51</v>
      </c>
      <c r="C60" s="60">
        <v>17.079999999999998</v>
      </c>
      <c r="D60" s="60">
        <v>23.59</v>
      </c>
      <c r="E60" s="60">
        <v>5.51</v>
      </c>
      <c r="F60" s="60">
        <v>0.32</v>
      </c>
      <c r="G60" s="60">
        <v>44.54</v>
      </c>
      <c r="H60" s="60">
        <v>23.22</v>
      </c>
      <c r="I60" s="60">
        <v>9.59</v>
      </c>
      <c r="J60" s="60">
        <v>0.24</v>
      </c>
      <c r="K60" s="60">
        <v>318.94</v>
      </c>
      <c r="L60" s="60">
        <v>43.6</v>
      </c>
      <c r="M60" s="60">
        <v>55.99</v>
      </c>
      <c r="N60" s="60">
        <v>768.4</v>
      </c>
      <c r="O60" s="60">
        <v>0</v>
      </c>
      <c r="P60" s="60">
        <v>0.84</v>
      </c>
      <c r="Q60" s="60">
        <v>18.329999999999998</v>
      </c>
      <c r="R60" s="197"/>
      <c r="S60" s="197"/>
      <c r="T60" s="197"/>
      <c r="U60" s="197"/>
    </row>
    <row r="61" spans="1:21" s="12" customFormat="1" x14ac:dyDescent="0.25">
      <c r="A61" s="200" t="s">
        <v>2700</v>
      </c>
      <c r="B61" s="60">
        <v>6.17</v>
      </c>
      <c r="C61" s="60">
        <v>16.84</v>
      </c>
      <c r="D61" s="60">
        <v>23.01</v>
      </c>
      <c r="E61" s="60">
        <v>6.15</v>
      </c>
      <c r="F61" s="60">
        <v>0.67</v>
      </c>
      <c r="G61" s="60">
        <v>45.27</v>
      </c>
      <c r="H61" s="60">
        <v>23.16</v>
      </c>
      <c r="I61" s="60">
        <v>9.42</v>
      </c>
      <c r="J61" s="60">
        <v>0.06</v>
      </c>
      <c r="K61" s="60">
        <v>141.72</v>
      </c>
      <c r="L61" s="60">
        <v>45.84</v>
      </c>
      <c r="M61" s="60">
        <v>56.06</v>
      </c>
      <c r="N61" s="60">
        <v>923.9</v>
      </c>
      <c r="O61" s="60">
        <v>0</v>
      </c>
      <c r="P61" s="60">
        <v>0.8</v>
      </c>
      <c r="Q61" s="60">
        <v>18.55</v>
      </c>
      <c r="R61" s="197"/>
      <c r="S61" s="197"/>
      <c r="T61" s="197"/>
      <c r="U61" s="197"/>
    </row>
    <row r="62" spans="1:21" s="12" customFormat="1" x14ac:dyDescent="0.25">
      <c r="A62" s="200" t="s">
        <v>2701</v>
      </c>
      <c r="B62" s="60">
        <v>5.33</v>
      </c>
      <c r="C62" s="60">
        <v>16.54</v>
      </c>
      <c r="D62" s="60">
        <v>21.86</v>
      </c>
      <c r="E62" s="60">
        <v>5.5</v>
      </c>
      <c r="F62" s="60">
        <v>1.1299999999999999</v>
      </c>
      <c r="G62" s="60">
        <v>45.27</v>
      </c>
      <c r="H62" s="60">
        <v>23.16</v>
      </c>
      <c r="I62" s="60">
        <v>9.31</v>
      </c>
      <c r="J62" s="60">
        <v>0.5</v>
      </c>
      <c r="K62" s="60">
        <v>181.42</v>
      </c>
      <c r="L62" s="60">
        <v>44.37</v>
      </c>
      <c r="M62" s="60">
        <v>58.82</v>
      </c>
      <c r="N62" s="60">
        <v>819.1</v>
      </c>
      <c r="O62" s="60">
        <v>0</v>
      </c>
      <c r="P62" s="60">
        <v>0.82</v>
      </c>
      <c r="Q62" s="60">
        <v>14.79</v>
      </c>
      <c r="R62" s="197"/>
      <c r="S62" s="197"/>
      <c r="T62" s="197"/>
      <c r="U62" s="197"/>
    </row>
    <row r="63" spans="1:21" s="12" customFormat="1" x14ac:dyDescent="0.25">
      <c r="A63" s="200" t="s">
        <v>2702</v>
      </c>
      <c r="B63" s="60">
        <v>4.0199999999999996</v>
      </c>
      <c r="C63" s="60">
        <v>16.18</v>
      </c>
      <c r="D63" s="60">
        <v>20.2</v>
      </c>
      <c r="E63" s="60">
        <v>4.9800000000000004</v>
      </c>
      <c r="F63" s="60">
        <v>1.27</v>
      </c>
      <c r="G63" s="60">
        <v>45.27</v>
      </c>
      <c r="H63" s="60">
        <v>23.16</v>
      </c>
      <c r="I63" s="60">
        <v>9.0500000000000007</v>
      </c>
      <c r="J63" s="60">
        <v>0.15</v>
      </c>
      <c r="K63" s="60">
        <v>273.89999999999998</v>
      </c>
      <c r="L63" s="60">
        <v>42.46</v>
      </c>
      <c r="M63" s="60">
        <v>58.78</v>
      </c>
      <c r="N63" s="60">
        <v>853.6</v>
      </c>
      <c r="O63" s="60">
        <v>0</v>
      </c>
      <c r="P63" s="60">
        <v>0.8</v>
      </c>
      <c r="Q63" s="60">
        <v>11.31</v>
      </c>
      <c r="R63" s="197"/>
      <c r="S63" s="197"/>
      <c r="T63" s="197"/>
      <c r="U63" s="197"/>
    </row>
    <row r="64" spans="1:21" s="12" customFormat="1" x14ac:dyDescent="0.25">
      <c r="A64" s="200" t="s">
        <v>2703</v>
      </c>
      <c r="B64" s="60">
        <v>3.26</v>
      </c>
      <c r="C64" s="60">
        <v>16.329999999999998</v>
      </c>
      <c r="D64" s="60">
        <v>19.600000000000001</v>
      </c>
      <c r="E64" s="60">
        <v>5.18</v>
      </c>
      <c r="F64" s="60">
        <v>1.28</v>
      </c>
      <c r="G64" s="60">
        <v>44.73</v>
      </c>
      <c r="H64" s="60">
        <v>23.97</v>
      </c>
      <c r="I64" s="60">
        <v>8.66</v>
      </c>
      <c r="J64" s="60">
        <v>0.16</v>
      </c>
      <c r="K64" s="60">
        <v>263.36</v>
      </c>
      <c r="L64" s="60">
        <v>43.33</v>
      </c>
      <c r="M64" s="60">
        <v>55.64</v>
      </c>
      <c r="N64" s="60">
        <v>879.9</v>
      </c>
      <c r="O64" s="60">
        <v>0</v>
      </c>
      <c r="P64" s="60">
        <v>0.81</v>
      </c>
      <c r="Q64" s="60">
        <v>9.64</v>
      </c>
      <c r="R64" s="197"/>
      <c r="S64" s="197"/>
      <c r="T64" s="197"/>
      <c r="U64" s="197"/>
    </row>
    <row r="65" spans="1:21" s="12" customFormat="1" x14ac:dyDescent="0.25">
      <c r="A65" s="200" t="s">
        <v>2704</v>
      </c>
      <c r="B65" s="60">
        <v>2.63</v>
      </c>
      <c r="C65" s="60">
        <v>16.96</v>
      </c>
      <c r="D65" s="60">
        <v>19.59</v>
      </c>
      <c r="E65" s="60">
        <v>5.15</v>
      </c>
      <c r="F65" s="60">
        <v>1.04</v>
      </c>
      <c r="G65" s="60">
        <v>43.84</v>
      </c>
      <c r="H65" s="60">
        <v>25.37</v>
      </c>
      <c r="I65" s="60">
        <v>8.5299999999999994</v>
      </c>
      <c r="J65" s="60">
        <v>0.12</v>
      </c>
      <c r="K65" s="60">
        <v>320.82</v>
      </c>
      <c r="L65" s="60">
        <v>44.84</v>
      </c>
      <c r="M65" s="60">
        <v>54.41</v>
      </c>
      <c r="N65" s="60">
        <v>698.1</v>
      </c>
      <c r="O65" s="60">
        <v>0</v>
      </c>
      <c r="P65" s="60">
        <v>0.81</v>
      </c>
      <c r="Q65" s="60">
        <v>8.75</v>
      </c>
      <c r="R65" s="197"/>
      <c r="S65" s="197"/>
      <c r="T65" s="197"/>
      <c r="U65" s="197"/>
    </row>
    <row r="66" spans="1:21" s="12" customFormat="1" x14ac:dyDescent="0.25">
      <c r="A66" s="200" t="s">
        <v>2705</v>
      </c>
      <c r="B66" s="60">
        <v>2.0699999999999998</v>
      </c>
      <c r="C66" s="60">
        <v>17.34</v>
      </c>
      <c r="D66" s="60">
        <v>19.41</v>
      </c>
      <c r="E66" s="60">
        <v>4.67</v>
      </c>
      <c r="F66" s="60">
        <v>1.43</v>
      </c>
      <c r="G66" s="60">
        <v>43.84</v>
      </c>
      <c r="H66" s="60">
        <v>25.37</v>
      </c>
      <c r="I66" s="60">
        <v>6.72</v>
      </c>
      <c r="J66" s="60">
        <v>0.02</v>
      </c>
      <c r="K66" s="60">
        <v>297.42</v>
      </c>
      <c r="L66" s="10" t="s">
        <v>43</v>
      </c>
      <c r="M66" s="60">
        <v>58.6</v>
      </c>
      <c r="N66" s="60">
        <v>803.9</v>
      </c>
      <c r="O66" s="60">
        <v>0</v>
      </c>
      <c r="P66" s="60">
        <v>0.79</v>
      </c>
      <c r="Q66" s="60">
        <v>9.99</v>
      </c>
      <c r="R66" s="197"/>
      <c r="S66" s="197"/>
      <c r="T66" s="197"/>
      <c r="U66" s="197"/>
    </row>
    <row r="67" spans="1:21" s="12" customFormat="1" x14ac:dyDescent="0.25">
      <c r="A67" s="200" t="s">
        <v>2706</v>
      </c>
      <c r="B67" s="60">
        <v>1.25</v>
      </c>
      <c r="C67" s="60">
        <v>16.77</v>
      </c>
      <c r="D67" s="60">
        <v>18.03</v>
      </c>
      <c r="E67" s="60">
        <v>4.2300000000000004</v>
      </c>
      <c r="F67" s="60">
        <v>1.7</v>
      </c>
      <c r="G67" s="60">
        <v>43.84</v>
      </c>
      <c r="H67" s="60">
        <v>25.37</v>
      </c>
      <c r="I67" s="215" t="s">
        <v>36</v>
      </c>
      <c r="J67" s="60">
        <v>0.28000000000000003</v>
      </c>
      <c r="K67" s="60">
        <v>187.65</v>
      </c>
      <c r="L67" s="10" t="s">
        <v>43</v>
      </c>
      <c r="M67" s="60">
        <v>56.89</v>
      </c>
      <c r="N67" s="60">
        <v>629.29999999999995</v>
      </c>
      <c r="O67" s="60">
        <v>0</v>
      </c>
      <c r="P67" s="60">
        <v>0.78</v>
      </c>
      <c r="Q67" s="60">
        <v>8.25</v>
      </c>
      <c r="R67" s="197"/>
      <c r="S67" s="197"/>
      <c r="T67" s="197"/>
      <c r="U67" s="197"/>
    </row>
    <row r="68" spans="1:21" s="12" customFormat="1" x14ac:dyDescent="0.25">
      <c r="A68" s="200" t="s">
        <v>2707</v>
      </c>
      <c r="B68" s="60">
        <v>1.02</v>
      </c>
      <c r="C68" s="60">
        <v>17.34</v>
      </c>
      <c r="D68" s="60">
        <v>18.36</v>
      </c>
      <c r="E68" s="60">
        <v>4.37</v>
      </c>
      <c r="F68" s="60">
        <v>1.1100000000000001</v>
      </c>
      <c r="G68" s="60">
        <v>43.41</v>
      </c>
      <c r="H68" s="60">
        <v>24.66</v>
      </c>
      <c r="I68" s="215" t="s">
        <v>36</v>
      </c>
      <c r="J68" s="60">
        <v>0.22</v>
      </c>
      <c r="K68" s="60">
        <v>19.559999999999999</v>
      </c>
      <c r="L68" s="10" t="s">
        <v>43</v>
      </c>
      <c r="M68" s="60">
        <v>57.6</v>
      </c>
      <c r="N68" s="60">
        <v>649.9</v>
      </c>
      <c r="O68" s="60">
        <v>0</v>
      </c>
      <c r="P68" s="60">
        <v>0.78</v>
      </c>
      <c r="Q68" s="60">
        <v>10.78</v>
      </c>
      <c r="R68" s="197"/>
      <c r="S68" s="197"/>
      <c r="T68" s="197"/>
      <c r="U68" s="197"/>
    </row>
    <row r="69" spans="1:21" s="12" customFormat="1" x14ac:dyDescent="0.25">
      <c r="A69" s="200" t="s">
        <v>2708</v>
      </c>
      <c r="B69" s="60">
        <v>1.03</v>
      </c>
      <c r="C69" s="60">
        <v>17.23</v>
      </c>
      <c r="D69" s="60">
        <v>18.260000000000002</v>
      </c>
      <c r="E69" s="60">
        <v>4.0199999999999996</v>
      </c>
      <c r="F69" s="60">
        <v>0.97</v>
      </c>
      <c r="G69" s="60">
        <v>42.69</v>
      </c>
      <c r="H69" s="60">
        <v>23.43</v>
      </c>
      <c r="I69" s="215" t="s">
        <v>36</v>
      </c>
      <c r="J69" s="60">
        <v>0.51</v>
      </c>
      <c r="K69" s="60">
        <v>182.63</v>
      </c>
      <c r="L69" s="10" t="s">
        <v>43</v>
      </c>
      <c r="M69" s="60">
        <v>64.41</v>
      </c>
      <c r="N69" s="60">
        <v>284.10000000000002</v>
      </c>
      <c r="O69" s="60">
        <v>0</v>
      </c>
      <c r="P69" s="60">
        <v>0.78</v>
      </c>
      <c r="Q69" s="60">
        <v>12.86</v>
      </c>
      <c r="R69" s="197"/>
      <c r="S69" s="197"/>
      <c r="T69" s="197"/>
      <c r="U69" s="197"/>
    </row>
    <row r="70" spans="1:21" s="12" customFormat="1" x14ac:dyDescent="0.25">
      <c r="A70" s="200" t="s">
        <v>2709</v>
      </c>
      <c r="B70" s="60">
        <v>0.93</v>
      </c>
      <c r="C70" s="60">
        <v>16.11</v>
      </c>
      <c r="D70" s="60">
        <v>17.04</v>
      </c>
      <c r="E70" s="60">
        <v>4.29</v>
      </c>
      <c r="F70" s="60">
        <v>0.82</v>
      </c>
      <c r="G70" s="60">
        <v>42.69</v>
      </c>
      <c r="H70" s="60">
        <v>23.43</v>
      </c>
      <c r="I70" s="215" t="s">
        <v>36</v>
      </c>
      <c r="J70" s="60">
        <v>0.41</v>
      </c>
      <c r="K70" s="60">
        <v>182.96</v>
      </c>
      <c r="L70" s="60">
        <v>40.380000000000003</v>
      </c>
      <c r="M70" s="60">
        <v>66.94</v>
      </c>
      <c r="N70" s="60">
        <v>365.5</v>
      </c>
      <c r="O70" s="60">
        <v>0</v>
      </c>
      <c r="P70" s="60">
        <v>0.75</v>
      </c>
      <c r="Q70" s="60">
        <v>13.28</v>
      </c>
      <c r="R70" s="197"/>
      <c r="S70" s="197"/>
      <c r="T70" s="197"/>
      <c r="U70" s="197"/>
    </row>
    <row r="71" spans="1:21" s="12" customFormat="1" x14ac:dyDescent="0.25">
      <c r="A71" s="200" t="s">
        <v>2710</v>
      </c>
      <c r="B71" s="60">
        <v>1</v>
      </c>
      <c r="C71" s="60">
        <v>15.56</v>
      </c>
      <c r="D71" s="60">
        <v>16.559999999999999</v>
      </c>
      <c r="E71" s="60">
        <v>4.2699999999999996</v>
      </c>
      <c r="F71" s="60">
        <v>0.95</v>
      </c>
      <c r="G71" s="60">
        <v>42.69</v>
      </c>
      <c r="H71" s="60">
        <v>23.43</v>
      </c>
      <c r="I71" s="215" t="s">
        <v>36</v>
      </c>
      <c r="J71" s="60">
        <v>0.09</v>
      </c>
      <c r="K71" s="60">
        <v>238.34</v>
      </c>
      <c r="L71" s="60">
        <v>38.46</v>
      </c>
      <c r="M71" s="60">
        <v>67.98</v>
      </c>
      <c r="N71" s="60">
        <v>291.39999999999998</v>
      </c>
      <c r="O71" s="60">
        <v>0</v>
      </c>
      <c r="P71" s="60">
        <v>0.73</v>
      </c>
      <c r="Q71" s="60">
        <v>13.47</v>
      </c>
      <c r="R71" s="197"/>
      <c r="S71" s="197"/>
      <c r="T71" s="197"/>
      <c r="U71" s="197"/>
    </row>
    <row r="72" spans="1:21" s="12" customFormat="1" x14ac:dyDescent="0.25">
      <c r="A72" s="200" t="s">
        <v>2711</v>
      </c>
      <c r="B72" s="60">
        <v>0.83</v>
      </c>
      <c r="C72" s="60">
        <v>15.16</v>
      </c>
      <c r="D72" s="60">
        <v>16</v>
      </c>
      <c r="E72" s="60">
        <v>2.2000000000000002</v>
      </c>
      <c r="F72" s="60">
        <v>0.68</v>
      </c>
      <c r="G72" s="60">
        <v>41.33</v>
      </c>
      <c r="H72" s="60">
        <v>22.84</v>
      </c>
      <c r="I72" s="215" t="s">
        <v>36</v>
      </c>
      <c r="J72" s="60">
        <v>0.38</v>
      </c>
      <c r="K72" s="60">
        <v>195.79</v>
      </c>
      <c r="L72" s="60">
        <v>40.909999999999997</v>
      </c>
      <c r="M72" s="60">
        <v>69.61</v>
      </c>
      <c r="N72" s="60">
        <v>133.5</v>
      </c>
      <c r="O72" s="60">
        <v>0</v>
      </c>
      <c r="P72" s="60">
        <v>0.72</v>
      </c>
      <c r="Q72" s="60">
        <v>13.31</v>
      </c>
      <c r="R72" s="197"/>
      <c r="S72" s="197"/>
      <c r="T72" s="197"/>
      <c r="U72" s="197"/>
    </row>
    <row r="73" spans="1:21" s="12" customFormat="1" x14ac:dyDescent="0.25">
      <c r="A73" s="200" t="s">
        <v>2712</v>
      </c>
      <c r="B73" s="60">
        <v>0.77</v>
      </c>
      <c r="C73" s="60">
        <v>14.21</v>
      </c>
      <c r="D73" s="60">
        <v>14.98</v>
      </c>
      <c r="E73" s="60">
        <v>4.17</v>
      </c>
      <c r="F73" s="60">
        <v>0.62</v>
      </c>
      <c r="G73" s="60">
        <v>39.07</v>
      </c>
      <c r="H73" s="60">
        <v>21.82</v>
      </c>
      <c r="I73" s="215" t="s">
        <v>36</v>
      </c>
      <c r="J73" s="60">
        <v>0.38</v>
      </c>
      <c r="K73" s="60">
        <v>198.6</v>
      </c>
      <c r="L73" s="10" t="s">
        <v>43</v>
      </c>
      <c r="M73" s="60">
        <v>73.87</v>
      </c>
      <c r="N73" s="60">
        <v>124.7</v>
      </c>
      <c r="O73" s="60">
        <v>0</v>
      </c>
      <c r="P73" s="60">
        <v>0.7</v>
      </c>
      <c r="Q73" s="60">
        <v>13.7</v>
      </c>
      <c r="R73" s="197"/>
      <c r="S73" s="197"/>
      <c r="T73" s="197"/>
      <c r="U73" s="197"/>
    </row>
    <row r="74" spans="1:21" s="12" customFormat="1" x14ac:dyDescent="0.25">
      <c r="A74" s="200" t="s">
        <v>2713</v>
      </c>
      <c r="B74" s="60">
        <v>0.89</v>
      </c>
      <c r="C74" s="60">
        <v>13.03</v>
      </c>
      <c r="D74" s="60">
        <v>13.92</v>
      </c>
      <c r="E74" s="60">
        <v>4.59</v>
      </c>
      <c r="F74" s="60">
        <v>0.26</v>
      </c>
      <c r="G74" s="60">
        <v>39.07</v>
      </c>
      <c r="H74" s="60">
        <v>21.82</v>
      </c>
      <c r="I74" s="215" t="s">
        <v>36</v>
      </c>
      <c r="J74" s="60">
        <v>0.43</v>
      </c>
      <c r="K74" s="60">
        <v>163.25</v>
      </c>
      <c r="L74" s="10" t="s">
        <v>43</v>
      </c>
      <c r="M74" s="60">
        <v>72.599999999999994</v>
      </c>
      <c r="N74" s="60">
        <v>132.4</v>
      </c>
      <c r="O74" s="60">
        <v>0</v>
      </c>
      <c r="P74" s="60">
        <v>0.7</v>
      </c>
      <c r="Q74" s="60">
        <v>13.48</v>
      </c>
      <c r="R74" s="197"/>
      <c r="S74" s="197"/>
      <c r="T74" s="197"/>
      <c r="U74" s="197"/>
    </row>
    <row r="75" spans="1:21" s="12" customFormat="1" x14ac:dyDescent="0.25">
      <c r="A75" s="200" t="s">
        <v>2714</v>
      </c>
      <c r="B75" s="60">
        <v>1.1499999999999999</v>
      </c>
      <c r="C75" s="60">
        <v>12.17</v>
      </c>
      <c r="D75" s="60">
        <v>13.32</v>
      </c>
      <c r="E75" s="60">
        <v>4.37</v>
      </c>
      <c r="F75" s="60">
        <v>0.43</v>
      </c>
      <c r="G75" s="60">
        <v>39.07</v>
      </c>
      <c r="H75" s="60">
        <v>21.82</v>
      </c>
      <c r="I75" s="215" t="s">
        <v>36</v>
      </c>
      <c r="J75" s="60">
        <v>0.55000000000000004</v>
      </c>
      <c r="K75" s="60">
        <v>165.64</v>
      </c>
      <c r="L75" s="10" t="s">
        <v>43</v>
      </c>
      <c r="M75" s="60">
        <v>72.819999999999993</v>
      </c>
      <c r="N75" s="60">
        <v>97.7</v>
      </c>
      <c r="O75" s="60">
        <v>0</v>
      </c>
      <c r="P75" s="60">
        <v>0.68</v>
      </c>
      <c r="Q75" s="60">
        <v>13.57</v>
      </c>
      <c r="R75" s="197"/>
      <c r="S75" s="197"/>
      <c r="T75" s="197"/>
      <c r="U75" s="197"/>
    </row>
    <row r="76" spans="1:21" s="12" customFormat="1" x14ac:dyDescent="0.25">
      <c r="A76" s="200" t="s">
        <v>2715</v>
      </c>
      <c r="B76" s="60">
        <v>1.42</v>
      </c>
      <c r="C76" s="60">
        <v>11.38</v>
      </c>
      <c r="D76" s="60">
        <v>12.8</v>
      </c>
      <c r="E76" s="60">
        <v>4.38</v>
      </c>
      <c r="F76" s="60">
        <v>0.84</v>
      </c>
      <c r="G76" s="60">
        <v>36.56</v>
      </c>
      <c r="H76" s="60">
        <v>21.31</v>
      </c>
      <c r="I76" s="215" t="s">
        <v>36</v>
      </c>
      <c r="J76" s="60">
        <v>0.21</v>
      </c>
      <c r="K76" s="60">
        <v>32.950000000000003</v>
      </c>
      <c r="L76" s="10" t="s">
        <v>43</v>
      </c>
      <c r="M76" s="60">
        <v>68.06</v>
      </c>
      <c r="N76" s="60">
        <v>87.5</v>
      </c>
      <c r="O76" s="60">
        <v>0</v>
      </c>
      <c r="P76" s="60">
        <v>0.67</v>
      </c>
      <c r="Q76" s="60">
        <v>10.94</v>
      </c>
      <c r="R76" s="197"/>
      <c r="S76" s="197"/>
      <c r="T76" s="197"/>
      <c r="U76" s="197"/>
    </row>
    <row r="77" spans="1:21" s="12" customFormat="1" x14ac:dyDescent="0.25">
      <c r="A77" s="200" t="s">
        <v>2716</v>
      </c>
      <c r="B77" s="60">
        <v>1.95</v>
      </c>
      <c r="C77" s="60">
        <v>12.1</v>
      </c>
      <c r="D77" s="60">
        <v>14.06</v>
      </c>
      <c r="E77" s="60">
        <v>4.92</v>
      </c>
      <c r="F77" s="60">
        <v>1</v>
      </c>
      <c r="G77" s="60">
        <v>32.409999999999997</v>
      </c>
      <c r="H77" s="60">
        <v>20.43</v>
      </c>
      <c r="I77" s="215" t="s">
        <v>36</v>
      </c>
      <c r="J77" s="60">
        <v>0.34</v>
      </c>
      <c r="K77" s="60">
        <v>343.65</v>
      </c>
      <c r="L77" s="10" t="s">
        <v>43</v>
      </c>
      <c r="M77" s="60">
        <v>65.06</v>
      </c>
      <c r="N77" s="60">
        <v>97.2</v>
      </c>
      <c r="O77" s="60">
        <v>0</v>
      </c>
      <c r="P77" s="60">
        <v>0.71</v>
      </c>
      <c r="Q77" s="60">
        <v>7.93</v>
      </c>
      <c r="R77" s="197"/>
      <c r="S77" s="197"/>
      <c r="T77" s="197"/>
      <c r="U77" s="197"/>
    </row>
    <row r="78" spans="1:21" s="12" customFormat="1" x14ac:dyDescent="0.25">
      <c r="A78" s="200" t="s">
        <v>2717</v>
      </c>
      <c r="B78" s="60">
        <v>2.8</v>
      </c>
      <c r="C78" s="60">
        <v>13.94</v>
      </c>
      <c r="D78" s="60">
        <v>16.73</v>
      </c>
      <c r="E78" s="60">
        <v>4.6100000000000003</v>
      </c>
      <c r="F78" s="60">
        <v>0.14000000000000001</v>
      </c>
      <c r="G78" s="60">
        <v>32.409999999999997</v>
      </c>
      <c r="H78" s="60">
        <v>20.43</v>
      </c>
      <c r="I78" s="215" t="s">
        <v>36</v>
      </c>
      <c r="J78" s="60">
        <v>0.5</v>
      </c>
      <c r="K78" s="60">
        <v>319.95999999999998</v>
      </c>
      <c r="L78" s="60">
        <v>48.33</v>
      </c>
      <c r="M78" s="60">
        <v>63.11</v>
      </c>
      <c r="N78" s="60">
        <v>92.5</v>
      </c>
      <c r="O78" s="60">
        <v>0</v>
      </c>
      <c r="P78" s="60">
        <v>0.73</v>
      </c>
      <c r="Q78" s="60">
        <v>9.3800000000000008</v>
      </c>
      <c r="R78" s="197"/>
      <c r="S78" s="197"/>
      <c r="T78" s="197"/>
      <c r="U78" s="197"/>
    </row>
    <row r="79" spans="1:21" s="12" customFormat="1" x14ac:dyDescent="0.25">
      <c r="A79" s="200" t="s">
        <v>2718</v>
      </c>
      <c r="B79" s="60">
        <v>4.12</v>
      </c>
      <c r="C79" s="60">
        <v>14.33</v>
      </c>
      <c r="D79" s="60">
        <v>18.440000000000001</v>
      </c>
      <c r="E79" s="60">
        <v>4.51</v>
      </c>
      <c r="F79" s="60">
        <v>0.65</v>
      </c>
      <c r="G79" s="60">
        <v>32.409999999999997</v>
      </c>
      <c r="H79" s="60">
        <v>20.43</v>
      </c>
      <c r="I79" s="215" t="s">
        <v>36</v>
      </c>
      <c r="J79" s="60">
        <v>0.31</v>
      </c>
      <c r="K79" s="60">
        <v>346.84</v>
      </c>
      <c r="L79" s="10" t="s">
        <v>43</v>
      </c>
      <c r="M79" s="60">
        <v>66.81</v>
      </c>
      <c r="N79" s="60">
        <v>66.099999999999994</v>
      </c>
      <c r="O79" s="60">
        <v>0</v>
      </c>
      <c r="P79" s="60">
        <v>0.74</v>
      </c>
      <c r="Q79" s="60">
        <v>8.64</v>
      </c>
      <c r="R79" s="197"/>
      <c r="S79" s="197"/>
      <c r="T79" s="197"/>
      <c r="U79" s="197"/>
    </row>
    <row r="80" spans="1:21" s="12" customFormat="1" x14ac:dyDescent="0.25">
      <c r="A80" s="200" t="s">
        <v>2719</v>
      </c>
      <c r="B80" s="60">
        <v>5.22</v>
      </c>
      <c r="C80" s="60">
        <v>15.49</v>
      </c>
      <c r="D80" s="60">
        <v>20.7</v>
      </c>
      <c r="E80" s="60">
        <v>3.99</v>
      </c>
      <c r="F80" s="60">
        <v>0.16</v>
      </c>
      <c r="G80" s="60">
        <v>30.09</v>
      </c>
      <c r="H80" s="60">
        <v>20.420000000000002</v>
      </c>
      <c r="I80" s="215" t="s">
        <v>36</v>
      </c>
      <c r="J80" s="60">
        <v>0.22</v>
      </c>
      <c r="K80" s="60">
        <v>6.72</v>
      </c>
      <c r="L80" s="10" t="s">
        <v>43</v>
      </c>
      <c r="M80" s="60">
        <v>70.099999999999994</v>
      </c>
      <c r="N80" s="60">
        <v>44.7</v>
      </c>
      <c r="O80" s="60">
        <v>0</v>
      </c>
      <c r="P80" s="60">
        <v>0.76</v>
      </c>
      <c r="Q80" s="60">
        <v>9.5299999999999994</v>
      </c>
      <c r="R80" s="197"/>
      <c r="S80" s="197"/>
      <c r="T80" s="197"/>
      <c r="U80" s="197"/>
    </row>
    <row r="81" spans="1:26" s="12" customFormat="1" x14ac:dyDescent="0.25">
      <c r="A81" s="200" t="s">
        <v>2720</v>
      </c>
      <c r="B81" s="60">
        <v>6.2</v>
      </c>
      <c r="C81" s="60">
        <v>15.64</v>
      </c>
      <c r="D81" s="60">
        <v>21.84</v>
      </c>
      <c r="E81" s="60">
        <v>3.71</v>
      </c>
      <c r="F81" s="60">
        <v>0.6</v>
      </c>
      <c r="G81" s="60">
        <v>26.27</v>
      </c>
      <c r="H81" s="60">
        <v>20.420000000000002</v>
      </c>
      <c r="I81" s="215" t="s">
        <v>36</v>
      </c>
      <c r="J81" s="60">
        <v>0.52</v>
      </c>
      <c r="K81" s="60">
        <v>319.14999999999998</v>
      </c>
      <c r="L81" s="60">
        <v>44.55</v>
      </c>
      <c r="M81" s="60">
        <v>69.12</v>
      </c>
      <c r="N81" s="60">
        <v>29.5</v>
      </c>
      <c r="O81" s="60">
        <v>0</v>
      </c>
      <c r="P81" s="60">
        <v>0.78</v>
      </c>
      <c r="Q81" s="60">
        <v>8.9600000000000009</v>
      </c>
      <c r="R81" s="197"/>
      <c r="S81" s="197"/>
      <c r="T81" s="197"/>
      <c r="U81" s="197"/>
    </row>
    <row r="82" spans="1:26" s="12" customFormat="1" x14ac:dyDescent="0.25">
      <c r="A82" s="200" t="s">
        <v>2721</v>
      </c>
      <c r="B82" s="60">
        <v>7.12</v>
      </c>
      <c r="C82" s="60">
        <v>16.61</v>
      </c>
      <c r="D82" s="60">
        <v>23.73</v>
      </c>
      <c r="E82" s="60">
        <v>4</v>
      </c>
      <c r="F82" s="60">
        <v>0.1</v>
      </c>
      <c r="G82" s="60">
        <v>26.27</v>
      </c>
      <c r="H82" s="60">
        <v>20.420000000000002</v>
      </c>
      <c r="I82" s="215" t="s">
        <v>36</v>
      </c>
      <c r="J82" s="60">
        <v>0.31</v>
      </c>
      <c r="K82" s="60">
        <v>345.98</v>
      </c>
      <c r="L82" s="60">
        <v>41.77</v>
      </c>
      <c r="M82" s="60">
        <v>69.89</v>
      </c>
      <c r="N82" s="60">
        <v>18.5</v>
      </c>
      <c r="O82" s="60">
        <v>0</v>
      </c>
      <c r="P82" s="60">
        <v>0.82</v>
      </c>
      <c r="Q82" s="60">
        <v>10.050000000000001</v>
      </c>
      <c r="R82" s="197"/>
      <c r="S82" s="197"/>
      <c r="T82" s="197"/>
      <c r="U82" s="197"/>
    </row>
    <row r="83" spans="1:26" s="12" customFormat="1" x14ac:dyDescent="0.25">
      <c r="A83" s="200" t="s">
        <v>2722</v>
      </c>
      <c r="B83" s="60">
        <v>7.97</v>
      </c>
      <c r="C83" s="60">
        <v>16.53</v>
      </c>
      <c r="D83" s="60">
        <v>24.5</v>
      </c>
      <c r="E83" s="60">
        <v>4.54</v>
      </c>
      <c r="F83" s="215" t="s">
        <v>36</v>
      </c>
      <c r="G83" s="60">
        <v>26.27</v>
      </c>
      <c r="H83" s="60">
        <v>20.420000000000002</v>
      </c>
      <c r="I83" s="215" t="s">
        <v>36</v>
      </c>
      <c r="J83" s="60">
        <v>0.33</v>
      </c>
      <c r="K83" s="60">
        <v>330.41</v>
      </c>
      <c r="L83" s="60">
        <v>41.87</v>
      </c>
      <c r="M83" s="60">
        <v>72.23</v>
      </c>
      <c r="N83" s="60">
        <v>15.4</v>
      </c>
      <c r="O83" s="60">
        <v>0</v>
      </c>
      <c r="P83" s="60">
        <v>0.85</v>
      </c>
      <c r="Q83" s="60">
        <v>13.73</v>
      </c>
      <c r="R83" s="197"/>
      <c r="S83" s="197"/>
      <c r="T83" s="197"/>
      <c r="U83" s="197"/>
    </row>
    <row r="84" spans="1:26" s="12" customFormat="1" x14ac:dyDescent="0.25">
      <c r="A84" s="200" t="s">
        <v>2723</v>
      </c>
      <c r="B84" s="60">
        <v>8.67</v>
      </c>
      <c r="C84" s="60">
        <v>15.82</v>
      </c>
      <c r="D84" s="60">
        <v>24.49</v>
      </c>
      <c r="E84" s="60">
        <v>4.17</v>
      </c>
      <c r="F84" s="215" t="s">
        <v>36</v>
      </c>
      <c r="G84" s="60">
        <v>24.7</v>
      </c>
      <c r="H84" s="60">
        <v>20.41</v>
      </c>
      <c r="I84" s="215" t="s">
        <v>36</v>
      </c>
      <c r="J84" s="60">
        <v>0.18</v>
      </c>
      <c r="K84" s="60">
        <v>15.03</v>
      </c>
      <c r="L84" s="60">
        <v>44.24</v>
      </c>
      <c r="M84" s="60">
        <v>73.58</v>
      </c>
      <c r="N84" s="60">
        <v>15</v>
      </c>
      <c r="O84" s="60">
        <v>0</v>
      </c>
      <c r="P84" s="60">
        <v>0.88</v>
      </c>
      <c r="Q84" s="60">
        <v>15.35</v>
      </c>
      <c r="R84" s="197"/>
      <c r="S84" s="197"/>
      <c r="T84" s="197"/>
      <c r="U84" s="197"/>
    </row>
    <row r="85" spans="1:26" s="12" customFormat="1" x14ac:dyDescent="0.25">
      <c r="A85" s="200" t="s">
        <v>2724</v>
      </c>
      <c r="B85" s="60">
        <v>9.4600000000000009</v>
      </c>
      <c r="C85" s="60">
        <v>15.24</v>
      </c>
      <c r="D85" s="60">
        <v>24.7</v>
      </c>
      <c r="E85" s="60">
        <v>4.82</v>
      </c>
      <c r="F85" s="60">
        <v>0.02</v>
      </c>
      <c r="G85" s="60">
        <v>22.12</v>
      </c>
      <c r="H85" s="60">
        <v>20.399999999999999</v>
      </c>
      <c r="I85" s="215" t="s">
        <v>36</v>
      </c>
      <c r="J85" s="60">
        <v>0.13</v>
      </c>
      <c r="K85" s="60">
        <v>330.68</v>
      </c>
      <c r="L85" s="60">
        <v>45.18</v>
      </c>
      <c r="M85" s="60">
        <v>74.98</v>
      </c>
      <c r="N85" s="60">
        <v>14.9</v>
      </c>
      <c r="O85" s="60">
        <v>0</v>
      </c>
      <c r="P85" s="60">
        <v>0.88</v>
      </c>
      <c r="Q85" s="60">
        <v>16.78</v>
      </c>
      <c r="R85" s="197"/>
      <c r="S85" s="197"/>
      <c r="T85" s="197"/>
      <c r="U85" s="197"/>
    </row>
    <row r="86" spans="1:26" s="12" customFormat="1" x14ac:dyDescent="0.25">
      <c r="A86" s="200" t="s">
        <v>2725</v>
      </c>
      <c r="B86" s="60">
        <v>10.4</v>
      </c>
      <c r="C86" s="60">
        <v>14.46</v>
      </c>
      <c r="D86" s="60">
        <v>24.86</v>
      </c>
      <c r="E86" s="60">
        <v>4.6399999999999997</v>
      </c>
      <c r="F86" s="60">
        <v>0.04</v>
      </c>
      <c r="G86" s="60">
        <v>22.12</v>
      </c>
      <c r="H86" s="60">
        <v>20.399999999999999</v>
      </c>
      <c r="I86" s="215" t="s">
        <v>36</v>
      </c>
      <c r="J86" s="60">
        <v>0.2</v>
      </c>
      <c r="K86" s="60">
        <v>293.88</v>
      </c>
      <c r="L86" s="60">
        <v>42.06</v>
      </c>
      <c r="M86" s="60">
        <v>76.36</v>
      </c>
      <c r="N86" s="60">
        <v>14.8</v>
      </c>
      <c r="O86" s="60">
        <v>0</v>
      </c>
      <c r="P86" s="60">
        <v>0.96</v>
      </c>
      <c r="Q86" s="60">
        <v>17.68</v>
      </c>
      <c r="R86" s="197"/>
      <c r="S86" s="197"/>
      <c r="T86" s="197"/>
      <c r="U86" s="197"/>
    </row>
    <row r="87" spans="1:26" s="12" customFormat="1" x14ac:dyDescent="0.25">
      <c r="A87" s="200" t="s">
        <v>2726</v>
      </c>
      <c r="B87" s="60">
        <v>11.86</v>
      </c>
      <c r="C87" s="60">
        <v>14</v>
      </c>
      <c r="D87" s="60">
        <v>25.86</v>
      </c>
      <c r="E87" s="60">
        <v>4.9000000000000004</v>
      </c>
      <c r="F87" s="60">
        <v>0.05</v>
      </c>
      <c r="G87" s="60">
        <v>22.12</v>
      </c>
      <c r="H87" s="60">
        <v>20.399999999999999</v>
      </c>
      <c r="I87" s="215" t="s">
        <v>36</v>
      </c>
      <c r="J87" s="60">
        <v>0.1</v>
      </c>
      <c r="K87" s="60">
        <v>267.95</v>
      </c>
      <c r="L87" s="60">
        <v>42.17</v>
      </c>
      <c r="M87" s="60">
        <v>76.84</v>
      </c>
      <c r="N87" s="60">
        <v>14.7</v>
      </c>
      <c r="O87" s="60">
        <v>0</v>
      </c>
      <c r="P87" s="60">
        <v>1.02</v>
      </c>
      <c r="Q87" s="60">
        <v>19.010000000000002</v>
      </c>
      <c r="R87" s="197"/>
      <c r="S87" s="197"/>
      <c r="T87" s="197"/>
      <c r="U87" s="197"/>
    </row>
    <row r="88" spans="1:26" s="12" customFormat="1" x14ac:dyDescent="0.25">
      <c r="A88" s="200" t="s">
        <v>2727</v>
      </c>
      <c r="B88" s="60">
        <v>12.88</v>
      </c>
      <c r="C88" s="60">
        <v>13.64</v>
      </c>
      <c r="D88" s="60">
        <v>26.52</v>
      </c>
      <c r="E88" s="60">
        <v>3.05</v>
      </c>
      <c r="F88" s="60">
        <v>0.1</v>
      </c>
      <c r="G88" s="60">
        <v>30.05</v>
      </c>
      <c r="H88" s="60">
        <v>19.88</v>
      </c>
      <c r="I88" s="215" t="s">
        <v>36</v>
      </c>
      <c r="J88" s="60">
        <v>0.1</v>
      </c>
      <c r="K88" s="60">
        <v>218.33</v>
      </c>
      <c r="L88" s="60">
        <v>42.5</v>
      </c>
      <c r="M88" s="60">
        <v>77.31</v>
      </c>
      <c r="N88" s="60">
        <v>14.9</v>
      </c>
      <c r="O88" s="60">
        <v>0</v>
      </c>
      <c r="P88" s="60">
        <v>1.05</v>
      </c>
      <c r="Q88" s="60">
        <v>20.420000000000002</v>
      </c>
      <c r="R88" s="197"/>
      <c r="S88" s="197"/>
      <c r="T88" s="197"/>
      <c r="U88" s="197"/>
    </row>
    <row r="89" spans="1:26" s="12" customFormat="1" x14ac:dyDescent="0.25">
      <c r="A89" s="200" t="s">
        <v>2728</v>
      </c>
      <c r="B89" s="60">
        <v>13.5</v>
      </c>
      <c r="C89" s="60">
        <v>13.25</v>
      </c>
      <c r="D89" s="60">
        <v>26.76</v>
      </c>
      <c r="E89" s="60">
        <v>5.5</v>
      </c>
      <c r="F89" s="60">
        <v>0.06</v>
      </c>
      <c r="G89" s="60">
        <v>43.12</v>
      </c>
      <c r="H89" s="60">
        <v>18.989999999999998</v>
      </c>
      <c r="I89" s="215" t="s">
        <v>36</v>
      </c>
      <c r="J89" s="60">
        <v>0.24</v>
      </c>
      <c r="K89" s="60">
        <v>222.33</v>
      </c>
      <c r="L89" s="60">
        <v>42.52</v>
      </c>
      <c r="M89" s="60">
        <v>77.17</v>
      </c>
      <c r="N89" s="60">
        <v>14.8</v>
      </c>
      <c r="O89" s="60">
        <v>0</v>
      </c>
      <c r="P89" s="60">
        <v>1.08</v>
      </c>
      <c r="Q89" s="60">
        <v>22.03</v>
      </c>
      <c r="R89" s="197"/>
      <c r="S89" s="197"/>
      <c r="T89" s="197"/>
      <c r="U89" s="197"/>
    </row>
    <row r="90" spans="1:26" s="12" customFormat="1" x14ac:dyDescent="0.25">
      <c r="A90" s="200" t="s">
        <v>2729</v>
      </c>
      <c r="B90" s="60">
        <v>13.64</v>
      </c>
      <c r="C90" s="60">
        <v>12.87</v>
      </c>
      <c r="D90" s="60">
        <v>26.51</v>
      </c>
      <c r="E90" s="60">
        <v>5.7</v>
      </c>
      <c r="F90" s="60">
        <v>0.28999999999999998</v>
      </c>
      <c r="G90" s="60">
        <v>43.12</v>
      </c>
      <c r="H90" s="60">
        <v>18.989999999999998</v>
      </c>
      <c r="I90" s="215" t="s">
        <v>36</v>
      </c>
      <c r="J90" s="60">
        <v>0.19</v>
      </c>
      <c r="K90" s="60">
        <v>211.83</v>
      </c>
      <c r="L90" s="60">
        <v>42.72</v>
      </c>
      <c r="M90" s="60">
        <v>76.680000000000007</v>
      </c>
      <c r="N90" s="60">
        <v>14.7</v>
      </c>
      <c r="O90" s="60">
        <v>0</v>
      </c>
      <c r="P90" s="60">
        <v>1.08</v>
      </c>
      <c r="Q90" s="60">
        <v>20.94</v>
      </c>
      <c r="R90" s="197"/>
      <c r="S90" s="197"/>
      <c r="T90" s="197"/>
      <c r="U90" s="197"/>
    </row>
    <row r="91" spans="1:26" s="12" customFormat="1" x14ac:dyDescent="0.25">
      <c r="A91" s="200" t="s">
        <v>2730</v>
      </c>
      <c r="B91" s="60">
        <v>13.6</v>
      </c>
      <c r="C91" s="60">
        <v>12.16</v>
      </c>
      <c r="D91" s="60">
        <v>25.76</v>
      </c>
      <c r="E91" s="60">
        <v>6.1</v>
      </c>
      <c r="F91" s="60">
        <v>0.76</v>
      </c>
      <c r="G91" s="60">
        <v>43.12</v>
      </c>
      <c r="H91" s="60">
        <v>18.989999999999998</v>
      </c>
      <c r="I91" s="215" t="s">
        <v>36</v>
      </c>
      <c r="J91" s="60">
        <v>0.08</v>
      </c>
      <c r="K91" s="60">
        <v>254.91</v>
      </c>
      <c r="L91" s="60">
        <v>42.7</v>
      </c>
      <c r="M91" s="60">
        <v>75.37</v>
      </c>
      <c r="N91" s="60">
        <v>14.9</v>
      </c>
      <c r="O91" s="60">
        <v>0</v>
      </c>
      <c r="P91" s="60">
        <v>1.07</v>
      </c>
      <c r="Q91" s="60">
        <v>16.920000000000002</v>
      </c>
      <c r="R91" s="197"/>
      <c r="S91" s="197"/>
      <c r="T91" s="197"/>
      <c r="U91" s="197"/>
    </row>
    <row r="92" spans="1:26" s="12" customFormat="1" x14ac:dyDescent="0.25">
      <c r="A92" s="200" t="s">
        <v>2731</v>
      </c>
      <c r="B92" s="60">
        <v>13.26</v>
      </c>
      <c r="C92" s="60">
        <v>12.69</v>
      </c>
      <c r="D92" s="60">
        <v>25.95</v>
      </c>
      <c r="E92" s="60">
        <v>5.7</v>
      </c>
      <c r="F92" s="60">
        <v>0.26</v>
      </c>
      <c r="G92" s="60">
        <v>36.92</v>
      </c>
      <c r="H92" s="60">
        <v>18.5</v>
      </c>
      <c r="I92" s="215" t="s">
        <v>36</v>
      </c>
      <c r="J92" s="60">
        <v>0.06</v>
      </c>
      <c r="K92" s="60">
        <v>202.05</v>
      </c>
      <c r="L92" s="60">
        <v>43.06</v>
      </c>
      <c r="M92" s="60">
        <v>75.44</v>
      </c>
      <c r="N92" s="60">
        <v>15</v>
      </c>
      <c r="O92" s="60">
        <v>0</v>
      </c>
      <c r="P92" s="60">
        <v>1.0900000000000001</v>
      </c>
      <c r="Q92" s="60">
        <v>15.29</v>
      </c>
      <c r="R92" s="197"/>
      <c r="S92" s="197"/>
      <c r="T92" s="197"/>
      <c r="U92" s="197"/>
    </row>
    <row r="93" spans="1:26" s="12" customFormat="1" x14ac:dyDescent="0.25">
      <c r="A93" s="200" t="s">
        <v>2732</v>
      </c>
      <c r="B93" s="60">
        <v>12.88</v>
      </c>
      <c r="C93" s="60">
        <v>13.44</v>
      </c>
      <c r="D93" s="60">
        <v>26.31</v>
      </c>
      <c r="E93" s="60">
        <v>5.77</v>
      </c>
      <c r="F93" s="60">
        <v>0.06</v>
      </c>
      <c r="G93" s="60">
        <v>26.72</v>
      </c>
      <c r="H93" s="60">
        <v>17.690000000000001</v>
      </c>
      <c r="I93" s="215" t="s">
        <v>36</v>
      </c>
      <c r="J93" s="60">
        <v>0.3</v>
      </c>
      <c r="K93" s="60">
        <v>195.18</v>
      </c>
      <c r="L93" s="60">
        <v>47.33</v>
      </c>
      <c r="M93" s="60">
        <v>77.760000000000005</v>
      </c>
      <c r="N93" s="60">
        <v>15</v>
      </c>
      <c r="O93" s="60">
        <v>0</v>
      </c>
      <c r="P93" s="60">
        <v>1.08</v>
      </c>
      <c r="Q93" s="60">
        <v>17.649999999999999</v>
      </c>
      <c r="R93" s="197"/>
      <c r="S93" s="197"/>
      <c r="T93" s="197"/>
      <c r="U93" s="197"/>
    </row>
    <row r="94" spans="1:26" s="12" customFormat="1" x14ac:dyDescent="0.25">
      <c r="A94" s="200" t="s">
        <v>2733</v>
      </c>
      <c r="B94" s="60">
        <v>12.72</v>
      </c>
      <c r="C94" s="60">
        <v>12.52</v>
      </c>
      <c r="D94" s="60">
        <v>25.24</v>
      </c>
      <c r="E94" s="60">
        <v>5.3</v>
      </c>
      <c r="F94" s="60">
        <v>0.25</v>
      </c>
      <c r="G94" s="60">
        <v>26.72</v>
      </c>
      <c r="H94" s="60">
        <v>17.690000000000001</v>
      </c>
      <c r="I94" s="215" t="s">
        <v>36</v>
      </c>
      <c r="J94" s="60">
        <v>0.4</v>
      </c>
      <c r="K94" s="60">
        <v>205.32</v>
      </c>
      <c r="L94" s="60">
        <v>40.909999999999997</v>
      </c>
      <c r="M94" s="60">
        <v>79.459999999999994</v>
      </c>
      <c r="N94" s="60">
        <v>15</v>
      </c>
      <c r="O94" s="60">
        <v>0</v>
      </c>
      <c r="P94" s="60">
        <v>1.07</v>
      </c>
      <c r="Q94" s="60">
        <v>15.51</v>
      </c>
      <c r="R94" s="197"/>
      <c r="S94" s="197"/>
      <c r="T94" s="197"/>
      <c r="U94" s="197"/>
    </row>
    <row r="95" spans="1:26" s="12" customFormat="1" x14ac:dyDescent="0.25">
      <c r="A95" s="200" t="s">
        <v>2734</v>
      </c>
      <c r="B95" s="60">
        <v>12.36</v>
      </c>
      <c r="C95" s="60">
        <v>13.16</v>
      </c>
      <c r="D95" s="60">
        <v>25.53</v>
      </c>
      <c r="E95" s="60">
        <v>5.79</v>
      </c>
      <c r="F95" s="60">
        <v>0.01</v>
      </c>
      <c r="G95" s="60">
        <v>26.72</v>
      </c>
      <c r="H95" s="60">
        <v>17.690000000000001</v>
      </c>
      <c r="I95" s="215" t="s">
        <v>36</v>
      </c>
      <c r="J95" s="60">
        <v>0.3</v>
      </c>
      <c r="K95" s="60">
        <v>201.52</v>
      </c>
      <c r="L95" s="60">
        <v>40.1</v>
      </c>
      <c r="M95" s="60">
        <v>81.34</v>
      </c>
      <c r="N95" s="60">
        <v>15.2</v>
      </c>
      <c r="O95" s="60">
        <v>0</v>
      </c>
      <c r="P95" s="60">
        <v>1.0900000000000001</v>
      </c>
      <c r="Q95" s="60">
        <v>16.920000000000002</v>
      </c>
      <c r="R95" s="197"/>
      <c r="S95" s="197"/>
      <c r="T95" s="197"/>
      <c r="U95" s="197"/>
    </row>
    <row r="96" spans="1:26" s="12" customFormat="1" x14ac:dyDescent="0.25">
      <c r="A96" s="200" t="s">
        <v>2735</v>
      </c>
      <c r="B96" s="60">
        <v>12.15</v>
      </c>
      <c r="C96" s="60">
        <v>12.22</v>
      </c>
      <c r="D96" s="60">
        <v>24.36</v>
      </c>
      <c r="E96" s="60">
        <v>5.48</v>
      </c>
      <c r="F96" s="60">
        <v>0.21</v>
      </c>
      <c r="G96" s="60">
        <v>33.99</v>
      </c>
      <c r="H96" s="60">
        <v>17.940000000000001</v>
      </c>
      <c r="I96" s="215" t="s">
        <v>36</v>
      </c>
      <c r="J96" s="60">
        <v>0.16</v>
      </c>
      <c r="K96" s="60">
        <v>224.33</v>
      </c>
      <c r="L96" s="60">
        <v>42.03</v>
      </c>
      <c r="M96" s="60">
        <v>82.49</v>
      </c>
      <c r="N96" s="60">
        <v>15.2</v>
      </c>
      <c r="O96" s="60">
        <v>0</v>
      </c>
      <c r="P96" s="60">
        <v>1.0900000000000001</v>
      </c>
      <c r="Q96" s="60">
        <v>15.75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2736</v>
      </c>
      <c r="B97" s="60">
        <v>11.8</v>
      </c>
      <c r="C97" s="60">
        <v>12.8</v>
      </c>
      <c r="D97" s="60">
        <v>24.6</v>
      </c>
      <c r="E97" s="60">
        <v>5.55</v>
      </c>
      <c r="F97" s="60">
        <v>0.15</v>
      </c>
      <c r="G97" s="60">
        <v>45.97</v>
      </c>
      <c r="H97" s="60">
        <v>18.36</v>
      </c>
      <c r="I97" s="215" t="s">
        <v>36</v>
      </c>
      <c r="J97" s="60">
        <v>0.13</v>
      </c>
      <c r="K97" s="60">
        <v>236.16</v>
      </c>
      <c r="L97" s="60">
        <v>48.69</v>
      </c>
      <c r="M97" s="60">
        <v>81.78</v>
      </c>
      <c r="N97" s="60">
        <v>15</v>
      </c>
      <c r="O97" s="60">
        <v>0</v>
      </c>
      <c r="P97" s="60">
        <v>1.1000000000000001</v>
      </c>
      <c r="Q97" s="60">
        <v>17.32</v>
      </c>
      <c r="R97" s="197"/>
      <c r="S97" s="197"/>
      <c r="T97" s="197"/>
      <c r="U97" s="197"/>
    </row>
    <row r="98" spans="1:33" s="12" customFormat="1" x14ac:dyDescent="0.25">
      <c r="A98" s="200" t="s">
        <v>2737</v>
      </c>
      <c r="B98" s="60">
        <v>11.48</v>
      </c>
      <c r="C98" s="60">
        <v>12.75</v>
      </c>
      <c r="D98" s="60">
        <v>24.24</v>
      </c>
      <c r="E98" s="60">
        <v>5.7</v>
      </c>
      <c r="F98" s="60">
        <v>7.0000000000000007E-2</v>
      </c>
      <c r="G98" s="60">
        <v>45.97</v>
      </c>
      <c r="H98" s="60">
        <v>18.36</v>
      </c>
      <c r="I98" s="215" t="s">
        <v>36</v>
      </c>
      <c r="J98" s="60">
        <v>0.11</v>
      </c>
      <c r="K98" s="60">
        <v>237.44</v>
      </c>
      <c r="L98" s="60">
        <v>41.09</v>
      </c>
      <c r="M98" s="60">
        <v>84.28</v>
      </c>
      <c r="N98" s="60">
        <v>15.2</v>
      </c>
      <c r="O98" s="60">
        <v>0</v>
      </c>
      <c r="P98" s="60">
        <v>1.0900000000000001</v>
      </c>
      <c r="Q98" s="60">
        <v>20.03</v>
      </c>
      <c r="R98" s="197"/>
      <c r="S98" s="197"/>
      <c r="T98" s="197"/>
      <c r="U98" s="197"/>
    </row>
    <row r="99" spans="1:33" s="12" customFormat="1" x14ac:dyDescent="0.25">
      <c r="A99" s="200" t="s">
        <v>2738</v>
      </c>
      <c r="B99" s="60">
        <v>11.37</v>
      </c>
      <c r="C99" s="60">
        <v>12.26</v>
      </c>
      <c r="D99" s="60">
        <v>23.63</v>
      </c>
      <c r="E99" s="60">
        <v>5.79</v>
      </c>
      <c r="F99" s="60">
        <v>7.0000000000000007E-2</v>
      </c>
      <c r="G99" s="60">
        <v>45.97</v>
      </c>
      <c r="H99" s="60">
        <v>18.36</v>
      </c>
      <c r="I99" s="215" t="s">
        <v>36</v>
      </c>
      <c r="J99" s="60">
        <v>0.14000000000000001</v>
      </c>
      <c r="K99" s="60">
        <v>252.04</v>
      </c>
      <c r="L99" s="60">
        <v>37.950000000000003</v>
      </c>
      <c r="M99" s="60">
        <v>85.31</v>
      </c>
      <c r="N99" s="60">
        <v>15.1</v>
      </c>
      <c r="O99" s="60">
        <v>0</v>
      </c>
      <c r="P99" s="60">
        <v>1.1100000000000001</v>
      </c>
      <c r="Q99" s="60">
        <v>21.79</v>
      </c>
      <c r="R99" s="197"/>
      <c r="S99" s="197"/>
      <c r="T99" s="197"/>
      <c r="U99" s="197"/>
    </row>
    <row r="100" spans="1:33" s="12" customFormat="1" x14ac:dyDescent="0.25">
      <c r="A100" s="200" t="s">
        <v>2739</v>
      </c>
      <c r="B100" s="60">
        <v>11.34</v>
      </c>
      <c r="C100" s="60">
        <v>11.93</v>
      </c>
      <c r="D100" s="60">
        <v>23.27</v>
      </c>
      <c r="E100" s="60">
        <v>5.68</v>
      </c>
      <c r="F100" s="60">
        <v>0.06</v>
      </c>
      <c r="G100" s="60">
        <v>45.02</v>
      </c>
      <c r="H100" s="60">
        <v>19.25</v>
      </c>
      <c r="I100" s="215" t="s">
        <v>36</v>
      </c>
      <c r="J100" s="60">
        <v>0.09</v>
      </c>
      <c r="K100" s="60">
        <v>198.76</v>
      </c>
      <c r="L100" s="60">
        <v>36.659999999999997</v>
      </c>
      <c r="M100" s="60">
        <v>85.75</v>
      </c>
      <c r="N100" s="60">
        <v>15</v>
      </c>
      <c r="O100" s="60">
        <v>0</v>
      </c>
      <c r="P100" s="60">
        <v>1.1000000000000001</v>
      </c>
      <c r="Q100" s="60">
        <v>23.46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2740</v>
      </c>
      <c r="B101" s="60">
        <v>11.35</v>
      </c>
      <c r="C101" s="60">
        <v>11.59</v>
      </c>
      <c r="D101" s="60">
        <v>22.94</v>
      </c>
      <c r="E101" s="60">
        <v>5.8</v>
      </c>
      <c r="F101" s="60">
        <v>0.05</v>
      </c>
      <c r="G101" s="60">
        <v>43.45</v>
      </c>
      <c r="H101" s="60">
        <v>20.79</v>
      </c>
      <c r="I101" s="215" t="s">
        <v>36</v>
      </c>
      <c r="J101" s="60">
        <v>0.1</v>
      </c>
      <c r="K101" s="60">
        <v>236.97</v>
      </c>
      <c r="L101" s="60">
        <v>36.71</v>
      </c>
      <c r="M101" s="60">
        <v>84.06</v>
      </c>
      <c r="N101" s="60">
        <v>14.8</v>
      </c>
      <c r="O101" s="60">
        <v>0</v>
      </c>
      <c r="P101" s="60">
        <v>1.1000000000000001</v>
      </c>
      <c r="Q101" s="60">
        <v>25.17</v>
      </c>
      <c r="R101" s="197"/>
      <c r="S101" s="197"/>
      <c r="T101" s="197"/>
      <c r="U101" s="197"/>
    </row>
    <row r="102" spans="1:33" s="12" customFormat="1" x14ac:dyDescent="0.25">
      <c r="A102" s="200" t="s">
        <v>2741</v>
      </c>
      <c r="B102" s="60">
        <v>11.37</v>
      </c>
      <c r="C102" s="60">
        <v>11.23</v>
      </c>
      <c r="D102" s="60">
        <v>22.6</v>
      </c>
      <c r="E102" s="60">
        <v>6.5</v>
      </c>
      <c r="F102" s="60">
        <v>0.05</v>
      </c>
      <c r="G102" s="60">
        <v>43.45</v>
      </c>
      <c r="H102" s="60">
        <v>20.79</v>
      </c>
      <c r="I102" s="215" t="s">
        <v>36</v>
      </c>
      <c r="J102" s="60">
        <v>0.05</v>
      </c>
      <c r="K102" s="60">
        <v>348.09</v>
      </c>
      <c r="L102" s="60">
        <v>36.659999999999997</v>
      </c>
      <c r="M102" s="60">
        <v>84.51</v>
      </c>
      <c r="N102" s="60">
        <v>15</v>
      </c>
      <c r="O102" s="60">
        <v>0</v>
      </c>
      <c r="P102" s="60">
        <v>1.0900000000000001</v>
      </c>
      <c r="Q102" s="60">
        <v>26.05</v>
      </c>
      <c r="R102" s="197"/>
      <c r="S102" s="197"/>
      <c r="T102" s="197"/>
      <c r="U102" s="197"/>
    </row>
    <row r="103" spans="1:33" s="12" customFormat="1" x14ac:dyDescent="0.25">
      <c r="A103" s="200" t="s">
        <v>2742</v>
      </c>
      <c r="B103" s="60">
        <v>11.21</v>
      </c>
      <c r="C103" s="60">
        <v>10.89</v>
      </c>
      <c r="D103" s="60">
        <v>22.1</v>
      </c>
      <c r="E103" s="60">
        <v>6.36</v>
      </c>
      <c r="F103" s="60">
        <v>0.04</v>
      </c>
      <c r="G103" s="60">
        <v>43.45</v>
      </c>
      <c r="H103" s="60">
        <v>20.79</v>
      </c>
      <c r="I103" s="215" t="s">
        <v>36</v>
      </c>
      <c r="J103" s="60">
        <v>0.13</v>
      </c>
      <c r="K103" s="60">
        <v>198.06</v>
      </c>
      <c r="L103" s="60">
        <v>36.57</v>
      </c>
      <c r="M103" s="60">
        <v>85.65</v>
      </c>
      <c r="N103" s="60">
        <v>15</v>
      </c>
      <c r="O103" s="60">
        <v>0</v>
      </c>
      <c r="P103" s="60">
        <v>1.08</v>
      </c>
      <c r="Q103" s="60">
        <v>26.64</v>
      </c>
      <c r="R103" s="197"/>
      <c r="S103" s="197"/>
      <c r="T103" s="197"/>
      <c r="U103" s="197"/>
    </row>
    <row r="104" spans="1:33" s="12" customFormat="1" x14ac:dyDescent="0.25">
      <c r="A104" s="200" t="s">
        <v>2743</v>
      </c>
      <c r="B104" s="60">
        <v>10.99</v>
      </c>
      <c r="C104" s="60">
        <v>10.23</v>
      </c>
      <c r="D104" s="60">
        <v>21.23</v>
      </c>
      <c r="E104" s="60">
        <v>1.85</v>
      </c>
      <c r="F104" s="60">
        <v>0.04</v>
      </c>
      <c r="G104" s="60">
        <v>41.9</v>
      </c>
      <c r="H104" s="60">
        <v>22.76</v>
      </c>
      <c r="I104" s="215" t="s">
        <v>36</v>
      </c>
      <c r="J104" s="60">
        <v>0.03</v>
      </c>
      <c r="K104" s="60">
        <v>247.07</v>
      </c>
      <c r="L104" s="60">
        <v>36.549999999999997</v>
      </c>
      <c r="M104" s="60">
        <v>85.88</v>
      </c>
      <c r="N104" s="60">
        <v>15</v>
      </c>
      <c r="O104" s="60">
        <v>0</v>
      </c>
      <c r="P104" s="60">
        <v>1.07</v>
      </c>
      <c r="Q104" s="60">
        <v>26.24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5" t="s">
        <v>59</v>
      </c>
      <c r="B106" s="67">
        <f>MIN(B9:B104)</f>
        <v>0.77</v>
      </c>
      <c r="C106" s="67">
        <f>MIN(C9:C104)</f>
        <v>6.77</v>
      </c>
      <c r="D106" s="67">
        <f t="shared" ref="D106:Q106" si="0">MIN(D9:D104)</f>
        <v>11.94</v>
      </c>
      <c r="E106" s="67">
        <f t="shared" si="0"/>
        <v>1.85</v>
      </c>
      <c r="F106" s="67">
        <f t="shared" si="0"/>
        <v>0.01</v>
      </c>
      <c r="G106" s="67">
        <f t="shared" si="0"/>
        <v>14.75</v>
      </c>
      <c r="H106" s="67">
        <f t="shared" si="0"/>
        <v>7.64</v>
      </c>
      <c r="I106" s="67">
        <f t="shared" si="0"/>
        <v>6.72</v>
      </c>
      <c r="J106" s="67">
        <f t="shared" si="0"/>
        <v>0.02</v>
      </c>
      <c r="K106" s="67">
        <f t="shared" si="0"/>
        <v>5.85</v>
      </c>
      <c r="L106" s="67">
        <f t="shared" si="0"/>
        <v>28.43</v>
      </c>
      <c r="M106" s="67">
        <f t="shared" si="0"/>
        <v>50.14</v>
      </c>
      <c r="N106" s="67">
        <f t="shared" si="0"/>
        <v>14.1</v>
      </c>
      <c r="O106" s="67">
        <f t="shared" si="0"/>
        <v>0</v>
      </c>
      <c r="P106" s="67">
        <f t="shared" si="0"/>
        <v>0.64</v>
      </c>
      <c r="Q106" s="67">
        <f t="shared" si="0"/>
        <v>7.93</v>
      </c>
      <c r="R106" s="198"/>
      <c r="S106" s="198"/>
      <c r="T106" s="198"/>
      <c r="U106" s="198"/>
    </row>
    <row r="107" spans="1:33" x14ac:dyDescent="0.25">
      <c r="A107" s="65" t="s">
        <v>60</v>
      </c>
      <c r="B107" s="66">
        <f>MAX(B9:B104)</f>
        <v>13.89</v>
      </c>
      <c r="C107" s="66">
        <f t="shared" ref="C107:Q107" si="1">MAX(C9:C104)</f>
        <v>17.82</v>
      </c>
      <c r="D107" s="66">
        <f t="shared" si="1"/>
        <v>29.44</v>
      </c>
      <c r="E107" s="66">
        <f t="shared" si="1"/>
        <v>7.72</v>
      </c>
      <c r="F107" s="66">
        <f t="shared" si="1"/>
        <v>1.7</v>
      </c>
      <c r="G107" s="66">
        <f t="shared" si="1"/>
        <v>45.97</v>
      </c>
      <c r="H107" s="66">
        <f t="shared" si="1"/>
        <v>27.37</v>
      </c>
      <c r="I107" s="66">
        <f t="shared" si="1"/>
        <v>14.07</v>
      </c>
      <c r="J107" s="66">
        <f t="shared" si="1"/>
        <v>1.29</v>
      </c>
      <c r="K107" s="66">
        <f t="shared" si="1"/>
        <v>353.38</v>
      </c>
      <c r="L107" s="66">
        <f t="shared" si="1"/>
        <v>48.69</v>
      </c>
      <c r="M107" s="66">
        <f t="shared" si="1"/>
        <v>99.09</v>
      </c>
      <c r="N107" s="66">
        <f t="shared" si="1"/>
        <v>1029</v>
      </c>
      <c r="O107" s="66">
        <f t="shared" si="1"/>
        <v>0</v>
      </c>
      <c r="P107" s="66">
        <f t="shared" si="1"/>
        <v>1.1100000000000001</v>
      </c>
      <c r="Q107" s="66">
        <f t="shared" si="1"/>
        <v>26.64</v>
      </c>
      <c r="R107" s="199"/>
      <c r="S107" s="199"/>
      <c r="T107" s="199"/>
      <c r="U107" s="199"/>
    </row>
    <row r="108" spans="1:33" x14ac:dyDescent="0.25">
      <c r="A108" s="65" t="s">
        <v>61</v>
      </c>
      <c r="B108" s="67">
        <f>AVERAGE(B9:B104)</f>
        <v>8.0997916666666665</v>
      </c>
      <c r="C108" s="67">
        <f t="shared" ref="C108:Q108" si="2">AVERAGE(C9:C104)</f>
        <v>12.401770833333337</v>
      </c>
      <c r="D108" s="67">
        <f t="shared" si="2"/>
        <v>20.501874999999995</v>
      </c>
      <c r="E108" s="67">
        <f t="shared" si="2"/>
        <v>5.784583333333333</v>
      </c>
      <c r="F108" s="67">
        <f t="shared" si="2"/>
        <v>0.34413043478260869</v>
      </c>
      <c r="G108" s="67">
        <f t="shared" si="2"/>
        <v>32.913124999999972</v>
      </c>
      <c r="H108" s="67">
        <f t="shared" si="2"/>
        <v>18.010104166666668</v>
      </c>
      <c r="I108" s="67">
        <f t="shared" si="2"/>
        <v>11.454482758620687</v>
      </c>
      <c r="J108" s="67">
        <f t="shared" si="2"/>
        <v>0.33239583333333322</v>
      </c>
      <c r="K108" s="67">
        <f t="shared" si="2"/>
        <v>255.86541666666676</v>
      </c>
      <c r="L108" s="67">
        <f t="shared" si="2"/>
        <v>37.754235294117635</v>
      </c>
      <c r="M108" s="67">
        <f t="shared" si="2"/>
        <v>75.361041666666665</v>
      </c>
      <c r="N108" s="67">
        <f t="shared" si="2"/>
        <v>263.60520833333345</v>
      </c>
      <c r="O108" s="67">
        <f t="shared" si="2"/>
        <v>0</v>
      </c>
      <c r="P108" s="67">
        <f t="shared" si="2"/>
        <v>0.82562499999999994</v>
      </c>
      <c r="Q108" s="67">
        <f t="shared" si="2"/>
        <v>17.808541666666674</v>
      </c>
      <c r="R108" s="198"/>
      <c r="S108" s="198"/>
      <c r="T108" s="198"/>
      <c r="U108" s="198"/>
    </row>
    <row r="109" spans="1:33" x14ac:dyDescent="0.25">
      <c r="A109" s="65" t="s">
        <v>77</v>
      </c>
      <c r="B109" s="67">
        <f>STDEV(B9:B104)</f>
        <v>4.2186727718727317</v>
      </c>
      <c r="C109" s="67">
        <f t="shared" ref="C109:Q109" si="3">STDEV(C9:C104)</f>
        <v>3.3557670688851409</v>
      </c>
      <c r="D109" s="67">
        <f t="shared" si="3"/>
        <v>5.355866888896621</v>
      </c>
      <c r="E109" s="67">
        <f t="shared" si="3"/>
        <v>1.3099473003997371</v>
      </c>
      <c r="F109" s="67">
        <f t="shared" si="3"/>
        <v>0.38058125635653511</v>
      </c>
      <c r="G109" s="67">
        <f t="shared" si="3"/>
        <v>9.2709049478804388</v>
      </c>
      <c r="H109" s="67">
        <f t="shared" si="3"/>
        <v>5.1555134503173781</v>
      </c>
      <c r="I109" s="67">
        <f t="shared" si="3"/>
        <v>1.6951283886725392</v>
      </c>
      <c r="J109" s="67">
        <f t="shared" si="3"/>
        <v>0.30344944880895103</v>
      </c>
      <c r="K109" s="67">
        <f t="shared" si="3"/>
        <v>93.635670575027618</v>
      </c>
      <c r="L109" s="67">
        <f t="shared" si="3"/>
        <v>6.7961095972816974</v>
      </c>
      <c r="M109" s="67">
        <f t="shared" si="3"/>
        <v>15.963874775594951</v>
      </c>
      <c r="N109" s="67">
        <f t="shared" si="3"/>
        <v>337.04089471372725</v>
      </c>
      <c r="O109" s="67">
        <f t="shared" si="3"/>
        <v>0</v>
      </c>
      <c r="P109" s="67">
        <f t="shared" si="3"/>
        <v>0.13804509179402744</v>
      </c>
      <c r="Q109" s="67">
        <f t="shared" si="3"/>
        <v>4.5985057021800415</v>
      </c>
      <c r="R109" s="198"/>
      <c r="S109" s="198"/>
      <c r="T109" s="198"/>
      <c r="U109" s="198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COUNT(F9:F104)+4</f>
        <v>96</v>
      </c>
      <c r="G110" s="66">
        <f t="shared" si="4"/>
        <v>96</v>
      </c>
      <c r="H110" s="66">
        <f>COUNT(H9:H104)</f>
        <v>96</v>
      </c>
      <c r="I110" s="66">
        <f>COUNT(I9:I104)+7+31</f>
        <v>96</v>
      </c>
      <c r="J110" s="66">
        <f>COUNT(J9:J104)</f>
        <v>96</v>
      </c>
      <c r="K110" s="66">
        <f t="shared" si="4"/>
        <v>96</v>
      </c>
      <c r="L110" s="66">
        <f t="shared" si="4"/>
        <v>85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9"/>
      <c r="S110" s="199"/>
      <c r="T110" s="199"/>
      <c r="U110" s="199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&lt;90%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LESS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218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60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45" sqref="G45:G6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27-08-2022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234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2744</v>
      </c>
      <c r="B9" s="60">
        <v>10.78</v>
      </c>
      <c r="C9" s="60">
        <v>9.56</v>
      </c>
      <c r="D9" s="60">
        <v>20.34</v>
      </c>
      <c r="E9" s="60">
        <v>5.17</v>
      </c>
      <c r="F9" s="60">
        <v>0.39</v>
      </c>
      <c r="G9" s="60">
        <v>39.35</v>
      </c>
      <c r="H9" s="60">
        <v>25.99</v>
      </c>
      <c r="I9" s="215" t="s">
        <v>36</v>
      </c>
      <c r="J9" s="60">
        <v>0.13</v>
      </c>
      <c r="K9" s="60">
        <v>213.96</v>
      </c>
      <c r="L9" s="60">
        <v>36.58</v>
      </c>
      <c r="M9" s="60">
        <v>85.38</v>
      </c>
      <c r="N9" s="60">
        <v>15</v>
      </c>
      <c r="O9" s="60">
        <v>0</v>
      </c>
      <c r="P9" s="60">
        <v>1.04</v>
      </c>
      <c r="Q9" s="60">
        <v>22.94</v>
      </c>
      <c r="R9" s="197"/>
      <c r="S9" s="197"/>
      <c r="T9" s="197"/>
      <c r="U9" s="197"/>
    </row>
    <row r="10" spans="1:21" s="12" customFormat="1" x14ac:dyDescent="0.25">
      <c r="A10" s="200" t="s">
        <v>2745</v>
      </c>
      <c r="B10" s="60">
        <v>10.36</v>
      </c>
      <c r="C10" s="60">
        <v>9.4</v>
      </c>
      <c r="D10" s="60">
        <v>19.760000000000002</v>
      </c>
      <c r="E10" s="60">
        <v>5.17</v>
      </c>
      <c r="F10" s="60">
        <v>0.32</v>
      </c>
      <c r="G10" s="60">
        <v>39.35</v>
      </c>
      <c r="H10" s="60">
        <v>25.99</v>
      </c>
      <c r="I10" s="215" t="s">
        <v>36</v>
      </c>
      <c r="J10" s="60">
        <v>0.06</v>
      </c>
      <c r="K10" s="60">
        <v>230.92</v>
      </c>
      <c r="L10" s="60">
        <v>36.42</v>
      </c>
      <c r="M10" s="60">
        <v>86.11</v>
      </c>
      <c r="N10" s="60">
        <v>15</v>
      </c>
      <c r="O10" s="60">
        <v>0</v>
      </c>
      <c r="P10" s="60">
        <v>1.04</v>
      </c>
      <c r="Q10" s="60">
        <v>18.850000000000001</v>
      </c>
      <c r="R10" s="197"/>
      <c r="S10" s="197"/>
      <c r="T10" s="197"/>
      <c r="U10" s="197"/>
    </row>
    <row r="11" spans="1:21" s="12" customFormat="1" x14ac:dyDescent="0.25">
      <c r="A11" s="200" t="s">
        <v>2746</v>
      </c>
      <c r="B11" s="60">
        <v>9.84</v>
      </c>
      <c r="C11" s="60">
        <v>10.51</v>
      </c>
      <c r="D11" s="60">
        <v>20.350000000000001</v>
      </c>
      <c r="E11" s="60">
        <v>5.62</v>
      </c>
      <c r="F11" s="217" t="s">
        <v>47</v>
      </c>
      <c r="G11" s="60">
        <v>39.35</v>
      </c>
      <c r="H11" s="60">
        <v>25.99</v>
      </c>
      <c r="I11" s="215" t="s">
        <v>36</v>
      </c>
      <c r="J11" s="60">
        <v>0.02</v>
      </c>
      <c r="K11" s="60">
        <v>167.49</v>
      </c>
      <c r="L11" s="60">
        <v>36.340000000000003</v>
      </c>
      <c r="M11" s="60">
        <v>85.79</v>
      </c>
      <c r="N11" s="60">
        <v>14.7</v>
      </c>
      <c r="O11" s="60">
        <v>0</v>
      </c>
      <c r="P11" s="60">
        <v>1.02</v>
      </c>
      <c r="Q11" s="60">
        <v>20.28</v>
      </c>
      <c r="R11" s="197"/>
      <c r="S11" s="197"/>
      <c r="T11" s="197"/>
      <c r="U11" s="197"/>
    </row>
    <row r="12" spans="1:21" s="12" customFormat="1" x14ac:dyDescent="0.25">
      <c r="A12" s="200" t="s">
        <v>2747</v>
      </c>
      <c r="B12" s="60">
        <v>9.56</v>
      </c>
      <c r="C12" s="60">
        <v>9.85</v>
      </c>
      <c r="D12" s="60">
        <v>19.399999999999999</v>
      </c>
      <c r="E12" s="60">
        <v>5.24</v>
      </c>
      <c r="F12" s="60">
        <v>0.11</v>
      </c>
      <c r="G12" s="60">
        <v>37.549999999999997</v>
      </c>
      <c r="H12" s="60">
        <v>23.4</v>
      </c>
      <c r="I12" s="215" t="s">
        <v>36</v>
      </c>
      <c r="J12" s="60">
        <v>0.14000000000000001</v>
      </c>
      <c r="K12" s="60">
        <v>47.55</v>
      </c>
      <c r="L12" s="60">
        <v>36.36</v>
      </c>
      <c r="M12" s="60">
        <v>84.89</v>
      </c>
      <c r="N12" s="60">
        <v>14.8</v>
      </c>
      <c r="O12" s="60">
        <v>0</v>
      </c>
      <c r="P12" s="60">
        <v>0.99</v>
      </c>
      <c r="Q12" s="60">
        <v>18.399999999999999</v>
      </c>
      <c r="R12" s="197"/>
      <c r="S12" s="197"/>
      <c r="T12" s="197"/>
      <c r="U12" s="197"/>
    </row>
    <row r="13" spans="1:21" s="12" customFormat="1" x14ac:dyDescent="0.25">
      <c r="A13" s="200" t="s">
        <v>2748</v>
      </c>
      <c r="B13" s="60">
        <v>9.1199999999999992</v>
      </c>
      <c r="C13" s="60">
        <v>10.52</v>
      </c>
      <c r="D13" s="60">
        <v>19.64</v>
      </c>
      <c r="E13" s="60">
        <v>5.28</v>
      </c>
      <c r="F13" s="60">
        <v>0.01</v>
      </c>
      <c r="G13" s="60">
        <v>34.57</v>
      </c>
      <c r="H13" s="60">
        <v>19.149999999999999</v>
      </c>
      <c r="I13" s="215" t="s">
        <v>36</v>
      </c>
      <c r="J13" s="60">
        <v>0.23</v>
      </c>
      <c r="K13" s="60">
        <v>338.1</v>
      </c>
      <c r="L13" s="60">
        <v>36.020000000000003</v>
      </c>
      <c r="M13" s="60">
        <v>86.05</v>
      </c>
      <c r="N13" s="60">
        <v>15</v>
      </c>
      <c r="O13" s="60">
        <v>0</v>
      </c>
      <c r="P13" s="60">
        <v>0.92</v>
      </c>
      <c r="Q13" s="60">
        <v>18.760000000000002</v>
      </c>
      <c r="R13" s="197"/>
      <c r="S13" s="197"/>
      <c r="T13" s="197"/>
      <c r="U13" s="197"/>
    </row>
    <row r="14" spans="1:21" s="12" customFormat="1" x14ac:dyDescent="0.25">
      <c r="A14" s="200" t="s">
        <v>2749</v>
      </c>
      <c r="B14" s="60">
        <v>8.67</v>
      </c>
      <c r="C14" s="60">
        <v>10.09</v>
      </c>
      <c r="D14" s="60">
        <v>18.77</v>
      </c>
      <c r="E14" s="60">
        <v>5.03</v>
      </c>
      <c r="F14" s="60">
        <v>0.15</v>
      </c>
      <c r="G14" s="60">
        <v>34.57</v>
      </c>
      <c r="H14" s="60">
        <v>19.149999999999999</v>
      </c>
      <c r="I14" s="215" t="s">
        <v>36</v>
      </c>
      <c r="J14" s="60">
        <v>0.27</v>
      </c>
      <c r="K14" s="60">
        <v>326.26</v>
      </c>
      <c r="L14" s="60">
        <v>35.799999999999997</v>
      </c>
      <c r="M14" s="60">
        <v>85.96</v>
      </c>
      <c r="N14" s="60">
        <v>14.9</v>
      </c>
      <c r="O14" s="60">
        <v>0</v>
      </c>
      <c r="P14" s="60">
        <v>0.95</v>
      </c>
      <c r="Q14" s="60">
        <v>16.670000000000002</v>
      </c>
      <c r="R14" s="197"/>
      <c r="S14" s="197"/>
      <c r="T14" s="197"/>
      <c r="U14" s="197"/>
    </row>
    <row r="15" spans="1:21" s="12" customFormat="1" x14ac:dyDescent="0.25">
      <c r="A15" s="200" t="s">
        <v>2750</v>
      </c>
      <c r="B15" s="60">
        <v>8.01</v>
      </c>
      <c r="C15" s="60">
        <v>10.93</v>
      </c>
      <c r="D15" s="60">
        <v>18.940000000000001</v>
      </c>
      <c r="E15" s="60">
        <v>5.46</v>
      </c>
      <c r="F15" s="60">
        <v>0.02</v>
      </c>
      <c r="G15" s="60">
        <v>34.57</v>
      </c>
      <c r="H15" s="60">
        <v>19.149999999999999</v>
      </c>
      <c r="I15" s="215" t="s">
        <v>36</v>
      </c>
      <c r="J15" s="60">
        <v>0.22</v>
      </c>
      <c r="K15" s="60">
        <v>338.92</v>
      </c>
      <c r="L15" s="60">
        <v>35.72</v>
      </c>
      <c r="M15" s="60">
        <v>85.76</v>
      </c>
      <c r="N15" s="60">
        <v>14.8</v>
      </c>
      <c r="O15" s="60">
        <v>0</v>
      </c>
      <c r="P15" s="60">
        <v>0.92</v>
      </c>
      <c r="Q15" s="60">
        <v>18.190000000000001</v>
      </c>
      <c r="R15" s="197"/>
      <c r="S15" s="197"/>
      <c r="T15" s="197"/>
      <c r="U15" s="197"/>
    </row>
    <row r="16" spans="1:21" s="12" customFormat="1" x14ac:dyDescent="0.25">
      <c r="A16" s="200" t="s">
        <v>2751</v>
      </c>
      <c r="B16" s="60">
        <v>7.58</v>
      </c>
      <c r="C16" s="60">
        <v>10.89</v>
      </c>
      <c r="D16" s="60">
        <v>18.47</v>
      </c>
      <c r="E16" s="60">
        <v>5.84</v>
      </c>
      <c r="F16" s="60">
        <v>0.08</v>
      </c>
      <c r="G16" s="60">
        <v>32.85</v>
      </c>
      <c r="H16" s="60">
        <v>18.71</v>
      </c>
      <c r="I16" s="215" t="s">
        <v>36</v>
      </c>
      <c r="J16" s="60">
        <v>0.6</v>
      </c>
      <c r="K16" s="60">
        <v>313.37</v>
      </c>
      <c r="L16" s="60">
        <v>35.58</v>
      </c>
      <c r="M16" s="60">
        <v>85.83</v>
      </c>
      <c r="N16" s="60">
        <v>14.7</v>
      </c>
      <c r="O16" s="60">
        <v>0</v>
      </c>
      <c r="P16" s="60">
        <v>0.9</v>
      </c>
      <c r="Q16" s="60">
        <v>19.149999999999999</v>
      </c>
      <c r="R16" s="197"/>
      <c r="S16" s="197"/>
      <c r="T16" s="197"/>
      <c r="U16" s="197"/>
    </row>
    <row r="17" spans="1:21" s="12" customFormat="1" x14ac:dyDescent="0.25">
      <c r="A17" s="200" t="s">
        <v>2752</v>
      </c>
      <c r="B17" s="60">
        <v>7.3</v>
      </c>
      <c r="C17" s="60">
        <v>10.59</v>
      </c>
      <c r="D17" s="60">
        <v>17.89</v>
      </c>
      <c r="E17" s="60">
        <v>5.58</v>
      </c>
      <c r="F17" s="60">
        <v>0.01</v>
      </c>
      <c r="G17" s="60">
        <v>30.02</v>
      </c>
      <c r="H17" s="60">
        <v>17.95</v>
      </c>
      <c r="I17" s="215" t="s">
        <v>36</v>
      </c>
      <c r="J17" s="60">
        <v>0.33</v>
      </c>
      <c r="K17" s="60">
        <v>311.10000000000002</v>
      </c>
      <c r="L17" s="60">
        <v>35.39</v>
      </c>
      <c r="M17" s="60">
        <v>86.22</v>
      </c>
      <c r="N17" s="60">
        <v>14.9</v>
      </c>
      <c r="O17" s="60">
        <v>0</v>
      </c>
      <c r="P17" s="60">
        <v>0.89</v>
      </c>
      <c r="Q17" s="60">
        <v>20.04</v>
      </c>
      <c r="R17" s="197"/>
      <c r="S17" s="197"/>
      <c r="T17" s="197"/>
      <c r="U17" s="197"/>
    </row>
    <row r="18" spans="1:21" s="12" customFormat="1" x14ac:dyDescent="0.25">
      <c r="A18" s="200" t="s">
        <v>2753</v>
      </c>
      <c r="B18" s="60">
        <v>7.01</v>
      </c>
      <c r="C18" s="60">
        <v>10.29</v>
      </c>
      <c r="D18" s="60">
        <v>17.309999999999999</v>
      </c>
      <c r="E18" s="60">
        <v>5.9</v>
      </c>
      <c r="F18" s="215" t="s">
        <v>36</v>
      </c>
      <c r="G18" s="60">
        <v>30.02</v>
      </c>
      <c r="H18" s="60">
        <v>17.95</v>
      </c>
      <c r="I18" s="215" t="s">
        <v>36</v>
      </c>
      <c r="J18" s="60">
        <v>0.24</v>
      </c>
      <c r="K18" s="60">
        <v>330.57</v>
      </c>
      <c r="L18" s="60">
        <v>35.340000000000003</v>
      </c>
      <c r="M18" s="60">
        <v>86.58</v>
      </c>
      <c r="N18" s="60">
        <v>14.9</v>
      </c>
      <c r="O18" s="60">
        <v>0</v>
      </c>
      <c r="P18" s="60">
        <v>0.87</v>
      </c>
      <c r="Q18" s="60">
        <v>20.079999999999998</v>
      </c>
      <c r="R18" s="197"/>
      <c r="S18" s="197"/>
      <c r="T18" s="197"/>
      <c r="U18" s="197"/>
    </row>
    <row r="19" spans="1:21" s="12" customFormat="1" x14ac:dyDescent="0.25">
      <c r="A19" s="200" t="s">
        <v>2754</v>
      </c>
      <c r="B19" s="60">
        <v>6.84</v>
      </c>
      <c r="C19" s="60">
        <v>9.9700000000000006</v>
      </c>
      <c r="D19" s="60">
        <v>16.8</v>
      </c>
      <c r="E19" s="60">
        <v>5.43</v>
      </c>
      <c r="F19" s="60">
        <v>0.05</v>
      </c>
      <c r="G19" s="60">
        <v>30.02</v>
      </c>
      <c r="H19" s="60">
        <v>17.95</v>
      </c>
      <c r="I19" s="215" t="s">
        <v>36</v>
      </c>
      <c r="J19" s="60">
        <v>0.34</v>
      </c>
      <c r="K19" s="60">
        <v>313.69</v>
      </c>
      <c r="L19" s="60">
        <v>35.15</v>
      </c>
      <c r="M19" s="60">
        <v>87.7</v>
      </c>
      <c r="N19" s="60">
        <v>14.8</v>
      </c>
      <c r="O19" s="60">
        <v>0</v>
      </c>
      <c r="P19" s="60">
        <v>0.85</v>
      </c>
      <c r="Q19" s="60">
        <v>20.41</v>
      </c>
      <c r="R19" s="197"/>
      <c r="S19" s="197"/>
      <c r="T19" s="197"/>
      <c r="U19" s="197"/>
    </row>
    <row r="20" spans="1:21" s="12" customFormat="1" x14ac:dyDescent="0.25">
      <c r="A20" s="200" t="s">
        <v>2755</v>
      </c>
      <c r="B20" s="60">
        <v>6.62</v>
      </c>
      <c r="C20" s="60">
        <v>9.7100000000000009</v>
      </c>
      <c r="D20" s="60">
        <v>16.329999999999998</v>
      </c>
      <c r="E20" s="60">
        <v>5.82</v>
      </c>
      <c r="F20" s="60">
        <v>0.05</v>
      </c>
      <c r="G20" s="60">
        <v>28.33</v>
      </c>
      <c r="H20" s="60">
        <v>16.23</v>
      </c>
      <c r="I20" s="215" t="s">
        <v>36</v>
      </c>
      <c r="J20" s="60">
        <v>0.39</v>
      </c>
      <c r="K20" s="60">
        <v>312.97000000000003</v>
      </c>
      <c r="L20" s="60">
        <v>35.049999999999997</v>
      </c>
      <c r="M20" s="60">
        <v>87.96</v>
      </c>
      <c r="N20" s="60">
        <v>14.8</v>
      </c>
      <c r="O20" s="60">
        <v>0</v>
      </c>
      <c r="P20" s="60">
        <v>0.84</v>
      </c>
      <c r="Q20" s="60">
        <v>20.399999999999999</v>
      </c>
      <c r="R20" s="197"/>
      <c r="S20" s="197"/>
      <c r="T20" s="197"/>
      <c r="U20" s="197"/>
    </row>
    <row r="21" spans="1:21" s="12" customFormat="1" x14ac:dyDescent="0.25">
      <c r="A21" s="200" t="s">
        <v>2756</v>
      </c>
      <c r="B21" s="60">
        <v>6.4</v>
      </c>
      <c r="C21" s="60">
        <v>9.81</v>
      </c>
      <c r="D21" s="60">
        <v>16.21</v>
      </c>
      <c r="E21" s="60">
        <v>6.13</v>
      </c>
      <c r="F21" s="60">
        <v>0.09</v>
      </c>
      <c r="G21" s="60">
        <v>25.55</v>
      </c>
      <c r="H21" s="60">
        <v>13.25</v>
      </c>
      <c r="I21" s="215" t="s">
        <v>36</v>
      </c>
      <c r="J21" s="60">
        <v>0.39</v>
      </c>
      <c r="K21" s="60">
        <v>310.8</v>
      </c>
      <c r="L21" s="60">
        <v>34.96</v>
      </c>
      <c r="M21" s="60">
        <v>87.66</v>
      </c>
      <c r="N21" s="60">
        <v>14.7</v>
      </c>
      <c r="O21" s="60">
        <v>0</v>
      </c>
      <c r="P21" s="60">
        <v>0.82</v>
      </c>
      <c r="Q21" s="60">
        <v>20.59</v>
      </c>
      <c r="R21" s="197"/>
      <c r="S21" s="197"/>
      <c r="T21" s="197"/>
      <c r="U21" s="197"/>
    </row>
    <row r="22" spans="1:21" s="12" customFormat="1" x14ac:dyDescent="0.25">
      <c r="A22" s="200" t="s">
        <v>2757</v>
      </c>
      <c r="B22" s="60">
        <v>6.23</v>
      </c>
      <c r="C22" s="60">
        <v>9.5</v>
      </c>
      <c r="D22" s="60">
        <v>15.73</v>
      </c>
      <c r="E22" s="60">
        <v>6.5</v>
      </c>
      <c r="F22" s="60">
        <v>0.05</v>
      </c>
      <c r="G22" s="60">
        <v>25.55</v>
      </c>
      <c r="H22" s="60">
        <v>13.25</v>
      </c>
      <c r="I22" s="215" t="s">
        <v>36</v>
      </c>
      <c r="J22" s="60">
        <v>0.35</v>
      </c>
      <c r="K22" s="60">
        <v>312.97000000000003</v>
      </c>
      <c r="L22" s="60">
        <v>34.96</v>
      </c>
      <c r="M22" s="60">
        <v>86.85</v>
      </c>
      <c r="N22" s="60">
        <v>14.8</v>
      </c>
      <c r="O22" s="60">
        <v>0</v>
      </c>
      <c r="P22" s="60">
        <v>0.81</v>
      </c>
      <c r="Q22" s="60">
        <v>20.25</v>
      </c>
      <c r="R22" s="197"/>
      <c r="S22" s="197"/>
      <c r="T22" s="197"/>
      <c r="U22" s="197"/>
    </row>
    <row r="23" spans="1:21" s="12" customFormat="1" x14ac:dyDescent="0.25">
      <c r="A23" s="200" t="s">
        <v>2758</v>
      </c>
      <c r="B23" s="60">
        <v>6.26</v>
      </c>
      <c r="C23" s="60">
        <v>9.56</v>
      </c>
      <c r="D23" s="60">
        <v>15.82</v>
      </c>
      <c r="E23" s="60">
        <v>6.05</v>
      </c>
      <c r="F23" s="60">
        <v>0.25</v>
      </c>
      <c r="G23" s="60">
        <v>25.55</v>
      </c>
      <c r="H23" s="60">
        <v>13.25</v>
      </c>
      <c r="I23" s="215" t="s">
        <v>36</v>
      </c>
      <c r="J23" s="60">
        <v>0.3</v>
      </c>
      <c r="K23" s="60">
        <v>309.26</v>
      </c>
      <c r="L23" s="60">
        <v>34.9</v>
      </c>
      <c r="M23" s="60">
        <v>87.14</v>
      </c>
      <c r="N23" s="60">
        <v>15</v>
      </c>
      <c r="O23" s="60">
        <v>0</v>
      </c>
      <c r="P23" s="60">
        <v>0.78</v>
      </c>
      <c r="Q23" s="60">
        <v>18.93</v>
      </c>
      <c r="R23" s="197"/>
      <c r="S23" s="197"/>
      <c r="T23" s="197"/>
      <c r="U23" s="197"/>
    </row>
    <row r="24" spans="1:21" s="12" customFormat="1" x14ac:dyDescent="0.25">
      <c r="A24" s="200" t="s">
        <v>2759</v>
      </c>
      <c r="B24" s="60">
        <v>6.2</v>
      </c>
      <c r="C24" s="60">
        <v>8.81</v>
      </c>
      <c r="D24" s="60">
        <v>15.01</v>
      </c>
      <c r="E24" s="60">
        <v>2.68</v>
      </c>
      <c r="F24" s="60">
        <v>0.66</v>
      </c>
      <c r="G24" s="60">
        <v>24.31</v>
      </c>
      <c r="H24" s="60">
        <v>13.25</v>
      </c>
      <c r="I24" s="215" t="s">
        <v>36</v>
      </c>
      <c r="J24" s="60">
        <v>0.47</v>
      </c>
      <c r="K24" s="60">
        <v>308</v>
      </c>
      <c r="L24" s="60">
        <v>34.78</v>
      </c>
      <c r="M24" s="60">
        <v>87.32</v>
      </c>
      <c r="N24" s="60">
        <v>14.7</v>
      </c>
      <c r="O24" s="60">
        <v>0</v>
      </c>
      <c r="P24" s="60">
        <v>0.75</v>
      </c>
      <c r="Q24" s="60">
        <v>14.55</v>
      </c>
      <c r="R24" s="197"/>
      <c r="S24" s="197"/>
      <c r="T24" s="197"/>
      <c r="U24" s="197"/>
    </row>
    <row r="25" spans="1:21" s="12" customFormat="1" x14ac:dyDescent="0.25">
      <c r="A25" s="200" t="s">
        <v>2760</v>
      </c>
      <c r="B25" s="60">
        <v>6</v>
      </c>
      <c r="C25" s="60">
        <v>9.8699999999999992</v>
      </c>
      <c r="D25" s="60">
        <v>15.87</v>
      </c>
      <c r="E25" s="60">
        <v>5.5</v>
      </c>
      <c r="F25" s="60">
        <v>0.03</v>
      </c>
      <c r="G25" s="60">
        <v>22.26</v>
      </c>
      <c r="H25" s="60">
        <v>13.25</v>
      </c>
      <c r="I25" s="215" t="s">
        <v>36</v>
      </c>
      <c r="J25" s="60">
        <v>0.5</v>
      </c>
      <c r="K25" s="60">
        <v>311.62</v>
      </c>
      <c r="L25" s="60">
        <v>34.770000000000003</v>
      </c>
      <c r="M25" s="60">
        <v>86.85</v>
      </c>
      <c r="N25" s="60">
        <v>14.6</v>
      </c>
      <c r="O25" s="60">
        <v>0</v>
      </c>
      <c r="P25" s="60">
        <v>0.76</v>
      </c>
      <c r="Q25" s="60">
        <v>13.65</v>
      </c>
      <c r="R25" s="197"/>
      <c r="S25" s="197"/>
      <c r="T25" s="197"/>
      <c r="U25" s="197"/>
    </row>
    <row r="26" spans="1:21" s="12" customFormat="1" x14ac:dyDescent="0.25">
      <c r="A26" s="200" t="s">
        <v>2761</v>
      </c>
      <c r="B26" s="60">
        <v>5.92</v>
      </c>
      <c r="C26" s="60">
        <v>9.8800000000000008</v>
      </c>
      <c r="D26" s="60">
        <v>15.79</v>
      </c>
      <c r="E26" s="60">
        <v>5.5</v>
      </c>
      <c r="F26" s="60">
        <v>0.17</v>
      </c>
      <c r="G26" s="60">
        <v>22.26</v>
      </c>
      <c r="H26" s="60">
        <v>13.25</v>
      </c>
      <c r="I26" s="215" t="s">
        <v>36</v>
      </c>
      <c r="J26" s="60">
        <v>0.2</v>
      </c>
      <c r="K26" s="60">
        <v>291.33</v>
      </c>
      <c r="L26" s="60">
        <v>34.71</v>
      </c>
      <c r="M26" s="60">
        <v>86.91</v>
      </c>
      <c r="N26" s="60">
        <v>15</v>
      </c>
      <c r="O26" s="60">
        <v>0</v>
      </c>
      <c r="P26" s="60">
        <v>0.71</v>
      </c>
      <c r="Q26" s="60">
        <v>14.13</v>
      </c>
      <c r="R26" s="197"/>
      <c r="S26" s="197"/>
      <c r="T26" s="197"/>
      <c r="U26" s="197"/>
    </row>
    <row r="27" spans="1:21" s="12" customFormat="1" x14ac:dyDescent="0.25">
      <c r="A27" s="200" t="s">
        <v>2762</v>
      </c>
      <c r="B27" s="60">
        <v>5.66</v>
      </c>
      <c r="C27" s="60">
        <v>9.93</v>
      </c>
      <c r="D27" s="60">
        <v>15.59</v>
      </c>
      <c r="E27" s="60">
        <v>5.9</v>
      </c>
      <c r="F27" s="60">
        <v>7.0000000000000007E-2</v>
      </c>
      <c r="G27" s="60">
        <v>22.26</v>
      </c>
      <c r="H27" s="60">
        <v>13.25</v>
      </c>
      <c r="I27" s="215" t="s">
        <v>36</v>
      </c>
      <c r="J27" s="60">
        <v>7.0000000000000007E-2</v>
      </c>
      <c r="K27" s="60">
        <v>350.44</v>
      </c>
      <c r="L27" s="60">
        <v>34.9</v>
      </c>
      <c r="M27" s="60">
        <v>86.86</v>
      </c>
      <c r="N27" s="60">
        <v>14.9</v>
      </c>
      <c r="O27" s="60">
        <v>0</v>
      </c>
      <c r="P27" s="60">
        <v>0.71</v>
      </c>
      <c r="Q27" s="60">
        <v>12.82</v>
      </c>
      <c r="R27" s="197"/>
      <c r="S27" s="197"/>
      <c r="T27" s="197"/>
      <c r="U27" s="197"/>
    </row>
    <row r="28" spans="1:21" s="12" customFormat="1" x14ac:dyDescent="0.25">
      <c r="A28" s="200" t="s">
        <v>2763</v>
      </c>
      <c r="B28" s="60">
        <v>5.56</v>
      </c>
      <c r="C28" s="60">
        <v>9.8800000000000008</v>
      </c>
      <c r="D28" s="60">
        <v>15.44</v>
      </c>
      <c r="E28" s="60">
        <v>5.67</v>
      </c>
      <c r="F28" s="60">
        <v>0.09</v>
      </c>
      <c r="G28" s="60">
        <v>23.66</v>
      </c>
      <c r="H28" s="60">
        <v>13.18</v>
      </c>
      <c r="I28" s="215" t="s">
        <v>36</v>
      </c>
      <c r="J28" s="60">
        <v>0.09</v>
      </c>
      <c r="K28" s="60">
        <v>215.01</v>
      </c>
      <c r="L28" s="60">
        <v>34.82</v>
      </c>
      <c r="M28" s="60">
        <v>88.27</v>
      </c>
      <c r="N28" s="60">
        <v>14.7</v>
      </c>
      <c r="O28" s="60">
        <v>0</v>
      </c>
      <c r="P28" s="60">
        <v>0.68</v>
      </c>
      <c r="Q28" s="60">
        <v>13.66</v>
      </c>
      <c r="R28" s="197"/>
      <c r="S28" s="197"/>
      <c r="T28" s="197"/>
      <c r="U28" s="197"/>
    </row>
    <row r="29" spans="1:21" s="12" customFormat="1" x14ac:dyDescent="0.25">
      <c r="A29" s="200" t="s">
        <v>2764</v>
      </c>
      <c r="B29" s="60">
        <v>5.42</v>
      </c>
      <c r="C29" s="60">
        <v>9.93</v>
      </c>
      <c r="D29" s="60">
        <v>15.36</v>
      </c>
      <c r="E29" s="60">
        <v>5.82</v>
      </c>
      <c r="F29" s="60">
        <v>0.03</v>
      </c>
      <c r="G29" s="60">
        <v>25.95</v>
      </c>
      <c r="H29" s="60">
        <v>13.06</v>
      </c>
      <c r="I29" s="215" t="s">
        <v>36</v>
      </c>
      <c r="J29" s="60">
        <v>0.23</v>
      </c>
      <c r="K29" s="60">
        <v>219.66</v>
      </c>
      <c r="L29" s="60">
        <v>34.58</v>
      </c>
      <c r="M29" s="60">
        <v>90.43</v>
      </c>
      <c r="N29" s="60">
        <v>14.8</v>
      </c>
      <c r="O29" s="60">
        <v>0</v>
      </c>
      <c r="P29" s="60">
        <v>0.69</v>
      </c>
      <c r="Q29" s="60">
        <v>13.06</v>
      </c>
      <c r="R29" s="197"/>
      <c r="S29" s="197"/>
      <c r="T29" s="197"/>
      <c r="U29" s="197"/>
    </row>
    <row r="30" spans="1:21" s="12" customFormat="1" x14ac:dyDescent="0.25">
      <c r="A30" s="200" t="s">
        <v>2765</v>
      </c>
      <c r="B30" s="60">
        <v>5.35</v>
      </c>
      <c r="C30" s="60">
        <v>9.8699999999999992</v>
      </c>
      <c r="D30" s="60">
        <v>15.21</v>
      </c>
      <c r="E30" s="60">
        <v>5.98</v>
      </c>
      <c r="F30" s="215" t="s">
        <v>36</v>
      </c>
      <c r="G30" s="60">
        <v>25.95</v>
      </c>
      <c r="H30" s="60">
        <v>13.06</v>
      </c>
      <c r="I30" s="215" t="s">
        <v>36</v>
      </c>
      <c r="J30" s="60">
        <v>0.19</v>
      </c>
      <c r="K30" s="60">
        <v>223.13</v>
      </c>
      <c r="L30" s="60">
        <v>34.6</v>
      </c>
      <c r="M30" s="60">
        <v>90.73</v>
      </c>
      <c r="N30" s="60">
        <v>14.8</v>
      </c>
      <c r="O30" s="60">
        <v>0</v>
      </c>
      <c r="P30" s="60">
        <v>0.64</v>
      </c>
      <c r="Q30" s="60">
        <v>16.53</v>
      </c>
      <c r="R30" s="197"/>
      <c r="S30" s="197"/>
      <c r="T30" s="197"/>
      <c r="U30" s="197"/>
    </row>
    <row r="31" spans="1:21" s="12" customFormat="1" x14ac:dyDescent="0.25">
      <c r="A31" s="200" t="s">
        <v>2766</v>
      </c>
      <c r="B31" s="60">
        <v>5.42</v>
      </c>
      <c r="C31" s="60">
        <v>9.77</v>
      </c>
      <c r="D31" s="60">
        <v>15.19</v>
      </c>
      <c r="E31" s="60">
        <v>6.18</v>
      </c>
      <c r="F31" s="60">
        <v>0.02</v>
      </c>
      <c r="G31" s="60">
        <v>25.95</v>
      </c>
      <c r="H31" s="60">
        <v>13.06</v>
      </c>
      <c r="I31" s="215" t="s">
        <v>36</v>
      </c>
      <c r="J31" s="60">
        <v>0.02</v>
      </c>
      <c r="K31" s="60">
        <v>275.91000000000003</v>
      </c>
      <c r="L31" s="60">
        <v>34.49</v>
      </c>
      <c r="M31" s="60">
        <v>90.95</v>
      </c>
      <c r="N31" s="60">
        <v>16.5</v>
      </c>
      <c r="O31" s="60">
        <v>0</v>
      </c>
      <c r="P31" s="60">
        <v>0.64</v>
      </c>
      <c r="Q31" s="60">
        <v>18.309999999999999</v>
      </c>
      <c r="R31" s="197"/>
      <c r="S31" s="197"/>
      <c r="T31" s="197"/>
      <c r="U31" s="197"/>
    </row>
    <row r="32" spans="1:21" s="12" customFormat="1" x14ac:dyDescent="0.25">
      <c r="A32" s="200" t="s">
        <v>2767</v>
      </c>
      <c r="B32" s="60">
        <v>5.85</v>
      </c>
      <c r="C32" s="60">
        <v>9.59</v>
      </c>
      <c r="D32" s="60">
        <v>15.45</v>
      </c>
      <c r="E32" s="60">
        <v>6.2</v>
      </c>
      <c r="F32" s="60">
        <v>0.04</v>
      </c>
      <c r="G32" s="60">
        <v>26.42</v>
      </c>
      <c r="H32" s="60">
        <v>12.75</v>
      </c>
      <c r="I32" s="215" t="s">
        <v>36</v>
      </c>
      <c r="J32" s="60">
        <v>0.15</v>
      </c>
      <c r="K32" s="60">
        <v>312.79000000000002</v>
      </c>
      <c r="L32" s="60">
        <v>34.340000000000003</v>
      </c>
      <c r="M32" s="60">
        <v>91.74</v>
      </c>
      <c r="N32" s="60">
        <v>24.6</v>
      </c>
      <c r="O32" s="60">
        <v>0</v>
      </c>
      <c r="P32" s="60">
        <v>0.65</v>
      </c>
      <c r="Q32" s="60">
        <v>19.89</v>
      </c>
      <c r="R32" s="197"/>
      <c r="S32" s="197"/>
      <c r="T32" s="197"/>
      <c r="U32" s="197"/>
    </row>
    <row r="33" spans="1:21" s="12" customFormat="1" x14ac:dyDescent="0.25">
      <c r="A33" s="200" t="s">
        <v>2768</v>
      </c>
      <c r="B33" s="60">
        <v>6.41</v>
      </c>
      <c r="C33" s="60">
        <v>9.41</v>
      </c>
      <c r="D33" s="60">
        <v>15.81</v>
      </c>
      <c r="E33" s="60">
        <v>6.5</v>
      </c>
      <c r="F33" s="60">
        <v>0.01</v>
      </c>
      <c r="G33" s="60">
        <v>27.23</v>
      </c>
      <c r="H33" s="60">
        <v>12.2</v>
      </c>
      <c r="I33" s="215" t="s">
        <v>36</v>
      </c>
      <c r="J33" s="60">
        <v>0.19</v>
      </c>
      <c r="K33" s="60">
        <v>328.85</v>
      </c>
      <c r="L33" s="60">
        <v>34.700000000000003</v>
      </c>
      <c r="M33" s="60">
        <v>88.99</v>
      </c>
      <c r="N33" s="60">
        <v>43.4</v>
      </c>
      <c r="O33" s="60">
        <v>0</v>
      </c>
      <c r="P33" s="60">
        <v>0.65</v>
      </c>
      <c r="Q33" s="60">
        <v>21.31</v>
      </c>
      <c r="R33" s="197"/>
      <c r="S33" s="197"/>
      <c r="T33" s="197"/>
      <c r="U33" s="197"/>
    </row>
    <row r="34" spans="1:21" s="12" customFormat="1" x14ac:dyDescent="0.25">
      <c r="A34" s="200" t="s">
        <v>2769</v>
      </c>
      <c r="B34" s="60">
        <v>7.14</v>
      </c>
      <c r="C34" s="60">
        <v>9.44</v>
      </c>
      <c r="D34" s="60">
        <v>16.579999999999998</v>
      </c>
      <c r="E34" s="60">
        <v>6.52</v>
      </c>
      <c r="F34" s="60">
        <v>0.06</v>
      </c>
      <c r="G34" s="60">
        <v>27.23</v>
      </c>
      <c r="H34" s="60">
        <v>12.2</v>
      </c>
      <c r="I34" s="215" t="s">
        <v>36</v>
      </c>
      <c r="J34" s="60">
        <v>0.16</v>
      </c>
      <c r="K34" s="60">
        <v>342.1</v>
      </c>
      <c r="L34" s="60">
        <v>35.700000000000003</v>
      </c>
      <c r="M34" s="60">
        <v>84.14</v>
      </c>
      <c r="N34" s="60">
        <v>76.099999999999994</v>
      </c>
      <c r="O34" s="60">
        <v>0</v>
      </c>
      <c r="P34" s="60">
        <v>0.65</v>
      </c>
      <c r="Q34" s="60">
        <v>22.09</v>
      </c>
      <c r="R34" s="197"/>
      <c r="S34" s="197"/>
      <c r="T34" s="197"/>
      <c r="U34" s="197"/>
    </row>
    <row r="35" spans="1:21" s="12" customFormat="1" x14ac:dyDescent="0.25">
      <c r="A35" s="200" t="s">
        <v>2770</v>
      </c>
      <c r="B35" s="60">
        <v>7.74</v>
      </c>
      <c r="C35" s="60">
        <v>9.59</v>
      </c>
      <c r="D35" s="60">
        <v>17.329999999999998</v>
      </c>
      <c r="E35" s="60">
        <v>6.3</v>
      </c>
      <c r="F35" s="60">
        <v>0.04</v>
      </c>
      <c r="G35" s="60">
        <v>27.23</v>
      </c>
      <c r="H35" s="60">
        <v>12.2</v>
      </c>
      <c r="I35" s="215" t="s">
        <v>36</v>
      </c>
      <c r="J35" s="60">
        <v>0.31</v>
      </c>
      <c r="K35" s="60">
        <v>315.95</v>
      </c>
      <c r="L35" s="60">
        <v>36.89</v>
      </c>
      <c r="M35" s="60">
        <v>79.319999999999993</v>
      </c>
      <c r="N35" s="60">
        <v>117.7</v>
      </c>
      <c r="O35" s="60">
        <v>0</v>
      </c>
      <c r="P35" s="60">
        <v>0.67</v>
      </c>
      <c r="Q35" s="60">
        <v>22.73</v>
      </c>
      <c r="R35" s="197"/>
      <c r="S35" s="197"/>
      <c r="T35" s="197"/>
      <c r="U35" s="197"/>
    </row>
    <row r="36" spans="1:21" s="12" customFormat="1" x14ac:dyDescent="0.25">
      <c r="A36" s="200" t="s">
        <v>2771</v>
      </c>
      <c r="B36" s="60">
        <v>8.31</v>
      </c>
      <c r="C36" s="60">
        <v>9.8699999999999992</v>
      </c>
      <c r="D36" s="60">
        <v>18.18</v>
      </c>
      <c r="E36" s="60">
        <v>6.84</v>
      </c>
      <c r="F36" s="60">
        <v>0.02</v>
      </c>
      <c r="G36" s="60">
        <v>28.09</v>
      </c>
      <c r="H36" s="60">
        <v>14.1</v>
      </c>
      <c r="I36" s="215" t="s">
        <v>36</v>
      </c>
      <c r="J36" s="60">
        <v>0.2</v>
      </c>
      <c r="K36" s="60">
        <v>331.62</v>
      </c>
      <c r="L36" s="60">
        <v>38.090000000000003</v>
      </c>
      <c r="M36" s="60">
        <v>75.37</v>
      </c>
      <c r="N36" s="60">
        <v>143.80000000000001</v>
      </c>
      <c r="O36" s="60">
        <v>0</v>
      </c>
      <c r="P36" s="60">
        <v>0.68</v>
      </c>
      <c r="Q36" s="60">
        <v>23.22</v>
      </c>
      <c r="R36" s="197"/>
      <c r="S36" s="197"/>
      <c r="T36" s="197"/>
      <c r="U36" s="197"/>
    </row>
    <row r="37" spans="1:21" s="12" customFormat="1" x14ac:dyDescent="0.25">
      <c r="A37" s="200" t="s">
        <v>2772</v>
      </c>
      <c r="B37" s="60">
        <v>8.6999999999999993</v>
      </c>
      <c r="C37" s="60">
        <v>10.54</v>
      </c>
      <c r="D37" s="60">
        <v>19.239999999999998</v>
      </c>
      <c r="E37" s="60">
        <v>7.08</v>
      </c>
      <c r="F37" s="60">
        <v>0.05</v>
      </c>
      <c r="G37" s="60">
        <v>29.51</v>
      </c>
      <c r="H37" s="60">
        <v>17.38</v>
      </c>
      <c r="I37" s="215" t="s">
        <v>36</v>
      </c>
      <c r="J37" s="60">
        <v>0.42</v>
      </c>
      <c r="K37" s="60">
        <v>311.67</v>
      </c>
      <c r="L37" s="60">
        <v>38.950000000000003</v>
      </c>
      <c r="M37" s="60">
        <v>72.75</v>
      </c>
      <c r="N37" s="60">
        <v>171.1</v>
      </c>
      <c r="O37" s="60">
        <v>0</v>
      </c>
      <c r="P37" s="60">
        <v>0.66</v>
      </c>
      <c r="Q37" s="60">
        <v>24.02</v>
      </c>
      <c r="R37" s="197"/>
      <c r="S37" s="197"/>
      <c r="T37" s="197"/>
      <c r="U37" s="197"/>
    </row>
    <row r="38" spans="1:21" s="12" customFormat="1" x14ac:dyDescent="0.25">
      <c r="A38" s="200" t="s">
        <v>2773</v>
      </c>
      <c r="B38" s="60">
        <v>9.35</v>
      </c>
      <c r="C38" s="60">
        <v>10.039999999999999</v>
      </c>
      <c r="D38" s="60">
        <v>19.399999999999999</v>
      </c>
      <c r="E38" s="60">
        <v>6.97</v>
      </c>
      <c r="F38" s="60">
        <v>0.68</v>
      </c>
      <c r="G38" s="60">
        <v>29.51</v>
      </c>
      <c r="H38" s="60">
        <v>17.38</v>
      </c>
      <c r="I38" s="215" t="s">
        <v>36</v>
      </c>
      <c r="J38" s="60">
        <v>0.43</v>
      </c>
      <c r="K38" s="60">
        <v>319.64</v>
      </c>
      <c r="L38" s="60">
        <v>39.96</v>
      </c>
      <c r="M38" s="60">
        <v>69.56</v>
      </c>
      <c r="N38" s="60">
        <v>287.10000000000002</v>
      </c>
      <c r="O38" s="60">
        <v>0</v>
      </c>
      <c r="P38" s="60">
        <v>0.69</v>
      </c>
      <c r="Q38" s="60">
        <v>20.98</v>
      </c>
      <c r="R38" s="197"/>
      <c r="S38" s="197"/>
      <c r="T38" s="197"/>
      <c r="U38" s="197"/>
    </row>
    <row r="39" spans="1:21" s="12" customFormat="1" x14ac:dyDescent="0.25">
      <c r="A39" s="200" t="s">
        <v>2774</v>
      </c>
      <c r="B39" s="60">
        <v>9.6999999999999993</v>
      </c>
      <c r="C39" s="60">
        <v>10.61</v>
      </c>
      <c r="D39" s="60">
        <v>20.309999999999999</v>
      </c>
      <c r="E39" s="60">
        <v>6.77</v>
      </c>
      <c r="F39" s="60">
        <v>0.37</v>
      </c>
      <c r="G39" s="60">
        <v>29.51</v>
      </c>
      <c r="H39" s="60">
        <v>17.38</v>
      </c>
      <c r="I39" s="215" t="s">
        <v>36</v>
      </c>
      <c r="J39" s="60">
        <v>0.44</v>
      </c>
      <c r="K39" s="60">
        <v>320.29000000000002</v>
      </c>
      <c r="L39" s="60">
        <v>41.4</v>
      </c>
      <c r="M39" s="60">
        <v>65.58</v>
      </c>
      <c r="N39" s="60">
        <v>347.8</v>
      </c>
      <c r="O39" s="60">
        <v>0</v>
      </c>
      <c r="P39" s="60">
        <v>0.71</v>
      </c>
      <c r="Q39" s="60">
        <v>17.52</v>
      </c>
      <c r="R39" s="197"/>
      <c r="S39" s="197"/>
      <c r="T39" s="197"/>
      <c r="U39" s="197"/>
    </row>
    <row r="40" spans="1:21" s="12" customFormat="1" x14ac:dyDescent="0.25">
      <c r="A40" s="200" t="s">
        <v>2775</v>
      </c>
      <c r="B40" s="60">
        <v>9.7799999999999994</v>
      </c>
      <c r="C40" s="60">
        <v>11.83</v>
      </c>
      <c r="D40" s="60">
        <v>21.61</v>
      </c>
      <c r="E40" s="60">
        <v>3.37</v>
      </c>
      <c r="F40" s="60">
        <v>0.11</v>
      </c>
      <c r="G40" s="60">
        <v>31.46</v>
      </c>
      <c r="H40" s="60">
        <v>20.36</v>
      </c>
      <c r="I40" s="215" t="s">
        <v>36</v>
      </c>
      <c r="J40" s="60">
        <v>0.36</v>
      </c>
      <c r="K40" s="60">
        <v>328.02</v>
      </c>
      <c r="L40" s="60">
        <v>42.19</v>
      </c>
      <c r="M40" s="60">
        <v>62.83</v>
      </c>
      <c r="N40" s="60">
        <v>402.2</v>
      </c>
      <c r="O40" s="60">
        <v>0</v>
      </c>
      <c r="P40" s="60">
        <v>0.72</v>
      </c>
      <c r="Q40" s="60">
        <v>18.440000000000001</v>
      </c>
      <c r="R40" s="197"/>
      <c r="S40" s="197"/>
      <c r="T40" s="197"/>
      <c r="U40" s="197"/>
    </row>
    <row r="41" spans="1:21" s="12" customFormat="1" x14ac:dyDescent="0.25">
      <c r="A41" s="200" t="s">
        <v>2776</v>
      </c>
      <c r="B41" s="60">
        <v>9.4</v>
      </c>
      <c r="C41" s="60">
        <v>12.39</v>
      </c>
      <c r="D41" s="60">
        <v>21.78</v>
      </c>
      <c r="E41" s="60">
        <v>6.39</v>
      </c>
      <c r="F41" s="60">
        <v>0.15</v>
      </c>
      <c r="G41" s="60">
        <v>34.67</v>
      </c>
      <c r="H41" s="60">
        <v>25.49</v>
      </c>
      <c r="I41" s="215" t="s">
        <v>36</v>
      </c>
      <c r="J41" s="60">
        <v>0.42</v>
      </c>
      <c r="K41" s="60">
        <v>318.2</v>
      </c>
      <c r="L41" s="60">
        <v>42.84</v>
      </c>
      <c r="M41" s="60">
        <v>61.47</v>
      </c>
      <c r="N41" s="60">
        <v>460.9</v>
      </c>
      <c r="O41" s="60">
        <v>0</v>
      </c>
      <c r="P41" s="60">
        <v>0.73</v>
      </c>
      <c r="Q41" s="60">
        <v>16.670000000000002</v>
      </c>
      <c r="R41" s="197"/>
      <c r="S41" s="197"/>
      <c r="T41" s="197"/>
      <c r="U41" s="197"/>
    </row>
    <row r="42" spans="1:21" s="12" customFormat="1" x14ac:dyDescent="0.25">
      <c r="A42" s="200" t="s">
        <v>2777</v>
      </c>
      <c r="B42" s="60">
        <v>9.4600000000000009</v>
      </c>
      <c r="C42" s="60">
        <v>13.17</v>
      </c>
      <c r="D42" s="60">
        <v>22.62</v>
      </c>
      <c r="E42" s="60">
        <v>6.38</v>
      </c>
      <c r="F42" s="60">
        <v>0.39</v>
      </c>
      <c r="G42" s="60">
        <v>34.67</v>
      </c>
      <c r="H42" s="60">
        <v>25.49</v>
      </c>
      <c r="I42" s="215" t="s">
        <v>36</v>
      </c>
      <c r="J42" s="60">
        <v>0.39</v>
      </c>
      <c r="K42" s="60">
        <v>325.24</v>
      </c>
      <c r="L42" s="60">
        <v>43.9</v>
      </c>
      <c r="M42" s="60">
        <v>58.64</v>
      </c>
      <c r="N42" s="60">
        <v>515.1</v>
      </c>
      <c r="O42" s="60">
        <v>0</v>
      </c>
      <c r="P42" s="60">
        <v>0.71</v>
      </c>
      <c r="Q42" s="60">
        <v>16.41</v>
      </c>
      <c r="R42" s="197"/>
      <c r="S42" s="197"/>
      <c r="T42" s="197"/>
      <c r="U42" s="197"/>
    </row>
    <row r="43" spans="1:21" s="12" customFormat="1" x14ac:dyDescent="0.25">
      <c r="A43" s="200" t="s">
        <v>2778</v>
      </c>
      <c r="B43" s="60">
        <v>9.02</v>
      </c>
      <c r="C43" s="60">
        <v>13.49</v>
      </c>
      <c r="D43" s="60">
        <v>22.51</v>
      </c>
      <c r="E43" s="60">
        <v>6.48</v>
      </c>
      <c r="F43" s="60">
        <v>0.48</v>
      </c>
      <c r="G43" s="60">
        <v>34.67</v>
      </c>
      <c r="H43" s="60">
        <v>25.49</v>
      </c>
      <c r="I43" s="215" t="s">
        <v>36</v>
      </c>
      <c r="J43" s="60">
        <v>0.28999999999999998</v>
      </c>
      <c r="K43" s="60">
        <v>336.55</v>
      </c>
      <c r="L43" s="60">
        <v>43.24</v>
      </c>
      <c r="M43" s="60">
        <v>60.24</v>
      </c>
      <c r="N43" s="60">
        <v>571.79999999999995</v>
      </c>
      <c r="O43" s="60">
        <v>0</v>
      </c>
      <c r="P43" s="60">
        <v>0.71</v>
      </c>
      <c r="Q43" s="60">
        <v>13.21</v>
      </c>
      <c r="R43" s="197"/>
      <c r="S43" s="197"/>
      <c r="T43" s="197"/>
      <c r="U43" s="197"/>
    </row>
    <row r="44" spans="1:21" s="12" customFormat="1" x14ac:dyDescent="0.25">
      <c r="A44" s="200" t="s">
        <v>2779</v>
      </c>
      <c r="B44" s="60">
        <v>8.07</v>
      </c>
      <c r="C44" s="60">
        <v>15.09</v>
      </c>
      <c r="D44" s="60">
        <v>23.16</v>
      </c>
      <c r="E44" s="60">
        <v>6.39</v>
      </c>
      <c r="F44" s="60">
        <v>0.05</v>
      </c>
      <c r="G44" s="60">
        <v>38.119999999999997</v>
      </c>
      <c r="H44" s="60">
        <v>33.29</v>
      </c>
      <c r="I44" s="215" t="s">
        <v>36</v>
      </c>
      <c r="J44" s="60">
        <v>0.3</v>
      </c>
      <c r="K44" s="60">
        <v>341.32</v>
      </c>
      <c r="L44" s="60">
        <v>44.49</v>
      </c>
      <c r="M44" s="60">
        <v>56.91</v>
      </c>
      <c r="N44" s="60">
        <v>619.6</v>
      </c>
      <c r="O44" s="60">
        <v>0</v>
      </c>
      <c r="P44" s="60">
        <v>0.72</v>
      </c>
      <c r="Q44" s="60">
        <v>15.96</v>
      </c>
      <c r="R44" s="197"/>
      <c r="S44" s="197"/>
      <c r="T44" s="197"/>
      <c r="U44" s="197"/>
    </row>
    <row r="45" spans="1:21" s="12" customFormat="1" x14ac:dyDescent="0.25">
      <c r="A45" s="200" t="s">
        <v>2780</v>
      </c>
      <c r="B45" s="60">
        <v>7.58</v>
      </c>
      <c r="C45" s="60">
        <v>15.68</v>
      </c>
      <c r="D45" s="60">
        <v>23.25</v>
      </c>
      <c r="E45" s="60">
        <v>6.67</v>
      </c>
      <c r="F45" s="60">
        <v>0.14000000000000001</v>
      </c>
      <c r="G45" s="10" t="s">
        <v>43</v>
      </c>
      <c r="H45" s="60">
        <v>46.77</v>
      </c>
      <c r="I45" s="215" t="s">
        <v>36</v>
      </c>
      <c r="J45" s="60">
        <v>0.13</v>
      </c>
      <c r="K45" s="60">
        <v>356.18</v>
      </c>
      <c r="L45" s="60">
        <v>42.95</v>
      </c>
      <c r="M45" s="60">
        <v>61.99</v>
      </c>
      <c r="N45" s="60">
        <v>657.3</v>
      </c>
      <c r="O45" s="60">
        <v>0</v>
      </c>
      <c r="P45" s="60">
        <v>0.72</v>
      </c>
      <c r="Q45" s="60">
        <v>16.43</v>
      </c>
      <c r="R45" s="197"/>
      <c r="S45" s="197"/>
      <c r="T45" s="197"/>
      <c r="U45" s="197"/>
    </row>
    <row r="46" spans="1:21" s="12" customFormat="1" x14ac:dyDescent="0.25">
      <c r="A46" s="200" t="s">
        <v>2781</v>
      </c>
      <c r="B46" s="60">
        <v>7.05</v>
      </c>
      <c r="C46" s="60">
        <v>15.9</v>
      </c>
      <c r="D46" s="60">
        <v>22.95</v>
      </c>
      <c r="E46" s="60">
        <v>6.47</v>
      </c>
      <c r="F46" s="60">
        <v>0.25</v>
      </c>
      <c r="G46" s="10" t="s">
        <v>43</v>
      </c>
      <c r="H46" s="60">
        <v>46.77</v>
      </c>
      <c r="I46" s="215" t="s">
        <v>36</v>
      </c>
      <c r="J46" s="60">
        <v>0.31</v>
      </c>
      <c r="K46" s="60">
        <v>314.23</v>
      </c>
      <c r="L46" s="60">
        <v>44.33</v>
      </c>
      <c r="M46" s="60">
        <v>62.37</v>
      </c>
      <c r="N46" s="60">
        <v>669.2</v>
      </c>
      <c r="O46" s="60">
        <v>0</v>
      </c>
      <c r="P46" s="60">
        <v>0.71</v>
      </c>
      <c r="Q46" s="60">
        <v>15.7</v>
      </c>
      <c r="R46" s="197"/>
      <c r="S46" s="197"/>
      <c r="T46" s="197"/>
      <c r="U46" s="197"/>
    </row>
    <row r="47" spans="1:21" s="12" customFormat="1" x14ac:dyDescent="0.25">
      <c r="A47" s="200" t="s">
        <v>2782</v>
      </c>
      <c r="B47" s="60">
        <v>6.75</v>
      </c>
      <c r="C47" s="60">
        <v>15.7</v>
      </c>
      <c r="D47" s="60">
        <v>22.45</v>
      </c>
      <c r="E47" s="60">
        <v>6.36</v>
      </c>
      <c r="F47" s="60">
        <v>0.5</v>
      </c>
      <c r="G47" s="10" t="s">
        <v>43</v>
      </c>
      <c r="H47" s="60">
        <v>46.77</v>
      </c>
      <c r="I47" s="215" t="s">
        <v>36</v>
      </c>
      <c r="J47" s="60">
        <v>0.65</v>
      </c>
      <c r="K47" s="60">
        <v>324.42</v>
      </c>
      <c r="L47" s="10" t="s">
        <v>43</v>
      </c>
      <c r="M47" s="60">
        <v>56.23</v>
      </c>
      <c r="N47" s="60">
        <v>755.5</v>
      </c>
      <c r="O47" s="60">
        <v>0</v>
      </c>
      <c r="P47" s="60">
        <v>0.71</v>
      </c>
      <c r="Q47" s="60">
        <v>15.72</v>
      </c>
      <c r="R47" s="197"/>
      <c r="S47" s="197"/>
      <c r="T47" s="197"/>
      <c r="U47" s="197"/>
    </row>
    <row r="48" spans="1:21" s="12" customFormat="1" x14ac:dyDescent="0.25">
      <c r="A48" s="200" t="s">
        <v>2783</v>
      </c>
      <c r="B48" s="60">
        <v>6.29</v>
      </c>
      <c r="C48" s="60">
        <v>16.260000000000002</v>
      </c>
      <c r="D48" s="60">
        <v>22.55</v>
      </c>
      <c r="E48" s="60">
        <v>5.9</v>
      </c>
      <c r="F48" s="60">
        <v>0.26</v>
      </c>
      <c r="G48" s="10" t="s">
        <v>43</v>
      </c>
      <c r="H48" s="60">
        <v>47.68</v>
      </c>
      <c r="I48" s="215" t="s">
        <v>36</v>
      </c>
      <c r="J48" s="60">
        <v>0.33</v>
      </c>
      <c r="K48" s="60">
        <v>326.58</v>
      </c>
      <c r="L48" s="10" t="s">
        <v>43</v>
      </c>
      <c r="M48" s="60">
        <v>58.15</v>
      </c>
      <c r="N48" s="60">
        <v>770.8</v>
      </c>
      <c r="O48" s="60">
        <v>0</v>
      </c>
      <c r="P48" s="60">
        <v>0.72</v>
      </c>
      <c r="Q48" s="60">
        <v>15.5</v>
      </c>
      <c r="R48" s="197"/>
      <c r="S48" s="197"/>
      <c r="T48" s="197"/>
      <c r="U48" s="197"/>
    </row>
    <row r="49" spans="1:21" s="12" customFormat="1" x14ac:dyDescent="0.25">
      <c r="A49" s="200" t="s">
        <v>2784</v>
      </c>
      <c r="B49" s="60">
        <v>6.01</v>
      </c>
      <c r="C49" s="60">
        <v>16.260000000000002</v>
      </c>
      <c r="D49" s="60">
        <v>22.27</v>
      </c>
      <c r="E49" s="60">
        <v>6.22</v>
      </c>
      <c r="F49" s="60">
        <v>0.45</v>
      </c>
      <c r="G49" s="10" t="s">
        <v>43</v>
      </c>
      <c r="H49" s="60">
        <v>49.25</v>
      </c>
      <c r="I49" s="215" t="s">
        <v>36</v>
      </c>
      <c r="J49" s="60">
        <v>1.04</v>
      </c>
      <c r="K49" s="60">
        <v>335.77</v>
      </c>
      <c r="L49" s="10" t="s">
        <v>43</v>
      </c>
      <c r="M49" s="60">
        <v>53.19</v>
      </c>
      <c r="N49" s="60">
        <v>630.29999999999995</v>
      </c>
      <c r="O49" s="60">
        <v>0</v>
      </c>
      <c r="P49" s="60">
        <v>0.73</v>
      </c>
      <c r="Q49" s="60">
        <v>14.96</v>
      </c>
      <c r="R49" s="197"/>
      <c r="S49" s="197"/>
      <c r="T49" s="197"/>
      <c r="U49" s="197"/>
    </row>
    <row r="50" spans="1:21" s="12" customFormat="1" x14ac:dyDescent="0.25">
      <c r="A50" s="200" t="s">
        <v>2785</v>
      </c>
      <c r="B50" s="60">
        <v>6.34</v>
      </c>
      <c r="C50" s="60">
        <v>16.47</v>
      </c>
      <c r="D50" s="60">
        <v>22.8</v>
      </c>
      <c r="E50" s="60">
        <v>6.19</v>
      </c>
      <c r="F50" s="60">
        <v>0.52</v>
      </c>
      <c r="G50" s="10" t="s">
        <v>43</v>
      </c>
      <c r="H50" s="60">
        <v>49.25</v>
      </c>
      <c r="I50" s="215" t="s">
        <v>36</v>
      </c>
      <c r="J50" s="60">
        <v>0.56000000000000005</v>
      </c>
      <c r="K50" s="60">
        <v>341.15</v>
      </c>
      <c r="L50" s="10" t="s">
        <v>43</v>
      </c>
      <c r="M50" s="60">
        <v>56.31</v>
      </c>
      <c r="N50" s="60">
        <v>660.4</v>
      </c>
      <c r="O50" s="60">
        <v>0</v>
      </c>
      <c r="P50" s="60">
        <v>0.74</v>
      </c>
      <c r="Q50" s="60">
        <v>16.2</v>
      </c>
      <c r="R50" s="197"/>
      <c r="S50" s="197"/>
      <c r="T50" s="197"/>
      <c r="U50" s="197"/>
    </row>
    <row r="51" spans="1:21" s="12" customFormat="1" x14ac:dyDescent="0.25">
      <c r="A51" s="200" t="s">
        <v>2786</v>
      </c>
      <c r="B51" s="60">
        <v>6.47</v>
      </c>
      <c r="C51" s="60">
        <v>16.7</v>
      </c>
      <c r="D51" s="60">
        <v>23.16</v>
      </c>
      <c r="E51" s="60">
        <v>6.13</v>
      </c>
      <c r="F51" s="60">
        <v>0.31</v>
      </c>
      <c r="G51" s="10" t="s">
        <v>43</v>
      </c>
      <c r="H51" s="60">
        <v>49.25</v>
      </c>
      <c r="I51" s="215" t="s">
        <v>36</v>
      </c>
      <c r="J51" s="60">
        <v>0.76</v>
      </c>
      <c r="K51" s="60">
        <v>318.08999999999997</v>
      </c>
      <c r="L51" s="10" t="s">
        <v>43</v>
      </c>
      <c r="M51" s="60">
        <v>57.39</v>
      </c>
      <c r="N51" s="60">
        <v>537.1</v>
      </c>
      <c r="O51" s="60">
        <v>0</v>
      </c>
      <c r="P51" s="60">
        <v>0.76</v>
      </c>
      <c r="Q51" s="60">
        <v>17.03</v>
      </c>
      <c r="R51" s="197"/>
      <c r="S51" s="197"/>
      <c r="T51" s="197"/>
      <c r="U51" s="197"/>
    </row>
    <row r="52" spans="1:21" s="12" customFormat="1" x14ac:dyDescent="0.25">
      <c r="A52" s="200" t="s">
        <v>2787</v>
      </c>
      <c r="B52" s="60">
        <v>6.39</v>
      </c>
      <c r="C52" s="60">
        <v>16.760000000000002</v>
      </c>
      <c r="D52" s="60">
        <v>23.15</v>
      </c>
      <c r="E52" s="60">
        <v>6.24</v>
      </c>
      <c r="F52" s="60">
        <v>0.56000000000000005</v>
      </c>
      <c r="G52" s="10" t="s">
        <v>43</v>
      </c>
      <c r="H52" s="60">
        <v>47</v>
      </c>
      <c r="I52" s="215" t="s">
        <v>36</v>
      </c>
      <c r="J52" s="60">
        <v>0.85</v>
      </c>
      <c r="K52" s="60">
        <v>319.56</v>
      </c>
      <c r="L52" s="10" t="s">
        <v>43</v>
      </c>
      <c r="M52" s="60">
        <v>55.32</v>
      </c>
      <c r="N52" s="60">
        <v>785.5</v>
      </c>
      <c r="O52" s="60">
        <v>0</v>
      </c>
      <c r="P52" s="60">
        <v>0.77</v>
      </c>
      <c r="Q52" s="60">
        <v>17.190000000000001</v>
      </c>
      <c r="R52" s="197"/>
      <c r="S52" s="197"/>
      <c r="T52" s="197"/>
      <c r="U52" s="197"/>
    </row>
    <row r="53" spans="1:21" s="12" customFormat="1" x14ac:dyDescent="0.25">
      <c r="A53" s="200" t="s">
        <v>2788</v>
      </c>
      <c r="B53" s="60">
        <v>6.25</v>
      </c>
      <c r="C53" s="60">
        <v>16.670000000000002</v>
      </c>
      <c r="D53" s="60">
        <v>22.92</v>
      </c>
      <c r="E53" s="60">
        <v>5.88</v>
      </c>
      <c r="F53" s="60">
        <v>1.04</v>
      </c>
      <c r="G53" s="10" t="s">
        <v>43</v>
      </c>
      <c r="H53" s="60">
        <v>43.12</v>
      </c>
      <c r="I53" s="215" t="s">
        <v>36</v>
      </c>
      <c r="J53" s="60">
        <v>0.5</v>
      </c>
      <c r="K53" s="60">
        <v>319.89</v>
      </c>
      <c r="L53" s="10" t="s">
        <v>43</v>
      </c>
      <c r="M53" s="60">
        <v>51.69</v>
      </c>
      <c r="N53" s="60">
        <v>884.3</v>
      </c>
      <c r="O53" s="60">
        <v>0</v>
      </c>
      <c r="P53" s="60">
        <v>0.79</v>
      </c>
      <c r="Q53" s="60">
        <v>14.11</v>
      </c>
      <c r="R53" s="197"/>
      <c r="S53" s="197"/>
      <c r="T53" s="197"/>
      <c r="U53" s="197"/>
    </row>
    <row r="54" spans="1:21" s="12" customFormat="1" x14ac:dyDescent="0.25">
      <c r="A54" s="200" t="s">
        <v>2789</v>
      </c>
      <c r="B54" s="60">
        <v>5.78</v>
      </c>
      <c r="C54" s="60">
        <v>17.21</v>
      </c>
      <c r="D54" s="60">
        <v>22.99</v>
      </c>
      <c r="E54" s="60">
        <v>5.87</v>
      </c>
      <c r="F54" s="60">
        <v>0.8</v>
      </c>
      <c r="G54" s="10" t="s">
        <v>43</v>
      </c>
      <c r="H54" s="60">
        <v>43.12</v>
      </c>
      <c r="I54" s="215" t="s">
        <v>36</v>
      </c>
      <c r="J54" s="60">
        <v>0.16</v>
      </c>
      <c r="K54" s="60">
        <v>288</v>
      </c>
      <c r="L54" s="10" t="s">
        <v>43</v>
      </c>
      <c r="M54" s="60">
        <v>55.25</v>
      </c>
      <c r="N54" s="60">
        <v>609.29999999999995</v>
      </c>
      <c r="O54" s="60">
        <v>0</v>
      </c>
      <c r="P54" s="60">
        <v>0.8</v>
      </c>
      <c r="Q54" s="60">
        <v>11.07</v>
      </c>
      <c r="R54" s="197"/>
      <c r="S54" s="197"/>
      <c r="T54" s="197"/>
      <c r="U54" s="197"/>
    </row>
    <row r="55" spans="1:21" s="12" customFormat="1" x14ac:dyDescent="0.25">
      <c r="A55" s="200" t="s">
        <v>2790</v>
      </c>
      <c r="B55" s="60">
        <v>5.0199999999999996</v>
      </c>
      <c r="C55" s="60">
        <v>17.73</v>
      </c>
      <c r="D55" s="60">
        <v>22.75</v>
      </c>
      <c r="E55" s="60">
        <v>5.95</v>
      </c>
      <c r="F55" s="60">
        <v>0.56999999999999995</v>
      </c>
      <c r="G55" s="10" t="s">
        <v>43</v>
      </c>
      <c r="H55" s="60">
        <v>43.12</v>
      </c>
      <c r="I55" s="215" t="s">
        <v>36</v>
      </c>
      <c r="J55" s="60">
        <v>0.28000000000000003</v>
      </c>
      <c r="K55" s="60">
        <v>322.23</v>
      </c>
      <c r="L55" s="10" t="s">
        <v>43</v>
      </c>
      <c r="M55" s="60">
        <v>59.25</v>
      </c>
      <c r="N55" s="60">
        <v>845.9</v>
      </c>
      <c r="O55" s="60">
        <v>0</v>
      </c>
      <c r="P55" s="60">
        <v>0.79</v>
      </c>
      <c r="Q55" s="60">
        <v>11.29</v>
      </c>
      <c r="R55" s="197"/>
      <c r="S55" s="197"/>
      <c r="T55" s="197"/>
      <c r="U55" s="197"/>
    </row>
    <row r="56" spans="1:21" s="12" customFormat="1" x14ac:dyDescent="0.25">
      <c r="A56" s="200" t="s">
        <v>2791</v>
      </c>
      <c r="B56" s="60">
        <v>4.37</v>
      </c>
      <c r="C56" s="60">
        <v>17.2</v>
      </c>
      <c r="D56" s="60">
        <v>21.57</v>
      </c>
      <c r="E56" s="60">
        <v>3.19</v>
      </c>
      <c r="F56" s="60">
        <v>0.95</v>
      </c>
      <c r="G56" s="10" t="s">
        <v>43</v>
      </c>
      <c r="H56" s="60">
        <v>42.15</v>
      </c>
      <c r="I56" s="215" t="s">
        <v>36</v>
      </c>
      <c r="J56" s="60">
        <v>0.59</v>
      </c>
      <c r="K56" s="60">
        <v>320.79000000000002</v>
      </c>
      <c r="L56" s="10" t="s">
        <v>43</v>
      </c>
      <c r="M56" s="60">
        <v>54.56</v>
      </c>
      <c r="N56" s="60">
        <v>756.4</v>
      </c>
      <c r="O56" s="60">
        <v>0</v>
      </c>
      <c r="P56" s="60">
        <v>0.78</v>
      </c>
      <c r="Q56" s="60">
        <v>9.35</v>
      </c>
      <c r="R56" s="197"/>
      <c r="S56" s="197"/>
      <c r="T56" s="197"/>
      <c r="U56" s="197"/>
    </row>
    <row r="57" spans="1:21" s="12" customFormat="1" x14ac:dyDescent="0.25">
      <c r="A57" s="200" t="s">
        <v>2792</v>
      </c>
      <c r="B57" s="60">
        <v>3.74</v>
      </c>
      <c r="C57" s="60">
        <v>17.18</v>
      </c>
      <c r="D57" s="60">
        <v>20.92</v>
      </c>
      <c r="E57" s="60">
        <v>5.28</v>
      </c>
      <c r="F57" s="60">
        <v>1.31</v>
      </c>
      <c r="G57" s="10" t="s">
        <v>43</v>
      </c>
      <c r="H57" s="60">
        <v>40.49</v>
      </c>
      <c r="I57" s="215" t="s">
        <v>36</v>
      </c>
      <c r="J57" s="60">
        <v>0.59</v>
      </c>
      <c r="K57" s="60">
        <v>319.93</v>
      </c>
      <c r="L57" s="10" t="s">
        <v>43</v>
      </c>
      <c r="M57" s="60">
        <v>53.4</v>
      </c>
      <c r="N57" s="60">
        <v>970.3</v>
      </c>
      <c r="O57" s="60">
        <v>0</v>
      </c>
      <c r="P57" s="60">
        <v>0.78</v>
      </c>
      <c r="Q57" s="60">
        <v>6.73</v>
      </c>
      <c r="R57" s="197"/>
      <c r="S57" s="197"/>
      <c r="T57" s="197"/>
      <c r="U57" s="197"/>
    </row>
    <row r="58" spans="1:21" s="12" customFormat="1" x14ac:dyDescent="0.25">
      <c r="A58" s="200" t="s">
        <v>2793</v>
      </c>
      <c r="B58" s="60">
        <v>3.16</v>
      </c>
      <c r="C58" s="60">
        <v>17.95</v>
      </c>
      <c r="D58" s="60">
        <v>21.11</v>
      </c>
      <c r="E58" s="60">
        <v>4.91</v>
      </c>
      <c r="F58" s="60">
        <v>0.49</v>
      </c>
      <c r="G58" s="10" t="s">
        <v>43</v>
      </c>
      <c r="H58" s="60">
        <v>40.49</v>
      </c>
      <c r="I58" s="215" t="s">
        <v>36</v>
      </c>
      <c r="J58" s="60">
        <v>0.01</v>
      </c>
      <c r="K58" s="60">
        <v>290.12</v>
      </c>
      <c r="L58" s="10" t="s">
        <v>43</v>
      </c>
      <c r="M58" s="60">
        <v>57.06</v>
      </c>
      <c r="N58" s="60">
        <v>795.2</v>
      </c>
      <c r="O58" s="60">
        <v>0</v>
      </c>
      <c r="P58" s="60">
        <v>0.79</v>
      </c>
      <c r="Q58" s="60">
        <v>7.65</v>
      </c>
      <c r="R58" s="197"/>
      <c r="S58" s="197"/>
      <c r="T58" s="197"/>
      <c r="U58" s="197"/>
    </row>
    <row r="59" spans="1:21" s="12" customFormat="1" x14ac:dyDescent="0.25">
      <c r="A59" s="200" t="s">
        <v>2794</v>
      </c>
      <c r="B59" s="60">
        <v>2.4</v>
      </c>
      <c r="C59" s="60">
        <v>18.11</v>
      </c>
      <c r="D59" s="60">
        <v>20.52</v>
      </c>
      <c r="E59" s="60">
        <v>5.48</v>
      </c>
      <c r="F59" s="60">
        <v>1</v>
      </c>
      <c r="G59" s="10" t="s">
        <v>43</v>
      </c>
      <c r="H59" s="60">
        <v>40.49</v>
      </c>
      <c r="I59" s="215" t="s">
        <v>36</v>
      </c>
      <c r="J59" s="60">
        <v>0.23</v>
      </c>
      <c r="K59" s="60">
        <v>210.61</v>
      </c>
      <c r="L59" s="10" t="s">
        <v>43</v>
      </c>
      <c r="M59" s="60">
        <v>59.35</v>
      </c>
      <c r="N59" s="60">
        <v>783.5</v>
      </c>
      <c r="O59" s="60">
        <v>0</v>
      </c>
      <c r="P59" s="60">
        <v>0.78</v>
      </c>
      <c r="Q59" s="60">
        <v>10.01</v>
      </c>
      <c r="R59" s="197"/>
      <c r="S59" s="197"/>
      <c r="T59" s="197"/>
      <c r="U59" s="197"/>
    </row>
    <row r="60" spans="1:21" s="12" customFormat="1" x14ac:dyDescent="0.25">
      <c r="A60" s="200" t="s">
        <v>2795</v>
      </c>
      <c r="B60" s="60">
        <v>1.6</v>
      </c>
      <c r="C60" s="60">
        <v>17.3</v>
      </c>
      <c r="D60" s="60">
        <v>18.91</v>
      </c>
      <c r="E60" s="60">
        <v>5.14</v>
      </c>
      <c r="F60" s="60">
        <v>0.97</v>
      </c>
      <c r="G60" s="10" t="s">
        <v>43</v>
      </c>
      <c r="H60" s="60">
        <v>38.76</v>
      </c>
      <c r="I60" s="215" t="s">
        <v>36</v>
      </c>
      <c r="J60" s="60">
        <v>0.05</v>
      </c>
      <c r="K60" s="60">
        <v>306.61</v>
      </c>
      <c r="L60" s="10" t="s">
        <v>43</v>
      </c>
      <c r="M60" s="60">
        <v>58.39</v>
      </c>
      <c r="N60" s="60">
        <v>960.5</v>
      </c>
      <c r="O60" s="60">
        <v>0</v>
      </c>
      <c r="P60" s="60">
        <v>0.78</v>
      </c>
      <c r="Q60" s="60">
        <v>9.67</v>
      </c>
      <c r="R60" s="197"/>
      <c r="S60" s="197"/>
      <c r="T60" s="197"/>
      <c r="U60" s="197"/>
    </row>
    <row r="61" spans="1:21" s="12" customFormat="1" x14ac:dyDescent="0.25">
      <c r="A61" s="200" t="s">
        <v>2796</v>
      </c>
      <c r="B61" s="60">
        <v>1.37</v>
      </c>
      <c r="C61" s="60">
        <v>16.86</v>
      </c>
      <c r="D61" s="60">
        <v>18.23</v>
      </c>
      <c r="E61" s="60">
        <v>4.8899999999999997</v>
      </c>
      <c r="F61" s="60">
        <v>0.93</v>
      </c>
      <c r="G61" s="60">
        <v>41.39</v>
      </c>
      <c r="H61" s="60">
        <v>35.79</v>
      </c>
      <c r="I61" s="215" t="s">
        <v>36</v>
      </c>
      <c r="J61" s="60">
        <v>0.19</v>
      </c>
      <c r="K61" s="60">
        <v>331.92</v>
      </c>
      <c r="L61" s="10" t="s">
        <v>43</v>
      </c>
      <c r="M61" s="60">
        <v>55.93</v>
      </c>
      <c r="N61" s="60">
        <v>758.6</v>
      </c>
      <c r="O61" s="60">
        <v>0</v>
      </c>
      <c r="P61" s="60">
        <v>0.66</v>
      </c>
      <c r="Q61" s="60">
        <v>11.58</v>
      </c>
      <c r="R61" s="197"/>
      <c r="S61" s="197"/>
      <c r="T61" s="197"/>
      <c r="U61" s="197"/>
    </row>
    <row r="62" spans="1:21" s="12" customFormat="1" x14ac:dyDescent="0.25">
      <c r="A62" s="200" t="s">
        <v>2797</v>
      </c>
      <c r="B62" s="60">
        <v>1.39</v>
      </c>
      <c r="C62" s="60">
        <v>16.489999999999998</v>
      </c>
      <c r="D62" s="60">
        <v>17.88</v>
      </c>
      <c r="E62" s="60">
        <v>5.73</v>
      </c>
      <c r="F62" s="60">
        <v>1</v>
      </c>
      <c r="G62" s="60">
        <v>41.39</v>
      </c>
      <c r="H62" s="60">
        <v>35.79</v>
      </c>
      <c r="I62" s="215" t="s">
        <v>36</v>
      </c>
      <c r="J62" s="60">
        <v>0.15</v>
      </c>
      <c r="K62" s="60">
        <v>329.57</v>
      </c>
      <c r="L62" s="10" t="s">
        <v>43</v>
      </c>
      <c r="M62" s="60">
        <v>54.22</v>
      </c>
      <c r="N62" s="60">
        <v>797.8</v>
      </c>
      <c r="O62" s="60">
        <v>0</v>
      </c>
      <c r="P62" s="60">
        <v>0.71</v>
      </c>
      <c r="Q62" s="60">
        <v>10.49</v>
      </c>
      <c r="R62" s="197"/>
      <c r="S62" s="197"/>
      <c r="T62" s="197"/>
      <c r="U62" s="197"/>
    </row>
    <row r="63" spans="1:21" s="12" customFormat="1" x14ac:dyDescent="0.25">
      <c r="A63" s="200" t="s">
        <v>2798</v>
      </c>
      <c r="B63" s="60">
        <v>1.42</v>
      </c>
      <c r="C63" s="60">
        <v>16.829999999999998</v>
      </c>
      <c r="D63" s="60">
        <v>18.260000000000002</v>
      </c>
      <c r="E63" s="60">
        <v>4.97</v>
      </c>
      <c r="F63" s="60">
        <v>0.92</v>
      </c>
      <c r="G63" s="60">
        <v>41.39</v>
      </c>
      <c r="H63" s="60">
        <v>35.79</v>
      </c>
      <c r="I63" s="215" t="s">
        <v>36</v>
      </c>
      <c r="J63" s="60">
        <v>0.28999999999999998</v>
      </c>
      <c r="K63" s="60">
        <v>324.02999999999997</v>
      </c>
      <c r="L63" s="10" t="s">
        <v>43</v>
      </c>
      <c r="M63" s="60">
        <v>53.68</v>
      </c>
      <c r="N63" s="60">
        <v>495.6</v>
      </c>
      <c r="O63" s="60">
        <v>0</v>
      </c>
      <c r="P63" s="60">
        <v>0.71</v>
      </c>
      <c r="Q63" s="60">
        <v>12.05</v>
      </c>
      <c r="R63" s="197"/>
      <c r="S63" s="197"/>
      <c r="T63" s="197"/>
      <c r="U63" s="197"/>
    </row>
    <row r="64" spans="1:21" s="12" customFormat="1" x14ac:dyDescent="0.25">
      <c r="A64" s="200" t="s">
        <v>2799</v>
      </c>
      <c r="B64" s="60">
        <v>1.52</v>
      </c>
      <c r="C64" s="60">
        <v>16.489999999999998</v>
      </c>
      <c r="D64" s="60">
        <v>18</v>
      </c>
      <c r="E64" s="60">
        <v>5.43</v>
      </c>
      <c r="F64" s="60">
        <v>1.1499999999999999</v>
      </c>
      <c r="G64" s="60">
        <v>40.67</v>
      </c>
      <c r="H64" s="60">
        <v>34.61</v>
      </c>
      <c r="I64" s="215" t="s">
        <v>36</v>
      </c>
      <c r="J64" s="60">
        <v>0.2</v>
      </c>
      <c r="K64" s="60">
        <v>338.18</v>
      </c>
      <c r="L64" s="10" t="s">
        <v>43</v>
      </c>
      <c r="M64" s="60">
        <v>53.98</v>
      </c>
      <c r="N64" s="60">
        <v>582.70000000000005</v>
      </c>
      <c r="O64" s="60">
        <v>0</v>
      </c>
      <c r="P64" s="60">
        <v>0.71</v>
      </c>
      <c r="Q64" s="60">
        <v>10.93</v>
      </c>
      <c r="R64" s="197"/>
      <c r="S64" s="197"/>
      <c r="T64" s="197"/>
      <c r="U64" s="197"/>
    </row>
    <row r="65" spans="1:21" s="12" customFormat="1" x14ac:dyDescent="0.25">
      <c r="A65" s="200" t="s">
        <v>2800</v>
      </c>
      <c r="B65" s="60">
        <v>1.36</v>
      </c>
      <c r="C65" s="60">
        <v>16.96</v>
      </c>
      <c r="D65" s="60">
        <v>18.32</v>
      </c>
      <c r="E65" s="60">
        <v>5.3</v>
      </c>
      <c r="F65" s="60">
        <v>0.82</v>
      </c>
      <c r="G65" s="60">
        <v>39.479999999999997</v>
      </c>
      <c r="H65" s="60">
        <v>32.659999999999997</v>
      </c>
      <c r="I65" s="215" t="s">
        <v>36</v>
      </c>
      <c r="J65" s="60">
        <v>0.27</v>
      </c>
      <c r="K65" s="60">
        <v>186.04</v>
      </c>
      <c r="L65" s="10" t="s">
        <v>43</v>
      </c>
      <c r="M65" s="60">
        <v>58.9</v>
      </c>
      <c r="N65" s="60">
        <v>548.20000000000005</v>
      </c>
      <c r="O65" s="60">
        <v>0</v>
      </c>
      <c r="P65" s="60">
        <v>0.71</v>
      </c>
      <c r="Q65" s="60">
        <v>12.99</v>
      </c>
      <c r="R65" s="197"/>
      <c r="S65" s="197"/>
      <c r="T65" s="197"/>
      <c r="U65" s="197"/>
    </row>
    <row r="66" spans="1:21" s="12" customFormat="1" x14ac:dyDescent="0.25">
      <c r="A66" s="200" t="s">
        <v>2801</v>
      </c>
      <c r="B66" s="60">
        <v>0.99</v>
      </c>
      <c r="C66" s="60">
        <v>15.8</v>
      </c>
      <c r="D66" s="60">
        <v>16.8</v>
      </c>
      <c r="E66" s="60">
        <v>5.4</v>
      </c>
      <c r="F66" s="60">
        <v>1.38</v>
      </c>
      <c r="G66" s="60">
        <v>39.479999999999997</v>
      </c>
      <c r="H66" s="60">
        <v>32.659999999999997</v>
      </c>
      <c r="I66" s="215" t="s">
        <v>36</v>
      </c>
      <c r="J66" s="60">
        <v>0.21</v>
      </c>
      <c r="K66" s="60">
        <v>144.86000000000001</v>
      </c>
      <c r="L66" s="10" t="s">
        <v>43</v>
      </c>
      <c r="M66" s="60">
        <v>60.9</v>
      </c>
      <c r="N66" s="60">
        <v>462.8</v>
      </c>
      <c r="O66" s="60">
        <v>0</v>
      </c>
      <c r="P66" s="60">
        <v>0.69</v>
      </c>
      <c r="Q66" s="60">
        <v>11.9</v>
      </c>
      <c r="R66" s="197"/>
      <c r="S66" s="197"/>
      <c r="T66" s="197"/>
      <c r="U66" s="197"/>
    </row>
    <row r="67" spans="1:21" s="12" customFormat="1" x14ac:dyDescent="0.25">
      <c r="A67" s="200" t="s">
        <v>2802</v>
      </c>
      <c r="B67" s="60">
        <v>0.7</v>
      </c>
      <c r="C67" s="60">
        <v>15.06</v>
      </c>
      <c r="D67" s="60">
        <v>15.76</v>
      </c>
      <c r="E67" s="60">
        <v>5.25</v>
      </c>
      <c r="F67" s="60">
        <v>1.71</v>
      </c>
      <c r="G67" s="60">
        <v>39.479999999999997</v>
      </c>
      <c r="H67" s="60">
        <v>32.659999999999997</v>
      </c>
      <c r="I67" s="215" t="s">
        <v>36</v>
      </c>
      <c r="J67" s="60">
        <v>0.17</v>
      </c>
      <c r="K67" s="60">
        <v>174.16</v>
      </c>
      <c r="L67" s="10" t="s">
        <v>43</v>
      </c>
      <c r="M67" s="60">
        <v>58.51</v>
      </c>
      <c r="N67" s="60">
        <v>741.1</v>
      </c>
      <c r="O67" s="60">
        <v>0</v>
      </c>
      <c r="P67" s="60">
        <v>0.68</v>
      </c>
      <c r="Q67" s="60">
        <v>10.029999999999999</v>
      </c>
      <c r="R67" s="197"/>
      <c r="S67" s="197"/>
      <c r="T67" s="197"/>
      <c r="U67" s="197"/>
    </row>
    <row r="68" spans="1:21" s="12" customFormat="1" x14ac:dyDescent="0.25">
      <c r="A68" s="200" t="s">
        <v>2803</v>
      </c>
      <c r="B68" s="60">
        <v>0.43</v>
      </c>
      <c r="C68" s="60">
        <v>14.15</v>
      </c>
      <c r="D68" s="60">
        <v>14.59</v>
      </c>
      <c r="E68" s="60">
        <v>5.01</v>
      </c>
      <c r="F68" s="60">
        <v>1.9</v>
      </c>
      <c r="G68" s="60">
        <v>36.17</v>
      </c>
      <c r="H68" s="60">
        <v>30.42</v>
      </c>
      <c r="I68" s="215" t="s">
        <v>36</v>
      </c>
      <c r="J68" s="60">
        <v>0.25</v>
      </c>
      <c r="K68" s="60">
        <v>183.06</v>
      </c>
      <c r="L68" s="10" t="s">
        <v>43</v>
      </c>
      <c r="M68" s="60">
        <v>58.97</v>
      </c>
      <c r="N68" s="60">
        <v>594.20000000000005</v>
      </c>
      <c r="O68" s="60">
        <v>0</v>
      </c>
      <c r="P68" s="60">
        <v>0.68</v>
      </c>
      <c r="Q68" s="60">
        <v>7.6</v>
      </c>
      <c r="R68" s="197"/>
      <c r="S68" s="197"/>
      <c r="T68" s="197"/>
      <c r="U68" s="197"/>
    </row>
    <row r="69" spans="1:21" s="12" customFormat="1" x14ac:dyDescent="0.25">
      <c r="A69" s="200" t="s">
        <v>2804</v>
      </c>
      <c r="B69" s="60">
        <v>0.31</v>
      </c>
      <c r="C69" s="60">
        <v>13.46</v>
      </c>
      <c r="D69" s="60">
        <v>13.77</v>
      </c>
      <c r="E69" s="60">
        <v>5.21</v>
      </c>
      <c r="F69" s="60">
        <v>2.0099999999999998</v>
      </c>
      <c r="G69" s="60">
        <v>30.72</v>
      </c>
      <c r="H69" s="60">
        <v>26.55</v>
      </c>
      <c r="I69" s="215" t="s">
        <v>36</v>
      </c>
      <c r="J69" s="60">
        <v>0.22</v>
      </c>
      <c r="K69" s="60">
        <v>214.57</v>
      </c>
      <c r="L69" s="10" t="s">
        <v>43</v>
      </c>
      <c r="M69" s="60">
        <v>61.55</v>
      </c>
      <c r="N69" s="60">
        <v>470.1</v>
      </c>
      <c r="O69" s="60">
        <v>0</v>
      </c>
      <c r="P69" s="60">
        <v>0.66</v>
      </c>
      <c r="Q69" s="60">
        <v>5.09</v>
      </c>
      <c r="R69" s="197"/>
      <c r="S69" s="197"/>
      <c r="T69" s="197"/>
      <c r="U69" s="197"/>
    </row>
    <row r="70" spans="1:21" s="12" customFormat="1" x14ac:dyDescent="0.25">
      <c r="A70" s="200" t="s">
        <v>2805</v>
      </c>
      <c r="B70" s="60">
        <v>0.32</v>
      </c>
      <c r="C70" s="60">
        <v>13.27</v>
      </c>
      <c r="D70" s="60">
        <v>13.59</v>
      </c>
      <c r="E70" s="60">
        <v>5.29</v>
      </c>
      <c r="F70" s="60">
        <v>1.74</v>
      </c>
      <c r="G70" s="60">
        <v>30.72</v>
      </c>
      <c r="H70" s="60">
        <v>26.55</v>
      </c>
      <c r="I70" s="215" t="s">
        <v>36</v>
      </c>
      <c r="J70" s="60">
        <v>0.17</v>
      </c>
      <c r="K70" s="60">
        <v>179.57</v>
      </c>
      <c r="L70" s="10" t="s">
        <v>43</v>
      </c>
      <c r="M70" s="60">
        <v>62.01</v>
      </c>
      <c r="N70" s="60">
        <v>390.7</v>
      </c>
      <c r="O70" s="60">
        <v>0</v>
      </c>
      <c r="P70" s="60">
        <v>0.65</v>
      </c>
      <c r="Q70" s="60">
        <v>3.72</v>
      </c>
      <c r="R70" s="197"/>
      <c r="S70" s="197"/>
      <c r="T70" s="197"/>
      <c r="U70" s="197"/>
    </row>
    <row r="71" spans="1:21" s="12" customFormat="1" x14ac:dyDescent="0.25">
      <c r="A71" s="200" t="s">
        <v>2806</v>
      </c>
      <c r="B71" s="60">
        <v>0.4</v>
      </c>
      <c r="C71" s="60">
        <v>13.63</v>
      </c>
      <c r="D71" s="60">
        <v>14.03</v>
      </c>
      <c r="E71" s="60">
        <v>4.78</v>
      </c>
      <c r="F71" s="60">
        <v>0.85</v>
      </c>
      <c r="G71" s="60">
        <v>30.72</v>
      </c>
      <c r="H71" s="60">
        <v>26.55</v>
      </c>
      <c r="I71" s="215" t="s">
        <v>36</v>
      </c>
      <c r="J71" s="60">
        <v>0.23</v>
      </c>
      <c r="K71" s="60">
        <v>203</v>
      </c>
      <c r="L71" s="10" t="s">
        <v>43</v>
      </c>
      <c r="M71" s="60">
        <v>62.09</v>
      </c>
      <c r="N71" s="60">
        <v>342.7</v>
      </c>
      <c r="O71" s="60">
        <v>0</v>
      </c>
      <c r="P71" s="60">
        <v>0.65</v>
      </c>
      <c r="Q71" s="60">
        <v>5.76</v>
      </c>
      <c r="R71" s="197"/>
      <c r="S71" s="197"/>
      <c r="T71" s="197"/>
      <c r="U71" s="197"/>
    </row>
    <row r="72" spans="1:21" s="12" customFormat="1" x14ac:dyDescent="0.25">
      <c r="A72" s="200" t="s">
        <v>2807</v>
      </c>
      <c r="B72" s="60">
        <v>0.42</v>
      </c>
      <c r="C72" s="60">
        <v>12.54</v>
      </c>
      <c r="D72" s="60">
        <v>12.95</v>
      </c>
      <c r="E72" s="60">
        <v>2.29</v>
      </c>
      <c r="F72" s="60">
        <v>1.46</v>
      </c>
      <c r="G72" s="60">
        <v>31.38</v>
      </c>
      <c r="H72" s="60">
        <v>27.25</v>
      </c>
      <c r="I72" s="215" t="s">
        <v>36</v>
      </c>
      <c r="J72" s="60">
        <v>7.0000000000000007E-2</v>
      </c>
      <c r="K72" s="60">
        <v>48.43</v>
      </c>
      <c r="L72" s="10" t="s">
        <v>43</v>
      </c>
      <c r="M72" s="60">
        <v>62</v>
      </c>
      <c r="N72" s="60">
        <v>236.2</v>
      </c>
      <c r="O72" s="60">
        <v>0</v>
      </c>
      <c r="P72" s="60">
        <v>0.63</v>
      </c>
      <c r="Q72" s="60">
        <v>5.53</v>
      </c>
      <c r="R72" s="197"/>
      <c r="S72" s="197"/>
      <c r="T72" s="197"/>
      <c r="U72" s="197"/>
    </row>
    <row r="73" spans="1:21" s="12" customFormat="1" x14ac:dyDescent="0.25">
      <c r="A73" s="200" t="s">
        <v>2808</v>
      </c>
      <c r="B73" s="60">
        <v>0.59</v>
      </c>
      <c r="C73" s="60">
        <v>13.31</v>
      </c>
      <c r="D73" s="60">
        <v>13.9</v>
      </c>
      <c r="E73" s="60">
        <v>3.66</v>
      </c>
      <c r="F73" s="60">
        <v>1.21</v>
      </c>
      <c r="G73" s="60">
        <v>32.46</v>
      </c>
      <c r="H73" s="60">
        <v>28.47</v>
      </c>
      <c r="I73" s="215" t="s">
        <v>36</v>
      </c>
      <c r="J73" s="60">
        <v>0.06</v>
      </c>
      <c r="K73" s="60">
        <v>7.78</v>
      </c>
      <c r="L73" s="10" t="s">
        <v>43</v>
      </c>
      <c r="M73" s="60">
        <v>60.74</v>
      </c>
      <c r="N73" s="60">
        <v>179.4</v>
      </c>
      <c r="O73" s="60">
        <v>0</v>
      </c>
      <c r="P73" s="60">
        <v>0.64</v>
      </c>
      <c r="Q73" s="60">
        <v>4.67</v>
      </c>
      <c r="R73" s="197"/>
      <c r="S73" s="197"/>
      <c r="T73" s="197"/>
      <c r="U73" s="197"/>
    </row>
    <row r="74" spans="1:21" s="12" customFormat="1" x14ac:dyDescent="0.25">
      <c r="A74" s="200" t="s">
        <v>2809</v>
      </c>
      <c r="B74" s="60">
        <v>0.86</v>
      </c>
      <c r="C74" s="60">
        <v>14.17</v>
      </c>
      <c r="D74" s="60">
        <v>15.04</v>
      </c>
      <c r="E74" s="60">
        <v>3.75</v>
      </c>
      <c r="F74" s="60">
        <v>0.79</v>
      </c>
      <c r="G74" s="60">
        <v>32.46</v>
      </c>
      <c r="H74" s="60">
        <v>28.47</v>
      </c>
      <c r="I74" s="215" t="s">
        <v>36</v>
      </c>
      <c r="J74" s="60">
        <v>7.0000000000000007E-2</v>
      </c>
      <c r="K74" s="60">
        <v>64.28</v>
      </c>
      <c r="L74" s="10" t="s">
        <v>43</v>
      </c>
      <c r="M74" s="60">
        <v>62.01</v>
      </c>
      <c r="N74" s="60">
        <v>144.30000000000001</v>
      </c>
      <c r="O74" s="60">
        <v>0</v>
      </c>
      <c r="P74" s="60">
        <v>0.64</v>
      </c>
      <c r="Q74" s="60">
        <v>7.48</v>
      </c>
      <c r="R74" s="197"/>
      <c r="S74" s="197"/>
      <c r="T74" s="197"/>
      <c r="U74" s="197"/>
    </row>
    <row r="75" spans="1:21" s="12" customFormat="1" x14ac:dyDescent="0.25">
      <c r="A75" s="200" t="s">
        <v>2810</v>
      </c>
      <c r="B75" s="60">
        <v>1.06</v>
      </c>
      <c r="C75" s="60">
        <v>14.95</v>
      </c>
      <c r="D75" s="60">
        <v>16.02</v>
      </c>
      <c r="E75" s="60">
        <v>3.89</v>
      </c>
      <c r="F75" s="60">
        <v>0.48</v>
      </c>
      <c r="G75" s="60">
        <v>32.46</v>
      </c>
      <c r="H75" s="60">
        <v>28.47</v>
      </c>
      <c r="I75" s="215" t="s">
        <v>36</v>
      </c>
      <c r="J75" s="60">
        <v>0.01</v>
      </c>
      <c r="K75" s="60">
        <v>53.42</v>
      </c>
      <c r="L75" s="10" t="s">
        <v>43</v>
      </c>
      <c r="M75" s="60">
        <v>62.35</v>
      </c>
      <c r="N75" s="60">
        <v>131.5</v>
      </c>
      <c r="O75" s="60">
        <v>0</v>
      </c>
      <c r="P75" s="60">
        <v>0.64</v>
      </c>
      <c r="Q75" s="60">
        <v>9.11</v>
      </c>
      <c r="R75" s="197"/>
      <c r="S75" s="197"/>
      <c r="T75" s="197"/>
      <c r="U75" s="197"/>
    </row>
    <row r="76" spans="1:21" s="12" customFormat="1" x14ac:dyDescent="0.25">
      <c r="A76" s="200" t="s">
        <v>2811</v>
      </c>
      <c r="B76" s="60">
        <v>1.18</v>
      </c>
      <c r="C76" s="60">
        <v>14.81</v>
      </c>
      <c r="D76" s="60">
        <v>16</v>
      </c>
      <c r="E76" s="60">
        <v>3.73</v>
      </c>
      <c r="F76" s="60">
        <v>0.77</v>
      </c>
      <c r="G76" s="60">
        <v>31.92</v>
      </c>
      <c r="H76" s="60">
        <v>27.88</v>
      </c>
      <c r="I76" s="215" t="s">
        <v>36</v>
      </c>
      <c r="J76" s="60">
        <v>0.1</v>
      </c>
      <c r="K76" s="60">
        <v>18.21</v>
      </c>
      <c r="L76" s="10" t="s">
        <v>43</v>
      </c>
      <c r="M76" s="60">
        <v>63.7</v>
      </c>
      <c r="N76" s="60">
        <v>100.5</v>
      </c>
      <c r="O76" s="60">
        <v>0</v>
      </c>
      <c r="P76" s="60">
        <v>0.65</v>
      </c>
      <c r="Q76" s="60">
        <v>9.16</v>
      </c>
      <c r="R76" s="197"/>
      <c r="S76" s="197"/>
      <c r="T76" s="197"/>
      <c r="U76" s="197"/>
    </row>
    <row r="77" spans="1:21" s="12" customFormat="1" x14ac:dyDescent="0.25">
      <c r="A77" s="200" t="s">
        <v>2812</v>
      </c>
      <c r="B77" s="60">
        <v>1.18</v>
      </c>
      <c r="C77" s="60">
        <v>15.15</v>
      </c>
      <c r="D77" s="60">
        <v>16.329999999999998</v>
      </c>
      <c r="E77" s="60">
        <v>3.67</v>
      </c>
      <c r="F77" s="60">
        <v>0.86</v>
      </c>
      <c r="G77" s="60">
        <v>31.02</v>
      </c>
      <c r="H77" s="60">
        <v>26.89</v>
      </c>
      <c r="I77" s="215" t="s">
        <v>36</v>
      </c>
      <c r="J77" s="60">
        <v>0.15</v>
      </c>
      <c r="K77" s="60">
        <v>61.14</v>
      </c>
      <c r="L77" s="10" t="s">
        <v>43</v>
      </c>
      <c r="M77" s="60">
        <v>64.78</v>
      </c>
      <c r="N77" s="60">
        <v>99.1</v>
      </c>
      <c r="O77" s="60">
        <v>0</v>
      </c>
      <c r="P77" s="60">
        <v>0.64</v>
      </c>
      <c r="Q77" s="60">
        <v>10.029999999999999</v>
      </c>
      <c r="R77" s="197"/>
      <c r="S77" s="197"/>
      <c r="T77" s="197"/>
      <c r="U77" s="197"/>
    </row>
    <row r="78" spans="1:21" s="12" customFormat="1" x14ac:dyDescent="0.25">
      <c r="A78" s="200" t="s">
        <v>2813</v>
      </c>
      <c r="B78" s="60">
        <v>1.45</v>
      </c>
      <c r="C78" s="60">
        <v>16.079999999999998</v>
      </c>
      <c r="D78" s="60">
        <v>17.54</v>
      </c>
      <c r="E78" s="60">
        <v>3.9</v>
      </c>
      <c r="F78" s="60">
        <v>0.63</v>
      </c>
      <c r="G78" s="60">
        <v>31.02</v>
      </c>
      <c r="H78" s="60">
        <v>26.89</v>
      </c>
      <c r="I78" s="215" t="s">
        <v>36</v>
      </c>
      <c r="J78" s="60">
        <v>0.11</v>
      </c>
      <c r="K78" s="60">
        <v>4.9400000000000004</v>
      </c>
      <c r="L78" s="10" t="s">
        <v>43</v>
      </c>
      <c r="M78" s="60">
        <v>66.56</v>
      </c>
      <c r="N78" s="60">
        <v>90</v>
      </c>
      <c r="O78" s="60">
        <v>0</v>
      </c>
      <c r="P78" s="60">
        <v>0.69</v>
      </c>
      <c r="Q78" s="60">
        <v>9.19</v>
      </c>
      <c r="R78" s="197"/>
      <c r="S78" s="197"/>
      <c r="T78" s="197"/>
      <c r="U78" s="197"/>
    </row>
    <row r="79" spans="1:21" s="12" customFormat="1" x14ac:dyDescent="0.25">
      <c r="A79" s="200" t="s">
        <v>2814</v>
      </c>
      <c r="B79" s="60">
        <v>1.57</v>
      </c>
      <c r="C79" s="60">
        <v>16.75</v>
      </c>
      <c r="D79" s="60">
        <v>18.32</v>
      </c>
      <c r="E79" s="60">
        <v>3.8</v>
      </c>
      <c r="F79" s="60">
        <v>0.73</v>
      </c>
      <c r="G79" s="60">
        <v>31.02</v>
      </c>
      <c r="H79" s="60">
        <v>26.89</v>
      </c>
      <c r="I79" s="215" t="s">
        <v>36</v>
      </c>
      <c r="J79" s="60">
        <v>0.06</v>
      </c>
      <c r="K79" s="60">
        <v>200.89</v>
      </c>
      <c r="L79" s="10" t="s">
        <v>43</v>
      </c>
      <c r="M79" s="60">
        <v>63.46</v>
      </c>
      <c r="N79" s="60">
        <v>65</v>
      </c>
      <c r="O79" s="60">
        <v>0</v>
      </c>
      <c r="P79" s="60">
        <v>0.7</v>
      </c>
      <c r="Q79" s="60">
        <v>9.83</v>
      </c>
      <c r="R79" s="197"/>
      <c r="S79" s="197"/>
      <c r="T79" s="197"/>
      <c r="U79" s="197"/>
    </row>
    <row r="80" spans="1:21" s="12" customFormat="1" x14ac:dyDescent="0.25">
      <c r="A80" s="200" t="s">
        <v>2815</v>
      </c>
      <c r="B80" s="60">
        <v>1.8</v>
      </c>
      <c r="C80" s="60">
        <v>17.22</v>
      </c>
      <c r="D80" s="60">
        <v>19.02</v>
      </c>
      <c r="E80" s="60">
        <v>3.97</v>
      </c>
      <c r="F80" s="60">
        <v>0.4</v>
      </c>
      <c r="G80" s="60">
        <v>32.21</v>
      </c>
      <c r="H80" s="60">
        <v>26.23</v>
      </c>
      <c r="I80" s="215" t="s">
        <v>36</v>
      </c>
      <c r="J80" s="60">
        <v>0.16</v>
      </c>
      <c r="K80" s="60">
        <v>358.58</v>
      </c>
      <c r="L80" s="10" t="s">
        <v>43</v>
      </c>
      <c r="M80" s="60">
        <v>66.02</v>
      </c>
      <c r="N80" s="60">
        <v>40.799999999999997</v>
      </c>
      <c r="O80" s="60">
        <v>0</v>
      </c>
      <c r="P80" s="60">
        <v>0.73</v>
      </c>
      <c r="Q80" s="60">
        <v>10.49</v>
      </c>
      <c r="R80" s="197"/>
      <c r="S80" s="197"/>
      <c r="T80" s="197"/>
      <c r="U80" s="197"/>
    </row>
    <row r="81" spans="1:26" s="12" customFormat="1" x14ac:dyDescent="0.25">
      <c r="A81" s="200" t="s">
        <v>2816</v>
      </c>
      <c r="B81" s="60">
        <v>2.27</v>
      </c>
      <c r="C81" s="60">
        <v>16.79</v>
      </c>
      <c r="D81" s="60">
        <v>19.05</v>
      </c>
      <c r="E81" s="60">
        <v>3.73</v>
      </c>
      <c r="F81" s="60">
        <v>0.51</v>
      </c>
      <c r="G81" s="60">
        <v>34.17</v>
      </c>
      <c r="H81" s="60">
        <v>25.08</v>
      </c>
      <c r="I81" s="215" t="s">
        <v>36</v>
      </c>
      <c r="J81" s="60">
        <v>0.2</v>
      </c>
      <c r="K81" s="60">
        <v>359.17</v>
      </c>
      <c r="L81" s="10" t="s">
        <v>43</v>
      </c>
      <c r="M81" s="60">
        <v>70.5</v>
      </c>
      <c r="N81" s="60">
        <v>25.9</v>
      </c>
      <c r="O81" s="60">
        <v>0</v>
      </c>
      <c r="P81" s="60">
        <v>0.75</v>
      </c>
      <c r="Q81" s="60">
        <v>9.77</v>
      </c>
      <c r="R81" s="197"/>
      <c r="S81" s="197"/>
      <c r="T81" s="197"/>
      <c r="U81" s="197"/>
    </row>
    <row r="82" spans="1:26" s="12" customFormat="1" x14ac:dyDescent="0.25">
      <c r="A82" s="200" t="s">
        <v>2817</v>
      </c>
      <c r="B82" s="60">
        <v>3.21</v>
      </c>
      <c r="C82" s="60">
        <v>16.13</v>
      </c>
      <c r="D82" s="60">
        <v>19.34</v>
      </c>
      <c r="E82" s="60">
        <v>3.64</v>
      </c>
      <c r="F82" s="60">
        <v>0.86</v>
      </c>
      <c r="G82" s="60">
        <v>34.17</v>
      </c>
      <c r="H82" s="60">
        <v>25.08</v>
      </c>
      <c r="I82" s="215" t="s">
        <v>36</v>
      </c>
      <c r="J82" s="60">
        <v>0.37</v>
      </c>
      <c r="K82" s="60">
        <v>345.34</v>
      </c>
      <c r="L82" s="10" t="s">
        <v>43</v>
      </c>
      <c r="M82" s="60">
        <v>75.72</v>
      </c>
      <c r="N82" s="60">
        <v>16.7</v>
      </c>
      <c r="O82" s="60">
        <v>0</v>
      </c>
      <c r="P82" s="60">
        <v>0.79</v>
      </c>
      <c r="Q82" s="60">
        <v>7.51</v>
      </c>
      <c r="R82" s="197"/>
      <c r="S82" s="197"/>
      <c r="T82" s="197"/>
      <c r="U82" s="197"/>
    </row>
    <row r="83" spans="1:26" s="12" customFormat="1" x14ac:dyDescent="0.25">
      <c r="A83" s="200" t="s">
        <v>2818</v>
      </c>
      <c r="B83" s="60">
        <v>4.6399999999999997</v>
      </c>
      <c r="C83" s="60">
        <v>16.75</v>
      </c>
      <c r="D83" s="60">
        <v>21.39</v>
      </c>
      <c r="E83" s="60">
        <v>3.62</v>
      </c>
      <c r="F83" s="60">
        <v>0.42</v>
      </c>
      <c r="G83" s="60">
        <v>34.17</v>
      </c>
      <c r="H83" s="60">
        <v>25.08</v>
      </c>
      <c r="I83" s="215" t="s">
        <v>36</v>
      </c>
      <c r="J83" s="60">
        <v>0.77</v>
      </c>
      <c r="K83" s="60">
        <v>327.95</v>
      </c>
      <c r="L83" s="10" t="s">
        <v>43</v>
      </c>
      <c r="M83" s="60">
        <v>75.73</v>
      </c>
      <c r="N83" s="60">
        <v>15</v>
      </c>
      <c r="O83" s="60">
        <v>0</v>
      </c>
      <c r="P83" s="60">
        <v>0.84</v>
      </c>
      <c r="Q83" s="60">
        <v>6.81</v>
      </c>
      <c r="R83" s="197"/>
      <c r="S83" s="197"/>
      <c r="T83" s="197"/>
      <c r="U83" s="197"/>
    </row>
    <row r="84" spans="1:26" s="12" customFormat="1" x14ac:dyDescent="0.25">
      <c r="A84" s="200" t="s">
        <v>2819</v>
      </c>
      <c r="B84" s="60">
        <v>5.77</v>
      </c>
      <c r="C84" s="60">
        <v>17.03</v>
      </c>
      <c r="D84" s="60">
        <v>22.8</v>
      </c>
      <c r="E84" s="60">
        <v>3.38</v>
      </c>
      <c r="F84" s="60">
        <v>0.34</v>
      </c>
      <c r="G84" s="60">
        <v>36.24</v>
      </c>
      <c r="H84" s="60">
        <v>24.7</v>
      </c>
      <c r="I84" s="215" t="s">
        <v>36</v>
      </c>
      <c r="J84" s="60">
        <v>0.6</v>
      </c>
      <c r="K84" s="60">
        <v>334.39</v>
      </c>
      <c r="L84" s="10" t="s">
        <v>43</v>
      </c>
      <c r="M84" s="60">
        <v>74.319999999999993</v>
      </c>
      <c r="N84" s="60">
        <v>15</v>
      </c>
      <c r="O84" s="60">
        <v>0</v>
      </c>
      <c r="P84" s="60">
        <v>0.86</v>
      </c>
      <c r="Q84" s="60">
        <v>8.24</v>
      </c>
      <c r="R84" s="197"/>
      <c r="S84" s="197"/>
      <c r="T84" s="197"/>
      <c r="U84" s="197"/>
    </row>
    <row r="85" spans="1:26" s="12" customFormat="1" x14ac:dyDescent="0.25">
      <c r="A85" s="200" t="s">
        <v>2820</v>
      </c>
      <c r="B85" s="60">
        <v>5.68</v>
      </c>
      <c r="C85" s="60">
        <v>16.68</v>
      </c>
      <c r="D85" s="60">
        <v>22.36</v>
      </c>
      <c r="E85" s="60">
        <v>3.82</v>
      </c>
      <c r="F85" s="60">
        <v>0.41</v>
      </c>
      <c r="G85" s="60">
        <v>39.64</v>
      </c>
      <c r="H85" s="60">
        <v>24.07</v>
      </c>
      <c r="I85" s="215" t="s">
        <v>36</v>
      </c>
      <c r="J85" s="60">
        <v>0.49</v>
      </c>
      <c r="K85" s="60">
        <v>335.1</v>
      </c>
      <c r="L85" s="10" t="s">
        <v>43</v>
      </c>
      <c r="M85" s="60">
        <v>71.66</v>
      </c>
      <c r="N85" s="60">
        <v>15</v>
      </c>
      <c r="O85" s="60">
        <v>0</v>
      </c>
      <c r="P85" s="60">
        <v>0.85</v>
      </c>
      <c r="Q85" s="60">
        <v>5.61</v>
      </c>
      <c r="R85" s="197"/>
      <c r="S85" s="197"/>
      <c r="T85" s="197"/>
      <c r="U85" s="197"/>
    </row>
    <row r="86" spans="1:26" s="12" customFormat="1" x14ac:dyDescent="0.25">
      <c r="A86" s="200" t="s">
        <v>2821</v>
      </c>
      <c r="B86" s="60">
        <v>5.28</v>
      </c>
      <c r="C86" s="60">
        <v>16.989999999999998</v>
      </c>
      <c r="D86" s="60">
        <v>22.28</v>
      </c>
      <c r="E86" s="60">
        <v>4.08</v>
      </c>
      <c r="F86" s="60">
        <v>0.18</v>
      </c>
      <c r="G86" s="60">
        <v>39.64</v>
      </c>
      <c r="H86" s="60">
        <v>24.07</v>
      </c>
      <c r="I86" s="215" t="s">
        <v>36</v>
      </c>
      <c r="J86" s="60">
        <v>0.46</v>
      </c>
      <c r="K86" s="60">
        <v>322.2</v>
      </c>
      <c r="L86" s="10" t="s">
        <v>43</v>
      </c>
      <c r="M86" s="60">
        <v>73.16</v>
      </c>
      <c r="N86" s="60">
        <v>15</v>
      </c>
      <c r="O86" s="60">
        <v>0</v>
      </c>
      <c r="P86" s="60">
        <v>0.88</v>
      </c>
      <c r="Q86" s="60">
        <v>6.73</v>
      </c>
      <c r="R86" s="197"/>
      <c r="S86" s="197"/>
      <c r="T86" s="197"/>
      <c r="U86" s="197"/>
    </row>
    <row r="87" spans="1:26" s="12" customFormat="1" x14ac:dyDescent="0.25">
      <c r="A87" s="200" t="s">
        <v>2822</v>
      </c>
      <c r="B87" s="60">
        <v>5.33</v>
      </c>
      <c r="C87" s="60">
        <v>16.09</v>
      </c>
      <c r="D87" s="60">
        <v>21.42</v>
      </c>
      <c r="E87" s="60">
        <v>3.75</v>
      </c>
      <c r="F87" s="60">
        <v>0.77</v>
      </c>
      <c r="G87" s="60">
        <v>39.64</v>
      </c>
      <c r="H87" s="60">
        <v>24.07</v>
      </c>
      <c r="I87" s="215" t="s">
        <v>36</v>
      </c>
      <c r="J87" s="60">
        <v>0.33</v>
      </c>
      <c r="K87" s="60">
        <v>339.62</v>
      </c>
      <c r="L87" s="10" t="s">
        <v>43</v>
      </c>
      <c r="M87" s="60">
        <v>74.150000000000006</v>
      </c>
      <c r="N87" s="60">
        <v>15</v>
      </c>
      <c r="O87" s="60">
        <v>0</v>
      </c>
      <c r="P87" s="60">
        <v>0.88</v>
      </c>
      <c r="Q87" s="60">
        <v>4.7300000000000004</v>
      </c>
      <c r="R87" s="197"/>
      <c r="S87" s="197"/>
      <c r="T87" s="197"/>
      <c r="U87" s="197"/>
    </row>
    <row r="88" spans="1:26" s="12" customFormat="1" x14ac:dyDescent="0.25">
      <c r="A88" s="200" t="s">
        <v>2823</v>
      </c>
      <c r="B88" s="60">
        <v>5.3</v>
      </c>
      <c r="C88" s="60">
        <v>17.329999999999998</v>
      </c>
      <c r="D88" s="60">
        <v>22.63</v>
      </c>
      <c r="E88" s="60">
        <v>1.82</v>
      </c>
      <c r="F88" s="60">
        <v>7.0000000000000007E-2</v>
      </c>
      <c r="G88" s="60">
        <v>37.78</v>
      </c>
      <c r="H88" s="60">
        <v>23.9</v>
      </c>
      <c r="I88" s="215" t="s">
        <v>36</v>
      </c>
      <c r="J88" s="60">
        <v>0.23</v>
      </c>
      <c r="K88" s="60">
        <v>27.29</v>
      </c>
      <c r="L88" s="10" t="s">
        <v>43</v>
      </c>
      <c r="M88" s="60">
        <v>74.16</v>
      </c>
      <c r="N88" s="60">
        <v>14.9</v>
      </c>
      <c r="O88" s="60">
        <v>0</v>
      </c>
      <c r="P88" s="60">
        <v>0.91</v>
      </c>
      <c r="Q88" s="60">
        <v>6.68</v>
      </c>
      <c r="R88" s="197"/>
      <c r="S88" s="197"/>
      <c r="T88" s="197"/>
      <c r="U88" s="197"/>
    </row>
    <row r="89" spans="1:26" s="12" customFormat="1" x14ac:dyDescent="0.25">
      <c r="A89" s="200" t="s">
        <v>2824</v>
      </c>
      <c r="B89" s="60">
        <v>5.32</v>
      </c>
      <c r="C89" s="60">
        <v>17.27</v>
      </c>
      <c r="D89" s="60">
        <v>22.59</v>
      </c>
      <c r="E89" s="60">
        <v>3.2</v>
      </c>
      <c r="F89" s="215" t="s">
        <v>36</v>
      </c>
      <c r="G89" s="60">
        <v>34.71</v>
      </c>
      <c r="H89" s="60">
        <v>23.61</v>
      </c>
      <c r="I89" s="215" t="s">
        <v>36</v>
      </c>
      <c r="J89" s="60">
        <v>0.16</v>
      </c>
      <c r="K89" s="60">
        <v>16.350000000000001</v>
      </c>
      <c r="L89" s="10" t="s">
        <v>43</v>
      </c>
      <c r="M89" s="60">
        <v>74.66</v>
      </c>
      <c r="N89" s="60">
        <v>15</v>
      </c>
      <c r="O89" s="60">
        <v>0</v>
      </c>
      <c r="P89" s="60">
        <v>0.92</v>
      </c>
      <c r="Q89" s="60">
        <v>9.85</v>
      </c>
      <c r="R89" s="197"/>
      <c r="S89" s="197"/>
      <c r="T89" s="197"/>
      <c r="U89" s="197"/>
    </row>
    <row r="90" spans="1:26" s="12" customFormat="1" x14ac:dyDescent="0.25">
      <c r="A90" s="200" t="s">
        <v>2825</v>
      </c>
      <c r="B90" s="60">
        <v>6.63</v>
      </c>
      <c r="C90" s="60">
        <v>16.96</v>
      </c>
      <c r="D90" s="60">
        <v>23.59</v>
      </c>
      <c r="E90" s="60">
        <v>3.58</v>
      </c>
      <c r="F90" s="60">
        <v>0.01</v>
      </c>
      <c r="G90" s="60">
        <v>34.71</v>
      </c>
      <c r="H90" s="60">
        <v>23.61</v>
      </c>
      <c r="I90" s="215" t="s">
        <v>36</v>
      </c>
      <c r="J90" s="60">
        <v>0.31</v>
      </c>
      <c r="K90" s="60">
        <v>327.88</v>
      </c>
      <c r="L90" s="10" t="s">
        <v>43</v>
      </c>
      <c r="M90" s="60">
        <v>76.28</v>
      </c>
      <c r="N90" s="60">
        <v>15</v>
      </c>
      <c r="O90" s="60">
        <v>0</v>
      </c>
      <c r="P90" s="60">
        <v>0.94</v>
      </c>
      <c r="Q90" s="60">
        <v>11.18</v>
      </c>
      <c r="R90" s="197"/>
      <c r="S90" s="197"/>
      <c r="T90" s="197"/>
      <c r="U90" s="197"/>
    </row>
    <row r="91" spans="1:26" s="12" customFormat="1" x14ac:dyDescent="0.25">
      <c r="A91" s="200" t="s">
        <v>2826</v>
      </c>
      <c r="B91" s="60">
        <v>7.73</v>
      </c>
      <c r="C91" s="60">
        <v>16.53</v>
      </c>
      <c r="D91" s="60">
        <v>24.26</v>
      </c>
      <c r="E91" s="60">
        <v>4.26</v>
      </c>
      <c r="F91" s="60">
        <v>0.03</v>
      </c>
      <c r="G91" s="60">
        <v>34.71</v>
      </c>
      <c r="H91" s="60">
        <v>23.61</v>
      </c>
      <c r="I91" s="215" t="s">
        <v>36</v>
      </c>
      <c r="J91" s="60">
        <v>0.26</v>
      </c>
      <c r="K91" s="60">
        <v>357.52</v>
      </c>
      <c r="L91" s="10" t="s">
        <v>43</v>
      </c>
      <c r="M91" s="60">
        <v>76.03</v>
      </c>
      <c r="N91" s="60">
        <v>14.8</v>
      </c>
      <c r="O91" s="60">
        <v>0</v>
      </c>
      <c r="P91" s="60">
        <v>0.97</v>
      </c>
      <c r="Q91" s="60">
        <v>12.06</v>
      </c>
      <c r="R91" s="197"/>
      <c r="S91" s="197"/>
      <c r="T91" s="197"/>
      <c r="U91" s="197"/>
    </row>
    <row r="92" spans="1:26" s="12" customFormat="1" x14ac:dyDescent="0.25">
      <c r="A92" s="200" t="s">
        <v>2827</v>
      </c>
      <c r="B92" s="60">
        <v>8.58</v>
      </c>
      <c r="C92" s="60">
        <v>16.23</v>
      </c>
      <c r="D92" s="60">
        <v>24.81</v>
      </c>
      <c r="E92" s="60">
        <v>4.28</v>
      </c>
      <c r="F92" s="60">
        <v>0.14000000000000001</v>
      </c>
      <c r="G92" s="60">
        <v>36.020000000000003</v>
      </c>
      <c r="H92" s="60">
        <v>23.58</v>
      </c>
      <c r="I92" s="215" t="s">
        <v>36</v>
      </c>
      <c r="J92" s="60">
        <v>0.3</v>
      </c>
      <c r="K92" s="60">
        <v>349.6</v>
      </c>
      <c r="L92" s="10" t="s">
        <v>43</v>
      </c>
      <c r="M92" s="60">
        <v>77.19</v>
      </c>
      <c r="N92" s="60">
        <v>14.9</v>
      </c>
      <c r="O92" s="60">
        <v>0</v>
      </c>
      <c r="P92" s="60">
        <v>0.99</v>
      </c>
      <c r="Q92" s="60">
        <v>12.52</v>
      </c>
      <c r="R92" s="197"/>
      <c r="S92" s="197"/>
      <c r="T92" s="197"/>
      <c r="U92" s="197"/>
    </row>
    <row r="93" spans="1:26" s="12" customFormat="1" x14ac:dyDescent="0.25">
      <c r="A93" s="200" t="s">
        <v>2828</v>
      </c>
      <c r="B93" s="60">
        <v>9.5</v>
      </c>
      <c r="C93" s="60">
        <v>16.190000000000001</v>
      </c>
      <c r="D93" s="60">
        <v>25.69</v>
      </c>
      <c r="E93" s="60">
        <v>4.47</v>
      </c>
      <c r="F93" s="60">
        <v>0.13</v>
      </c>
      <c r="G93" s="60">
        <v>38.17</v>
      </c>
      <c r="H93" s="60">
        <v>23.53</v>
      </c>
      <c r="I93" s="215" t="s">
        <v>36</v>
      </c>
      <c r="J93" s="60">
        <v>0.25</v>
      </c>
      <c r="K93" s="60">
        <v>355.08</v>
      </c>
      <c r="L93" s="10" t="s">
        <v>43</v>
      </c>
      <c r="M93" s="60">
        <v>77.739999999999995</v>
      </c>
      <c r="N93" s="60">
        <v>14.8</v>
      </c>
      <c r="O93" s="60">
        <v>0</v>
      </c>
      <c r="P93" s="60">
        <v>0.98</v>
      </c>
      <c r="Q93" s="60">
        <v>13.12</v>
      </c>
      <c r="R93" s="197"/>
      <c r="S93" s="197"/>
      <c r="T93" s="197"/>
      <c r="U93" s="197"/>
    </row>
    <row r="94" spans="1:26" s="12" customFormat="1" x14ac:dyDescent="0.25">
      <c r="A94" s="200" t="s">
        <v>2829</v>
      </c>
      <c r="B94" s="60">
        <v>11.32</v>
      </c>
      <c r="C94" s="60">
        <v>16.39</v>
      </c>
      <c r="D94" s="60">
        <v>27.71</v>
      </c>
      <c r="E94" s="60">
        <v>4.6399999999999997</v>
      </c>
      <c r="F94" s="60">
        <v>0.1</v>
      </c>
      <c r="G94" s="60">
        <v>38.17</v>
      </c>
      <c r="H94" s="60">
        <v>23.53</v>
      </c>
      <c r="I94" s="215" t="s">
        <v>36</v>
      </c>
      <c r="J94" s="60">
        <v>0.11</v>
      </c>
      <c r="K94" s="60">
        <v>316.7</v>
      </c>
      <c r="L94" s="10" t="s">
        <v>43</v>
      </c>
      <c r="M94" s="60">
        <v>78.09</v>
      </c>
      <c r="N94" s="60">
        <v>14.9</v>
      </c>
      <c r="O94" s="60">
        <v>0</v>
      </c>
      <c r="P94" s="60">
        <v>1</v>
      </c>
      <c r="Q94" s="60">
        <v>13.92</v>
      </c>
      <c r="R94" s="197"/>
      <c r="S94" s="197"/>
      <c r="T94" s="197"/>
      <c r="U94" s="197"/>
    </row>
    <row r="95" spans="1:26" s="12" customFormat="1" x14ac:dyDescent="0.25">
      <c r="A95" s="200" t="s">
        <v>2830</v>
      </c>
      <c r="B95" s="60">
        <v>12</v>
      </c>
      <c r="C95" s="60">
        <v>15.98</v>
      </c>
      <c r="D95" s="60">
        <v>27.98</v>
      </c>
      <c r="E95" s="60">
        <v>4</v>
      </c>
      <c r="F95" s="60">
        <v>0.06</v>
      </c>
      <c r="G95" s="60">
        <v>38.17</v>
      </c>
      <c r="H95" s="60">
        <v>23.53</v>
      </c>
      <c r="I95" s="215" t="s">
        <v>36</v>
      </c>
      <c r="J95" s="60">
        <v>0.01</v>
      </c>
      <c r="K95" s="60">
        <v>259.73</v>
      </c>
      <c r="L95" s="10" t="s">
        <v>43</v>
      </c>
      <c r="M95" s="60">
        <v>79.37</v>
      </c>
      <c r="N95" s="60">
        <v>15</v>
      </c>
      <c r="O95" s="60">
        <v>0</v>
      </c>
      <c r="P95" s="60">
        <v>1</v>
      </c>
      <c r="Q95" s="60">
        <v>13.64</v>
      </c>
      <c r="R95" s="197"/>
      <c r="S95" s="197"/>
      <c r="T95" s="197"/>
      <c r="U95" s="197"/>
    </row>
    <row r="96" spans="1:26" s="12" customFormat="1" x14ac:dyDescent="0.25">
      <c r="A96" s="200" t="s">
        <v>2831</v>
      </c>
      <c r="B96" s="60">
        <v>12.54</v>
      </c>
      <c r="C96" s="60">
        <v>15.31</v>
      </c>
      <c r="D96" s="60">
        <v>27.85</v>
      </c>
      <c r="E96" s="60">
        <v>4.74</v>
      </c>
      <c r="F96" s="60">
        <v>0.35</v>
      </c>
      <c r="G96" s="60">
        <v>37.31</v>
      </c>
      <c r="H96" s="60">
        <v>25.15</v>
      </c>
      <c r="I96" s="215" t="s">
        <v>36</v>
      </c>
      <c r="J96" s="60">
        <v>0.15</v>
      </c>
      <c r="K96" s="60">
        <v>6.05</v>
      </c>
      <c r="L96" s="10" t="s">
        <v>43</v>
      </c>
      <c r="M96" s="60">
        <v>81.2</v>
      </c>
      <c r="N96" s="60">
        <v>15</v>
      </c>
      <c r="O96" s="60">
        <v>0</v>
      </c>
      <c r="P96" s="60">
        <v>1.01</v>
      </c>
      <c r="Q96" s="60">
        <v>12.58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2832</v>
      </c>
      <c r="B97" s="60">
        <v>13.27</v>
      </c>
      <c r="C97" s="60">
        <v>14.69</v>
      </c>
      <c r="D97" s="60">
        <v>27.97</v>
      </c>
      <c r="E97" s="60">
        <v>4.4000000000000004</v>
      </c>
      <c r="F97" s="60">
        <v>0.43</v>
      </c>
      <c r="G97" s="60">
        <v>35.880000000000003</v>
      </c>
      <c r="H97" s="60">
        <v>27.94</v>
      </c>
      <c r="I97" s="215" t="s">
        <v>36</v>
      </c>
      <c r="J97" s="60">
        <v>0.13</v>
      </c>
      <c r="K97" s="60">
        <v>6.23</v>
      </c>
      <c r="L97" s="10" t="s">
        <v>43</v>
      </c>
      <c r="M97" s="60">
        <v>82.67</v>
      </c>
      <c r="N97" s="60">
        <v>15</v>
      </c>
      <c r="O97" s="60">
        <v>0</v>
      </c>
      <c r="P97" s="60">
        <v>1.06</v>
      </c>
      <c r="Q97" s="60">
        <v>9.8800000000000008</v>
      </c>
      <c r="R97" s="197"/>
      <c r="S97" s="197"/>
      <c r="T97" s="197"/>
      <c r="U97" s="197"/>
    </row>
    <row r="98" spans="1:33" s="12" customFormat="1" x14ac:dyDescent="0.25">
      <c r="A98" s="200" t="s">
        <v>2833</v>
      </c>
      <c r="B98" s="60">
        <v>13.66</v>
      </c>
      <c r="C98" s="60">
        <v>15.12</v>
      </c>
      <c r="D98" s="60">
        <v>28.79</v>
      </c>
      <c r="E98" s="60">
        <v>4.2300000000000004</v>
      </c>
      <c r="F98" s="60">
        <v>0.09</v>
      </c>
      <c r="G98" s="60">
        <v>35.880000000000003</v>
      </c>
      <c r="H98" s="60">
        <v>27.94</v>
      </c>
      <c r="I98" s="215" t="s">
        <v>36</v>
      </c>
      <c r="J98" s="60">
        <v>0.39</v>
      </c>
      <c r="K98" s="60">
        <v>322.67</v>
      </c>
      <c r="L98" s="10" t="s">
        <v>43</v>
      </c>
      <c r="M98" s="60">
        <v>82.89</v>
      </c>
      <c r="N98" s="60">
        <v>14.8</v>
      </c>
      <c r="O98" s="60">
        <v>0</v>
      </c>
      <c r="P98" s="60">
        <v>1.08</v>
      </c>
      <c r="Q98" s="60">
        <v>11.07</v>
      </c>
      <c r="R98" s="197"/>
      <c r="S98" s="197"/>
      <c r="T98" s="197"/>
      <c r="U98" s="197"/>
    </row>
    <row r="99" spans="1:33" s="12" customFormat="1" x14ac:dyDescent="0.25">
      <c r="A99" s="200" t="s">
        <v>2834</v>
      </c>
      <c r="B99" s="60">
        <v>13.43</v>
      </c>
      <c r="C99" s="60">
        <v>14.14</v>
      </c>
      <c r="D99" s="60">
        <v>27.57</v>
      </c>
      <c r="E99" s="60">
        <v>4.18</v>
      </c>
      <c r="F99" s="60">
        <v>0.67</v>
      </c>
      <c r="G99" s="60">
        <v>35.880000000000003</v>
      </c>
      <c r="H99" s="60">
        <v>27.94</v>
      </c>
      <c r="I99" s="215" t="s">
        <v>36</v>
      </c>
      <c r="J99" s="60">
        <v>0.35</v>
      </c>
      <c r="K99" s="60">
        <v>333.13</v>
      </c>
      <c r="L99" s="10" t="s">
        <v>43</v>
      </c>
      <c r="M99" s="60">
        <v>82.9</v>
      </c>
      <c r="N99" s="60">
        <v>14.9</v>
      </c>
      <c r="O99" s="60">
        <v>0</v>
      </c>
      <c r="P99" s="60">
        <v>1.06</v>
      </c>
      <c r="Q99" s="60">
        <v>8.65</v>
      </c>
      <c r="R99" s="197"/>
      <c r="S99" s="197"/>
      <c r="T99" s="197"/>
      <c r="U99" s="197"/>
    </row>
    <row r="100" spans="1:33" s="12" customFormat="1" x14ac:dyDescent="0.25">
      <c r="A100" s="200" t="s">
        <v>2835</v>
      </c>
      <c r="B100" s="60">
        <v>12.49</v>
      </c>
      <c r="C100" s="60">
        <v>14.81</v>
      </c>
      <c r="D100" s="60">
        <v>27.3</v>
      </c>
      <c r="E100" s="60">
        <v>4.32</v>
      </c>
      <c r="F100" s="60">
        <v>0.1</v>
      </c>
      <c r="G100" s="60">
        <v>36.840000000000003</v>
      </c>
      <c r="H100" s="60">
        <v>27.17</v>
      </c>
      <c r="I100" s="215" t="s">
        <v>36</v>
      </c>
      <c r="J100" s="60">
        <v>0.37</v>
      </c>
      <c r="K100" s="60">
        <v>327.36</v>
      </c>
      <c r="L100" s="10" t="s">
        <v>43</v>
      </c>
      <c r="M100" s="60">
        <v>83.68</v>
      </c>
      <c r="N100" s="60">
        <v>14.9</v>
      </c>
      <c r="O100" s="60">
        <v>0</v>
      </c>
      <c r="P100" s="60">
        <v>1.04</v>
      </c>
      <c r="Q100" s="60">
        <v>8.39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2836</v>
      </c>
      <c r="B101" s="60">
        <v>11.72</v>
      </c>
      <c r="C101" s="60">
        <v>14.86</v>
      </c>
      <c r="D101" s="60">
        <v>26.58</v>
      </c>
      <c r="E101" s="60">
        <v>4.29</v>
      </c>
      <c r="F101" s="60">
        <v>0.09</v>
      </c>
      <c r="G101" s="60">
        <v>38.409999999999997</v>
      </c>
      <c r="H101" s="60">
        <v>25.92</v>
      </c>
      <c r="I101" s="215" t="s">
        <v>36</v>
      </c>
      <c r="J101" s="60">
        <v>0.45</v>
      </c>
      <c r="K101" s="60">
        <v>323.93</v>
      </c>
      <c r="L101" s="10" t="s">
        <v>43</v>
      </c>
      <c r="M101" s="60">
        <v>84.56</v>
      </c>
      <c r="N101" s="60">
        <v>14.9</v>
      </c>
      <c r="O101" s="60">
        <v>0</v>
      </c>
      <c r="P101" s="60">
        <v>0.99</v>
      </c>
      <c r="Q101" s="60">
        <v>9.99</v>
      </c>
      <c r="R101" s="197"/>
      <c r="S101" s="197"/>
      <c r="T101" s="197"/>
      <c r="U101" s="197"/>
    </row>
    <row r="102" spans="1:33" s="12" customFormat="1" x14ac:dyDescent="0.25">
      <c r="A102" s="200" t="s">
        <v>2837</v>
      </c>
      <c r="B102" s="60">
        <v>10.97</v>
      </c>
      <c r="C102" s="60">
        <v>14.16</v>
      </c>
      <c r="D102" s="60">
        <v>25.13</v>
      </c>
      <c r="E102" s="60">
        <v>4.4800000000000004</v>
      </c>
      <c r="F102" s="60">
        <v>0.17</v>
      </c>
      <c r="G102" s="60">
        <v>38.409999999999997</v>
      </c>
      <c r="H102" s="60">
        <v>25.92</v>
      </c>
      <c r="I102" s="215" t="s">
        <v>36</v>
      </c>
      <c r="J102" s="60">
        <v>0.67</v>
      </c>
      <c r="K102" s="60">
        <v>313.69</v>
      </c>
      <c r="L102" s="10" t="s">
        <v>43</v>
      </c>
      <c r="M102" s="60">
        <v>85.31</v>
      </c>
      <c r="N102" s="60">
        <v>14.8</v>
      </c>
      <c r="O102" s="60">
        <v>0</v>
      </c>
      <c r="P102" s="60">
        <v>0.96</v>
      </c>
      <c r="Q102" s="60">
        <v>8.1</v>
      </c>
      <c r="R102" s="197"/>
      <c r="S102" s="197"/>
      <c r="T102" s="197"/>
      <c r="U102" s="197"/>
    </row>
    <row r="103" spans="1:33" s="12" customFormat="1" x14ac:dyDescent="0.25">
      <c r="A103" s="200" t="s">
        <v>2838</v>
      </c>
      <c r="B103" s="60">
        <v>10.45</v>
      </c>
      <c r="C103" s="60">
        <v>14.03</v>
      </c>
      <c r="D103" s="60">
        <v>24.47</v>
      </c>
      <c r="E103" s="60">
        <v>4.6100000000000003</v>
      </c>
      <c r="F103" s="60">
        <v>0.04</v>
      </c>
      <c r="G103" s="60">
        <v>38.409999999999997</v>
      </c>
      <c r="H103" s="60">
        <v>25.92</v>
      </c>
      <c r="I103" s="215" t="s">
        <v>36</v>
      </c>
      <c r="J103" s="60">
        <v>0.32</v>
      </c>
      <c r="K103" s="60">
        <v>323.95999999999998</v>
      </c>
      <c r="L103" s="10" t="s">
        <v>43</v>
      </c>
      <c r="M103" s="60">
        <v>85.7</v>
      </c>
      <c r="N103" s="60">
        <v>15</v>
      </c>
      <c r="O103" s="60">
        <v>0</v>
      </c>
      <c r="P103" s="60">
        <v>0.94</v>
      </c>
      <c r="Q103" s="60">
        <v>10.34</v>
      </c>
      <c r="R103" s="197"/>
      <c r="S103" s="197"/>
      <c r="T103" s="197"/>
      <c r="U103" s="197"/>
    </row>
    <row r="104" spans="1:33" s="12" customFormat="1" x14ac:dyDescent="0.25">
      <c r="A104" s="200" t="s">
        <v>2839</v>
      </c>
      <c r="B104" s="60">
        <v>10.28</v>
      </c>
      <c r="C104" s="60">
        <v>13.69</v>
      </c>
      <c r="D104" s="60">
        <v>23.97</v>
      </c>
      <c r="E104" s="60">
        <v>2.2999999999999998</v>
      </c>
      <c r="F104" s="60">
        <v>0.03</v>
      </c>
      <c r="G104" s="60">
        <v>34.200000000000003</v>
      </c>
      <c r="H104" s="60">
        <v>24.42</v>
      </c>
      <c r="I104" s="215" t="s">
        <v>36</v>
      </c>
      <c r="J104" s="60">
        <v>0.38</v>
      </c>
      <c r="K104" s="60">
        <v>321.2</v>
      </c>
      <c r="L104" s="10" t="s">
        <v>43</v>
      </c>
      <c r="M104" s="60">
        <v>86.16</v>
      </c>
      <c r="N104" s="60">
        <v>15</v>
      </c>
      <c r="O104" s="60">
        <v>0</v>
      </c>
      <c r="P104" s="60">
        <v>0.93</v>
      </c>
      <c r="Q104" s="60">
        <v>12.12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5" t="s">
        <v>59</v>
      </c>
      <c r="B106" s="67">
        <f>MIN(B9:B104)</f>
        <v>0.31</v>
      </c>
      <c r="C106" s="67">
        <f>MIN(C9:C104)</f>
        <v>8.81</v>
      </c>
      <c r="D106" s="67">
        <f t="shared" ref="D106:Q106" si="0">MIN(D9:D104)</f>
        <v>12.95</v>
      </c>
      <c r="E106" s="67">
        <f t="shared" si="0"/>
        <v>1.82</v>
      </c>
      <c r="F106" s="67">
        <f t="shared" si="0"/>
        <v>0.01</v>
      </c>
      <c r="G106" s="67">
        <f t="shared" si="0"/>
        <v>22.26</v>
      </c>
      <c r="H106" s="67">
        <f t="shared" si="0"/>
        <v>12.2</v>
      </c>
      <c r="I106" s="67">
        <f t="shared" si="0"/>
        <v>0</v>
      </c>
      <c r="J106" s="67">
        <f t="shared" si="0"/>
        <v>0.01</v>
      </c>
      <c r="K106" s="67">
        <f t="shared" si="0"/>
        <v>4.9400000000000004</v>
      </c>
      <c r="L106" s="67">
        <f t="shared" si="0"/>
        <v>34.340000000000003</v>
      </c>
      <c r="M106" s="67">
        <f t="shared" si="0"/>
        <v>51.69</v>
      </c>
      <c r="N106" s="67">
        <f t="shared" si="0"/>
        <v>14.6</v>
      </c>
      <c r="O106" s="67">
        <f t="shared" si="0"/>
        <v>0</v>
      </c>
      <c r="P106" s="67">
        <f t="shared" si="0"/>
        <v>0.63</v>
      </c>
      <c r="Q106" s="67">
        <f t="shared" si="0"/>
        <v>3.72</v>
      </c>
      <c r="R106" s="198"/>
      <c r="S106" s="198"/>
      <c r="T106" s="198"/>
      <c r="U106" s="198"/>
    </row>
    <row r="107" spans="1:33" x14ac:dyDescent="0.25">
      <c r="A107" s="65" t="s">
        <v>60</v>
      </c>
      <c r="B107" s="66">
        <f>MAX(B9:B104)</f>
        <v>13.66</v>
      </c>
      <c r="C107" s="66">
        <f t="shared" ref="C107:Q107" si="1">MAX(C9:C104)</f>
        <v>18.11</v>
      </c>
      <c r="D107" s="66">
        <f t="shared" si="1"/>
        <v>28.79</v>
      </c>
      <c r="E107" s="66">
        <f t="shared" si="1"/>
        <v>7.08</v>
      </c>
      <c r="F107" s="66">
        <f t="shared" si="1"/>
        <v>2.0099999999999998</v>
      </c>
      <c r="G107" s="66">
        <f t="shared" si="1"/>
        <v>41.39</v>
      </c>
      <c r="H107" s="66">
        <f t="shared" si="1"/>
        <v>49.25</v>
      </c>
      <c r="I107" s="66">
        <f t="shared" si="1"/>
        <v>0</v>
      </c>
      <c r="J107" s="66">
        <f t="shared" si="1"/>
        <v>1.04</v>
      </c>
      <c r="K107" s="66">
        <f t="shared" si="1"/>
        <v>359.17</v>
      </c>
      <c r="L107" s="66">
        <f t="shared" si="1"/>
        <v>44.49</v>
      </c>
      <c r="M107" s="66">
        <f t="shared" si="1"/>
        <v>91.74</v>
      </c>
      <c r="N107" s="66">
        <f t="shared" si="1"/>
        <v>970.3</v>
      </c>
      <c r="O107" s="66">
        <f t="shared" si="1"/>
        <v>0</v>
      </c>
      <c r="P107" s="66">
        <f t="shared" si="1"/>
        <v>1.08</v>
      </c>
      <c r="Q107" s="66">
        <f t="shared" si="1"/>
        <v>24.02</v>
      </c>
      <c r="R107" s="199"/>
      <c r="S107" s="199"/>
      <c r="T107" s="199"/>
      <c r="U107" s="199"/>
    </row>
    <row r="108" spans="1:33" x14ac:dyDescent="0.25">
      <c r="A108" s="65" t="s">
        <v>61</v>
      </c>
      <c r="B108" s="67">
        <f>AVERAGE(B9:B104)</f>
        <v>6.1242708333333313</v>
      </c>
      <c r="C108" s="67">
        <f t="shared" ref="C108:Q108" si="2">AVERAGE(C9:C104)</f>
        <v>13.826979166666666</v>
      </c>
      <c r="D108" s="67">
        <f t="shared" si="2"/>
        <v>19.951562499999991</v>
      </c>
      <c r="E108" s="67">
        <f t="shared" si="2"/>
        <v>5.0547916666666675</v>
      </c>
      <c r="F108" s="67">
        <f t="shared" si="2"/>
        <v>0.4669565217391306</v>
      </c>
      <c r="G108" s="67">
        <f t="shared" si="2"/>
        <v>33.212625000000017</v>
      </c>
      <c r="H108" s="67">
        <f t="shared" si="2"/>
        <v>26.559895833333353</v>
      </c>
      <c r="I108" s="67" t="e">
        <f t="shared" si="2"/>
        <v>#DIV/0!</v>
      </c>
      <c r="J108" s="67">
        <f t="shared" si="2"/>
        <v>0.29250000000000009</v>
      </c>
      <c r="K108" s="67">
        <f t="shared" si="2"/>
        <v>267.68958333333325</v>
      </c>
      <c r="L108" s="67">
        <f t="shared" si="2"/>
        <v>37.268157894736852</v>
      </c>
      <c r="M108" s="67">
        <f t="shared" si="2"/>
        <v>72.269062499999976</v>
      </c>
      <c r="N108" s="67">
        <f t="shared" si="2"/>
        <v>248.31250000000003</v>
      </c>
      <c r="O108" s="67">
        <f t="shared" si="2"/>
        <v>0</v>
      </c>
      <c r="P108" s="67">
        <f t="shared" si="2"/>
        <v>0.79604166666666665</v>
      </c>
      <c r="Q108" s="67">
        <f t="shared" si="2"/>
        <v>13.362812499999997</v>
      </c>
      <c r="R108" s="198"/>
      <c r="S108" s="198"/>
      <c r="T108" s="198"/>
      <c r="U108" s="198"/>
    </row>
    <row r="109" spans="1:33" x14ac:dyDescent="0.25">
      <c r="A109" s="65" t="s">
        <v>77</v>
      </c>
      <c r="B109" s="67">
        <f>STDEV(B9:B104)</f>
        <v>3.56073255171244</v>
      </c>
      <c r="C109" s="67">
        <f t="shared" ref="C109:Q109" si="3">STDEV(C9:C104)</f>
        <v>2.9750920798812199</v>
      </c>
      <c r="D109" s="67">
        <f t="shared" si="3"/>
        <v>3.9300345058415886</v>
      </c>
      <c r="E109" s="67">
        <f t="shared" si="3"/>
        <v>1.1728121662026594</v>
      </c>
      <c r="F109" s="67">
        <f t="shared" si="3"/>
        <v>0.47708994044695685</v>
      </c>
      <c r="G109" s="67">
        <f t="shared" si="3"/>
        <v>5.1717682365934792</v>
      </c>
      <c r="H109" s="67">
        <f t="shared" si="3"/>
        <v>10.177323347292715</v>
      </c>
      <c r="I109" s="67" t="e">
        <f t="shared" si="3"/>
        <v>#DIV/0!</v>
      </c>
      <c r="J109" s="67">
        <f t="shared" si="3"/>
        <v>0.19684886000231369</v>
      </c>
      <c r="K109" s="67">
        <f t="shared" si="3"/>
        <v>102.9788267549431</v>
      </c>
      <c r="L109" s="67">
        <f t="shared" si="3"/>
        <v>3.3377916758978152</v>
      </c>
      <c r="M109" s="67">
        <f t="shared" si="3"/>
        <v>12.650419928800886</v>
      </c>
      <c r="N109" s="67">
        <f t="shared" si="3"/>
        <v>306.38165784386933</v>
      </c>
      <c r="O109" s="67">
        <f t="shared" si="3"/>
        <v>0</v>
      </c>
      <c r="P109" s="67">
        <f t="shared" si="3"/>
        <v>0.12930159901862007</v>
      </c>
      <c r="Q109" s="67">
        <f t="shared" si="3"/>
        <v>5.0929564783914598</v>
      </c>
      <c r="R109" s="198"/>
      <c r="S109" s="198"/>
      <c r="T109" s="198"/>
      <c r="U109" s="198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92</v>
      </c>
      <c r="G110" s="66">
        <f t="shared" si="4"/>
        <v>80</v>
      </c>
      <c r="H110" s="66">
        <f>COUNT(H9:H104)</f>
        <v>96</v>
      </c>
      <c r="I110" s="66">
        <f>COUNT(I9:I104)+96</f>
        <v>96</v>
      </c>
      <c r="J110" s="66">
        <f>COUNT(J9:J104)</f>
        <v>96</v>
      </c>
      <c r="K110" s="66">
        <f t="shared" si="4"/>
        <v>96</v>
      </c>
      <c r="L110" s="66">
        <f t="shared" si="4"/>
        <v>38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9"/>
      <c r="S110" s="199"/>
      <c r="T110" s="199"/>
      <c r="U110" s="199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&lt;90%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LESS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218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30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F111" sqref="F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28-08-2022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234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x14ac:dyDescent="0.25">
      <c r="A8" s="15"/>
      <c r="B8" s="196" t="s">
        <v>51</v>
      </c>
      <c r="C8" s="196" t="s">
        <v>51</v>
      </c>
      <c r="D8" s="196" t="s">
        <v>51</v>
      </c>
      <c r="E8" s="196" t="s">
        <v>51</v>
      </c>
      <c r="F8" s="196" t="s">
        <v>51</v>
      </c>
      <c r="G8" s="196" t="s">
        <v>51</v>
      </c>
      <c r="H8" s="196" t="s">
        <v>51</v>
      </c>
      <c r="I8" s="196" t="s">
        <v>51</v>
      </c>
      <c r="J8" s="196" t="s">
        <v>53</v>
      </c>
      <c r="K8" s="196" t="s">
        <v>54</v>
      </c>
      <c r="L8" s="195" t="s">
        <v>56</v>
      </c>
      <c r="M8" s="196" t="s">
        <v>55</v>
      </c>
      <c r="N8" s="196" t="s">
        <v>57</v>
      </c>
      <c r="O8" s="195" t="s">
        <v>58</v>
      </c>
      <c r="P8" s="196" t="s">
        <v>52</v>
      </c>
      <c r="Q8" s="196" t="s">
        <v>51</v>
      </c>
      <c r="R8" s="195"/>
      <c r="S8" s="196"/>
      <c r="T8" s="195"/>
      <c r="U8" s="195"/>
    </row>
    <row r="9" spans="1:21" s="12" customFormat="1" x14ac:dyDescent="0.25">
      <c r="A9" s="200" t="s">
        <v>2840</v>
      </c>
      <c r="B9" s="60">
        <v>10.1</v>
      </c>
      <c r="C9" s="60">
        <v>13.08</v>
      </c>
      <c r="D9" s="60">
        <v>23.18</v>
      </c>
      <c r="E9" s="60">
        <v>4.8899999999999997</v>
      </c>
      <c r="F9" s="60">
        <v>0.1</v>
      </c>
      <c r="G9" s="60">
        <v>27.26</v>
      </c>
      <c r="H9" s="60">
        <v>21.83</v>
      </c>
      <c r="I9" s="215" t="s">
        <v>36</v>
      </c>
      <c r="J9" s="60">
        <v>0.28000000000000003</v>
      </c>
      <c r="K9" s="60">
        <v>330.39</v>
      </c>
      <c r="L9" s="10" t="s">
        <v>43</v>
      </c>
      <c r="M9" s="60">
        <v>86.56</v>
      </c>
      <c r="N9" s="60">
        <v>14.8</v>
      </c>
      <c r="O9" s="60">
        <v>0</v>
      </c>
      <c r="P9" s="60">
        <v>0.92</v>
      </c>
      <c r="Q9" s="60">
        <v>13.43</v>
      </c>
      <c r="R9" s="197"/>
      <c r="S9" s="197"/>
      <c r="T9" s="197"/>
      <c r="U9" s="197"/>
    </row>
    <row r="10" spans="1:21" s="12" customFormat="1" x14ac:dyDescent="0.25">
      <c r="A10" s="200" t="s">
        <v>2841</v>
      </c>
      <c r="B10" s="60">
        <v>9.9700000000000006</v>
      </c>
      <c r="C10" s="60">
        <v>12.56</v>
      </c>
      <c r="D10" s="60">
        <v>22.53</v>
      </c>
      <c r="E10" s="60">
        <v>5.72</v>
      </c>
      <c r="F10" s="60">
        <v>0.08</v>
      </c>
      <c r="G10" s="60">
        <v>27.26</v>
      </c>
      <c r="H10" s="60">
        <v>21.83</v>
      </c>
      <c r="I10" s="215" t="s">
        <v>36</v>
      </c>
      <c r="J10" s="60">
        <v>0.14000000000000001</v>
      </c>
      <c r="K10" s="60">
        <v>7.91</v>
      </c>
      <c r="L10" s="10" t="s">
        <v>43</v>
      </c>
      <c r="M10" s="60">
        <v>85.91</v>
      </c>
      <c r="N10" s="60">
        <v>14.8</v>
      </c>
      <c r="O10" s="60">
        <v>0</v>
      </c>
      <c r="P10" s="60">
        <v>0.9</v>
      </c>
      <c r="Q10" s="60">
        <v>13.84</v>
      </c>
      <c r="R10" s="197"/>
      <c r="S10" s="197"/>
      <c r="T10" s="197"/>
      <c r="U10" s="197"/>
    </row>
    <row r="11" spans="1:21" s="12" customFormat="1" x14ac:dyDescent="0.25">
      <c r="A11" s="200" t="s">
        <v>2842</v>
      </c>
      <c r="B11" s="60">
        <v>9.6999999999999993</v>
      </c>
      <c r="C11" s="60">
        <v>12.46</v>
      </c>
      <c r="D11" s="60">
        <v>22.17</v>
      </c>
      <c r="E11" s="60">
        <v>5.62</v>
      </c>
      <c r="F11" s="60">
        <v>0.06</v>
      </c>
      <c r="G11" s="60">
        <v>27.26</v>
      </c>
      <c r="H11" s="60">
        <v>21.83</v>
      </c>
      <c r="I11" s="215" t="s">
        <v>36</v>
      </c>
      <c r="J11" s="60">
        <v>7.0000000000000007E-2</v>
      </c>
      <c r="K11" s="60">
        <v>217.02</v>
      </c>
      <c r="L11" s="10" t="s">
        <v>43</v>
      </c>
      <c r="M11" s="60">
        <v>85.3</v>
      </c>
      <c r="N11" s="60">
        <v>14.7</v>
      </c>
      <c r="O11" s="60">
        <v>0</v>
      </c>
      <c r="P11" s="60">
        <v>0.89</v>
      </c>
      <c r="Q11" s="60">
        <v>13.99</v>
      </c>
      <c r="R11" s="197"/>
      <c r="S11" s="197"/>
      <c r="T11" s="197"/>
      <c r="U11" s="197"/>
    </row>
    <row r="12" spans="1:21" s="12" customFormat="1" x14ac:dyDescent="0.25">
      <c r="A12" s="200" t="s">
        <v>2843</v>
      </c>
      <c r="B12" s="60">
        <v>9.44</v>
      </c>
      <c r="C12" s="60">
        <v>12.28</v>
      </c>
      <c r="D12" s="60">
        <v>21.72</v>
      </c>
      <c r="E12" s="60">
        <v>5.6</v>
      </c>
      <c r="F12" s="60">
        <v>0.02</v>
      </c>
      <c r="G12" s="60">
        <v>29.38</v>
      </c>
      <c r="H12" s="60">
        <v>21.75</v>
      </c>
      <c r="I12" s="215" t="s">
        <v>36</v>
      </c>
      <c r="J12" s="60">
        <v>0.24</v>
      </c>
      <c r="K12" s="60">
        <v>192.63</v>
      </c>
      <c r="L12" s="10" t="s">
        <v>43</v>
      </c>
      <c r="M12" s="60">
        <v>90.34</v>
      </c>
      <c r="N12" s="60">
        <v>15</v>
      </c>
      <c r="O12" s="60">
        <v>0</v>
      </c>
      <c r="P12" s="60">
        <v>0.87</v>
      </c>
      <c r="Q12" s="60">
        <v>14.65</v>
      </c>
      <c r="R12" s="197"/>
      <c r="S12" s="197"/>
      <c r="T12" s="197"/>
      <c r="U12" s="197"/>
    </row>
    <row r="13" spans="1:21" s="12" customFormat="1" x14ac:dyDescent="0.25">
      <c r="A13" s="200" t="s">
        <v>2844</v>
      </c>
      <c r="B13" s="60">
        <v>9.3000000000000007</v>
      </c>
      <c r="C13" s="60">
        <v>11.63</v>
      </c>
      <c r="D13" s="60">
        <v>20.93</v>
      </c>
      <c r="E13" s="60">
        <v>5.87</v>
      </c>
      <c r="F13" s="60">
        <v>0.08</v>
      </c>
      <c r="G13" s="60">
        <v>32.880000000000003</v>
      </c>
      <c r="H13" s="60">
        <v>21.64</v>
      </c>
      <c r="I13" s="215" t="s">
        <v>36</v>
      </c>
      <c r="J13" s="60">
        <v>0.17</v>
      </c>
      <c r="K13" s="60">
        <v>356.83</v>
      </c>
      <c r="L13" s="10" t="s">
        <v>43</v>
      </c>
      <c r="M13" s="60">
        <v>88.42</v>
      </c>
      <c r="N13" s="60">
        <v>15</v>
      </c>
      <c r="O13" s="60">
        <v>0</v>
      </c>
      <c r="P13" s="60">
        <v>0.84</v>
      </c>
      <c r="Q13" s="60">
        <v>15.82</v>
      </c>
      <c r="R13" s="197"/>
      <c r="S13" s="197"/>
      <c r="T13" s="197"/>
      <c r="U13" s="197"/>
    </row>
    <row r="14" spans="1:21" s="12" customFormat="1" x14ac:dyDescent="0.25">
      <c r="A14" s="200" t="s">
        <v>2845</v>
      </c>
      <c r="B14" s="60">
        <v>9.0399999999999991</v>
      </c>
      <c r="C14" s="60">
        <v>11.44</v>
      </c>
      <c r="D14" s="60">
        <v>20.48</v>
      </c>
      <c r="E14" s="60">
        <v>6.32</v>
      </c>
      <c r="F14" s="60">
        <v>0.23</v>
      </c>
      <c r="G14" s="60">
        <v>32.880000000000003</v>
      </c>
      <c r="H14" s="60">
        <v>21.64</v>
      </c>
      <c r="I14" s="215" t="s">
        <v>36</v>
      </c>
      <c r="J14" s="60">
        <v>0.06</v>
      </c>
      <c r="K14" s="60">
        <v>44.06</v>
      </c>
      <c r="L14" s="10" t="s">
        <v>43</v>
      </c>
      <c r="M14" s="60">
        <v>88.79</v>
      </c>
      <c r="N14" s="60">
        <v>14.9</v>
      </c>
      <c r="O14" s="60">
        <v>0</v>
      </c>
      <c r="P14" s="60">
        <v>0.86</v>
      </c>
      <c r="Q14" s="60">
        <v>14.11</v>
      </c>
      <c r="R14" s="197"/>
      <c r="S14" s="197"/>
      <c r="T14" s="197"/>
      <c r="U14" s="197"/>
    </row>
    <row r="15" spans="1:21" s="12" customFormat="1" x14ac:dyDescent="0.25">
      <c r="A15" s="200" t="s">
        <v>2846</v>
      </c>
      <c r="B15" s="60">
        <v>8.5</v>
      </c>
      <c r="C15" s="60">
        <v>10.44</v>
      </c>
      <c r="D15" s="60">
        <v>18.95</v>
      </c>
      <c r="E15" s="60">
        <v>5.89</v>
      </c>
      <c r="F15" s="60">
        <v>0.61</v>
      </c>
      <c r="G15" s="60">
        <v>32.880000000000003</v>
      </c>
      <c r="H15" s="60">
        <v>21.64</v>
      </c>
      <c r="I15" s="215" t="s">
        <v>36</v>
      </c>
      <c r="J15" s="60">
        <v>0.01</v>
      </c>
      <c r="K15" s="60">
        <v>211.56</v>
      </c>
      <c r="L15" s="10" t="s">
        <v>43</v>
      </c>
      <c r="M15" s="60">
        <v>87.94</v>
      </c>
      <c r="N15" s="60">
        <v>14.8</v>
      </c>
      <c r="O15" s="60">
        <v>0</v>
      </c>
      <c r="P15" s="60">
        <v>0.83</v>
      </c>
      <c r="Q15" s="60">
        <v>10.15</v>
      </c>
      <c r="R15" s="197"/>
      <c r="S15" s="197"/>
      <c r="T15" s="197"/>
      <c r="U15" s="197"/>
    </row>
    <row r="16" spans="1:21" s="12" customFormat="1" x14ac:dyDescent="0.25">
      <c r="A16" s="200" t="s">
        <v>2847</v>
      </c>
      <c r="B16" s="60">
        <v>7.76</v>
      </c>
      <c r="C16" s="60">
        <v>11.13</v>
      </c>
      <c r="D16" s="60">
        <v>18.899999999999999</v>
      </c>
      <c r="E16" s="60">
        <v>6.19</v>
      </c>
      <c r="F16" s="60">
        <v>0.05</v>
      </c>
      <c r="G16" s="60">
        <v>31.87</v>
      </c>
      <c r="H16" s="60">
        <v>20.11</v>
      </c>
      <c r="I16" s="215" t="s">
        <v>36</v>
      </c>
      <c r="J16" s="60">
        <v>0.04</v>
      </c>
      <c r="K16" s="60">
        <v>318.39999999999998</v>
      </c>
      <c r="L16" s="10" t="s">
        <v>43</v>
      </c>
      <c r="M16" s="60">
        <v>89.82</v>
      </c>
      <c r="N16" s="60">
        <v>15</v>
      </c>
      <c r="O16" s="60">
        <v>0</v>
      </c>
      <c r="P16" s="60">
        <v>0.82</v>
      </c>
      <c r="Q16" s="60">
        <v>9.48</v>
      </c>
      <c r="R16" s="197"/>
      <c r="S16" s="197"/>
      <c r="T16" s="197"/>
      <c r="U16" s="197"/>
    </row>
    <row r="17" spans="1:21" s="12" customFormat="1" x14ac:dyDescent="0.25">
      <c r="A17" s="200" t="s">
        <v>2848</v>
      </c>
      <c r="B17" s="60">
        <v>7.18</v>
      </c>
      <c r="C17" s="60">
        <v>10.87</v>
      </c>
      <c r="D17" s="60">
        <v>18.05</v>
      </c>
      <c r="E17" s="60">
        <v>6.06</v>
      </c>
      <c r="F17" s="215" t="s">
        <v>36</v>
      </c>
      <c r="G17" s="60">
        <v>30.21</v>
      </c>
      <c r="H17" s="60">
        <v>17.489999999999998</v>
      </c>
      <c r="I17" s="215" t="s">
        <v>36</v>
      </c>
      <c r="J17" s="60">
        <v>0.06</v>
      </c>
      <c r="K17" s="60">
        <v>355.26</v>
      </c>
      <c r="L17" s="10" t="s">
        <v>43</v>
      </c>
      <c r="M17" s="60">
        <v>91.11</v>
      </c>
      <c r="N17" s="60">
        <v>15</v>
      </c>
      <c r="O17" s="60">
        <v>0</v>
      </c>
      <c r="P17" s="60">
        <v>0.8</v>
      </c>
      <c r="Q17" s="60">
        <v>9.9499999999999993</v>
      </c>
      <c r="R17" s="197"/>
      <c r="S17" s="197"/>
      <c r="T17" s="197"/>
      <c r="U17" s="197"/>
    </row>
    <row r="18" spans="1:21" s="12" customFormat="1" x14ac:dyDescent="0.25">
      <c r="A18" s="200" t="s">
        <v>2849</v>
      </c>
      <c r="B18" s="60">
        <v>6.72</v>
      </c>
      <c r="C18" s="60">
        <v>11.01</v>
      </c>
      <c r="D18" s="60">
        <v>17.73</v>
      </c>
      <c r="E18" s="60">
        <v>5.76</v>
      </c>
      <c r="F18" s="60">
        <v>0.01</v>
      </c>
      <c r="G18" s="60">
        <v>30.21</v>
      </c>
      <c r="H18" s="60">
        <v>17.489999999999998</v>
      </c>
      <c r="I18" s="215" t="s">
        <v>36</v>
      </c>
      <c r="J18" s="60">
        <v>0.14000000000000001</v>
      </c>
      <c r="K18" s="60">
        <v>11.4</v>
      </c>
      <c r="L18" s="10" t="s">
        <v>43</v>
      </c>
      <c r="M18" s="60">
        <v>91.62</v>
      </c>
      <c r="N18" s="60">
        <v>14.9</v>
      </c>
      <c r="O18" s="60">
        <v>0</v>
      </c>
      <c r="P18" s="60">
        <v>0.77</v>
      </c>
      <c r="Q18" s="60">
        <v>10.19</v>
      </c>
      <c r="R18" s="197"/>
      <c r="S18" s="197"/>
      <c r="T18" s="197"/>
      <c r="U18" s="197"/>
    </row>
    <row r="19" spans="1:21" s="12" customFormat="1" x14ac:dyDescent="0.25">
      <c r="A19" s="200" t="s">
        <v>2850</v>
      </c>
      <c r="B19" s="60">
        <v>6.44</v>
      </c>
      <c r="C19" s="60">
        <v>9.86</v>
      </c>
      <c r="D19" s="60">
        <v>16.309999999999999</v>
      </c>
      <c r="E19" s="60">
        <v>5.64</v>
      </c>
      <c r="F19" s="60">
        <v>0.24</v>
      </c>
      <c r="G19" s="60">
        <v>30.21</v>
      </c>
      <c r="H19" s="60">
        <v>17.489999999999998</v>
      </c>
      <c r="I19" s="215" t="s">
        <v>36</v>
      </c>
      <c r="J19" s="60">
        <v>0.24</v>
      </c>
      <c r="K19" s="60">
        <v>324.8</v>
      </c>
      <c r="L19" s="10" t="s">
        <v>43</v>
      </c>
      <c r="M19" s="60">
        <v>90.33</v>
      </c>
      <c r="N19" s="60">
        <v>14.7</v>
      </c>
      <c r="O19" s="60">
        <v>0</v>
      </c>
      <c r="P19" s="60">
        <v>0.75</v>
      </c>
      <c r="Q19" s="60">
        <v>7.32</v>
      </c>
      <c r="R19" s="197"/>
      <c r="S19" s="197"/>
      <c r="T19" s="197"/>
      <c r="U19" s="197"/>
    </row>
    <row r="20" spans="1:21" s="12" customFormat="1" x14ac:dyDescent="0.25">
      <c r="A20" s="200" t="s">
        <v>2851</v>
      </c>
      <c r="B20" s="60">
        <v>6.01</v>
      </c>
      <c r="C20" s="60">
        <v>11.01</v>
      </c>
      <c r="D20" s="60">
        <v>17.02</v>
      </c>
      <c r="E20" s="60">
        <v>5.94</v>
      </c>
      <c r="F20" s="215" t="s">
        <v>36</v>
      </c>
      <c r="G20" s="60">
        <v>29.88</v>
      </c>
      <c r="H20" s="60">
        <v>19.16</v>
      </c>
      <c r="I20" s="215" t="s">
        <v>36</v>
      </c>
      <c r="J20" s="60">
        <v>0.1</v>
      </c>
      <c r="K20" s="60">
        <v>351.46</v>
      </c>
      <c r="L20" s="10" t="s">
        <v>43</v>
      </c>
      <c r="M20" s="60">
        <v>87.67</v>
      </c>
      <c r="N20" s="60">
        <v>14.8</v>
      </c>
      <c r="O20" s="60">
        <v>0</v>
      </c>
      <c r="P20" s="60">
        <v>0.75</v>
      </c>
      <c r="Q20" s="60">
        <v>8.94</v>
      </c>
      <c r="R20" s="197"/>
      <c r="S20" s="197"/>
      <c r="T20" s="197"/>
      <c r="U20" s="197"/>
    </row>
    <row r="21" spans="1:21" s="12" customFormat="1" x14ac:dyDescent="0.25">
      <c r="A21" s="200" t="s">
        <v>2852</v>
      </c>
      <c r="B21" s="60">
        <v>5.7</v>
      </c>
      <c r="C21" s="60">
        <v>11.72</v>
      </c>
      <c r="D21" s="60">
        <v>17.41</v>
      </c>
      <c r="E21" s="60">
        <v>6.26</v>
      </c>
      <c r="F21" s="215" t="s">
        <v>36</v>
      </c>
      <c r="G21" s="60">
        <v>29.35</v>
      </c>
      <c r="H21" s="60">
        <v>22.04</v>
      </c>
      <c r="I21" s="215" t="s">
        <v>36</v>
      </c>
      <c r="J21" s="60">
        <v>0.08</v>
      </c>
      <c r="K21" s="60">
        <v>236.37</v>
      </c>
      <c r="L21" s="10" t="s">
        <v>43</v>
      </c>
      <c r="M21" s="60">
        <v>89.07</v>
      </c>
      <c r="N21" s="60">
        <v>14.8</v>
      </c>
      <c r="O21" s="60">
        <v>0</v>
      </c>
      <c r="P21" s="60">
        <v>0.74</v>
      </c>
      <c r="Q21" s="60">
        <v>11.61</v>
      </c>
      <c r="R21" s="197"/>
      <c r="S21" s="197"/>
      <c r="T21" s="197"/>
      <c r="U21" s="197"/>
    </row>
    <row r="22" spans="1:21" s="12" customFormat="1" x14ac:dyDescent="0.25">
      <c r="A22" s="200" t="s">
        <v>2853</v>
      </c>
      <c r="B22" s="60">
        <v>5.62</v>
      </c>
      <c r="C22" s="60">
        <v>11.1</v>
      </c>
      <c r="D22" s="60">
        <v>16.73</v>
      </c>
      <c r="E22" s="60">
        <v>6.18</v>
      </c>
      <c r="F22" s="60">
        <v>0.04</v>
      </c>
      <c r="G22" s="60">
        <v>29.35</v>
      </c>
      <c r="H22" s="60">
        <v>22.04</v>
      </c>
      <c r="I22" s="215" t="s">
        <v>36</v>
      </c>
      <c r="J22" s="60">
        <v>0.05</v>
      </c>
      <c r="K22" s="60">
        <v>218.06</v>
      </c>
      <c r="L22" s="10" t="s">
        <v>43</v>
      </c>
      <c r="M22" s="60">
        <v>90.56</v>
      </c>
      <c r="N22" s="60">
        <v>14.7</v>
      </c>
      <c r="O22" s="60">
        <v>0</v>
      </c>
      <c r="P22" s="60">
        <v>0.74</v>
      </c>
      <c r="Q22" s="60">
        <v>13.34</v>
      </c>
      <c r="R22" s="197"/>
      <c r="S22" s="197"/>
      <c r="T22" s="197"/>
      <c r="U22" s="197"/>
    </row>
    <row r="23" spans="1:21" s="12" customFormat="1" x14ac:dyDescent="0.25">
      <c r="A23" s="200" t="s">
        <v>2854</v>
      </c>
      <c r="B23" s="60">
        <v>5.57</v>
      </c>
      <c r="C23" s="60">
        <v>10.75</v>
      </c>
      <c r="D23" s="60">
        <v>16.32</v>
      </c>
      <c r="E23" s="60">
        <v>6.05</v>
      </c>
      <c r="F23" s="60">
        <v>0.04</v>
      </c>
      <c r="G23" s="60">
        <v>29.35</v>
      </c>
      <c r="H23" s="60">
        <v>22.04</v>
      </c>
      <c r="I23" s="215" t="s">
        <v>36</v>
      </c>
      <c r="J23" s="60">
        <v>0.05</v>
      </c>
      <c r="K23" s="60">
        <v>218.01</v>
      </c>
      <c r="L23" s="10" t="s">
        <v>43</v>
      </c>
      <c r="M23" s="60">
        <v>90.54</v>
      </c>
      <c r="N23" s="60">
        <v>14.6</v>
      </c>
      <c r="O23" s="60">
        <v>0</v>
      </c>
      <c r="P23" s="60">
        <v>0.73</v>
      </c>
      <c r="Q23" s="60">
        <v>14.27</v>
      </c>
      <c r="R23" s="197"/>
      <c r="S23" s="197"/>
      <c r="T23" s="197"/>
      <c r="U23" s="197"/>
    </row>
    <row r="24" spans="1:21" s="12" customFormat="1" x14ac:dyDescent="0.25">
      <c r="A24" s="200" t="s">
        <v>2855</v>
      </c>
      <c r="B24" s="60">
        <v>5.52</v>
      </c>
      <c r="C24" s="60">
        <v>10.62</v>
      </c>
      <c r="D24" s="60">
        <v>16.14</v>
      </c>
      <c r="E24" s="60">
        <v>3.27</v>
      </c>
      <c r="F24" s="9" t="s">
        <v>36</v>
      </c>
      <c r="G24" s="60">
        <v>29.09</v>
      </c>
      <c r="H24" s="60">
        <v>20.2</v>
      </c>
      <c r="I24" s="215" t="s">
        <v>36</v>
      </c>
      <c r="J24" s="60">
        <v>0.05</v>
      </c>
      <c r="K24" s="60">
        <v>244.82</v>
      </c>
      <c r="L24" s="10" t="s">
        <v>43</v>
      </c>
      <c r="M24" s="60">
        <v>91.36</v>
      </c>
      <c r="N24" s="60">
        <v>14.6</v>
      </c>
      <c r="O24" s="60">
        <v>0</v>
      </c>
      <c r="P24" s="60">
        <v>0.74</v>
      </c>
      <c r="Q24" s="60">
        <v>15.15</v>
      </c>
      <c r="R24" s="197"/>
      <c r="S24" s="197"/>
      <c r="T24" s="197"/>
      <c r="U24" s="197"/>
    </row>
    <row r="25" spans="1:21" s="12" customFormat="1" x14ac:dyDescent="0.25">
      <c r="A25" s="200" t="s">
        <v>2856</v>
      </c>
      <c r="B25" s="60">
        <v>5.5</v>
      </c>
      <c r="C25" s="60">
        <v>10.42</v>
      </c>
      <c r="D25" s="60">
        <v>15.92</v>
      </c>
      <c r="E25" s="60">
        <v>5.92</v>
      </c>
      <c r="F25" s="60">
        <v>0.14000000000000001</v>
      </c>
      <c r="G25" s="60">
        <v>28.67</v>
      </c>
      <c r="H25" s="60">
        <v>17.03</v>
      </c>
      <c r="I25" s="215" t="s">
        <v>36</v>
      </c>
      <c r="J25" s="60">
        <v>0.22</v>
      </c>
      <c r="K25" s="60">
        <v>207.68</v>
      </c>
      <c r="L25" s="10" t="s">
        <v>43</v>
      </c>
      <c r="M25" s="60">
        <v>92.57</v>
      </c>
      <c r="N25" s="60">
        <v>14.6</v>
      </c>
      <c r="O25" s="60">
        <v>0</v>
      </c>
      <c r="P25" s="60">
        <v>0.71</v>
      </c>
      <c r="Q25" s="60">
        <v>16.29</v>
      </c>
      <c r="R25" s="197"/>
      <c r="S25" s="197"/>
      <c r="T25" s="197"/>
      <c r="U25" s="197"/>
    </row>
    <row r="26" spans="1:21" s="12" customFormat="1" x14ac:dyDescent="0.25">
      <c r="A26" s="200" t="s">
        <v>2857</v>
      </c>
      <c r="B26" s="60">
        <v>5.5</v>
      </c>
      <c r="C26" s="60">
        <v>10.15</v>
      </c>
      <c r="D26" s="60">
        <v>15.65</v>
      </c>
      <c r="E26" s="60">
        <v>6.2</v>
      </c>
      <c r="F26" s="60">
        <v>0.21</v>
      </c>
      <c r="G26" s="60">
        <v>28.67</v>
      </c>
      <c r="H26" s="60">
        <v>17.03</v>
      </c>
      <c r="I26" s="215" t="s">
        <v>36</v>
      </c>
      <c r="J26" s="60">
        <v>0.38</v>
      </c>
      <c r="K26" s="60">
        <v>199.13</v>
      </c>
      <c r="L26" s="10" t="s">
        <v>43</v>
      </c>
      <c r="M26" s="60">
        <v>96.89</v>
      </c>
      <c r="N26" s="60">
        <v>14.6</v>
      </c>
      <c r="O26" s="60">
        <v>0</v>
      </c>
      <c r="P26" s="60">
        <v>0.7</v>
      </c>
      <c r="Q26" s="60">
        <v>16.559999999999999</v>
      </c>
      <c r="R26" s="197"/>
      <c r="S26" s="197"/>
      <c r="T26" s="197"/>
      <c r="U26" s="197"/>
    </row>
    <row r="27" spans="1:21" s="12" customFormat="1" x14ac:dyDescent="0.25">
      <c r="A27" s="200" t="s">
        <v>2858</v>
      </c>
      <c r="B27" s="60">
        <v>5.57</v>
      </c>
      <c r="C27" s="60">
        <v>9.99</v>
      </c>
      <c r="D27" s="60">
        <v>15.56</v>
      </c>
      <c r="E27" s="60">
        <v>6.2</v>
      </c>
      <c r="F27" s="60">
        <v>0.14000000000000001</v>
      </c>
      <c r="G27" s="60">
        <v>28.67</v>
      </c>
      <c r="H27" s="60">
        <v>17.03</v>
      </c>
      <c r="I27" s="215" t="s">
        <v>36</v>
      </c>
      <c r="J27" s="60">
        <v>0.18</v>
      </c>
      <c r="K27" s="60">
        <v>193.47</v>
      </c>
      <c r="L27" s="10" t="s">
        <v>43</v>
      </c>
      <c r="M27" s="60">
        <v>97.37</v>
      </c>
      <c r="N27" s="60">
        <v>14.8</v>
      </c>
      <c r="O27" s="60">
        <v>0</v>
      </c>
      <c r="P27" s="60">
        <v>0.7</v>
      </c>
      <c r="Q27" s="60">
        <v>16.98</v>
      </c>
      <c r="R27" s="197"/>
      <c r="S27" s="197"/>
      <c r="T27" s="197"/>
      <c r="U27" s="197"/>
    </row>
    <row r="28" spans="1:21" s="12" customFormat="1" x14ac:dyDescent="0.25">
      <c r="A28" s="200" t="s">
        <v>2859</v>
      </c>
      <c r="B28" s="60">
        <v>5.77</v>
      </c>
      <c r="C28" s="60">
        <v>9.9600000000000009</v>
      </c>
      <c r="D28" s="60">
        <v>15.72</v>
      </c>
      <c r="E28" s="60">
        <v>6.81</v>
      </c>
      <c r="F28" s="60">
        <v>0.11</v>
      </c>
      <c r="G28" s="60">
        <v>27.11</v>
      </c>
      <c r="H28" s="60">
        <v>16.37</v>
      </c>
      <c r="I28" s="215" t="s">
        <v>36</v>
      </c>
      <c r="J28" s="60">
        <v>0.18</v>
      </c>
      <c r="K28" s="60">
        <v>236.83</v>
      </c>
      <c r="L28" s="10" t="s">
        <v>43</v>
      </c>
      <c r="M28" s="60">
        <v>97.52</v>
      </c>
      <c r="N28" s="60">
        <v>14.9</v>
      </c>
      <c r="O28" s="60">
        <v>0</v>
      </c>
      <c r="P28" s="60">
        <v>0.7</v>
      </c>
      <c r="Q28" s="60">
        <v>17.75</v>
      </c>
      <c r="R28" s="197"/>
      <c r="S28" s="197"/>
      <c r="T28" s="197"/>
      <c r="U28" s="197"/>
    </row>
    <row r="29" spans="1:21" s="12" customFormat="1" x14ac:dyDescent="0.25">
      <c r="A29" s="200" t="s">
        <v>2860</v>
      </c>
      <c r="B29" s="60">
        <v>6.03</v>
      </c>
      <c r="C29" s="60">
        <v>9.1</v>
      </c>
      <c r="D29" s="60">
        <v>15.14</v>
      </c>
      <c r="E29" s="60">
        <v>6.82</v>
      </c>
      <c r="F29" s="60">
        <v>0.74</v>
      </c>
      <c r="G29" s="60">
        <v>24.55</v>
      </c>
      <c r="H29" s="60">
        <v>15.24</v>
      </c>
      <c r="I29" s="215" t="s">
        <v>36</v>
      </c>
      <c r="J29" s="60">
        <v>0.14000000000000001</v>
      </c>
      <c r="K29" s="60">
        <v>232.96</v>
      </c>
      <c r="L29" s="10" t="s">
        <v>43</v>
      </c>
      <c r="M29" s="60">
        <v>96.1</v>
      </c>
      <c r="N29" s="60">
        <v>14.6</v>
      </c>
      <c r="O29" s="60">
        <v>0</v>
      </c>
      <c r="P29" s="60">
        <v>0.68</v>
      </c>
      <c r="Q29" s="60">
        <v>15.57</v>
      </c>
      <c r="R29" s="197"/>
      <c r="S29" s="197"/>
      <c r="T29" s="197"/>
      <c r="U29" s="197"/>
    </row>
    <row r="30" spans="1:21" s="12" customFormat="1" x14ac:dyDescent="0.25">
      <c r="A30" s="200" t="s">
        <v>2861</v>
      </c>
      <c r="B30" s="60">
        <v>5.99</v>
      </c>
      <c r="C30" s="60">
        <v>9.0399999999999991</v>
      </c>
      <c r="D30" s="60">
        <v>15.02</v>
      </c>
      <c r="E30" s="60">
        <v>6.49</v>
      </c>
      <c r="F30" s="60">
        <v>0.3</v>
      </c>
      <c r="G30" s="60">
        <v>24.55</v>
      </c>
      <c r="H30" s="60">
        <v>15.24</v>
      </c>
      <c r="I30" s="215" t="s">
        <v>36</v>
      </c>
      <c r="J30" s="60">
        <v>0.06</v>
      </c>
      <c r="K30" s="60">
        <v>214.97</v>
      </c>
      <c r="L30" s="10" t="s">
        <v>43</v>
      </c>
      <c r="M30" s="60">
        <v>95.44</v>
      </c>
      <c r="N30" s="60">
        <v>14.7</v>
      </c>
      <c r="O30" s="60">
        <v>0</v>
      </c>
      <c r="P30" s="60">
        <v>0.67</v>
      </c>
      <c r="Q30" s="60">
        <v>12.55</v>
      </c>
      <c r="R30" s="197"/>
      <c r="S30" s="197"/>
      <c r="T30" s="197"/>
      <c r="U30" s="197"/>
    </row>
    <row r="31" spans="1:21" s="12" customFormat="1" x14ac:dyDescent="0.25">
      <c r="A31" s="200" t="s">
        <v>2862</v>
      </c>
      <c r="B31" s="60">
        <v>6.21</v>
      </c>
      <c r="C31" s="60">
        <v>9.82</v>
      </c>
      <c r="D31" s="60">
        <v>16.03</v>
      </c>
      <c r="E31" s="60">
        <v>6.27</v>
      </c>
      <c r="F31" s="60">
        <v>0.12</v>
      </c>
      <c r="G31" s="60">
        <v>24.55</v>
      </c>
      <c r="H31" s="60">
        <v>15.24</v>
      </c>
      <c r="I31" s="215" t="s">
        <v>36</v>
      </c>
      <c r="J31" s="60">
        <v>0.04</v>
      </c>
      <c r="K31" s="60">
        <v>338.87</v>
      </c>
      <c r="L31" s="10" t="s">
        <v>43</v>
      </c>
      <c r="M31" s="60">
        <v>95.98</v>
      </c>
      <c r="N31" s="60">
        <v>17.100000000000001</v>
      </c>
      <c r="O31" s="60">
        <v>0</v>
      </c>
      <c r="P31" s="60">
        <v>0.66</v>
      </c>
      <c r="Q31" s="60">
        <v>13.07</v>
      </c>
      <c r="R31" s="197"/>
      <c r="S31" s="197"/>
      <c r="T31" s="197"/>
      <c r="U31" s="197"/>
    </row>
    <row r="32" spans="1:21" s="12" customFormat="1" x14ac:dyDescent="0.25">
      <c r="A32" s="200" t="s">
        <v>2863</v>
      </c>
      <c r="B32" s="60">
        <v>6.7</v>
      </c>
      <c r="C32" s="60">
        <v>10.46</v>
      </c>
      <c r="D32" s="60">
        <v>17.16</v>
      </c>
      <c r="E32" s="60">
        <v>6.14</v>
      </c>
      <c r="F32" s="60">
        <v>0.04</v>
      </c>
      <c r="G32" s="60">
        <v>24</v>
      </c>
      <c r="H32" s="60">
        <v>14.93</v>
      </c>
      <c r="I32" s="215" t="s">
        <v>36</v>
      </c>
      <c r="J32" s="60">
        <v>0.05</v>
      </c>
      <c r="K32" s="60">
        <v>173.55</v>
      </c>
      <c r="L32" s="10" t="s">
        <v>43</v>
      </c>
      <c r="M32" s="60">
        <v>95.87</v>
      </c>
      <c r="N32" s="60">
        <v>28.7</v>
      </c>
      <c r="O32" s="60">
        <v>0</v>
      </c>
      <c r="P32" s="60">
        <v>0.66</v>
      </c>
      <c r="Q32" s="60">
        <v>13.64</v>
      </c>
      <c r="R32" s="197"/>
      <c r="S32" s="197"/>
      <c r="T32" s="197"/>
      <c r="U32" s="197"/>
    </row>
    <row r="33" spans="1:21" s="12" customFormat="1" x14ac:dyDescent="0.25">
      <c r="A33" s="200" t="s">
        <v>2864</v>
      </c>
      <c r="B33" s="60">
        <v>6.86</v>
      </c>
      <c r="C33" s="60">
        <v>9.7200000000000006</v>
      </c>
      <c r="D33" s="60">
        <v>16.579999999999998</v>
      </c>
      <c r="E33" s="60">
        <v>6.33</v>
      </c>
      <c r="F33" s="60">
        <v>0.27</v>
      </c>
      <c r="G33" s="60">
        <v>23.07</v>
      </c>
      <c r="H33" s="60">
        <v>14.4</v>
      </c>
      <c r="I33" s="215" t="s">
        <v>36</v>
      </c>
      <c r="J33" s="60">
        <v>7.0000000000000007E-2</v>
      </c>
      <c r="K33" s="60">
        <v>205.05</v>
      </c>
      <c r="L33" s="10" t="s">
        <v>43</v>
      </c>
      <c r="M33" s="60">
        <v>95.78</v>
      </c>
      <c r="N33" s="60">
        <v>42</v>
      </c>
      <c r="O33" s="60">
        <v>0</v>
      </c>
      <c r="P33" s="60">
        <v>0.65</v>
      </c>
      <c r="Q33" s="60">
        <v>11.56</v>
      </c>
      <c r="R33" s="197"/>
      <c r="S33" s="197"/>
      <c r="T33" s="197"/>
      <c r="U33" s="197"/>
    </row>
    <row r="34" spans="1:21" s="12" customFormat="1" x14ac:dyDescent="0.25">
      <c r="A34" s="200" t="s">
        <v>2865</v>
      </c>
      <c r="B34" s="60">
        <v>6.95</v>
      </c>
      <c r="C34" s="60">
        <v>10.55</v>
      </c>
      <c r="D34" s="60">
        <v>17.510000000000002</v>
      </c>
      <c r="E34" s="60">
        <v>5.98</v>
      </c>
      <c r="F34" s="60">
        <v>0.01</v>
      </c>
      <c r="G34" s="60">
        <v>23.07</v>
      </c>
      <c r="H34" s="60">
        <v>14.4</v>
      </c>
      <c r="I34" s="215" t="s">
        <v>36</v>
      </c>
      <c r="J34" s="60">
        <v>0.18</v>
      </c>
      <c r="K34" s="60">
        <v>194.17</v>
      </c>
      <c r="L34" s="10" t="s">
        <v>43</v>
      </c>
      <c r="M34" s="60">
        <v>95.24</v>
      </c>
      <c r="N34" s="60">
        <v>56.7</v>
      </c>
      <c r="O34" s="60">
        <v>0</v>
      </c>
      <c r="P34" s="60">
        <v>0.67</v>
      </c>
      <c r="Q34" s="60">
        <v>12.39</v>
      </c>
      <c r="R34" s="197"/>
      <c r="S34" s="197"/>
      <c r="T34" s="197"/>
      <c r="U34" s="197"/>
    </row>
    <row r="35" spans="1:21" s="12" customFormat="1" x14ac:dyDescent="0.25">
      <c r="A35" s="200" t="s">
        <v>2866</v>
      </c>
      <c r="B35" s="60">
        <v>7.22</v>
      </c>
      <c r="C35" s="60">
        <v>10.02</v>
      </c>
      <c r="D35" s="60">
        <v>17.239999999999998</v>
      </c>
      <c r="E35" s="60">
        <v>6.79</v>
      </c>
      <c r="F35" s="60">
        <v>0.1</v>
      </c>
      <c r="G35" s="60">
        <v>23.07</v>
      </c>
      <c r="H35" s="60">
        <v>14.4</v>
      </c>
      <c r="I35" s="215" t="s">
        <v>36</v>
      </c>
      <c r="J35" s="60">
        <v>0.12</v>
      </c>
      <c r="K35" s="60">
        <v>210.07</v>
      </c>
      <c r="L35" s="10" t="s">
        <v>43</v>
      </c>
      <c r="M35" s="60">
        <v>91.03</v>
      </c>
      <c r="N35" s="60">
        <v>134.5</v>
      </c>
      <c r="O35" s="60">
        <v>0</v>
      </c>
      <c r="P35" s="60">
        <v>0.65</v>
      </c>
      <c r="Q35" s="60">
        <v>12.8</v>
      </c>
      <c r="R35" s="197"/>
      <c r="S35" s="197"/>
      <c r="T35" s="197"/>
      <c r="U35" s="197"/>
    </row>
    <row r="36" spans="1:21" s="12" customFormat="1" x14ac:dyDescent="0.25">
      <c r="A36" s="200" t="s">
        <v>2867</v>
      </c>
      <c r="B36" s="60">
        <v>7.44</v>
      </c>
      <c r="C36" s="60">
        <v>10.36</v>
      </c>
      <c r="D36" s="60">
        <v>17.8</v>
      </c>
      <c r="E36" s="60">
        <v>6.11</v>
      </c>
      <c r="F36" s="60">
        <v>0.05</v>
      </c>
      <c r="G36" s="60">
        <v>22.56</v>
      </c>
      <c r="H36" s="60">
        <v>14.93</v>
      </c>
      <c r="I36" s="215" t="s">
        <v>36</v>
      </c>
      <c r="J36" s="60">
        <v>0.13</v>
      </c>
      <c r="K36" s="60">
        <v>27.1</v>
      </c>
      <c r="L36" s="10" t="s">
        <v>43</v>
      </c>
      <c r="M36" s="60">
        <v>86.81</v>
      </c>
      <c r="N36" s="60">
        <v>158.5</v>
      </c>
      <c r="O36" s="60">
        <v>0</v>
      </c>
      <c r="P36" s="60">
        <v>0.66</v>
      </c>
      <c r="Q36" s="60">
        <v>14.78</v>
      </c>
      <c r="R36" s="197"/>
      <c r="S36" s="197"/>
      <c r="T36" s="197"/>
      <c r="U36" s="197"/>
    </row>
    <row r="37" spans="1:21" s="12" customFormat="1" x14ac:dyDescent="0.25">
      <c r="A37" s="200" t="s">
        <v>2868</v>
      </c>
      <c r="B37" s="60">
        <v>7.5</v>
      </c>
      <c r="C37" s="60">
        <v>10.67</v>
      </c>
      <c r="D37" s="60">
        <v>18.170000000000002</v>
      </c>
      <c r="E37" s="60">
        <v>6.37</v>
      </c>
      <c r="F37" s="60">
        <v>0.03</v>
      </c>
      <c r="G37" s="60">
        <v>21.72</v>
      </c>
      <c r="H37" s="60">
        <v>15.84</v>
      </c>
      <c r="I37" s="215" t="s">
        <v>36</v>
      </c>
      <c r="J37" s="60">
        <v>0.04</v>
      </c>
      <c r="K37" s="60">
        <v>4</v>
      </c>
      <c r="L37" s="10" t="s">
        <v>43</v>
      </c>
      <c r="M37" s="60">
        <v>83.83</v>
      </c>
      <c r="N37" s="60">
        <v>217.5</v>
      </c>
      <c r="O37" s="60">
        <v>0</v>
      </c>
      <c r="P37" s="60">
        <v>0.71</v>
      </c>
      <c r="Q37" s="60">
        <v>16.37</v>
      </c>
      <c r="R37" s="197"/>
      <c r="S37" s="197"/>
      <c r="T37" s="197"/>
      <c r="U37" s="197"/>
    </row>
    <row r="38" spans="1:21" s="12" customFormat="1" x14ac:dyDescent="0.25">
      <c r="A38" s="200" t="s">
        <v>2869</v>
      </c>
      <c r="B38" s="60">
        <v>7.66</v>
      </c>
      <c r="C38" s="60">
        <v>10.83</v>
      </c>
      <c r="D38" s="60">
        <v>18.489999999999998</v>
      </c>
      <c r="E38" s="60">
        <v>6.72</v>
      </c>
      <c r="F38" s="60">
        <v>0.04</v>
      </c>
      <c r="G38" s="60">
        <v>21.72</v>
      </c>
      <c r="H38" s="60">
        <v>15.84</v>
      </c>
      <c r="I38" s="215" t="s">
        <v>36</v>
      </c>
      <c r="J38" s="60">
        <v>0.06</v>
      </c>
      <c r="K38" s="60">
        <v>241</v>
      </c>
      <c r="L38" s="10" t="s">
        <v>43</v>
      </c>
      <c r="M38" s="60">
        <v>80.06</v>
      </c>
      <c r="N38" s="60">
        <v>248.2</v>
      </c>
      <c r="O38" s="60">
        <v>0</v>
      </c>
      <c r="P38" s="60">
        <v>0.76</v>
      </c>
      <c r="Q38" s="60">
        <v>17.43</v>
      </c>
      <c r="R38" s="197"/>
      <c r="S38" s="197"/>
      <c r="T38" s="197"/>
      <c r="U38" s="197"/>
    </row>
    <row r="39" spans="1:21" s="12" customFormat="1" x14ac:dyDescent="0.25">
      <c r="A39" s="200" t="s">
        <v>2870</v>
      </c>
      <c r="B39" s="60">
        <v>7.57</v>
      </c>
      <c r="C39" s="60">
        <v>10.79</v>
      </c>
      <c r="D39" s="60">
        <v>18.36</v>
      </c>
      <c r="E39" s="60">
        <v>6.63</v>
      </c>
      <c r="F39" s="60">
        <v>0.04</v>
      </c>
      <c r="G39" s="60">
        <v>21.72</v>
      </c>
      <c r="H39" s="60">
        <v>15.84</v>
      </c>
      <c r="I39" s="215" t="s">
        <v>36</v>
      </c>
      <c r="J39" s="60">
        <v>0.2</v>
      </c>
      <c r="K39" s="60">
        <v>313.20999999999998</v>
      </c>
      <c r="L39" s="10" t="s">
        <v>43</v>
      </c>
      <c r="M39" s="60">
        <v>81.349999999999994</v>
      </c>
      <c r="N39" s="60">
        <v>228.8</v>
      </c>
      <c r="O39" s="60">
        <v>0</v>
      </c>
      <c r="P39" s="60">
        <v>0.76</v>
      </c>
      <c r="Q39" s="60">
        <v>17.88</v>
      </c>
      <c r="R39" s="197"/>
      <c r="S39" s="197"/>
      <c r="T39" s="197"/>
      <c r="U39" s="197"/>
    </row>
    <row r="40" spans="1:21" s="12" customFormat="1" x14ac:dyDescent="0.25">
      <c r="A40" s="200" t="s">
        <v>2871</v>
      </c>
      <c r="B40" s="60">
        <v>7.51</v>
      </c>
      <c r="C40" s="60">
        <v>10.95</v>
      </c>
      <c r="D40" s="60">
        <v>18.46</v>
      </c>
      <c r="E40" s="60">
        <v>3.69</v>
      </c>
      <c r="F40" s="60">
        <v>0.1</v>
      </c>
      <c r="G40" s="60">
        <v>24.32</v>
      </c>
      <c r="H40" s="60">
        <v>17.239999999999998</v>
      </c>
      <c r="I40" s="215" t="s">
        <v>36</v>
      </c>
      <c r="J40" s="60">
        <v>0.32</v>
      </c>
      <c r="K40" s="60">
        <v>318.8</v>
      </c>
      <c r="L40" s="10" t="s">
        <v>43</v>
      </c>
      <c r="M40" s="60">
        <v>75.09</v>
      </c>
      <c r="N40" s="60">
        <v>328</v>
      </c>
      <c r="O40" s="60">
        <v>0</v>
      </c>
      <c r="P40" s="60">
        <v>0.76</v>
      </c>
      <c r="Q40" s="60">
        <v>18.21</v>
      </c>
      <c r="R40" s="197"/>
      <c r="S40" s="197"/>
      <c r="T40" s="197"/>
      <c r="U40" s="197"/>
    </row>
    <row r="41" spans="1:21" s="12" customFormat="1" x14ac:dyDescent="0.25">
      <c r="A41" s="200" t="s">
        <v>2872</v>
      </c>
      <c r="B41" s="60">
        <v>7.8</v>
      </c>
      <c r="C41" s="60">
        <v>11.43</v>
      </c>
      <c r="D41" s="60">
        <v>19.23</v>
      </c>
      <c r="E41" s="60">
        <v>6.51</v>
      </c>
      <c r="F41" s="60">
        <v>0.06</v>
      </c>
      <c r="G41" s="60">
        <v>28.58</v>
      </c>
      <c r="H41" s="60">
        <v>19.649999999999999</v>
      </c>
      <c r="I41" s="215" t="s">
        <v>36</v>
      </c>
      <c r="J41" s="60">
        <v>0.22</v>
      </c>
      <c r="K41" s="60">
        <v>347.08</v>
      </c>
      <c r="L41" s="10" t="s">
        <v>43</v>
      </c>
      <c r="M41" s="60">
        <v>72.63</v>
      </c>
      <c r="N41" s="60">
        <v>410.6</v>
      </c>
      <c r="O41" s="60">
        <v>0</v>
      </c>
      <c r="P41" s="60">
        <v>0.78</v>
      </c>
      <c r="Q41" s="60">
        <v>18.79</v>
      </c>
      <c r="R41" s="197"/>
      <c r="S41" s="197"/>
      <c r="T41" s="197"/>
      <c r="U41" s="197"/>
    </row>
    <row r="42" spans="1:21" s="12" customFormat="1" x14ac:dyDescent="0.25">
      <c r="A42" s="200" t="s">
        <v>2873</v>
      </c>
      <c r="B42" s="60">
        <v>8.18</v>
      </c>
      <c r="C42" s="60">
        <v>11.7</v>
      </c>
      <c r="D42" s="60">
        <v>19.88</v>
      </c>
      <c r="E42" s="60">
        <v>6.22</v>
      </c>
      <c r="F42" s="60">
        <v>0.15</v>
      </c>
      <c r="G42" s="60">
        <v>28.58</v>
      </c>
      <c r="H42" s="60">
        <v>19.649999999999999</v>
      </c>
      <c r="I42" s="215" t="s">
        <v>36</v>
      </c>
      <c r="J42" s="60">
        <v>0.36</v>
      </c>
      <c r="K42" s="60">
        <v>331.59</v>
      </c>
      <c r="L42" s="10" t="s">
        <v>43</v>
      </c>
      <c r="M42" s="60">
        <v>67.37</v>
      </c>
      <c r="N42" s="60">
        <v>416</v>
      </c>
      <c r="O42" s="60">
        <v>0</v>
      </c>
      <c r="P42" s="60">
        <v>0.79</v>
      </c>
      <c r="Q42" s="60">
        <v>18.59</v>
      </c>
      <c r="R42" s="197"/>
      <c r="S42" s="197"/>
      <c r="T42" s="197"/>
      <c r="U42" s="197"/>
    </row>
    <row r="43" spans="1:21" s="12" customFormat="1" x14ac:dyDescent="0.25">
      <c r="A43" s="200" t="s">
        <v>2874</v>
      </c>
      <c r="B43" s="60">
        <v>8.42</v>
      </c>
      <c r="C43" s="60">
        <v>12.17</v>
      </c>
      <c r="D43" s="60">
        <v>20.58</v>
      </c>
      <c r="E43" s="60">
        <v>6.15</v>
      </c>
      <c r="F43" s="60">
        <v>0.26</v>
      </c>
      <c r="G43" s="60">
        <v>28.58</v>
      </c>
      <c r="H43" s="60">
        <v>19.649999999999999</v>
      </c>
      <c r="I43" s="215" t="s">
        <v>36</v>
      </c>
      <c r="J43" s="60">
        <v>0.42</v>
      </c>
      <c r="K43" s="60">
        <v>319.64</v>
      </c>
      <c r="L43" s="10" t="s">
        <v>43</v>
      </c>
      <c r="M43" s="60">
        <v>64.84</v>
      </c>
      <c r="N43" s="60">
        <v>509.2</v>
      </c>
      <c r="O43" s="60">
        <v>0</v>
      </c>
      <c r="P43" s="60">
        <v>0.81</v>
      </c>
      <c r="Q43" s="60">
        <v>16.579999999999998</v>
      </c>
      <c r="R43" s="197"/>
      <c r="S43" s="197"/>
      <c r="T43" s="197"/>
      <c r="U43" s="197"/>
    </row>
    <row r="44" spans="1:21" s="12" customFormat="1" x14ac:dyDescent="0.25">
      <c r="A44" s="200" t="s">
        <v>2875</v>
      </c>
      <c r="B44" s="60">
        <v>8.65</v>
      </c>
      <c r="C44" s="60">
        <v>12.53</v>
      </c>
      <c r="D44" s="60">
        <v>21.18</v>
      </c>
      <c r="E44" s="60">
        <v>6.85</v>
      </c>
      <c r="F44" s="60">
        <v>0.68</v>
      </c>
      <c r="G44" s="60">
        <v>31.43</v>
      </c>
      <c r="H44" s="60">
        <v>21.09</v>
      </c>
      <c r="I44" s="215" t="s">
        <v>36</v>
      </c>
      <c r="J44" s="60">
        <v>0.6</v>
      </c>
      <c r="K44" s="60">
        <v>340.32</v>
      </c>
      <c r="L44" s="10" t="s">
        <v>43</v>
      </c>
      <c r="M44" s="60">
        <v>62.4</v>
      </c>
      <c r="N44" s="60">
        <v>568.6</v>
      </c>
      <c r="O44" s="60">
        <v>0</v>
      </c>
      <c r="P44" s="60">
        <v>0.81</v>
      </c>
      <c r="Q44" s="60">
        <v>13.3</v>
      </c>
      <c r="R44" s="197"/>
      <c r="S44" s="197"/>
      <c r="T44" s="197"/>
      <c r="U44" s="197"/>
    </row>
    <row r="45" spans="1:21" s="12" customFormat="1" x14ac:dyDescent="0.25">
      <c r="A45" s="200" t="s">
        <v>2876</v>
      </c>
      <c r="B45" s="60">
        <v>8.74</v>
      </c>
      <c r="C45" s="60">
        <v>14.02</v>
      </c>
      <c r="D45" s="60">
        <v>22.76</v>
      </c>
      <c r="E45" s="60">
        <v>6.32</v>
      </c>
      <c r="F45" s="60">
        <v>0.18</v>
      </c>
      <c r="G45" s="60">
        <v>36.11</v>
      </c>
      <c r="H45" s="60">
        <v>23.58</v>
      </c>
      <c r="I45" s="215" t="s">
        <v>36</v>
      </c>
      <c r="J45" s="60">
        <v>0.77</v>
      </c>
      <c r="K45" s="60">
        <v>327.14999999999998</v>
      </c>
      <c r="L45" s="10" t="s">
        <v>43</v>
      </c>
      <c r="M45" s="60">
        <v>57.88</v>
      </c>
      <c r="N45" s="60">
        <v>601.5</v>
      </c>
      <c r="O45" s="60">
        <v>0</v>
      </c>
      <c r="P45" s="60">
        <v>0.84</v>
      </c>
      <c r="Q45" s="60">
        <v>11.9</v>
      </c>
      <c r="R45" s="197"/>
      <c r="S45" s="197"/>
      <c r="T45" s="197"/>
      <c r="U45" s="197"/>
    </row>
    <row r="46" spans="1:21" s="12" customFormat="1" x14ac:dyDescent="0.25">
      <c r="A46" s="200" t="s">
        <v>2877</v>
      </c>
      <c r="B46" s="60">
        <v>8.6</v>
      </c>
      <c r="C46" s="60">
        <v>14.66</v>
      </c>
      <c r="D46" s="60">
        <v>23.26</v>
      </c>
      <c r="E46" s="60">
        <v>6.22</v>
      </c>
      <c r="F46" s="60">
        <v>0.45</v>
      </c>
      <c r="G46" s="60">
        <v>36.11</v>
      </c>
      <c r="H46" s="60">
        <v>23.58</v>
      </c>
      <c r="I46" s="215" t="s">
        <v>36</v>
      </c>
      <c r="J46" s="60">
        <v>1.03</v>
      </c>
      <c r="K46" s="60">
        <v>326.10000000000002</v>
      </c>
      <c r="L46" s="10" t="s">
        <v>43</v>
      </c>
      <c r="M46" s="60">
        <v>55.63</v>
      </c>
      <c r="N46" s="60">
        <v>731.9</v>
      </c>
      <c r="O46" s="60">
        <v>0</v>
      </c>
      <c r="P46" s="60">
        <v>0.83</v>
      </c>
      <c r="Q46" s="60">
        <v>12.68</v>
      </c>
      <c r="R46" s="197"/>
      <c r="S46" s="197"/>
      <c r="T46" s="197"/>
      <c r="U46" s="197"/>
    </row>
    <row r="47" spans="1:21" s="12" customFormat="1" x14ac:dyDescent="0.25">
      <c r="A47" s="200" t="s">
        <v>2878</v>
      </c>
      <c r="B47" s="60">
        <v>8.18</v>
      </c>
      <c r="C47" s="60">
        <v>14.5</v>
      </c>
      <c r="D47" s="60">
        <v>22.68</v>
      </c>
      <c r="E47" s="60">
        <v>6.47</v>
      </c>
      <c r="F47" s="60">
        <v>0.95</v>
      </c>
      <c r="G47" s="60">
        <v>36.11</v>
      </c>
      <c r="H47" s="60">
        <v>23.58</v>
      </c>
      <c r="I47" s="215" t="s">
        <v>36</v>
      </c>
      <c r="J47" s="60">
        <v>0.61</v>
      </c>
      <c r="K47" s="60">
        <v>331.03</v>
      </c>
      <c r="L47" s="10" t="s">
        <v>43</v>
      </c>
      <c r="M47" s="60">
        <v>53.99</v>
      </c>
      <c r="N47" s="60">
        <v>622.4</v>
      </c>
      <c r="O47" s="60">
        <v>0</v>
      </c>
      <c r="P47" s="60">
        <v>0.85</v>
      </c>
      <c r="Q47" s="60">
        <v>10.039999999999999</v>
      </c>
      <c r="R47" s="197"/>
      <c r="S47" s="197"/>
      <c r="T47" s="197"/>
      <c r="U47" s="197"/>
    </row>
    <row r="48" spans="1:21" s="12" customFormat="1" x14ac:dyDescent="0.25">
      <c r="A48" s="200" t="s">
        <v>2879</v>
      </c>
      <c r="B48" s="60">
        <v>7.93</v>
      </c>
      <c r="C48" s="60">
        <v>15.89</v>
      </c>
      <c r="D48" s="60">
        <v>23.82</v>
      </c>
      <c r="E48" s="60">
        <v>6.19</v>
      </c>
      <c r="F48" s="60">
        <v>1.45</v>
      </c>
      <c r="G48" s="60">
        <v>33.61</v>
      </c>
      <c r="H48" s="60">
        <v>23.19</v>
      </c>
      <c r="I48" s="215" t="s">
        <v>36</v>
      </c>
      <c r="J48" s="60">
        <v>0.79</v>
      </c>
      <c r="K48" s="60">
        <v>320.38</v>
      </c>
      <c r="L48" s="10" t="s">
        <v>43</v>
      </c>
      <c r="M48" s="60">
        <v>57.18</v>
      </c>
      <c r="N48" s="60">
        <v>575.6</v>
      </c>
      <c r="O48" s="60">
        <v>0</v>
      </c>
      <c r="P48" s="60">
        <v>0.88</v>
      </c>
      <c r="Q48" s="60">
        <v>10.38</v>
      </c>
      <c r="R48" s="197"/>
      <c r="S48" s="197"/>
      <c r="T48" s="197"/>
      <c r="U48" s="197"/>
    </row>
    <row r="49" spans="1:21" s="12" customFormat="1" x14ac:dyDescent="0.25">
      <c r="A49" s="200" t="s">
        <v>2880</v>
      </c>
      <c r="B49" s="60">
        <v>7.7</v>
      </c>
      <c r="C49" s="60">
        <v>16.8</v>
      </c>
      <c r="D49" s="60">
        <v>24.5</v>
      </c>
      <c r="E49" s="60">
        <v>6.01</v>
      </c>
      <c r="F49" s="60">
        <v>1.22</v>
      </c>
      <c r="G49" s="60">
        <v>29.49</v>
      </c>
      <c r="H49" s="60">
        <v>22.54</v>
      </c>
      <c r="I49" s="215" t="s">
        <v>36</v>
      </c>
      <c r="J49" s="60">
        <v>0.37</v>
      </c>
      <c r="K49" s="60">
        <v>324.04000000000002</v>
      </c>
      <c r="L49" s="10" t="s">
        <v>43</v>
      </c>
      <c r="M49" s="60">
        <v>57.88</v>
      </c>
      <c r="N49" s="60">
        <v>852.2</v>
      </c>
      <c r="O49" s="60">
        <v>0</v>
      </c>
      <c r="P49" s="60">
        <v>0.88</v>
      </c>
      <c r="Q49" s="60">
        <v>12.16</v>
      </c>
      <c r="R49" s="197"/>
      <c r="S49" s="197"/>
      <c r="T49" s="197"/>
      <c r="U49" s="197"/>
    </row>
    <row r="50" spans="1:21" s="12" customFormat="1" x14ac:dyDescent="0.25">
      <c r="A50" s="200" t="s">
        <v>2881</v>
      </c>
      <c r="B50" s="60">
        <v>7.23</v>
      </c>
      <c r="C50" s="60">
        <v>17.12</v>
      </c>
      <c r="D50" s="60">
        <v>24.35</v>
      </c>
      <c r="E50" s="60">
        <v>5.76</v>
      </c>
      <c r="F50" s="60">
        <v>0.54</v>
      </c>
      <c r="G50" s="60">
        <v>29.49</v>
      </c>
      <c r="H50" s="60">
        <v>22.54</v>
      </c>
      <c r="I50" s="215" t="s">
        <v>36</v>
      </c>
      <c r="J50" s="60">
        <v>0.19</v>
      </c>
      <c r="K50" s="60">
        <v>24.59</v>
      </c>
      <c r="L50" s="10" t="s">
        <v>43</v>
      </c>
      <c r="M50" s="60">
        <v>58.85</v>
      </c>
      <c r="N50" s="60">
        <v>501.6</v>
      </c>
      <c r="O50" s="60">
        <v>0</v>
      </c>
      <c r="P50" s="60">
        <v>0.89</v>
      </c>
      <c r="Q50" s="60">
        <v>13.93</v>
      </c>
      <c r="R50" s="197"/>
      <c r="S50" s="197"/>
      <c r="T50" s="197"/>
      <c r="U50" s="197"/>
    </row>
    <row r="51" spans="1:21" s="12" customFormat="1" x14ac:dyDescent="0.25">
      <c r="A51" s="200" t="s">
        <v>2882</v>
      </c>
      <c r="B51" s="60">
        <v>7.14</v>
      </c>
      <c r="C51" s="60">
        <v>16.690000000000001</v>
      </c>
      <c r="D51" s="60">
        <v>23.82</v>
      </c>
      <c r="E51" s="60">
        <v>5.68</v>
      </c>
      <c r="F51" s="60">
        <v>0.23</v>
      </c>
      <c r="G51" s="60">
        <v>29.49</v>
      </c>
      <c r="H51" s="60">
        <v>22.54</v>
      </c>
      <c r="I51" s="215" t="s">
        <v>36</v>
      </c>
      <c r="J51" s="60">
        <v>0.55000000000000004</v>
      </c>
      <c r="K51" s="60">
        <v>316.18</v>
      </c>
      <c r="L51" s="10" t="s">
        <v>43</v>
      </c>
      <c r="M51" s="60">
        <v>58.68</v>
      </c>
      <c r="N51" s="60">
        <v>405.8</v>
      </c>
      <c r="O51" s="60">
        <v>0</v>
      </c>
      <c r="P51" s="60">
        <v>0.89</v>
      </c>
      <c r="Q51" s="60">
        <v>16.239999999999998</v>
      </c>
      <c r="R51" s="197"/>
      <c r="S51" s="197"/>
      <c r="T51" s="197"/>
      <c r="U51" s="197"/>
    </row>
    <row r="52" spans="1:21" s="12" customFormat="1" x14ac:dyDescent="0.25">
      <c r="A52" s="200" t="s">
        <v>2883</v>
      </c>
      <c r="B52" s="60">
        <v>7.2</v>
      </c>
      <c r="C52" s="60">
        <v>16.38</v>
      </c>
      <c r="D52" s="60">
        <v>23.58</v>
      </c>
      <c r="E52" s="60">
        <v>6.29</v>
      </c>
      <c r="F52" s="60">
        <v>0.22</v>
      </c>
      <c r="G52" s="60">
        <v>29.12</v>
      </c>
      <c r="H52" s="60">
        <v>24.01</v>
      </c>
      <c r="I52" s="215" t="s">
        <v>36</v>
      </c>
      <c r="J52" s="60">
        <v>0.4</v>
      </c>
      <c r="K52" s="60">
        <v>310.67</v>
      </c>
      <c r="L52" s="10" t="s">
        <v>43</v>
      </c>
      <c r="M52" s="60">
        <v>62.4</v>
      </c>
      <c r="N52" s="60">
        <v>628.29999999999995</v>
      </c>
      <c r="O52" s="60">
        <v>0</v>
      </c>
      <c r="P52" s="60">
        <v>0.91</v>
      </c>
      <c r="Q52" s="60">
        <v>17.22</v>
      </c>
      <c r="R52" s="197"/>
      <c r="S52" s="197"/>
      <c r="T52" s="197"/>
      <c r="U52" s="197"/>
    </row>
    <row r="53" spans="1:21" s="12" customFormat="1" x14ac:dyDescent="0.25">
      <c r="A53" s="200" t="s">
        <v>2884</v>
      </c>
      <c r="B53" s="60">
        <v>7.2</v>
      </c>
      <c r="C53" s="60">
        <v>15.89</v>
      </c>
      <c r="D53" s="60">
        <v>23.09</v>
      </c>
      <c r="E53" s="60">
        <v>6.19</v>
      </c>
      <c r="F53" s="60">
        <v>0.53</v>
      </c>
      <c r="G53" s="60">
        <v>28.51</v>
      </c>
      <c r="H53" s="60">
        <v>26.54</v>
      </c>
      <c r="I53" s="215" t="s">
        <v>36</v>
      </c>
      <c r="J53" s="60">
        <v>0.4</v>
      </c>
      <c r="K53" s="60">
        <v>312.23</v>
      </c>
      <c r="L53" s="10" t="s">
        <v>43</v>
      </c>
      <c r="M53" s="60">
        <v>57.22</v>
      </c>
      <c r="N53" s="60">
        <v>556.1</v>
      </c>
      <c r="O53" s="60">
        <v>0</v>
      </c>
      <c r="P53" s="60">
        <v>0.91</v>
      </c>
      <c r="Q53" s="60">
        <v>17.86</v>
      </c>
      <c r="R53" s="197"/>
      <c r="S53" s="197"/>
      <c r="T53" s="197"/>
      <c r="U53" s="197"/>
    </row>
    <row r="54" spans="1:21" s="12" customFormat="1" x14ac:dyDescent="0.25">
      <c r="A54" s="200" t="s">
        <v>2885</v>
      </c>
      <c r="B54" s="60">
        <v>7.01</v>
      </c>
      <c r="C54" s="60">
        <v>16.13</v>
      </c>
      <c r="D54" s="60">
        <v>23.15</v>
      </c>
      <c r="E54" s="60">
        <v>6.01</v>
      </c>
      <c r="F54" s="60">
        <v>0.13</v>
      </c>
      <c r="G54" s="60">
        <v>28.51</v>
      </c>
      <c r="H54" s="60">
        <v>26.54</v>
      </c>
      <c r="I54" s="215" t="s">
        <v>36</v>
      </c>
      <c r="J54" s="60">
        <v>0.3</v>
      </c>
      <c r="K54" s="60">
        <v>157.99</v>
      </c>
      <c r="L54" s="10" t="s">
        <v>43</v>
      </c>
      <c r="M54" s="60">
        <v>60.69</v>
      </c>
      <c r="N54" s="60">
        <v>682.4</v>
      </c>
      <c r="O54" s="60">
        <v>0</v>
      </c>
      <c r="P54" s="60">
        <v>0.91</v>
      </c>
      <c r="Q54" s="60">
        <v>18.71</v>
      </c>
      <c r="R54" s="197"/>
      <c r="S54" s="197"/>
      <c r="T54" s="197"/>
      <c r="U54" s="197"/>
    </row>
    <row r="55" spans="1:21" s="12" customFormat="1" x14ac:dyDescent="0.25">
      <c r="A55" s="200" t="s">
        <v>2886</v>
      </c>
      <c r="B55" s="60">
        <v>6.27</v>
      </c>
      <c r="C55" s="60">
        <v>15.66</v>
      </c>
      <c r="D55" s="60">
        <v>21.93</v>
      </c>
      <c r="E55" s="60">
        <v>5.95</v>
      </c>
      <c r="F55" s="60">
        <v>0.35</v>
      </c>
      <c r="G55" s="60">
        <v>28.51</v>
      </c>
      <c r="H55" s="60">
        <v>26.54</v>
      </c>
      <c r="I55" s="215" t="s">
        <v>36</v>
      </c>
      <c r="J55" s="60">
        <v>0.06</v>
      </c>
      <c r="K55" s="60">
        <v>263.77999999999997</v>
      </c>
      <c r="L55" s="10" t="s">
        <v>43</v>
      </c>
      <c r="M55" s="60">
        <v>64.459999999999994</v>
      </c>
      <c r="N55" s="60">
        <v>281.3</v>
      </c>
      <c r="O55" s="60">
        <v>0</v>
      </c>
      <c r="P55" s="60">
        <v>0.89</v>
      </c>
      <c r="Q55" s="60">
        <v>18.78</v>
      </c>
      <c r="R55" s="197"/>
      <c r="S55" s="197"/>
      <c r="T55" s="197"/>
      <c r="U55" s="197"/>
    </row>
    <row r="56" spans="1:21" s="12" customFormat="1" x14ac:dyDescent="0.25">
      <c r="A56" s="200" t="s">
        <v>2887</v>
      </c>
      <c r="B56" s="60">
        <v>5.25</v>
      </c>
      <c r="C56" s="60">
        <v>15.8</v>
      </c>
      <c r="D56" s="60">
        <v>21.05</v>
      </c>
      <c r="E56" s="60">
        <v>3.22</v>
      </c>
      <c r="F56" s="60">
        <v>0.5</v>
      </c>
      <c r="G56" s="60">
        <v>29.63</v>
      </c>
      <c r="H56" s="60">
        <v>26.35</v>
      </c>
      <c r="I56" s="215" t="s">
        <v>36</v>
      </c>
      <c r="J56" s="60">
        <v>7.0000000000000007E-2</v>
      </c>
      <c r="K56" s="60">
        <v>149.35</v>
      </c>
      <c r="L56" s="10" t="s">
        <v>43</v>
      </c>
      <c r="M56" s="60">
        <v>64.040000000000006</v>
      </c>
      <c r="N56" s="60">
        <v>662.2</v>
      </c>
      <c r="O56" s="60">
        <v>0</v>
      </c>
      <c r="P56" s="60">
        <v>0.88</v>
      </c>
      <c r="Q56" s="60">
        <v>19.55</v>
      </c>
      <c r="R56" s="197"/>
      <c r="S56" s="197"/>
      <c r="T56" s="197"/>
      <c r="U56" s="197"/>
    </row>
    <row r="57" spans="1:21" s="12" customFormat="1" x14ac:dyDescent="0.25">
      <c r="A57" s="200" t="s">
        <v>2888</v>
      </c>
      <c r="B57" s="60">
        <v>4.6500000000000004</v>
      </c>
      <c r="C57" s="60">
        <v>16.649999999999999</v>
      </c>
      <c r="D57" s="60">
        <v>21.29</v>
      </c>
      <c r="E57" s="60">
        <v>5.25</v>
      </c>
      <c r="F57" s="60">
        <v>0.11</v>
      </c>
      <c r="G57" s="60">
        <v>31.47</v>
      </c>
      <c r="H57" s="60">
        <v>26.01</v>
      </c>
      <c r="I57" s="215" t="s">
        <v>36</v>
      </c>
      <c r="J57" s="60">
        <v>0.51</v>
      </c>
      <c r="K57" s="60">
        <v>154.66</v>
      </c>
      <c r="L57" s="10" t="s">
        <v>43</v>
      </c>
      <c r="M57" s="60">
        <v>61.86</v>
      </c>
      <c r="N57" s="60">
        <v>716.1</v>
      </c>
      <c r="O57" s="60">
        <v>0</v>
      </c>
      <c r="P57" s="60">
        <v>0.86</v>
      </c>
      <c r="Q57" s="60">
        <v>20.16</v>
      </c>
      <c r="R57" s="197"/>
      <c r="S57" s="197"/>
      <c r="T57" s="197"/>
      <c r="U57" s="197"/>
    </row>
    <row r="58" spans="1:21" s="12" customFormat="1" x14ac:dyDescent="0.25">
      <c r="A58" s="200" t="s">
        <v>2889</v>
      </c>
      <c r="B58" s="60">
        <v>4.07</v>
      </c>
      <c r="C58" s="60">
        <v>15.62</v>
      </c>
      <c r="D58" s="60">
        <v>19.690000000000001</v>
      </c>
      <c r="E58" s="60">
        <v>5.6</v>
      </c>
      <c r="F58" s="60">
        <v>0.9</v>
      </c>
      <c r="G58" s="60">
        <v>31.47</v>
      </c>
      <c r="H58" s="60">
        <v>26.01</v>
      </c>
      <c r="I58" s="215" t="s">
        <v>36</v>
      </c>
      <c r="J58" s="60">
        <v>0.1</v>
      </c>
      <c r="K58" s="60">
        <v>154.44</v>
      </c>
      <c r="L58" s="10" t="s">
        <v>43</v>
      </c>
      <c r="M58" s="60">
        <v>61.57</v>
      </c>
      <c r="N58" s="60">
        <v>372.2</v>
      </c>
      <c r="O58" s="60">
        <v>0</v>
      </c>
      <c r="P58" s="60">
        <v>0.83</v>
      </c>
      <c r="Q58" s="60">
        <v>18.46</v>
      </c>
      <c r="R58" s="197"/>
      <c r="S58" s="197"/>
      <c r="T58" s="197"/>
      <c r="U58" s="197"/>
    </row>
    <row r="59" spans="1:21" s="12" customFormat="1" x14ac:dyDescent="0.25">
      <c r="A59" s="200" t="s">
        <v>2890</v>
      </c>
      <c r="B59" s="60">
        <v>3.56</v>
      </c>
      <c r="C59" s="60">
        <v>14.97</v>
      </c>
      <c r="D59" s="60">
        <v>18.54</v>
      </c>
      <c r="E59" s="60">
        <v>5.16</v>
      </c>
      <c r="F59" s="60">
        <v>1.18</v>
      </c>
      <c r="G59" s="60">
        <v>31.47</v>
      </c>
      <c r="H59" s="60">
        <v>26.01</v>
      </c>
      <c r="I59" s="215" t="s">
        <v>36</v>
      </c>
      <c r="J59" s="60">
        <v>0.05</v>
      </c>
      <c r="K59" s="60">
        <v>296.07</v>
      </c>
      <c r="L59" s="10" t="s">
        <v>43</v>
      </c>
      <c r="M59" s="60">
        <v>61.83</v>
      </c>
      <c r="N59" s="60">
        <v>416.5</v>
      </c>
      <c r="O59" s="60">
        <v>0</v>
      </c>
      <c r="P59" s="60">
        <v>0.83</v>
      </c>
      <c r="Q59" s="60">
        <v>15.63</v>
      </c>
      <c r="R59" s="197"/>
      <c r="S59" s="197"/>
      <c r="T59" s="197"/>
      <c r="U59" s="197"/>
    </row>
    <row r="60" spans="1:21" s="12" customFormat="1" x14ac:dyDescent="0.25">
      <c r="A60" s="200" t="s">
        <v>2891</v>
      </c>
      <c r="B60" s="60">
        <v>3.23</v>
      </c>
      <c r="C60" s="60">
        <v>15.21</v>
      </c>
      <c r="D60" s="60">
        <v>18.440000000000001</v>
      </c>
      <c r="E60" s="60">
        <v>5.26</v>
      </c>
      <c r="F60" s="60">
        <v>1.17</v>
      </c>
      <c r="G60" s="60">
        <v>31.27</v>
      </c>
      <c r="H60" s="60">
        <v>24.73</v>
      </c>
      <c r="I60" s="215" t="s">
        <v>36</v>
      </c>
      <c r="J60" s="60">
        <v>0.05</v>
      </c>
      <c r="K60" s="60">
        <v>63.3</v>
      </c>
      <c r="L60" s="10" t="s">
        <v>43</v>
      </c>
      <c r="M60" s="60">
        <v>61.09</v>
      </c>
      <c r="N60" s="60">
        <v>539</v>
      </c>
      <c r="O60" s="60">
        <v>0</v>
      </c>
      <c r="P60" s="60">
        <v>0.84</v>
      </c>
      <c r="Q60" s="60">
        <v>13.44</v>
      </c>
      <c r="R60" s="197"/>
      <c r="S60" s="197"/>
      <c r="T60" s="197"/>
      <c r="U60" s="197"/>
    </row>
    <row r="61" spans="1:21" s="12" customFormat="1" x14ac:dyDescent="0.25">
      <c r="A61" s="200" t="s">
        <v>2892</v>
      </c>
      <c r="B61" s="60">
        <v>2.94</v>
      </c>
      <c r="C61" s="60">
        <v>15.29</v>
      </c>
      <c r="D61" s="60">
        <v>18.23</v>
      </c>
      <c r="E61" s="60">
        <v>4.75</v>
      </c>
      <c r="F61" s="60">
        <v>1.1499999999999999</v>
      </c>
      <c r="G61" s="60">
        <v>30.95</v>
      </c>
      <c r="H61" s="60">
        <v>22.62</v>
      </c>
      <c r="I61" s="215" t="s">
        <v>36</v>
      </c>
      <c r="J61" s="60">
        <v>0.7</v>
      </c>
      <c r="K61" s="60">
        <v>153.03</v>
      </c>
      <c r="L61" s="10" t="s">
        <v>43</v>
      </c>
      <c r="M61" s="60">
        <v>62.11</v>
      </c>
      <c r="N61" s="60">
        <v>549.9</v>
      </c>
      <c r="O61" s="60">
        <v>0</v>
      </c>
      <c r="P61" s="60">
        <v>0.65</v>
      </c>
      <c r="Q61" s="60">
        <v>11.98</v>
      </c>
      <c r="R61" s="197"/>
      <c r="S61" s="197"/>
      <c r="T61" s="197"/>
      <c r="U61" s="197"/>
    </row>
    <row r="62" spans="1:21" s="12" customFormat="1" x14ac:dyDescent="0.25">
      <c r="A62" s="200" t="s">
        <v>2893</v>
      </c>
      <c r="B62" s="60">
        <v>2.54</v>
      </c>
      <c r="C62" s="60">
        <v>15.28</v>
      </c>
      <c r="D62" s="60">
        <v>17.82</v>
      </c>
      <c r="E62" s="60">
        <v>4.75</v>
      </c>
      <c r="F62" s="60">
        <v>0.76</v>
      </c>
      <c r="G62" s="60">
        <v>30.95</v>
      </c>
      <c r="H62" s="60">
        <v>22.62</v>
      </c>
      <c r="I62" s="215" t="s">
        <v>36</v>
      </c>
      <c r="J62" s="60">
        <v>0.53</v>
      </c>
      <c r="K62" s="60">
        <v>152.25</v>
      </c>
      <c r="L62" s="10" t="s">
        <v>43</v>
      </c>
      <c r="M62" s="60">
        <v>60.37</v>
      </c>
      <c r="N62" s="60">
        <v>819.7</v>
      </c>
      <c r="O62" s="60">
        <v>0</v>
      </c>
      <c r="P62" s="60">
        <v>0.68</v>
      </c>
      <c r="Q62" s="60">
        <v>11.38</v>
      </c>
      <c r="R62" s="197"/>
      <c r="S62" s="197"/>
      <c r="T62" s="197"/>
      <c r="U62" s="197"/>
    </row>
    <row r="63" spans="1:21" s="12" customFormat="1" x14ac:dyDescent="0.25">
      <c r="A63" s="200" t="s">
        <v>2894</v>
      </c>
      <c r="B63" s="60">
        <v>2.41</v>
      </c>
      <c r="C63" s="60">
        <v>15.06</v>
      </c>
      <c r="D63" s="60">
        <v>17.48</v>
      </c>
      <c r="E63" s="60">
        <v>5.16</v>
      </c>
      <c r="F63" s="60">
        <v>0.96</v>
      </c>
      <c r="G63" s="60">
        <v>30.95</v>
      </c>
      <c r="H63" s="60">
        <v>22.62</v>
      </c>
      <c r="I63" s="215" t="s">
        <v>36</v>
      </c>
      <c r="J63" s="60">
        <v>2.7</v>
      </c>
      <c r="K63" s="60">
        <v>347.32</v>
      </c>
      <c r="L63" s="10" t="s">
        <v>43</v>
      </c>
      <c r="M63" s="60">
        <v>61.44</v>
      </c>
      <c r="N63" s="60">
        <v>402.3</v>
      </c>
      <c r="O63" s="60">
        <v>0</v>
      </c>
      <c r="P63" s="60">
        <v>0.7</v>
      </c>
      <c r="Q63" s="60">
        <v>12.56</v>
      </c>
      <c r="R63" s="197"/>
      <c r="S63" s="197"/>
      <c r="T63" s="197"/>
      <c r="U63" s="197"/>
    </row>
    <row r="64" spans="1:21" s="12" customFormat="1" x14ac:dyDescent="0.25">
      <c r="A64" s="200" t="s">
        <v>2895</v>
      </c>
      <c r="B64" s="60">
        <v>2.76</v>
      </c>
      <c r="C64" s="60">
        <v>16.61</v>
      </c>
      <c r="D64" s="60">
        <v>19.37</v>
      </c>
      <c r="E64" s="60">
        <v>5.05</v>
      </c>
      <c r="F64" s="60">
        <v>1.25</v>
      </c>
      <c r="G64" s="60">
        <v>32.79</v>
      </c>
      <c r="H64" s="60">
        <v>22.12</v>
      </c>
      <c r="I64" s="215" t="s">
        <v>36</v>
      </c>
      <c r="J64" s="60">
        <v>2.2400000000000002</v>
      </c>
      <c r="K64" s="60">
        <v>356.23</v>
      </c>
      <c r="L64" s="10" t="s">
        <v>43</v>
      </c>
      <c r="M64" s="60">
        <v>70.849999999999994</v>
      </c>
      <c r="N64" s="60">
        <v>135.4</v>
      </c>
      <c r="O64" s="60">
        <v>0</v>
      </c>
      <c r="P64" s="60">
        <v>0.69</v>
      </c>
      <c r="Q64" s="60">
        <v>12.94</v>
      </c>
      <c r="R64" s="197"/>
      <c r="S64" s="197"/>
      <c r="T64" s="197"/>
      <c r="U64" s="197"/>
    </row>
    <row r="65" spans="1:21" s="12" customFormat="1" x14ac:dyDescent="0.25">
      <c r="A65" s="200" t="s">
        <v>2896</v>
      </c>
      <c r="B65" s="60">
        <v>2.66</v>
      </c>
      <c r="C65" s="60">
        <v>18.34</v>
      </c>
      <c r="D65" s="60">
        <v>21</v>
      </c>
      <c r="E65" s="60">
        <v>5.21</v>
      </c>
      <c r="F65" s="60">
        <v>1.01</v>
      </c>
      <c r="G65" s="60">
        <v>35.799999999999997</v>
      </c>
      <c r="H65" s="60">
        <v>21.3</v>
      </c>
      <c r="I65" s="215" t="s">
        <v>36</v>
      </c>
      <c r="J65" s="60">
        <v>1.59</v>
      </c>
      <c r="K65" s="60">
        <v>353.62</v>
      </c>
      <c r="L65" s="10" t="s">
        <v>43</v>
      </c>
      <c r="M65" s="60">
        <v>70.28</v>
      </c>
      <c r="N65" s="60">
        <v>224.5</v>
      </c>
      <c r="O65" s="60">
        <v>0</v>
      </c>
      <c r="P65" s="60">
        <v>0.7</v>
      </c>
      <c r="Q65" s="60">
        <v>15.63</v>
      </c>
      <c r="R65" s="197"/>
      <c r="S65" s="197"/>
      <c r="T65" s="197"/>
      <c r="U65" s="197"/>
    </row>
    <row r="66" spans="1:21" s="12" customFormat="1" x14ac:dyDescent="0.25">
      <c r="A66" s="200" t="s">
        <v>2897</v>
      </c>
      <c r="B66" s="60">
        <v>2.8</v>
      </c>
      <c r="C66" s="60">
        <v>18.61</v>
      </c>
      <c r="D66" s="60">
        <v>21.41</v>
      </c>
      <c r="E66" s="60">
        <v>5.07</v>
      </c>
      <c r="F66" s="60">
        <v>0.59</v>
      </c>
      <c r="G66" s="60">
        <v>35.799999999999997</v>
      </c>
      <c r="H66" s="60">
        <v>21.3</v>
      </c>
      <c r="I66" s="215" t="s">
        <v>36</v>
      </c>
      <c r="J66" s="60">
        <v>0.92</v>
      </c>
      <c r="K66" s="60">
        <v>357.07</v>
      </c>
      <c r="L66" s="10" t="s">
        <v>43</v>
      </c>
      <c r="M66" s="60">
        <v>70.11</v>
      </c>
      <c r="N66" s="60">
        <v>107.3</v>
      </c>
      <c r="O66" s="60">
        <v>0</v>
      </c>
      <c r="P66" s="60">
        <v>0.7</v>
      </c>
      <c r="Q66" s="60">
        <v>17.48</v>
      </c>
      <c r="R66" s="197"/>
      <c r="S66" s="197"/>
      <c r="T66" s="197"/>
      <c r="U66" s="197"/>
    </row>
    <row r="67" spans="1:21" s="12" customFormat="1" x14ac:dyDescent="0.25">
      <c r="A67" s="200" t="s">
        <v>2898</v>
      </c>
      <c r="B67" s="60">
        <v>3.33</v>
      </c>
      <c r="C67" s="60">
        <v>18.54</v>
      </c>
      <c r="D67" s="60">
        <v>21.87</v>
      </c>
      <c r="E67" s="60">
        <v>4.9400000000000004</v>
      </c>
      <c r="F67" s="60">
        <v>0.28999999999999998</v>
      </c>
      <c r="G67" s="60">
        <v>35.799999999999997</v>
      </c>
      <c r="H67" s="60">
        <v>21.3</v>
      </c>
      <c r="I67" s="215" t="s">
        <v>36</v>
      </c>
      <c r="J67" s="60">
        <v>1.19</v>
      </c>
      <c r="K67" s="60">
        <v>320.13</v>
      </c>
      <c r="L67" s="10" t="s">
        <v>43</v>
      </c>
      <c r="M67" s="60">
        <v>75.05</v>
      </c>
      <c r="N67" s="60">
        <v>86.2</v>
      </c>
      <c r="O67" s="60">
        <v>0</v>
      </c>
      <c r="P67" s="60">
        <v>0.73</v>
      </c>
      <c r="Q67" s="60">
        <v>18.68</v>
      </c>
      <c r="R67" s="197"/>
      <c r="S67" s="197"/>
      <c r="T67" s="197"/>
      <c r="U67" s="197"/>
    </row>
    <row r="68" spans="1:21" s="12" customFormat="1" x14ac:dyDescent="0.25">
      <c r="A68" s="200" t="s">
        <v>2899</v>
      </c>
      <c r="B68" s="60">
        <v>3.84</v>
      </c>
      <c r="C68" s="60">
        <v>18.09</v>
      </c>
      <c r="D68" s="60">
        <v>21.94</v>
      </c>
      <c r="E68" s="60">
        <v>5.39</v>
      </c>
      <c r="F68" s="60">
        <v>0.22</v>
      </c>
      <c r="G68" s="60">
        <v>37.549999999999997</v>
      </c>
      <c r="H68" s="60">
        <v>21.03</v>
      </c>
      <c r="I68" s="215" t="s">
        <v>36</v>
      </c>
      <c r="J68" s="60">
        <v>0.75</v>
      </c>
      <c r="K68" s="60">
        <v>340.45</v>
      </c>
      <c r="L68" s="10" t="s">
        <v>43</v>
      </c>
      <c r="M68" s="60">
        <v>76.42</v>
      </c>
      <c r="N68" s="60">
        <v>99.1</v>
      </c>
      <c r="O68" s="60">
        <v>0</v>
      </c>
      <c r="P68" s="60">
        <v>0.76</v>
      </c>
      <c r="Q68" s="60">
        <v>19.04</v>
      </c>
      <c r="R68" s="197"/>
      <c r="S68" s="197"/>
      <c r="T68" s="197"/>
      <c r="U68" s="197"/>
    </row>
    <row r="69" spans="1:21" s="12" customFormat="1" x14ac:dyDescent="0.25">
      <c r="A69" s="200" t="s">
        <v>2900</v>
      </c>
      <c r="B69" s="60">
        <v>4.51</v>
      </c>
      <c r="C69" s="60">
        <v>17.420000000000002</v>
      </c>
      <c r="D69" s="60">
        <v>21.93</v>
      </c>
      <c r="E69" s="60">
        <v>5.69</v>
      </c>
      <c r="F69" s="60">
        <v>0.17</v>
      </c>
      <c r="G69" s="60">
        <v>40.44</v>
      </c>
      <c r="H69" s="60">
        <v>20.57</v>
      </c>
      <c r="I69" s="215" t="s">
        <v>36</v>
      </c>
      <c r="J69" s="60">
        <v>0.6</v>
      </c>
      <c r="K69" s="60">
        <v>63.35</v>
      </c>
      <c r="L69" s="10" t="s">
        <v>43</v>
      </c>
      <c r="M69" s="60">
        <v>79.349999999999994</v>
      </c>
      <c r="N69" s="60">
        <v>106</v>
      </c>
      <c r="O69" s="60">
        <v>0</v>
      </c>
      <c r="P69" s="60">
        <v>0.77</v>
      </c>
      <c r="Q69" s="60">
        <v>20.52</v>
      </c>
      <c r="R69" s="197"/>
      <c r="S69" s="197"/>
      <c r="T69" s="197"/>
      <c r="U69" s="197"/>
    </row>
    <row r="70" spans="1:21" s="12" customFormat="1" x14ac:dyDescent="0.25">
      <c r="A70" s="200" t="s">
        <v>2901</v>
      </c>
      <c r="B70" s="60">
        <v>5.3</v>
      </c>
      <c r="C70" s="60">
        <v>16.71</v>
      </c>
      <c r="D70" s="60">
        <v>22.01</v>
      </c>
      <c r="E70" s="60">
        <v>5.6</v>
      </c>
      <c r="F70" s="60">
        <v>0.27</v>
      </c>
      <c r="G70" s="60">
        <v>40.44</v>
      </c>
      <c r="H70" s="60">
        <v>20.57</v>
      </c>
      <c r="I70" s="215" t="s">
        <v>36</v>
      </c>
      <c r="J70" s="60">
        <v>0.6</v>
      </c>
      <c r="K70" s="60">
        <v>28.99</v>
      </c>
      <c r="L70" s="10" t="s">
        <v>43</v>
      </c>
      <c r="M70" s="60">
        <v>78.2</v>
      </c>
      <c r="N70" s="60">
        <v>197.8</v>
      </c>
      <c r="O70" s="60">
        <v>0</v>
      </c>
      <c r="P70" s="60">
        <v>0.78</v>
      </c>
      <c r="Q70" s="60">
        <v>23.13</v>
      </c>
      <c r="R70" s="197"/>
      <c r="S70" s="197"/>
      <c r="T70" s="197"/>
      <c r="U70" s="197"/>
    </row>
    <row r="71" spans="1:21" s="12" customFormat="1" x14ac:dyDescent="0.25">
      <c r="A71" s="200" t="s">
        <v>2902</v>
      </c>
      <c r="B71" s="60">
        <v>6</v>
      </c>
      <c r="C71" s="60">
        <v>16.28</v>
      </c>
      <c r="D71" s="60">
        <v>22.29</v>
      </c>
      <c r="E71" s="60">
        <v>5.28</v>
      </c>
      <c r="F71" s="60">
        <v>0.36</v>
      </c>
      <c r="G71" s="60">
        <v>40.44</v>
      </c>
      <c r="H71" s="60">
        <v>20.57</v>
      </c>
      <c r="I71" s="215" t="s">
        <v>36</v>
      </c>
      <c r="J71" s="60">
        <v>0.96</v>
      </c>
      <c r="K71" s="60">
        <v>354.55</v>
      </c>
      <c r="L71" s="10" t="s">
        <v>43</v>
      </c>
      <c r="M71" s="60">
        <v>75.27</v>
      </c>
      <c r="N71" s="60">
        <v>198.6</v>
      </c>
      <c r="O71" s="60">
        <v>0</v>
      </c>
      <c r="P71" s="60">
        <v>0.81</v>
      </c>
      <c r="Q71" s="60">
        <v>24.57</v>
      </c>
      <c r="R71" s="197"/>
      <c r="S71" s="197"/>
      <c r="T71" s="197"/>
      <c r="U71" s="197"/>
    </row>
    <row r="72" spans="1:21" s="12" customFormat="1" x14ac:dyDescent="0.25">
      <c r="A72" s="200" t="s">
        <v>2903</v>
      </c>
      <c r="B72" s="60">
        <v>6.75</v>
      </c>
      <c r="C72" s="60">
        <v>16.510000000000002</v>
      </c>
      <c r="D72" s="60">
        <v>23.27</v>
      </c>
      <c r="E72" s="60">
        <v>2.5499999999999998</v>
      </c>
      <c r="F72" s="60">
        <v>0.39</v>
      </c>
      <c r="G72" s="60">
        <v>35.24</v>
      </c>
      <c r="H72" s="60">
        <v>20.51</v>
      </c>
      <c r="I72" s="215" t="s">
        <v>36</v>
      </c>
      <c r="J72" s="60">
        <v>0.99</v>
      </c>
      <c r="K72" s="60">
        <v>343.51</v>
      </c>
      <c r="L72" s="10" t="s">
        <v>43</v>
      </c>
      <c r="M72" s="60">
        <v>74.56</v>
      </c>
      <c r="N72" s="60">
        <v>185.3</v>
      </c>
      <c r="O72" s="60">
        <v>0</v>
      </c>
      <c r="P72" s="60">
        <v>0.84</v>
      </c>
      <c r="Q72" s="60">
        <v>23.64</v>
      </c>
      <c r="R72" s="197"/>
      <c r="S72" s="197"/>
      <c r="T72" s="197"/>
      <c r="U72" s="197"/>
    </row>
    <row r="73" spans="1:21" s="12" customFormat="1" x14ac:dyDescent="0.25">
      <c r="A73" s="200" t="s">
        <v>2904</v>
      </c>
      <c r="B73" s="60">
        <v>7.24</v>
      </c>
      <c r="C73" s="60">
        <v>17.010000000000002</v>
      </c>
      <c r="D73" s="60">
        <v>24.24</v>
      </c>
      <c r="E73" s="60">
        <v>5.75</v>
      </c>
      <c r="F73" s="60">
        <v>0.59</v>
      </c>
      <c r="G73" s="60">
        <v>26.67</v>
      </c>
      <c r="H73" s="60">
        <v>20.420000000000002</v>
      </c>
      <c r="I73" s="215" t="s">
        <v>36</v>
      </c>
      <c r="J73" s="60">
        <v>1.75</v>
      </c>
      <c r="K73" s="60">
        <v>339.05</v>
      </c>
      <c r="L73" s="10" t="s">
        <v>43</v>
      </c>
      <c r="M73" s="60">
        <v>75.459999999999994</v>
      </c>
      <c r="N73" s="60">
        <v>162.4</v>
      </c>
      <c r="O73" s="60">
        <v>0</v>
      </c>
      <c r="P73" s="60">
        <v>0.88</v>
      </c>
      <c r="Q73" s="60">
        <v>20.78</v>
      </c>
      <c r="R73" s="197"/>
      <c r="S73" s="197"/>
      <c r="T73" s="197"/>
      <c r="U73" s="197"/>
    </row>
    <row r="74" spans="1:21" s="12" customFormat="1" x14ac:dyDescent="0.25">
      <c r="A74" s="200" t="s">
        <v>2905</v>
      </c>
      <c r="B74" s="60">
        <v>7.86</v>
      </c>
      <c r="C74" s="60">
        <v>18.86</v>
      </c>
      <c r="D74" s="60">
        <v>26.72</v>
      </c>
      <c r="E74" s="60">
        <v>6.17</v>
      </c>
      <c r="F74" s="60">
        <v>3.46</v>
      </c>
      <c r="G74" s="60">
        <v>26.67</v>
      </c>
      <c r="H74" s="60">
        <v>20.420000000000002</v>
      </c>
      <c r="I74" s="215" t="s">
        <v>36</v>
      </c>
      <c r="J74" s="60">
        <v>1.58</v>
      </c>
      <c r="K74" s="60">
        <v>336.94</v>
      </c>
      <c r="L74" s="10" t="s">
        <v>43</v>
      </c>
      <c r="M74" s="60">
        <v>77.430000000000007</v>
      </c>
      <c r="N74" s="60">
        <v>145.9</v>
      </c>
      <c r="O74" s="60">
        <v>0</v>
      </c>
      <c r="P74" s="60">
        <v>0.9</v>
      </c>
      <c r="Q74" s="60">
        <v>20.92</v>
      </c>
      <c r="R74" s="197"/>
      <c r="S74" s="197"/>
      <c r="T74" s="197"/>
      <c r="U74" s="197"/>
    </row>
    <row r="75" spans="1:21" s="12" customFormat="1" x14ac:dyDescent="0.25">
      <c r="A75" s="200" t="s">
        <v>2906</v>
      </c>
      <c r="B75" s="60">
        <v>9.16</v>
      </c>
      <c r="C75" s="60">
        <v>19.03</v>
      </c>
      <c r="D75" s="60">
        <v>28.19</v>
      </c>
      <c r="E75" s="60">
        <v>5.49</v>
      </c>
      <c r="F75" s="60">
        <v>0.87</v>
      </c>
      <c r="G75" s="60">
        <v>26.67</v>
      </c>
      <c r="H75" s="60">
        <v>20.420000000000002</v>
      </c>
      <c r="I75" s="215" t="s">
        <v>36</v>
      </c>
      <c r="J75" s="60">
        <v>1.49</v>
      </c>
      <c r="K75" s="60">
        <v>334.32</v>
      </c>
      <c r="L75" s="10" t="s">
        <v>43</v>
      </c>
      <c r="M75" s="60">
        <v>73.73</v>
      </c>
      <c r="N75" s="60">
        <v>154.9</v>
      </c>
      <c r="O75" s="60">
        <v>0</v>
      </c>
      <c r="P75" s="60">
        <v>0.93</v>
      </c>
      <c r="Q75" s="60">
        <v>18.559999999999999</v>
      </c>
      <c r="R75" s="197"/>
      <c r="S75" s="197"/>
      <c r="T75" s="197"/>
      <c r="U75" s="197"/>
    </row>
    <row r="76" spans="1:21" s="12" customFormat="1" x14ac:dyDescent="0.25">
      <c r="A76" s="200" t="s">
        <v>2907</v>
      </c>
      <c r="B76" s="60">
        <v>10.3</v>
      </c>
      <c r="C76" s="60">
        <v>20.239999999999998</v>
      </c>
      <c r="D76" s="60">
        <v>30.55</v>
      </c>
      <c r="E76" s="60">
        <v>5.54</v>
      </c>
      <c r="F76" s="60">
        <v>0.08</v>
      </c>
      <c r="G76" s="60">
        <v>30.89</v>
      </c>
      <c r="H76" s="60">
        <v>21.31</v>
      </c>
      <c r="I76" s="215" t="s">
        <v>36</v>
      </c>
      <c r="J76" s="60">
        <v>1.81</v>
      </c>
      <c r="K76" s="60">
        <v>337.63</v>
      </c>
      <c r="L76" s="10" t="s">
        <v>43</v>
      </c>
      <c r="M76" s="60">
        <v>70.709999999999994</v>
      </c>
      <c r="N76" s="60">
        <v>121.9</v>
      </c>
      <c r="O76" s="60">
        <v>0</v>
      </c>
      <c r="P76" s="60">
        <v>0.99</v>
      </c>
      <c r="Q76" s="60">
        <v>18.649999999999999</v>
      </c>
      <c r="R76" s="197"/>
      <c r="S76" s="197"/>
      <c r="T76" s="197"/>
      <c r="U76" s="197"/>
    </row>
    <row r="77" spans="1:21" s="12" customFormat="1" x14ac:dyDescent="0.25">
      <c r="A77" s="200" t="s">
        <v>2908</v>
      </c>
      <c r="B77" s="60">
        <v>10.78</v>
      </c>
      <c r="C77" s="60">
        <v>20.11</v>
      </c>
      <c r="D77" s="60">
        <v>30.9</v>
      </c>
      <c r="E77" s="60">
        <v>5.48</v>
      </c>
      <c r="F77" s="60">
        <v>0.46</v>
      </c>
      <c r="G77" s="60">
        <v>37.85</v>
      </c>
      <c r="H77" s="60">
        <v>22.77</v>
      </c>
      <c r="I77" s="215" t="s">
        <v>36</v>
      </c>
      <c r="J77" s="60">
        <v>1.73</v>
      </c>
      <c r="K77" s="60">
        <v>328.8</v>
      </c>
      <c r="L77" s="10" t="s">
        <v>43</v>
      </c>
      <c r="M77" s="60">
        <v>74.38</v>
      </c>
      <c r="N77" s="60">
        <v>96.2</v>
      </c>
      <c r="O77" s="60">
        <v>0</v>
      </c>
      <c r="P77" s="60">
        <v>0.98</v>
      </c>
      <c r="Q77" s="60">
        <v>18.41</v>
      </c>
      <c r="R77" s="197"/>
      <c r="S77" s="197"/>
      <c r="T77" s="197"/>
      <c r="U77" s="197"/>
    </row>
    <row r="78" spans="1:21" s="12" customFormat="1" x14ac:dyDescent="0.25">
      <c r="A78" s="200" t="s">
        <v>2909</v>
      </c>
      <c r="B78" s="60">
        <v>10.65</v>
      </c>
      <c r="C78" s="60">
        <v>20.62</v>
      </c>
      <c r="D78" s="60">
        <v>31.26</v>
      </c>
      <c r="E78" s="60">
        <v>5.28</v>
      </c>
      <c r="F78" s="60">
        <v>0.02</v>
      </c>
      <c r="G78" s="60">
        <v>37.85</v>
      </c>
      <c r="H78" s="60">
        <v>22.77</v>
      </c>
      <c r="I78" s="215" t="s">
        <v>36</v>
      </c>
      <c r="J78" s="60">
        <v>1.0900000000000001</v>
      </c>
      <c r="K78" s="60">
        <v>330.25</v>
      </c>
      <c r="L78" s="10" t="s">
        <v>43</v>
      </c>
      <c r="M78" s="60">
        <v>76.22</v>
      </c>
      <c r="N78" s="60">
        <v>72.599999999999994</v>
      </c>
      <c r="O78" s="60">
        <v>0</v>
      </c>
      <c r="P78" s="60">
        <v>1.01</v>
      </c>
      <c r="Q78" s="60">
        <v>17.809999999999999</v>
      </c>
      <c r="R78" s="197"/>
      <c r="S78" s="197"/>
      <c r="T78" s="197"/>
      <c r="U78" s="197"/>
    </row>
    <row r="79" spans="1:21" s="12" customFormat="1" x14ac:dyDescent="0.25">
      <c r="A79" s="200" t="s">
        <v>2910</v>
      </c>
      <c r="B79" s="60">
        <v>11.29</v>
      </c>
      <c r="C79" s="60">
        <v>20.6</v>
      </c>
      <c r="D79" s="60">
        <v>31.89</v>
      </c>
      <c r="E79" s="60">
        <v>5.61</v>
      </c>
      <c r="F79" s="60">
        <v>0.92</v>
      </c>
      <c r="G79" s="60">
        <v>37.85</v>
      </c>
      <c r="H79" s="60">
        <v>22.77</v>
      </c>
      <c r="I79" s="215" t="s">
        <v>36</v>
      </c>
      <c r="J79" s="60">
        <v>1.69</v>
      </c>
      <c r="K79" s="60">
        <v>347.48</v>
      </c>
      <c r="L79" s="10" t="s">
        <v>43</v>
      </c>
      <c r="M79" s="60">
        <v>75.33</v>
      </c>
      <c r="N79" s="60">
        <v>55.7</v>
      </c>
      <c r="O79" s="60">
        <v>0</v>
      </c>
      <c r="P79" s="60">
        <v>1.04</v>
      </c>
      <c r="Q79" s="60">
        <v>20.190000000000001</v>
      </c>
      <c r="R79" s="197"/>
      <c r="S79" s="197"/>
      <c r="T79" s="197"/>
      <c r="U79" s="197"/>
    </row>
    <row r="80" spans="1:21" s="12" customFormat="1" x14ac:dyDescent="0.25">
      <c r="A80" s="200" t="s">
        <v>2911</v>
      </c>
      <c r="B80" s="60">
        <v>12.01</v>
      </c>
      <c r="C80" s="60">
        <v>20.63</v>
      </c>
      <c r="D80" s="60">
        <v>32.64</v>
      </c>
      <c r="E80" s="60">
        <v>5.78</v>
      </c>
      <c r="F80" s="60">
        <v>0.02</v>
      </c>
      <c r="G80" s="60">
        <v>41.64</v>
      </c>
      <c r="H80" s="60">
        <v>23.71</v>
      </c>
      <c r="I80" s="215" t="s">
        <v>36</v>
      </c>
      <c r="J80" s="60">
        <v>1.33</v>
      </c>
      <c r="K80" s="60">
        <v>350.89</v>
      </c>
      <c r="L80" s="10" t="s">
        <v>43</v>
      </c>
      <c r="M80" s="60">
        <v>75.98</v>
      </c>
      <c r="N80" s="60">
        <v>31.6</v>
      </c>
      <c r="O80" s="60">
        <v>0</v>
      </c>
      <c r="P80" s="60">
        <v>1.07</v>
      </c>
      <c r="Q80" s="60">
        <v>21.52</v>
      </c>
      <c r="R80" s="197"/>
      <c r="S80" s="197"/>
      <c r="T80" s="197"/>
      <c r="U80" s="197"/>
    </row>
    <row r="81" spans="1:26" s="12" customFormat="1" x14ac:dyDescent="0.25">
      <c r="A81" s="200" t="s">
        <v>2912</v>
      </c>
      <c r="B81" s="60">
        <v>12.93</v>
      </c>
      <c r="C81" s="60">
        <v>20.309999999999999</v>
      </c>
      <c r="D81" s="60">
        <v>33.24</v>
      </c>
      <c r="E81" s="60">
        <v>5.59</v>
      </c>
      <c r="F81" s="60">
        <v>0.81</v>
      </c>
      <c r="G81" s="60">
        <v>47.87</v>
      </c>
      <c r="H81" s="60">
        <v>25.25</v>
      </c>
      <c r="I81" s="215" t="s">
        <v>36</v>
      </c>
      <c r="J81" s="60">
        <v>0.71</v>
      </c>
      <c r="K81" s="60">
        <v>326.01</v>
      </c>
      <c r="L81" s="10" t="s">
        <v>43</v>
      </c>
      <c r="M81" s="60">
        <v>77.59</v>
      </c>
      <c r="N81" s="60">
        <v>20.7</v>
      </c>
      <c r="O81" s="60">
        <v>0</v>
      </c>
      <c r="P81" s="60">
        <v>1.1100000000000001</v>
      </c>
      <c r="Q81" s="60">
        <v>22.84</v>
      </c>
      <c r="R81" s="197"/>
      <c r="S81" s="197"/>
      <c r="T81" s="197"/>
      <c r="U81" s="197"/>
    </row>
    <row r="82" spans="1:26" s="12" customFormat="1" x14ac:dyDescent="0.25">
      <c r="A82" s="200" t="s">
        <v>2913</v>
      </c>
      <c r="B82" s="60">
        <v>14.15</v>
      </c>
      <c r="C82" s="60">
        <v>19.22</v>
      </c>
      <c r="D82" s="60">
        <v>33.369999999999997</v>
      </c>
      <c r="E82" s="60">
        <v>6.07</v>
      </c>
      <c r="F82" s="60">
        <v>0.01</v>
      </c>
      <c r="G82" s="60">
        <v>47.87</v>
      </c>
      <c r="H82" s="60">
        <v>25.25</v>
      </c>
      <c r="I82" s="215" t="s">
        <v>36</v>
      </c>
      <c r="J82" s="60">
        <v>0.67</v>
      </c>
      <c r="K82" s="60">
        <v>348.88</v>
      </c>
      <c r="L82" s="10" t="s">
        <v>43</v>
      </c>
      <c r="M82" s="60">
        <v>79.69</v>
      </c>
      <c r="N82" s="60">
        <v>15.5</v>
      </c>
      <c r="O82" s="60">
        <v>0</v>
      </c>
      <c r="P82" s="60">
        <v>1.1599999999999999</v>
      </c>
      <c r="Q82" s="60">
        <v>23.56</v>
      </c>
      <c r="R82" s="197"/>
      <c r="S82" s="197"/>
      <c r="T82" s="197"/>
      <c r="U82" s="197"/>
    </row>
    <row r="83" spans="1:26" s="12" customFormat="1" x14ac:dyDescent="0.25">
      <c r="A83" s="200" t="s">
        <v>2914</v>
      </c>
      <c r="B83" s="60">
        <v>15.44</v>
      </c>
      <c r="C83" s="60">
        <v>18.420000000000002</v>
      </c>
      <c r="D83" s="60">
        <v>33.86</v>
      </c>
      <c r="E83" s="60">
        <v>6.12</v>
      </c>
      <c r="F83" s="60">
        <v>0.01</v>
      </c>
      <c r="G83" s="60">
        <v>47.87</v>
      </c>
      <c r="H83" s="60">
        <v>25.25</v>
      </c>
      <c r="I83" s="215" t="s">
        <v>36</v>
      </c>
      <c r="J83" s="60">
        <v>0.89</v>
      </c>
      <c r="K83" s="60">
        <v>326.88</v>
      </c>
      <c r="L83" s="10" t="s">
        <v>43</v>
      </c>
      <c r="M83" s="60">
        <v>79.52</v>
      </c>
      <c r="N83" s="60">
        <v>15</v>
      </c>
      <c r="O83" s="60">
        <v>0</v>
      </c>
      <c r="P83" s="60">
        <v>1.2</v>
      </c>
      <c r="Q83" s="60">
        <v>24.89</v>
      </c>
      <c r="R83" s="197"/>
      <c r="S83" s="197"/>
      <c r="T83" s="197"/>
      <c r="U83" s="197"/>
    </row>
    <row r="84" spans="1:26" s="12" customFormat="1" x14ac:dyDescent="0.25">
      <c r="A84" s="200" t="s">
        <v>2915</v>
      </c>
      <c r="B84" s="60">
        <v>16.329999999999998</v>
      </c>
      <c r="C84" s="60">
        <v>17.98</v>
      </c>
      <c r="D84" s="60">
        <v>34.31</v>
      </c>
      <c r="E84" s="60">
        <v>6.22</v>
      </c>
      <c r="F84" s="60">
        <v>0.11</v>
      </c>
      <c r="G84" s="60">
        <v>50.44</v>
      </c>
      <c r="H84" s="60">
        <v>27.74</v>
      </c>
      <c r="I84" s="215" t="s">
        <v>36</v>
      </c>
      <c r="J84" s="60">
        <v>1.18</v>
      </c>
      <c r="K84" s="60">
        <v>346.82</v>
      </c>
      <c r="L84" s="10" t="s">
        <v>43</v>
      </c>
      <c r="M84" s="60">
        <v>77.55</v>
      </c>
      <c r="N84" s="60">
        <v>15.1</v>
      </c>
      <c r="O84" s="60">
        <v>0</v>
      </c>
      <c r="P84" s="60">
        <v>1.25</v>
      </c>
      <c r="Q84" s="60">
        <v>25.36</v>
      </c>
      <c r="R84" s="197"/>
      <c r="S84" s="197"/>
      <c r="T84" s="197"/>
      <c r="U84" s="197"/>
    </row>
    <row r="85" spans="1:26" s="12" customFormat="1" x14ac:dyDescent="0.25">
      <c r="A85" s="200" t="s">
        <v>2916</v>
      </c>
      <c r="B85" s="60">
        <v>17.34</v>
      </c>
      <c r="C85" s="60">
        <v>17.93</v>
      </c>
      <c r="D85" s="60">
        <v>35.270000000000003</v>
      </c>
      <c r="E85" s="60">
        <v>6.17</v>
      </c>
      <c r="F85" s="60">
        <v>0.13</v>
      </c>
      <c r="G85" s="60">
        <v>54.66</v>
      </c>
      <c r="H85" s="60">
        <v>32.049999999999997</v>
      </c>
      <c r="I85" s="215" t="s">
        <v>36</v>
      </c>
      <c r="J85" s="60">
        <v>0.91</v>
      </c>
      <c r="K85" s="60">
        <v>339.05</v>
      </c>
      <c r="L85" s="10" t="s">
        <v>43</v>
      </c>
      <c r="M85" s="60">
        <v>77.599999999999994</v>
      </c>
      <c r="N85" s="60">
        <v>15.1</v>
      </c>
      <c r="O85" s="60">
        <v>0</v>
      </c>
      <c r="P85" s="60">
        <v>1.26</v>
      </c>
      <c r="Q85" s="60">
        <v>26.25</v>
      </c>
      <c r="R85" s="197"/>
      <c r="S85" s="197"/>
      <c r="T85" s="197"/>
      <c r="U85" s="197"/>
    </row>
    <row r="86" spans="1:26" s="12" customFormat="1" x14ac:dyDescent="0.25">
      <c r="A86" s="200" t="s">
        <v>2917</v>
      </c>
      <c r="B86" s="60">
        <v>18.16</v>
      </c>
      <c r="C86" s="60">
        <v>17.920000000000002</v>
      </c>
      <c r="D86" s="60">
        <v>36.08</v>
      </c>
      <c r="E86" s="60">
        <v>6.66</v>
      </c>
      <c r="F86" s="60">
        <v>0.12</v>
      </c>
      <c r="G86" s="60">
        <v>54.66</v>
      </c>
      <c r="H86" s="60">
        <v>32.049999999999997</v>
      </c>
      <c r="I86" s="215" t="s">
        <v>36</v>
      </c>
      <c r="J86" s="60">
        <v>0.75</v>
      </c>
      <c r="K86" s="60">
        <v>317.7</v>
      </c>
      <c r="L86" s="10" t="s">
        <v>43</v>
      </c>
      <c r="M86" s="60">
        <v>77.61</v>
      </c>
      <c r="N86" s="60">
        <v>14.9</v>
      </c>
      <c r="O86" s="60">
        <v>0</v>
      </c>
      <c r="P86" s="60">
        <v>1.35</v>
      </c>
      <c r="Q86" s="60">
        <v>26.27</v>
      </c>
      <c r="R86" s="197"/>
      <c r="S86" s="197"/>
      <c r="T86" s="197"/>
      <c r="U86" s="197"/>
    </row>
    <row r="87" spans="1:26" s="12" customFormat="1" x14ac:dyDescent="0.25">
      <c r="A87" s="200" t="s">
        <v>2918</v>
      </c>
      <c r="B87" s="60">
        <v>18.54</v>
      </c>
      <c r="C87" s="60">
        <v>16.940000000000001</v>
      </c>
      <c r="D87" s="60">
        <v>35.49</v>
      </c>
      <c r="E87" s="60">
        <v>6.4</v>
      </c>
      <c r="F87" s="60">
        <v>0.81</v>
      </c>
      <c r="G87" s="60">
        <v>54.66</v>
      </c>
      <c r="H87" s="60">
        <v>32.049999999999997</v>
      </c>
      <c r="I87" s="215" t="s">
        <v>36</v>
      </c>
      <c r="J87" s="60">
        <v>0.44</v>
      </c>
      <c r="K87" s="60">
        <v>323.01</v>
      </c>
      <c r="L87" s="10" t="s">
        <v>43</v>
      </c>
      <c r="M87" s="60">
        <v>78.819999999999993</v>
      </c>
      <c r="N87" s="60">
        <v>15.5</v>
      </c>
      <c r="O87" s="60">
        <v>0</v>
      </c>
      <c r="P87" s="60">
        <v>1.35</v>
      </c>
      <c r="Q87" s="60">
        <v>22.73</v>
      </c>
      <c r="R87" s="197"/>
      <c r="S87" s="197"/>
      <c r="T87" s="197"/>
      <c r="U87" s="197"/>
    </row>
    <row r="88" spans="1:26" s="12" customFormat="1" x14ac:dyDescent="0.25">
      <c r="A88" s="200" t="s">
        <v>2919</v>
      </c>
      <c r="B88" s="60">
        <v>17.579999999999998</v>
      </c>
      <c r="C88" s="60">
        <v>17.559999999999999</v>
      </c>
      <c r="D88" s="60">
        <v>35.14</v>
      </c>
      <c r="E88" s="60">
        <v>2.75</v>
      </c>
      <c r="F88" s="60">
        <v>0.12</v>
      </c>
      <c r="G88" s="60">
        <v>55.93</v>
      </c>
      <c r="H88" s="60">
        <v>30.31</v>
      </c>
      <c r="I88" s="215" t="s">
        <v>36</v>
      </c>
      <c r="J88" s="60">
        <v>0.67</v>
      </c>
      <c r="K88" s="60">
        <v>311.39999999999998</v>
      </c>
      <c r="L88" s="10" t="s">
        <v>43</v>
      </c>
      <c r="M88" s="60">
        <v>81.19</v>
      </c>
      <c r="N88" s="60">
        <v>15.8</v>
      </c>
      <c r="O88" s="60">
        <v>0</v>
      </c>
      <c r="P88" s="60">
        <v>1.34</v>
      </c>
      <c r="Q88" s="60">
        <v>20.25</v>
      </c>
      <c r="R88" s="197"/>
      <c r="S88" s="197"/>
      <c r="T88" s="197"/>
      <c r="U88" s="197"/>
    </row>
    <row r="89" spans="1:26" s="12" customFormat="1" x14ac:dyDescent="0.25">
      <c r="A89" s="200" t="s">
        <v>2920</v>
      </c>
      <c r="B89" s="60">
        <v>17.16</v>
      </c>
      <c r="C89" s="60">
        <v>17.54</v>
      </c>
      <c r="D89" s="60">
        <v>34.69</v>
      </c>
      <c r="E89" s="60">
        <v>5.46</v>
      </c>
      <c r="F89" s="60">
        <v>0.2</v>
      </c>
      <c r="G89" s="60">
        <v>58.03</v>
      </c>
      <c r="H89" s="60">
        <v>27.31</v>
      </c>
      <c r="I89" s="215" t="s">
        <v>36</v>
      </c>
      <c r="J89" s="60">
        <v>0.81</v>
      </c>
      <c r="K89" s="60">
        <v>318.52</v>
      </c>
      <c r="L89" s="10" t="s">
        <v>43</v>
      </c>
      <c r="M89" s="60">
        <v>86.7</v>
      </c>
      <c r="N89" s="60">
        <v>15.5</v>
      </c>
      <c r="O89" s="60">
        <v>0</v>
      </c>
      <c r="P89" s="60">
        <v>1.3</v>
      </c>
      <c r="Q89" s="60">
        <v>19.559999999999999</v>
      </c>
      <c r="R89" s="197"/>
      <c r="S89" s="197"/>
      <c r="T89" s="197"/>
      <c r="U89" s="197"/>
    </row>
    <row r="90" spans="1:26" s="12" customFormat="1" x14ac:dyDescent="0.25">
      <c r="A90" s="200" t="s">
        <v>2921</v>
      </c>
      <c r="B90" s="60">
        <v>16.350000000000001</v>
      </c>
      <c r="C90" s="60">
        <v>17.93</v>
      </c>
      <c r="D90" s="60">
        <v>34.270000000000003</v>
      </c>
      <c r="E90" s="60">
        <v>6.25</v>
      </c>
      <c r="F90" s="215" t="s">
        <v>36</v>
      </c>
      <c r="G90" s="60">
        <v>58.03</v>
      </c>
      <c r="H90" s="60">
        <v>27.31</v>
      </c>
      <c r="I90" s="215" t="s">
        <v>36</v>
      </c>
      <c r="J90" s="60">
        <v>0.24</v>
      </c>
      <c r="K90" s="60">
        <v>346.54</v>
      </c>
      <c r="L90" s="10" t="s">
        <v>43</v>
      </c>
      <c r="M90" s="60">
        <v>90.43</v>
      </c>
      <c r="N90" s="60">
        <v>14.6</v>
      </c>
      <c r="O90" s="60">
        <v>0</v>
      </c>
      <c r="P90" s="60">
        <v>1.29</v>
      </c>
      <c r="Q90" s="60">
        <v>17.899999999999999</v>
      </c>
      <c r="R90" s="197"/>
      <c r="S90" s="197"/>
      <c r="T90" s="197"/>
      <c r="U90" s="197"/>
    </row>
    <row r="91" spans="1:26" s="12" customFormat="1" x14ac:dyDescent="0.25">
      <c r="A91" s="200" t="s">
        <v>2922</v>
      </c>
      <c r="B91" s="60">
        <v>15.75</v>
      </c>
      <c r="C91" s="60">
        <v>17.489999999999998</v>
      </c>
      <c r="D91" s="60">
        <v>33.24</v>
      </c>
      <c r="E91" s="60">
        <v>6.21</v>
      </c>
      <c r="F91" s="60">
        <v>0.44</v>
      </c>
      <c r="G91" s="60">
        <v>58.03</v>
      </c>
      <c r="H91" s="60">
        <v>27.31</v>
      </c>
      <c r="I91" s="215" t="s">
        <v>36</v>
      </c>
      <c r="J91" s="60">
        <v>0</v>
      </c>
      <c r="K91" s="60">
        <v>231.52</v>
      </c>
      <c r="L91" s="10" t="s">
        <v>43</v>
      </c>
      <c r="M91" s="60">
        <v>90.87</v>
      </c>
      <c r="N91" s="60">
        <v>14.8</v>
      </c>
      <c r="O91" s="60">
        <v>0</v>
      </c>
      <c r="P91" s="60">
        <v>1.24</v>
      </c>
      <c r="Q91" s="60">
        <v>17</v>
      </c>
      <c r="R91" s="197"/>
      <c r="S91" s="197"/>
      <c r="T91" s="197"/>
      <c r="U91" s="197"/>
    </row>
    <row r="92" spans="1:26" s="12" customFormat="1" x14ac:dyDescent="0.25">
      <c r="A92" s="200" t="s">
        <v>2923</v>
      </c>
      <c r="B92" s="60">
        <v>14.86</v>
      </c>
      <c r="C92" s="60">
        <v>17.64</v>
      </c>
      <c r="D92" s="60">
        <v>32.5</v>
      </c>
      <c r="E92" s="60">
        <v>5.69</v>
      </c>
      <c r="F92" s="60">
        <v>0.05</v>
      </c>
      <c r="G92" s="60">
        <v>50.44</v>
      </c>
      <c r="H92" s="60">
        <v>25.62</v>
      </c>
      <c r="I92" s="215" t="s">
        <v>36</v>
      </c>
      <c r="J92" s="60">
        <v>0.04</v>
      </c>
      <c r="K92" s="60">
        <v>141.29</v>
      </c>
      <c r="L92" s="10" t="s">
        <v>43</v>
      </c>
      <c r="M92" s="60">
        <v>91.41</v>
      </c>
      <c r="N92" s="60">
        <v>15.3</v>
      </c>
      <c r="O92" s="60">
        <v>0.4</v>
      </c>
      <c r="P92" s="60">
        <v>1.22</v>
      </c>
      <c r="Q92" s="60">
        <v>16.2</v>
      </c>
      <c r="R92" s="197"/>
      <c r="S92" s="197"/>
      <c r="T92" s="197"/>
      <c r="U92" s="197"/>
    </row>
    <row r="93" spans="1:26" s="12" customFormat="1" x14ac:dyDescent="0.25">
      <c r="A93" s="200" t="s">
        <v>2924</v>
      </c>
      <c r="B93" s="60">
        <v>14.48</v>
      </c>
      <c r="C93" s="60">
        <v>17.670000000000002</v>
      </c>
      <c r="D93" s="60">
        <v>32.15</v>
      </c>
      <c r="E93" s="60">
        <v>6.14</v>
      </c>
      <c r="F93" s="215" t="s">
        <v>36</v>
      </c>
      <c r="G93" s="60">
        <v>37.92</v>
      </c>
      <c r="H93" s="60">
        <v>22.84</v>
      </c>
      <c r="I93" s="215" t="s">
        <v>36</v>
      </c>
      <c r="J93" s="60">
        <v>0.37</v>
      </c>
      <c r="K93" s="60">
        <v>322.12</v>
      </c>
      <c r="L93" s="10" t="s">
        <v>43</v>
      </c>
      <c r="M93" s="60">
        <v>96.29</v>
      </c>
      <c r="N93" s="60">
        <v>14.8</v>
      </c>
      <c r="O93" s="60">
        <v>0</v>
      </c>
      <c r="P93" s="60">
        <v>1.2</v>
      </c>
      <c r="Q93" s="60">
        <v>17.14</v>
      </c>
      <c r="R93" s="197"/>
      <c r="S93" s="197"/>
      <c r="T93" s="197"/>
      <c r="U93" s="197"/>
    </row>
    <row r="94" spans="1:26" s="12" customFormat="1" x14ac:dyDescent="0.25">
      <c r="A94" s="200" t="s">
        <v>2925</v>
      </c>
      <c r="B94" s="60">
        <v>14.18</v>
      </c>
      <c r="C94" s="60">
        <v>17.22</v>
      </c>
      <c r="D94" s="60">
        <v>31.4</v>
      </c>
      <c r="E94" s="60">
        <v>6.1</v>
      </c>
      <c r="F94" s="215" t="s">
        <v>36</v>
      </c>
      <c r="G94" s="60">
        <v>37.92</v>
      </c>
      <c r="H94" s="60">
        <v>22.84</v>
      </c>
      <c r="I94" s="215" t="s">
        <v>36</v>
      </c>
      <c r="J94" s="60">
        <v>0.2</v>
      </c>
      <c r="K94" s="60">
        <v>220.21</v>
      </c>
      <c r="L94" s="10" t="s">
        <v>43</v>
      </c>
      <c r="M94" s="60">
        <v>96.25</v>
      </c>
      <c r="N94" s="60">
        <v>15.2</v>
      </c>
      <c r="O94" s="60">
        <v>0</v>
      </c>
      <c r="P94" s="60">
        <v>1.19</v>
      </c>
      <c r="Q94" s="60">
        <v>18.64</v>
      </c>
      <c r="R94" s="197"/>
      <c r="S94" s="197"/>
      <c r="T94" s="197"/>
      <c r="U94" s="197"/>
    </row>
    <row r="95" spans="1:26" s="12" customFormat="1" x14ac:dyDescent="0.25">
      <c r="A95" s="200" t="s">
        <v>2926</v>
      </c>
      <c r="B95" s="60">
        <v>12.54</v>
      </c>
      <c r="C95" s="60">
        <v>17.11</v>
      </c>
      <c r="D95" s="60">
        <v>29.65</v>
      </c>
      <c r="E95" s="60">
        <v>6.15</v>
      </c>
      <c r="F95" s="60">
        <v>0.09</v>
      </c>
      <c r="G95" s="60">
        <v>37.92</v>
      </c>
      <c r="H95" s="60">
        <v>22.84</v>
      </c>
      <c r="I95" s="215" t="s">
        <v>36</v>
      </c>
      <c r="J95" s="60">
        <v>0.47</v>
      </c>
      <c r="K95" s="60">
        <v>193.37</v>
      </c>
      <c r="L95" s="10" t="s">
        <v>43</v>
      </c>
      <c r="M95" s="60">
        <v>97.6</v>
      </c>
      <c r="N95" s="60">
        <v>16.3</v>
      </c>
      <c r="O95" s="60">
        <v>0</v>
      </c>
      <c r="P95" s="60">
        <v>1.1200000000000001</v>
      </c>
      <c r="Q95" s="60">
        <v>18.93</v>
      </c>
      <c r="R95" s="197"/>
      <c r="S95" s="197"/>
      <c r="T95" s="197"/>
      <c r="U95" s="197"/>
    </row>
    <row r="96" spans="1:26" s="12" customFormat="1" x14ac:dyDescent="0.25">
      <c r="A96" s="200" t="s">
        <v>2927</v>
      </c>
      <c r="B96" s="60">
        <v>10.3</v>
      </c>
      <c r="C96" s="60">
        <v>17.37</v>
      </c>
      <c r="D96" s="60">
        <v>27.66</v>
      </c>
      <c r="E96" s="60">
        <v>5.78</v>
      </c>
      <c r="F96" s="60">
        <v>0.23</v>
      </c>
      <c r="G96" s="60">
        <v>34.85</v>
      </c>
      <c r="H96" s="60">
        <v>20.25</v>
      </c>
      <c r="I96" s="215" t="s">
        <v>36</v>
      </c>
      <c r="J96" s="60">
        <v>1.99</v>
      </c>
      <c r="K96" s="60">
        <v>165.17</v>
      </c>
      <c r="L96" s="10" t="s">
        <v>43</v>
      </c>
      <c r="M96" s="60">
        <v>98.1</v>
      </c>
      <c r="N96" s="60">
        <v>16.5</v>
      </c>
      <c r="O96" s="60">
        <v>5.8</v>
      </c>
      <c r="P96" s="60">
        <v>1.05</v>
      </c>
      <c r="Q96" s="60">
        <v>18.71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2928</v>
      </c>
      <c r="B97" s="60">
        <v>7.58</v>
      </c>
      <c r="C97" s="60">
        <v>17.89</v>
      </c>
      <c r="D97" s="60">
        <v>25.48</v>
      </c>
      <c r="E97" s="60">
        <v>5.57</v>
      </c>
      <c r="F97" s="60">
        <v>0.14000000000000001</v>
      </c>
      <c r="G97" s="60">
        <v>29.79</v>
      </c>
      <c r="H97" s="60">
        <v>15.99</v>
      </c>
      <c r="I97" s="215" t="s">
        <v>36</v>
      </c>
      <c r="J97" s="60">
        <v>1.33</v>
      </c>
      <c r="K97" s="60">
        <v>156.6</v>
      </c>
      <c r="L97" s="10" t="s">
        <v>43</v>
      </c>
      <c r="M97" s="60">
        <v>99.15</v>
      </c>
      <c r="N97" s="60">
        <v>16.2</v>
      </c>
      <c r="O97" s="60">
        <v>11.6</v>
      </c>
      <c r="P97" s="60">
        <v>0.98</v>
      </c>
      <c r="Q97" s="60">
        <v>18.059999999999999</v>
      </c>
      <c r="R97" s="197"/>
      <c r="S97" s="197"/>
      <c r="T97" s="197"/>
      <c r="U97" s="197"/>
    </row>
    <row r="98" spans="1:33" s="12" customFormat="1" x14ac:dyDescent="0.25">
      <c r="A98" s="200" t="s">
        <v>2929</v>
      </c>
      <c r="B98" s="60">
        <v>6.07</v>
      </c>
      <c r="C98" s="60">
        <v>17.41</v>
      </c>
      <c r="D98" s="60">
        <v>23.48</v>
      </c>
      <c r="E98" s="60">
        <v>5.82</v>
      </c>
      <c r="F98" s="60">
        <v>0.04</v>
      </c>
      <c r="G98" s="60">
        <v>29.79</v>
      </c>
      <c r="H98" s="60">
        <v>15.99</v>
      </c>
      <c r="I98" s="215" t="s">
        <v>36</v>
      </c>
      <c r="J98" s="60">
        <v>0.72</v>
      </c>
      <c r="K98" s="60">
        <v>323.43</v>
      </c>
      <c r="L98" s="10" t="s">
        <v>43</v>
      </c>
      <c r="M98" s="60">
        <v>99.15</v>
      </c>
      <c r="N98" s="60">
        <v>14.8</v>
      </c>
      <c r="O98" s="60">
        <v>11.8</v>
      </c>
      <c r="P98" s="60">
        <v>0.94</v>
      </c>
      <c r="Q98" s="60">
        <v>17.48</v>
      </c>
      <c r="R98" s="197"/>
      <c r="S98" s="197"/>
      <c r="T98" s="197"/>
      <c r="U98" s="197"/>
    </row>
    <row r="99" spans="1:33" s="12" customFormat="1" x14ac:dyDescent="0.25">
      <c r="A99" s="200" t="s">
        <v>2930</v>
      </c>
      <c r="B99" s="60">
        <v>5.38</v>
      </c>
      <c r="C99" s="60">
        <v>16.63</v>
      </c>
      <c r="D99" s="60">
        <v>22.01</v>
      </c>
      <c r="E99" s="60">
        <v>6.1</v>
      </c>
      <c r="F99" s="60">
        <v>1.05</v>
      </c>
      <c r="G99" s="60">
        <v>29.79</v>
      </c>
      <c r="H99" s="60">
        <v>15.99</v>
      </c>
      <c r="I99" s="215" t="s">
        <v>36</v>
      </c>
      <c r="J99" s="60">
        <v>1.24</v>
      </c>
      <c r="K99" s="60">
        <v>328.85</v>
      </c>
      <c r="L99" s="10" t="s">
        <v>43</v>
      </c>
      <c r="M99" s="60">
        <v>99.15</v>
      </c>
      <c r="N99" s="60">
        <v>15.7</v>
      </c>
      <c r="O99" s="60">
        <v>7</v>
      </c>
      <c r="P99" s="60">
        <v>0.91</v>
      </c>
      <c r="Q99" s="60">
        <v>16.68</v>
      </c>
      <c r="R99" s="197"/>
      <c r="S99" s="197"/>
      <c r="T99" s="197"/>
      <c r="U99" s="197"/>
    </row>
    <row r="100" spans="1:33" s="12" customFormat="1" x14ac:dyDescent="0.25">
      <c r="A100" s="200" t="s">
        <v>2931</v>
      </c>
      <c r="B100" s="60">
        <v>4.75</v>
      </c>
      <c r="C100" s="60">
        <v>16.079999999999998</v>
      </c>
      <c r="D100" s="60">
        <v>20.83</v>
      </c>
      <c r="E100" s="60">
        <v>6.12</v>
      </c>
      <c r="F100" s="60">
        <v>0.39</v>
      </c>
      <c r="G100" s="60">
        <v>26.68</v>
      </c>
      <c r="H100" s="60">
        <v>14.84</v>
      </c>
      <c r="I100" s="215" t="s">
        <v>36</v>
      </c>
      <c r="J100" s="60">
        <v>0.84</v>
      </c>
      <c r="K100" s="60">
        <v>24.01</v>
      </c>
      <c r="L100" s="10" t="s">
        <v>43</v>
      </c>
      <c r="M100" s="60">
        <v>99.15</v>
      </c>
      <c r="N100" s="60">
        <v>16.3</v>
      </c>
      <c r="O100" s="60">
        <v>1</v>
      </c>
      <c r="P100" s="60">
        <v>0.87</v>
      </c>
      <c r="Q100" s="60">
        <v>15.85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2932</v>
      </c>
      <c r="B101" s="60">
        <v>4.29</v>
      </c>
      <c r="C101" s="60">
        <v>15.39</v>
      </c>
      <c r="D101" s="60">
        <v>19.670000000000002</v>
      </c>
      <c r="E101" s="60">
        <v>6.61</v>
      </c>
      <c r="F101" s="60">
        <v>0.3</v>
      </c>
      <c r="G101" s="60">
        <v>21.57</v>
      </c>
      <c r="H101" s="60">
        <v>12.95</v>
      </c>
      <c r="I101" s="215" t="s">
        <v>36</v>
      </c>
      <c r="J101" s="60">
        <v>0.78</v>
      </c>
      <c r="K101" s="60">
        <v>140.66999999999999</v>
      </c>
      <c r="L101" s="10" t="s">
        <v>43</v>
      </c>
      <c r="M101" s="60">
        <v>99.15</v>
      </c>
      <c r="N101" s="60">
        <v>15.5</v>
      </c>
      <c r="O101" s="60">
        <v>0.4</v>
      </c>
      <c r="P101" s="60">
        <v>0.84</v>
      </c>
      <c r="Q101" s="60">
        <v>15.65</v>
      </c>
      <c r="R101" s="197"/>
      <c r="S101" s="197"/>
      <c r="T101" s="197"/>
      <c r="U101" s="197"/>
    </row>
    <row r="102" spans="1:33" s="12" customFormat="1" x14ac:dyDescent="0.25">
      <c r="A102" s="200" t="s">
        <v>2933</v>
      </c>
      <c r="B102" s="60">
        <v>4.1100000000000003</v>
      </c>
      <c r="C102" s="60">
        <v>13.9</v>
      </c>
      <c r="D102" s="60">
        <v>18.010000000000002</v>
      </c>
      <c r="E102" s="60">
        <v>6.42</v>
      </c>
      <c r="F102" s="60">
        <v>0.56000000000000005</v>
      </c>
      <c r="G102" s="60">
        <v>21.57</v>
      </c>
      <c r="H102" s="60">
        <v>12.95</v>
      </c>
      <c r="I102" s="215" t="s">
        <v>36</v>
      </c>
      <c r="J102" s="60">
        <v>0.89</v>
      </c>
      <c r="K102" s="60">
        <v>325.29000000000002</v>
      </c>
      <c r="L102" s="10" t="s">
        <v>43</v>
      </c>
      <c r="M102" s="60">
        <v>99.15</v>
      </c>
      <c r="N102" s="60">
        <v>14.8</v>
      </c>
      <c r="O102" s="60">
        <v>0.4</v>
      </c>
      <c r="P102" s="60">
        <v>0.83</v>
      </c>
      <c r="Q102" s="60">
        <v>13.25</v>
      </c>
      <c r="R102" s="197"/>
      <c r="S102" s="197"/>
      <c r="T102" s="197"/>
      <c r="U102" s="197"/>
    </row>
    <row r="103" spans="1:33" s="12" customFormat="1" x14ac:dyDescent="0.25">
      <c r="A103" s="200" t="s">
        <v>2934</v>
      </c>
      <c r="B103" s="60">
        <v>4.51</v>
      </c>
      <c r="C103" s="60">
        <v>14.53</v>
      </c>
      <c r="D103" s="60">
        <v>19.04</v>
      </c>
      <c r="E103" s="60">
        <v>6.56</v>
      </c>
      <c r="F103" s="60">
        <v>0.33</v>
      </c>
      <c r="G103" s="60">
        <v>21.57</v>
      </c>
      <c r="H103" s="60">
        <v>12.95</v>
      </c>
      <c r="I103" s="215" t="s">
        <v>36</v>
      </c>
      <c r="J103" s="60">
        <v>0.23</v>
      </c>
      <c r="K103" s="60">
        <v>236.85</v>
      </c>
      <c r="L103" s="10" t="s">
        <v>43</v>
      </c>
      <c r="M103" s="60">
        <v>99.15</v>
      </c>
      <c r="N103" s="60">
        <v>14.9</v>
      </c>
      <c r="O103" s="60">
        <v>0.2</v>
      </c>
      <c r="P103" s="60">
        <v>0.81</v>
      </c>
      <c r="Q103" s="60">
        <v>13.84</v>
      </c>
      <c r="R103" s="197"/>
      <c r="S103" s="197"/>
      <c r="T103" s="197"/>
      <c r="U103" s="197"/>
    </row>
    <row r="104" spans="1:33" s="12" customFormat="1" x14ac:dyDescent="0.25">
      <c r="A104" s="200" t="s">
        <v>2935</v>
      </c>
      <c r="B104" s="60">
        <v>4.55</v>
      </c>
      <c r="C104" s="60">
        <v>14.31</v>
      </c>
      <c r="D104" s="60">
        <v>18.86</v>
      </c>
      <c r="E104" s="60">
        <v>2.94</v>
      </c>
      <c r="F104" s="60">
        <v>0.18</v>
      </c>
      <c r="G104" s="60">
        <v>19.32</v>
      </c>
      <c r="H104" s="60">
        <v>12.57</v>
      </c>
      <c r="I104" s="215" t="s">
        <v>36</v>
      </c>
      <c r="J104" s="60">
        <v>0.59</v>
      </c>
      <c r="K104" s="60">
        <v>196.59</v>
      </c>
      <c r="L104" s="10" t="s">
        <v>43</v>
      </c>
      <c r="M104" s="60">
        <v>99.15</v>
      </c>
      <c r="N104" s="60">
        <v>14.8</v>
      </c>
      <c r="O104" s="60">
        <v>0</v>
      </c>
      <c r="P104" s="60">
        <v>0.83</v>
      </c>
      <c r="Q104" s="60">
        <v>12.75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5" t="s">
        <v>59</v>
      </c>
      <c r="B106" s="67">
        <f>MIN(B9:B104)</f>
        <v>2.41</v>
      </c>
      <c r="C106" s="67">
        <f>MIN(C9:C104)</f>
        <v>9.0399999999999991</v>
      </c>
      <c r="D106" s="67">
        <f t="shared" ref="D106:Q106" si="0">MIN(D9:D104)</f>
        <v>15.02</v>
      </c>
      <c r="E106" s="67">
        <f t="shared" si="0"/>
        <v>2.5499999999999998</v>
      </c>
      <c r="F106" s="67">
        <f t="shared" si="0"/>
        <v>0.01</v>
      </c>
      <c r="G106" s="67">
        <f t="shared" si="0"/>
        <v>19.32</v>
      </c>
      <c r="H106" s="67">
        <f t="shared" si="0"/>
        <v>12.57</v>
      </c>
      <c r="I106" s="67">
        <f t="shared" si="0"/>
        <v>0</v>
      </c>
      <c r="J106" s="67">
        <f t="shared" si="0"/>
        <v>0</v>
      </c>
      <c r="K106" s="67">
        <f t="shared" si="0"/>
        <v>4</v>
      </c>
      <c r="L106" s="67">
        <f t="shared" si="0"/>
        <v>0</v>
      </c>
      <c r="M106" s="67">
        <f t="shared" si="0"/>
        <v>53.99</v>
      </c>
      <c r="N106" s="67">
        <f t="shared" si="0"/>
        <v>14.6</v>
      </c>
      <c r="O106" s="67">
        <f t="shared" si="0"/>
        <v>0</v>
      </c>
      <c r="P106" s="67">
        <f t="shared" si="0"/>
        <v>0.65</v>
      </c>
      <c r="Q106" s="67">
        <f t="shared" si="0"/>
        <v>7.32</v>
      </c>
      <c r="R106" s="198"/>
      <c r="S106" s="198"/>
      <c r="T106" s="198"/>
      <c r="U106" s="198"/>
    </row>
    <row r="107" spans="1:33" x14ac:dyDescent="0.25">
      <c r="A107" s="65" t="s">
        <v>60</v>
      </c>
      <c r="B107" s="66">
        <f>MAX(B9:B104)</f>
        <v>18.54</v>
      </c>
      <c r="C107" s="66">
        <f t="shared" ref="C107:Q107" si="1">MAX(C9:C104)</f>
        <v>20.63</v>
      </c>
      <c r="D107" s="66">
        <f t="shared" si="1"/>
        <v>36.08</v>
      </c>
      <c r="E107" s="66">
        <f t="shared" si="1"/>
        <v>6.85</v>
      </c>
      <c r="F107" s="66">
        <f t="shared" si="1"/>
        <v>3.46</v>
      </c>
      <c r="G107" s="66">
        <f t="shared" si="1"/>
        <v>58.03</v>
      </c>
      <c r="H107" s="66">
        <f t="shared" si="1"/>
        <v>32.049999999999997</v>
      </c>
      <c r="I107" s="66">
        <f t="shared" si="1"/>
        <v>0</v>
      </c>
      <c r="J107" s="66">
        <f t="shared" si="1"/>
        <v>2.7</v>
      </c>
      <c r="K107" s="66">
        <f t="shared" si="1"/>
        <v>357.07</v>
      </c>
      <c r="L107" s="66">
        <f t="shared" si="1"/>
        <v>0</v>
      </c>
      <c r="M107" s="66">
        <f t="shared" si="1"/>
        <v>99.15</v>
      </c>
      <c r="N107" s="66">
        <f t="shared" si="1"/>
        <v>852.2</v>
      </c>
      <c r="O107" s="66">
        <f t="shared" si="1"/>
        <v>11.8</v>
      </c>
      <c r="P107" s="66">
        <f t="shared" si="1"/>
        <v>1.35</v>
      </c>
      <c r="Q107" s="66">
        <f t="shared" si="1"/>
        <v>26.27</v>
      </c>
      <c r="R107" s="199"/>
      <c r="S107" s="199"/>
      <c r="T107" s="199"/>
      <c r="U107" s="199"/>
    </row>
    <row r="108" spans="1:33" x14ac:dyDescent="0.25">
      <c r="A108" s="65" t="s">
        <v>61</v>
      </c>
      <c r="B108" s="67">
        <f>AVERAGE(B9:B104)</f>
        <v>8.1043749999999992</v>
      </c>
      <c r="C108" s="67">
        <f t="shared" ref="C108:Q108" si="2">AVERAGE(C9:C104)</f>
        <v>14.758750000000006</v>
      </c>
      <c r="D108" s="67">
        <f t="shared" si="2"/>
        <v>22.86364583333334</v>
      </c>
      <c r="E108" s="67">
        <f t="shared" si="2"/>
        <v>5.7549999999999999</v>
      </c>
      <c r="F108" s="67">
        <f t="shared" si="2"/>
        <v>0.39573033707865168</v>
      </c>
      <c r="G108" s="67">
        <f t="shared" si="2"/>
        <v>33.013541666666669</v>
      </c>
      <c r="H108" s="67">
        <f t="shared" si="2"/>
        <v>21.122604166666651</v>
      </c>
      <c r="I108" s="67" t="e">
        <f t="shared" si="2"/>
        <v>#DIV/0!</v>
      </c>
      <c r="J108" s="67">
        <f t="shared" si="2"/>
        <v>0.57500000000000007</v>
      </c>
      <c r="K108" s="67">
        <f t="shared" si="2"/>
        <v>253.19864583333325</v>
      </c>
      <c r="L108" s="67" t="e">
        <f t="shared" si="2"/>
        <v>#DIV/0!</v>
      </c>
      <c r="M108" s="67">
        <f t="shared" si="2"/>
        <v>80.504479166666627</v>
      </c>
      <c r="N108" s="67">
        <f t="shared" si="2"/>
        <v>178.76770833333327</v>
      </c>
      <c r="O108" s="67">
        <f t="shared" si="2"/>
        <v>0.40208333333333335</v>
      </c>
      <c r="P108" s="67">
        <f t="shared" si="2"/>
        <v>0.87927083333333333</v>
      </c>
      <c r="Q108" s="67">
        <f t="shared" si="2"/>
        <v>16.485937500000002</v>
      </c>
      <c r="R108" s="198"/>
      <c r="S108" s="198"/>
      <c r="T108" s="198"/>
      <c r="U108" s="198"/>
    </row>
    <row r="109" spans="1:33" x14ac:dyDescent="0.25">
      <c r="A109" s="65" t="s">
        <v>77</v>
      </c>
      <c r="B109" s="67">
        <f>STDEV(B9:B104)</f>
        <v>3.9421473743446778</v>
      </c>
      <c r="C109" s="67">
        <f t="shared" ref="C109:Q109" si="3">STDEV(C9:C104)</f>
        <v>3.3426155060150879</v>
      </c>
      <c r="D109" s="67">
        <f t="shared" si="3"/>
        <v>6.0055013585863017</v>
      </c>
      <c r="E109" s="67">
        <f t="shared" si="3"/>
        <v>0.84934401932191028</v>
      </c>
      <c r="F109" s="67">
        <f t="shared" si="3"/>
        <v>0.4914655440628789</v>
      </c>
      <c r="G109" s="67">
        <f t="shared" si="3"/>
        <v>9.1663850395334023</v>
      </c>
      <c r="H109" s="67">
        <f t="shared" si="3"/>
        <v>4.4500396792534653</v>
      </c>
      <c r="I109" s="67" t="e">
        <f t="shared" si="3"/>
        <v>#DIV/0!</v>
      </c>
      <c r="J109" s="67">
        <f t="shared" si="3"/>
        <v>0.57201582606004697</v>
      </c>
      <c r="K109" s="67">
        <f t="shared" si="3"/>
        <v>101.88058237202391</v>
      </c>
      <c r="L109" s="67" t="e">
        <f t="shared" si="3"/>
        <v>#DIV/0!</v>
      </c>
      <c r="M109" s="67">
        <f t="shared" si="3"/>
        <v>13.674621970704605</v>
      </c>
      <c r="N109" s="67">
        <f t="shared" si="3"/>
        <v>234.16936358330221</v>
      </c>
      <c r="O109" s="67">
        <f t="shared" si="3"/>
        <v>1.8985855769447046</v>
      </c>
      <c r="P109" s="67">
        <f t="shared" si="3"/>
        <v>0.184352321679908</v>
      </c>
      <c r="Q109" s="67">
        <f t="shared" si="3"/>
        <v>4.1027129863889034</v>
      </c>
      <c r="R109" s="198"/>
      <c r="S109" s="198"/>
      <c r="T109" s="198"/>
      <c r="U109" s="198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COUNT(F9:F104)+7</f>
        <v>96</v>
      </c>
      <c r="G110" s="66">
        <f t="shared" si="4"/>
        <v>96</v>
      </c>
      <c r="H110" s="66">
        <f>COUNT(H9:H104)+9</f>
        <v>105</v>
      </c>
      <c r="I110" s="66">
        <f>COUNT(I9:I104)+96</f>
        <v>96</v>
      </c>
      <c r="J110" s="66">
        <f>COUNT(J9:J104)</f>
        <v>96</v>
      </c>
      <c r="K110" s="66">
        <f t="shared" si="4"/>
        <v>96</v>
      </c>
      <c r="L110" s="66">
        <f t="shared" si="4"/>
        <v>0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9"/>
      <c r="S110" s="199"/>
      <c r="T110" s="199"/>
      <c r="U110" s="199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&lt;90%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LESS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218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90" activePane="bottomLeft" state="frozen"/>
      <selection pane="bottomLeft" activeCell="L56" sqref="L56:L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29-08-2022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234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x14ac:dyDescent="0.25">
      <c r="A8" s="15"/>
      <c r="B8" s="13" t="s">
        <v>51</v>
      </c>
      <c r="C8" s="13" t="s">
        <v>51</v>
      </c>
      <c r="D8" s="13" t="s">
        <v>51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8" t="s">
        <v>51</v>
      </c>
      <c r="R8" s="195"/>
      <c r="S8" s="196"/>
      <c r="T8" s="195"/>
      <c r="U8" s="195"/>
    </row>
    <row r="9" spans="1:21" s="12" customFormat="1" x14ac:dyDescent="0.25">
      <c r="A9" s="200" t="s">
        <v>2936</v>
      </c>
      <c r="B9" s="60">
        <v>4.3600000000000003</v>
      </c>
      <c r="C9" s="60">
        <v>14.23</v>
      </c>
      <c r="D9" s="60">
        <v>18.59</v>
      </c>
      <c r="E9" s="60">
        <v>5.84</v>
      </c>
      <c r="F9" s="60">
        <v>0.19</v>
      </c>
      <c r="G9" s="60">
        <v>15.62</v>
      </c>
      <c r="H9" s="60">
        <v>11.93</v>
      </c>
      <c r="I9" s="215" t="s">
        <v>36</v>
      </c>
      <c r="J9" s="60">
        <v>0.15</v>
      </c>
      <c r="K9" s="60">
        <v>199.08</v>
      </c>
      <c r="L9" s="60">
        <v>56.35</v>
      </c>
      <c r="M9" s="60">
        <v>99.15</v>
      </c>
      <c r="N9" s="60">
        <v>15.2</v>
      </c>
      <c r="O9" s="60">
        <v>0.2</v>
      </c>
      <c r="P9" s="60">
        <v>0.79</v>
      </c>
      <c r="Q9" s="60">
        <v>13.26</v>
      </c>
      <c r="R9" s="197"/>
      <c r="S9" s="197"/>
      <c r="T9" s="197"/>
      <c r="U9" s="197"/>
    </row>
    <row r="10" spans="1:21" s="12" customFormat="1" x14ac:dyDescent="0.25">
      <c r="A10" s="200" t="s">
        <v>2937</v>
      </c>
      <c r="B10" s="60">
        <v>4.09</v>
      </c>
      <c r="C10" s="60">
        <v>13.38</v>
      </c>
      <c r="D10" s="60">
        <v>17.46</v>
      </c>
      <c r="E10" s="60">
        <v>6.31</v>
      </c>
      <c r="F10" s="60">
        <v>0.17</v>
      </c>
      <c r="G10" s="60">
        <v>15.62</v>
      </c>
      <c r="H10" s="60">
        <v>11.93</v>
      </c>
      <c r="I10" s="215" t="s">
        <v>36</v>
      </c>
      <c r="J10" s="60">
        <v>0.13</v>
      </c>
      <c r="K10" s="60">
        <v>183.86</v>
      </c>
      <c r="L10" s="60">
        <v>54.8</v>
      </c>
      <c r="M10" s="60">
        <v>99.15</v>
      </c>
      <c r="N10" s="60">
        <v>15.1</v>
      </c>
      <c r="O10" s="60">
        <v>0</v>
      </c>
      <c r="P10" s="60">
        <v>0.79</v>
      </c>
      <c r="Q10" s="60">
        <v>10.83</v>
      </c>
      <c r="R10" s="197"/>
      <c r="S10" s="197"/>
      <c r="T10" s="197"/>
      <c r="U10" s="197"/>
    </row>
    <row r="11" spans="1:21" s="12" customFormat="1" x14ac:dyDescent="0.25">
      <c r="A11" s="200" t="s">
        <v>2938</v>
      </c>
      <c r="B11" s="60">
        <v>3.92</v>
      </c>
      <c r="C11" s="60">
        <v>13.63</v>
      </c>
      <c r="D11" s="60">
        <v>17.55</v>
      </c>
      <c r="E11" s="60">
        <v>6.15</v>
      </c>
      <c r="F11" s="60">
        <v>0.14000000000000001</v>
      </c>
      <c r="G11" s="60">
        <v>15.62</v>
      </c>
      <c r="H11" s="60">
        <v>11.93</v>
      </c>
      <c r="I11" s="215" t="s">
        <v>36</v>
      </c>
      <c r="J11" s="60">
        <v>0.51</v>
      </c>
      <c r="K11" s="60">
        <v>193.18</v>
      </c>
      <c r="L11" s="60">
        <v>50.91</v>
      </c>
      <c r="M11" s="60">
        <v>99.15</v>
      </c>
      <c r="N11" s="60">
        <v>15</v>
      </c>
      <c r="O11" s="60">
        <v>0.2</v>
      </c>
      <c r="P11" s="60">
        <v>0.78</v>
      </c>
      <c r="Q11" s="60">
        <v>12.15</v>
      </c>
      <c r="R11" s="197"/>
      <c r="S11" s="197"/>
      <c r="T11" s="197"/>
      <c r="U11" s="197"/>
    </row>
    <row r="12" spans="1:21" s="12" customFormat="1" x14ac:dyDescent="0.25">
      <c r="A12" s="200" t="s">
        <v>2939</v>
      </c>
      <c r="B12" s="60">
        <v>3.78</v>
      </c>
      <c r="C12" s="60">
        <v>13.18</v>
      </c>
      <c r="D12" s="60">
        <v>16.97</v>
      </c>
      <c r="E12" s="60">
        <v>6.46</v>
      </c>
      <c r="F12" s="60">
        <v>0.22</v>
      </c>
      <c r="G12" s="60">
        <v>14.23</v>
      </c>
      <c r="H12" s="60">
        <v>10.9</v>
      </c>
      <c r="I12" s="215" t="s">
        <v>36</v>
      </c>
      <c r="J12" s="60">
        <v>0.3</v>
      </c>
      <c r="K12" s="60">
        <v>206.22</v>
      </c>
      <c r="L12" s="10" t="s">
        <v>43</v>
      </c>
      <c r="M12" s="60">
        <v>99.15</v>
      </c>
      <c r="N12" s="60">
        <v>15.3</v>
      </c>
      <c r="O12" s="60">
        <v>0.2</v>
      </c>
      <c r="P12" s="60">
        <v>0.77</v>
      </c>
      <c r="Q12" s="60">
        <v>12.24</v>
      </c>
      <c r="R12" s="197"/>
      <c r="S12" s="197"/>
      <c r="T12" s="197"/>
      <c r="U12" s="197"/>
    </row>
    <row r="13" spans="1:21" s="12" customFormat="1" x14ac:dyDescent="0.25">
      <c r="A13" s="200" t="s">
        <v>2940</v>
      </c>
      <c r="B13" s="60">
        <v>3.75</v>
      </c>
      <c r="C13" s="60">
        <v>12.92</v>
      </c>
      <c r="D13" s="60">
        <v>16.670000000000002</v>
      </c>
      <c r="E13" s="60">
        <v>6.33</v>
      </c>
      <c r="F13" s="60">
        <v>0.06</v>
      </c>
      <c r="G13" s="60">
        <v>11.95</v>
      </c>
      <c r="H13" s="60">
        <v>9.2100000000000009</v>
      </c>
      <c r="I13" s="215" t="s">
        <v>36</v>
      </c>
      <c r="J13" s="60">
        <v>0.28999999999999998</v>
      </c>
      <c r="K13" s="60">
        <v>174</v>
      </c>
      <c r="L13" s="10" t="s">
        <v>43</v>
      </c>
      <c r="M13" s="60">
        <v>99.15</v>
      </c>
      <c r="N13" s="60">
        <v>15.4</v>
      </c>
      <c r="O13" s="60">
        <v>0</v>
      </c>
      <c r="P13" s="60">
        <v>0.64</v>
      </c>
      <c r="Q13" s="60">
        <v>14.3</v>
      </c>
      <c r="R13" s="197"/>
      <c r="S13" s="197"/>
      <c r="T13" s="197"/>
      <c r="U13" s="197"/>
    </row>
    <row r="14" spans="1:21" s="12" customFormat="1" x14ac:dyDescent="0.25">
      <c r="A14" s="200" t="s">
        <v>2941</v>
      </c>
      <c r="B14" s="60">
        <v>3.76</v>
      </c>
      <c r="C14" s="60">
        <v>12.41</v>
      </c>
      <c r="D14" s="60">
        <v>16.170000000000002</v>
      </c>
      <c r="E14" s="60">
        <v>6.46</v>
      </c>
      <c r="F14" s="60">
        <v>0.06</v>
      </c>
      <c r="G14" s="60">
        <v>11.95</v>
      </c>
      <c r="H14" s="60">
        <v>9.2100000000000009</v>
      </c>
      <c r="I14" s="215" t="s">
        <v>36</v>
      </c>
      <c r="J14" s="60">
        <v>0.39</v>
      </c>
      <c r="K14" s="60">
        <v>211.21</v>
      </c>
      <c r="L14" s="10" t="s">
        <v>43</v>
      </c>
      <c r="M14" s="60">
        <v>99.15</v>
      </c>
      <c r="N14" s="60">
        <v>15.1</v>
      </c>
      <c r="O14" s="60">
        <v>0</v>
      </c>
      <c r="P14" s="60">
        <v>0.68</v>
      </c>
      <c r="Q14" s="60">
        <v>15.9</v>
      </c>
      <c r="R14" s="197"/>
      <c r="S14" s="197"/>
      <c r="T14" s="197"/>
      <c r="U14" s="197"/>
    </row>
    <row r="15" spans="1:21" s="12" customFormat="1" x14ac:dyDescent="0.25">
      <c r="A15" s="200" t="s">
        <v>2942</v>
      </c>
      <c r="B15" s="60">
        <v>3.8</v>
      </c>
      <c r="C15" s="60">
        <v>12.01</v>
      </c>
      <c r="D15" s="60">
        <v>15.8</v>
      </c>
      <c r="E15" s="60">
        <v>6.61</v>
      </c>
      <c r="F15" s="60">
        <v>0.1</v>
      </c>
      <c r="G15" s="60">
        <v>11.95</v>
      </c>
      <c r="H15" s="60">
        <v>9.2100000000000009</v>
      </c>
      <c r="I15" s="215" t="s">
        <v>36</v>
      </c>
      <c r="J15" s="60">
        <v>0.34</v>
      </c>
      <c r="K15" s="60">
        <v>215.24</v>
      </c>
      <c r="L15" s="10" t="s">
        <v>43</v>
      </c>
      <c r="M15" s="60">
        <v>99.15</v>
      </c>
      <c r="N15" s="60">
        <v>15.3</v>
      </c>
      <c r="O15" s="60">
        <v>0</v>
      </c>
      <c r="P15" s="60">
        <v>0.66</v>
      </c>
      <c r="Q15" s="60">
        <v>17.04</v>
      </c>
      <c r="R15" s="197"/>
      <c r="S15" s="197"/>
      <c r="T15" s="197"/>
      <c r="U15" s="197"/>
    </row>
    <row r="16" spans="1:21" s="12" customFormat="1" x14ac:dyDescent="0.25">
      <c r="A16" s="200" t="s">
        <v>2943</v>
      </c>
      <c r="B16" s="60">
        <v>3.79</v>
      </c>
      <c r="C16" s="60">
        <v>11.87</v>
      </c>
      <c r="D16" s="60">
        <v>15.66</v>
      </c>
      <c r="E16" s="60">
        <v>6.67</v>
      </c>
      <c r="F16" s="9" t="s">
        <v>36</v>
      </c>
      <c r="G16" s="60">
        <v>10.65</v>
      </c>
      <c r="H16" s="60">
        <v>8.3000000000000007</v>
      </c>
      <c r="I16" s="215" t="s">
        <v>36</v>
      </c>
      <c r="J16" s="60">
        <v>0.55000000000000004</v>
      </c>
      <c r="K16" s="60">
        <v>170.33</v>
      </c>
      <c r="L16" s="10" t="s">
        <v>43</v>
      </c>
      <c r="M16" s="60">
        <v>99.15</v>
      </c>
      <c r="N16" s="60">
        <v>15.8</v>
      </c>
      <c r="O16" s="60">
        <v>0</v>
      </c>
      <c r="P16" s="60">
        <v>0.65</v>
      </c>
      <c r="Q16" s="60">
        <v>18.079999999999998</v>
      </c>
      <c r="R16" s="197"/>
      <c r="S16" s="197"/>
      <c r="T16" s="197"/>
      <c r="U16" s="197"/>
    </row>
    <row r="17" spans="1:21" s="12" customFormat="1" x14ac:dyDescent="0.25">
      <c r="A17" s="200" t="s">
        <v>2944</v>
      </c>
      <c r="B17" s="60">
        <v>3.79</v>
      </c>
      <c r="C17" s="60">
        <v>11.53</v>
      </c>
      <c r="D17" s="60">
        <v>15.33</v>
      </c>
      <c r="E17" s="60">
        <v>6.51</v>
      </c>
      <c r="F17" s="60">
        <v>0.02</v>
      </c>
      <c r="G17" s="60">
        <v>8.41</v>
      </c>
      <c r="H17" s="60">
        <v>6.73</v>
      </c>
      <c r="I17" s="215" t="s">
        <v>36</v>
      </c>
      <c r="J17" s="60">
        <v>0.8</v>
      </c>
      <c r="K17" s="60">
        <v>166.88</v>
      </c>
      <c r="L17" s="60">
        <v>36.43</v>
      </c>
      <c r="M17" s="60">
        <v>99.15</v>
      </c>
      <c r="N17" s="60">
        <v>15.4</v>
      </c>
      <c r="O17" s="60">
        <v>0.2</v>
      </c>
      <c r="P17" s="60">
        <v>0.64</v>
      </c>
      <c r="Q17" s="60">
        <v>19.329999999999998</v>
      </c>
      <c r="R17" s="197"/>
      <c r="S17" s="197"/>
      <c r="T17" s="197"/>
      <c r="U17" s="197"/>
    </row>
    <row r="18" spans="1:21" s="12" customFormat="1" x14ac:dyDescent="0.25">
      <c r="A18" s="200" t="s">
        <v>2945</v>
      </c>
      <c r="B18" s="60">
        <v>3.71</v>
      </c>
      <c r="C18" s="60">
        <v>11.11</v>
      </c>
      <c r="D18" s="60">
        <v>14.83</v>
      </c>
      <c r="E18" s="60">
        <v>7.03</v>
      </c>
      <c r="F18" s="60">
        <v>0.01</v>
      </c>
      <c r="G18" s="60">
        <v>8.41</v>
      </c>
      <c r="H18" s="60">
        <v>6.73</v>
      </c>
      <c r="I18" s="215" t="s">
        <v>36</v>
      </c>
      <c r="J18" s="60">
        <v>0.76</v>
      </c>
      <c r="K18" s="60">
        <v>103.51</v>
      </c>
      <c r="L18" s="60">
        <v>36.880000000000003</v>
      </c>
      <c r="M18" s="60">
        <v>99.16</v>
      </c>
      <c r="N18" s="60">
        <v>15.3</v>
      </c>
      <c r="O18" s="60">
        <v>0</v>
      </c>
      <c r="P18" s="60">
        <v>0.63</v>
      </c>
      <c r="Q18" s="60">
        <v>20.18</v>
      </c>
      <c r="R18" s="197"/>
      <c r="S18" s="197"/>
      <c r="T18" s="197"/>
      <c r="U18" s="197"/>
    </row>
    <row r="19" spans="1:21" s="12" customFormat="1" x14ac:dyDescent="0.25">
      <c r="A19" s="200" t="s">
        <v>2946</v>
      </c>
      <c r="B19" s="60">
        <v>3.69</v>
      </c>
      <c r="C19" s="60">
        <v>11.37</v>
      </c>
      <c r="D19" s="60">
        <v>15.07</v>
      </c>
      <c r="E19" s="60">
        <v>7.14</v>
      </c>
      <c r="F19" s="9" t="s">
        <v>36</v>
      </c>
      <c r="G19" s="60">
        <v>8.41</v>
      </c>
      <c r="H19" s="60">
        <v>6.73</v>
      </c>
      <c r="I19" s="215" t="s">
        <v>36</v>
      </c>
      <c r="J19" s="60">
        <v>0.78</v>
      </c>
      <c r="K19" s="60">
        <v>97.08</v>
      </c>
      <c r="L19" s="60">
        <v>41.95</v>
      </c>
      <c r="M19" s="60">
        <v>99.18</v>
      </c>
      <c r="N19" s="60">
        <v>15.6</v>
      </c>
      <c r="O19" s="60">
        <v>0</v>
      </c>
      <c r="P19" s="60">
        <v>0.63</v>
      </c>
      <c r="Q19" s="60">
        <v>22.85</v>
      </c>
      <c r="R19" s="197"/>
      <c r="S19" s="197"/>
      <c r="T19" s="197"/>
      <c r="U19" s="197"/>
    </row>
    <row r="20" spans="1:21" s="12" customFormat="1" x14ac:dyDescent="0.25">
      <c r="A20" s="200" t="s">
        <v>2947</v>
      </c>
      <c r="B20" s="60">
        <v>3.55</v>
      </c>
      <c r="C20" s="60">
        <v>10.199999999999999</v>
      </c>
      <c r="D20" s="60">
        <v>13.75</v>
      </c>
      <c r="E20" s="60">
        <v>7.3</v>
      </c>
      <c r="F20" s="60">
        <v>0.59</v>
      </c>
      <c r="G20" s="60">
        <v>9.23</v>
      </c>
      <c r="H20" s="60">
        <v>6.14</v>
      </c>
      <c r="I20" s="215" t="s">
        <v>36</v>
      </c>
      <c r="J20" s="60">
        <v>1.0900000000000001</v>
      </c>
      <c r="K20" s="60">
        <v>104.06</v>
      </c>
      <c r="L20" s="60">
        <v>45.37</v>
      </c>
      <c r="M20" s="60">
        <v>99.18</v>
      </c>
      <c r="N20" s="60">
        <v>15.4</v>
      </c>
      <c r="O20" s="60">
        <v>0</v>
      </c>
      <c r="P20" s="60">
        <v>0.57999999999999996</v>
      </c>
      <c r="Q20" s="60">
        <v>22.9</v>
      </c>
      <c r="R20" s="197"/>
      <c r="S20" s="197"/>
      <c r="T20" s="197"/>
      <c r="U20" s="197"/>
    </row>
    <row r="21" spans="1:21" s="12" customFormat="1" x14ac:dyDescent="0.25">
      <c r="A21" s="200" t="s">
        <v>2948</v>
      </c>
      <c r="B21" s="60">
        <v>3.28</v>
      </c>
      <c r="C21" s="60">
        <v>10.07</v>
      </c>
      <c r="D21" s="60">
        <v>13.35</v>
      </c>
      <c r="E21" s="60">
        <v>7.62</v>
      </c>
      <c r="F21" s="60">
        <v>0.2</v>
      </c>
      <c r="G21" s="60">
        <v>10.6</v>
      </c>
      <c r="H21" s="60">
        <v>5.12</v>
      </c>
      <c r="I21" s="215" t="s">
        <v>36</v>
      </c>
      <c r="J21" s="60">
        <v>0.75</v>
      </c>
      <c r="K21" s="60">
        <v>122.64</v>
      </c>
      <c r="L21" s="60">
        <v>46.68</v>
      </c>
      <c r="M21" s="60">
        <v>99.16</v>
      </c>
      <c r="N21" s="60">
        <v>15.3</v>
      </c>
      <c r="O21" s="60">
        <v>0</v>
      </c>
      <c r="P21" s="60">
        <v>0.57999999999999996</v>
      </c>
      <c r="Q21" s="60">
        <v>23.08</v>
      </c>
      <c r="R21" s="197"/>
      <c r="S21" s="197"/>
      <c r="T21" s="197"/>
      <c r="U21" s="197"/>
    </row>
    <row r="22" spans="1:21" s="12" customFormat="1" x14ac:dyDescent="0.25">
      <c r="A22" s="200" t="s">
        <v>2949</v>
      </c>
      <c r="B22" s="60">
        <v>3.03</v>
      </c>
      <c r="C22" s="60">
        <v>10.56</v>
      </c>
      <c r="D22" s="60">
        <v>13.59</v>
      </c>
      <c r="E22" s="60">
        <v>7.25</v>
      </c>
      <c r="F22" s="60">
        <v>0.24</v>
      </c>
      <c r="G22" s="60">
        <v>10.6</v>
      </c>
      <c r="H22" s="60">
        <v>5.12</v>
      </c>
      <c r="I22" s="215" t="s">
        <v>36</v>
      </c>
      <c r="J22" s="60">
        <v>0.71</v>
      </c>
      <c r="K22" s="60">
        <v>169.28</v>
      </c>
      <c r="L22" s="60">
        <v>38.01</v>
      </c>
      <c r="M22" s="60">
        <v>99.15</v>
      </c>
      <c r="N22" s="60">
        <v>15.2</v>
      </c>
      <c r="O22" s="60">
        <v>0</v>
      </c>
      <c r="P22" s="60">
        <v>0.55000000000000004</v>
      </c>
      <c r="Q22" s="60">
        <v>24.91</v>
      </c>
      <c r="R22" s="197"/>
      <c r="S22" s="197"/>
      <c r="T22" s="197"/>
      <c r="U22" s="197"/>
    </row>
    <row r="23" spans="1:21" s="12" customFormat="1" x14ac:dyDescent="0.25">
      <c r="A23" s="200" t="s">
        <v>2950</v>
      </c>
      <c r="B23" s="60">
        <v>2.76</v>
      </c>
      <c r="C23" s="60">
        <v>10.4</v>
      </c>
      <c r="D23" s="60">
        <v>13.17</v>
      </c>
      <c r="E23" s="60">
        <v>7.37</v>
      </c>
      <c r="F23" s="60">
        <v>0.21</v>
      </c>
      <c r="G23" s="60">
        <v>10.6</v>
      </c>
      <c r="H23" s="60">
        <v>5.12</v>
      </c>
      <c r="I23" s="215" t="s">
        <v>36</v>
      </c>
      <c r="J23" s="60">
        <v>0.65</v>
      </c>
      <c r="K23" s="60">
        <v>164.2</v>
      </c>
      <c r="L23" s="60">
        <v>38.630000000000003</v>
      </c>
      <c r="M23" s="60">
        <v>99.15</v>
      </c>
      <c r="N23" s="60">
        <v>15.2</v>
      </c>
      <c r="O23" s="60">
        <v>0</v>
      </c>
      <c r="P23" s="60">
        <v>0.54</v>
      </c>
      <c r="Q23" s="60">
        <v>22.73</v>
      </c>
      <c r="R23" s="197"/>
      <c r="S23" s="197"/>
      <c r="T23" s="197"/>
      <c r="U23" s="197"/>
    </row>
    <row r="24" spans="1:21" s="12" customFormat="1" x14ac:dyDescent="0.25">
      <c r="A24" s="200" t="s">
        <v>2951</v>
      </c>
      <c r="B24" s="60">
        <v>2.58</v>
      </c>
      <c r="C24" s="60">
        <v>10.49</v>
      </c>
      <c r="D24" s="60">
        <v>13.07</v>
      </c>
      <c r="E24" s="60">
        <v>3</v>
      </c>
      <c r="F24" s="60">
        <v>0.6</v>
      </c>
      <c r="G24" s="60">
        <v>9.5399999999999991</v>
      </c>
      <c r="H24" s="60">
        <v>5.46</v>
      </c>
      <c r="I24" s="215" t="s">
        <v>36</v>
      </c>
      <c r="J24" s="60">
        <v>0.2</v>
      </c>
      <c r="K24" s="60">
        <v>223.74</v>
      </c>
      <c r="L24" s="60">
        <v>42.13</v>
      </c>
      <c r="M24" s="60">
        <v>99.15</v>
      </c>
      <c r="N24" s="60">
        <v>15.4</v>
      </c>
      <c r="O24" s="60">
        <v>0</v>
      </c>
      <c r="P24" s="60">
        <v>0.52</v>
      </c>
      <c r="Q24" s="60">
        <v>22.55</v>
      </c>
      <c r="R24" s="197"/>
      <c r="S24" s="197"/>
      <c r="T24" s="197"/>
      <c r="U24" s="197"/>
    </row>
    <row r="25" spans="1:21" s="12" customFormat="1" x14ac:dyDescent="0.25">
      <c r="A25" s="200" t="s">
        <v>2952</v>
      </c>
      <c r="B25" s="60">
        <v>2.4300000000000002</v>
      </c>
      <c r="C25" s="60">
        <v>10.73</v>
      </c>
      <c r="D25" s="60">
        <v>13.17</v>
      </c>
      <c r="E25" s="60">
        <v>6.23</v>
      </c>
      <c r="F25" s="60">
        <v>0.08</v>
      </c>
      <c r="G25" s="60">
        <v>7.8</v>
      </c>
      <c r="H25" s="60">
        <v>6.03</v>
      </c>
      <c r="I25" s="215" t="s">
        <v>36</v>
      </c>
      <c r="J25" s="60">
        <v>0.2</v>
      </c>
      <c r="K25" s="60">
        <v>204.92</v>
      </c>
      <c r="L25" s="60">
        <v>40.68</v>
      </c>
      <c r="M25" s="60">
        <v>99.15</v>
      </c>
      <c r="N25" s="60">
        <v>15.4</v>
      </c>
      <c r="O25" s="60">
        <v>0</v>
      </c>
      <c r="P25" s="60">
        <v>0.52</v>
      </c>
      <c r="Q25" s="60">
        <v>21.66</v>
      </c>
      <c r="R25" s="197"/>
      <c r="S25" s="197"/>
      <c r="T25" s="197"/>
      <c r="U25" s="197"/>
    </row>
    <row r="26" spans="1:21" s="12" customFormat="1" x14ac:dyDescent="0.25">
      <c r="A26" s="200" t="s">
        <v>2953</v>
      </c>
      <c r="B26" s="60">
        <v>2.31</v>
      </c>
      <c r="C26" s="60">
        <v>10.039999999999999</v>
      </c>
      <c r="D26" s="60">
        <v>12.35</v>
      </c>
      <c r="E26" s="60">
        <v>6.3</v>
      </c>
      <c r="F26" s="60">
        <v>0.56000000000000005</v>
      </c>
      <c r="G26" s="60">
        <v>7.8</v>
      </c>
      <c r="H26" s="60">
        <v>6.03</v>
      </c>
      <c r="I26" s="215" t="s">
        <v>36</v>
      </c>
      <c r="J26" s="60">
        <v>0.31</v>
      </c>
      <c r="K26" s="60">
        <v>206.94</v>
      </c>
      <c r="L26" s="60">
        <v>40.299999999999997</v>
      </c>
      <c r="M26" s="60">
        <v>99.15</v>
      </c>
      <c r="N26" s="60">
        <v>15.6</v>
      </c>
      <c r="O26" s="60">
        <v>0</v>
      </c>
      <c r="P26" s="60">
        <v>0.49</v>
      </c>
      <c r="Q26" s="60">
        <v>20.77</v>
      </c>
      <c r="R26" s="197"/>
      <c r="S26" s="197"/>
      <c r="T26" s="197"/>
      <c r="U26" s="197"/>
    </row>
    <row r="27" spans="1:21" s="12" customFormat="1" x14ac:dyDescent="0.25">
      <c r="A27" s="200" t="s">
        <v>2954</v>
      </c>
      <c r="B27" s="60">
        <v>2.2999999999999998</v>
      </c>
      <c r="C27" s="60">
        <v>9.7899999999999991</v>
      </c>
      <c r="D27" s="60">
        <v>12.08</v>
      </c>
      <c r="E27" s="60">
        <v>6.16</v>
      </c>
      <c r="F27" s="60">
        <v>0.53</v>
      </c>
      <c r="G27" s="60">
        <v>7.8</v>
      </c>
      <c r="H27" s="60">
        <v>6.03</v>
      </c>
      <c r="I27" s="215" t="s">
        <v>36</v>
      </c>
      <c r="J27" s="60">
        <v>0.18</v>
      </c>
      <c r="K27" s="60">
        <v>218.97</v>
      </c>
      <c r="L27" s="60">
        <v>40.369999999999997</v>
      </c>
      <c r="M27" s="60">
        <v>99.15</v>
      </c>
      <c r="N27" s="60">
        <v>15.3</v>
      </c>
      <c r="O27" s="60">
        <v>0</v>
      </c>
      <c r="P27" s="60">
        <v>0.49</v>
      </c>
      <c r="Q27" s="60">
        <v>20.399999999999999</v>
      </c>
      <c r="R27" s="197"/>
      <c r="S27" s="197"/>
      <c r="T27" s="197"/>
      <c r="U27" s="197"/>
    </row>
    <row r="28" spans="1:21" s="12" customFormat="1" x14ac:dyDescent="0.25">
      <c r="A28" s="200" t="s">
        <v>2955</v>
      </c>
      <c r="B28" s="60">
        <v>2.35</v>
      </c>
      <c r="C28" s="60">
        <v>9.8800000000000008</v>
      </c>
      <c r="D28" s="60">
        <v>12.23</v>
      </c>
      <c r="E28" s="60">
        <v>6.41</v>
      </c>
      <c r="F28" s="60">
        <v>0.43</v>
      </c>
      <c r="G28" s="60">
        <v>8.7100000000000009</v>
      </c>
      <c r="H28" s="60">
        <v>5.99</v>
      </c>
      <c r="I28" s="215" t="s">
        <v>36</v>
      </c>
      <c r="J28" s="60">
        <v>0.36</v>
      </c>
      <c r="K28" s="60">
        <v>201.84</v>
      </c>
      <c r="L28" s="60">
        <v>40.07</v>
      </c>
      <c r="M28" s="60">
        <v>99.15</v>
      </c>
      <c r="N28" s="60">
        <v>15.5</v>
      </c>
      <c r="O28" s="60">
        <v>0</v>
      </c>
      <c r="P28" s="60">
        <v>0.49</v>
      </c>
      <c r="Q28" s="60">
        <v>21.3</v>
      </c>
      <c r="R28" s="197"/>
      <c r="S28" s="197"/>
      <c r="T28" s="197"/>
      <c r="U28" s="197"/>
    </row>
    <row r="29" spans="1:21" s="12" customFormat="1" x14ac:dyDescent="0.25">
      <c r="A29" s="200" t="s">
        <v>2956</v>
      </c>
      <c r="B29" s="60">
        <v>2.4300000000000002</v>
      </c>
      <c r="C29" s="60">
        <v>9.7799999999999994</v>
      </c>
      <c r="D29" s="60">
        <v>12.21</v>
      </c>
      <c r="E29" s="60">
        <v>7.42</v>
      </c>
      <c r="F29" s="60">
        <v>0.11</v>
      </c>
      <c r="G29" s="60">
        <v>10.199999999999999</v>
      </c>
      <c r="H29" s="60">
        <v>5.92</v>
      </c>
      <c r="I29" s="215" t="s">
        <v>36</v>
      </c>
      <c r="J29" s="60">
        <v>0.21</v>
      </c>
      <c r="K29" s="60">
        <v>192.61</v>
      </c>
      <c r="L29" s="60">
        <v>40.28</v>
      </c>
      <c r="M29" s="60">
        <v>99.15</v>
      </c>
      <c r="N29" s="60">
        <v>15.5</v>
      </c>
      <c r="O29" s="60">
        <v>0</v>
      </c>
      <c r="P29" s="60">
        <v>0.48</v>
      </c>
      <c r="Q29" s="60">
        <v>22.7</v>
      </c>
      <c r="R29" s="197"/>
      <c r="S29" s="197"/>
      <c r="T29" s="197"/>
      <c r="U29" s="197"/>
    </row>
    <row r="30" spans="1:21" s="12" customFormat="1" x14ac:dyDescent="0.25">
      <c r="A30" s="200" t="s">
        <v>2957</v>
      </c>
      <c r="B30" s="60">
        <v>2.5099999999999998</v>
      </c>
      <c r="C30" s="60">
        <v>9.57</v>
      </c>
      <c r="D30" s="60">
        <v>12.08</v>
      </c>
      <c r="E30" s="60">
        <v>6.86</v>
      </c>
      <c r="F30" s="60">
        <v>0.09</v>
      </c>
      <c r="G30" s="60">
        <v>10.199999999999999</v>
      </c>
      <c r="H30" s="60">
        <v>5.92</v>
      </c>
      <c r="I30" s="215" t="s">
        <v>36</v>
      </c>
      <c r="J30" s="60">
        <v>0.34</v>
      </c>
      <c r="K30" s="60">
        <v>173.97</v>
      </c>
      <c r="L30" s="60">
        <v>39.4</v>
      </c>
      <c r="M30" s="60">
        <v>99.15</v>
      </c>
      <c r="N30" s="60">
        <v>15.3</v>
      </c>
      <c r="O30" s="60">
        <v>0</v>
      </c>
      <c r="P30" s="60">
        <v>0.48</v>
      </c>
      <c r="Q30" s="60">
        <v>23.25</v>
      </c>
      <c r="R30" s="197"/>
      <c r="S30" s="197"/>
      <c r="T30" s="197"/>
      <c r="U30" s="197"/>
    </row>
    <row r="31" spans="1:21" s="12" customFormat="1" x14ac:dyDescent="0.25">
      <c r="A31" s="200" t="s">
        <v>2958</v>
      </c>
      <c r="B31" s="60">
        <v>2.61</v>
      </c>
      <c r="C31" s="60">
        <v>9.4700000000000006</v>
      </c>
      <c r="D31" s="60">
        <v>12.08</v>
      </c>
      <c r="E31" s="60">
        <v>6.72</v>
      </c>
      <c r="F31" s="60">
        <v>0.03</v>
      </c>
      <c r="G31" s="60">
        <v>10.199999999999999</v>
      </c>
      <c r="H31" s="60">
        <v>5.92</v>
      </c>
      <c r="I31" s="215" t="s">
        <v>36</v>
      </c>
      <c r="J31" s="60">
        <v>0.32</v>
      </c>
      <c r="K31" s="60">
        <v>174.18</v>
      </c>
      <c r="L31" s="60">
        <v>39.43</v>
      </c>
      <c r="M31" s="60">
        <v>99.15</v>
      </c>
      <c r="N31" s="60">
        <v>17.5</v>
      </c>
      <c r="O31" s="60">
        <v>0</v>
      </c>
      <c r="P31" s="60">
        <v>0.48</v>
      </c>
      <c r="Q31" s="60">
        <v>23.59</v>
      </c>
      <c r="R31" s="197"/>
      <c r="S31" s="197"/>
      <c r="T31" s="197"/>
      <c r="U31" s="197"/>
    </row>
    <row r="32" spans="1:21" s="12" customFormat="1" x14ac:dyDescent="0.25">
      <c r="A32" s="200" t="s">
        <v>2959</v>
      </c>
      <c r="B32" s="60">
        <v>2.76</v>
      </c>
      <c r="C32" s="60">
        <v>9.57</v>
      </c>
      <c r="D32" s="60">
        <v>12.33</v>
      </c>
      <c r="E32" s="60">
        <v>6.52</v>
      </c>
      <c r="F32" s="60">
        <v>0.04</v>
      </c>
      <c r="G32" s="60">
        <v>11.75</v>
      </c>
      <c r="H32" s="60">
        <v>5.4</v>
      </c>
      <c r="I32" s="215" t="s">
        <v>36</v>
      </c>
      <c r="J32" s="60">
        <v>0.25</v>
      </c>
      <c r="K32" s="60">
        <v>137.58000000000001</v>
      </c>
      <c r="L32" s="60">
        <v>39.51</v>
      </c>
      <c r="M32" s="60">
        <v>99.14</v>
      </c>
      <c r="N32" s="60">
        <v>25.8</v>
      </c>
      <c r="O32" s="60">
        <v>0</v>
      </c>
      <c r="P32" s="60">
        <v>0.48</v>
      </c>
      <c r="Q32" s="60">
        <v>24.28</v>
      </c>
      <c r="R32" s="197"/>
      <c r="S32" s="197"/>
      <c r="T32" s="197"/>
      <c r="U32" s="197"/>
    </row>
    <row r="33" spans="1:21" s="12" customFormat="1" x14ac:dyDescent="0.25">
      <c r="A33" s="200" t="s">
        <v>2960</v>
      </c>
      <c r="B33" s="60">
        <v>3.04</v>
      </c>
      <c r="C33" s="60">
        <v>9.6999999999999993</v>
      </c>
      <c r="D33" s="60">
        <v>12.74</v>
      </c>
      <c r="E33" s="60">
        <v>6.7</v>
      </c>
      <c r="F33" s="60">
        <v>7.0000000000000007E-2</v>
      </c>
      <c r="G33" s="60">
        <v>14.31</v>
      </c>
      <c r="H33" s="60">
        <v>4.51</v>
      </c>
      <c r="I33" s="215" t="s">
        <v>36</v>
      </c>
      <c r="J33" s="60">
        <v>0.19</v>
      </c>
      <c r="K33" s="60">
        <v>216.63</v>
      </c>
      <c r="L33" s="60">
        <v>39.86</v>
      </c>
      <c r="M33" s="60">
        <v>99.09</v>
      </c>
      <c r="N33" s="60">
        <v>48.9</v>
      </c>
      <c r="O33" s="60">
        <v>0</v>
      </c>
      <c r="P33" s="60">
        <v>0.47</v>
      </c>
      <c r="Q33" s="60">
        <v>25.41</v>
      </c>
      <c r="R33" s="197"/>
      <c r="S33" s="197"/>
      <c r="T33" s="197"/>
      <c r="U33" s="197"/>
    </row>
    <row r="34" spans="1:21" s="12" customFormat="1" x14ac:dyDescent="0.25">
      <c r="A34" s="200" t="s">
        <v>2961</v>
      </c>
      <c r="B34" s="60">
        <v>3.61</v>
      </c>
      <c r="C34" s="60">
        <v>9.93</v>
      </c>
      <c r="D34" s="60">
        <v>13.54</v>
      </c>
      <c r="E34" s="60">
        <v>7.12</v>
      </c>
      <c r="F34" s="60">
        <v>0.24</v>
      </c>
      <c r="G34" s="60">
        <v>14.31</v>
      </c>
      <c r="H34" s="60">
        <v>4.51</v>
      </c>
      <c r="I34" s="215" t="s">
        <v>36</v>
      </c>
      <c r="J34" s="60">
        <v>0.28999999999999998</v>
      </c>
      <c r="K34" s="60">
        <v>126.21</v>
      </c>
      <c r="L34" s="60">
        <v>40.54</v>
      </c>
      <c r="M34" s="60">
        <v>96.95</v>
      </c>
      <c r="N34" s="60">
        <v>99.6</v>
      </c>
      <c r="O34" s="60">
        <v>0</v>
      </c>
      <c r="P34" s="60">
        <v>0.47</v>
      </c>
      <c r="Q34" s="60">
        <v>24.86</v>
      </c>
      <c r="R34" s="197"/>
      <c r="S34" s="197"/>
      <c r="T34" s="197"/>
      <c r="U34" s="197"/>
    </row>
    <row r="35" spans="1:21" s="12" customFormat="1" x14ac:dyDescent="0.25">
      <c r="A35" s="200" t="s">
        <v>2962</v>
      </c>
      <c r="B35" s="60">
        <v>4.3099999999999996</v>
      </c>
      <c r="C35" s="60">
        <v>9.8000000000000007</v>
      </c>
      <c r="D35" s="60">
        <v>14.11</v>
      </c>
      <c r="E35" s="60">
        <v>6.61</v>
      </c>
      <c r="F35" s="60">
        <v>0.51</v>
      </c>
      <c r="G35" s="60">
        <v>14.31</v>
      </c>
      <c r="H35" s="60">
        <v>4.51</v>
      </c>
      <c r="I35" s="215" t="s">
        <v>36</v>
      </c>
      <c r="J35" s="60">
        <v>0.63</v>
      </c>
      <c r="K35" s="60">
        <v>87.34</v>
      </c>
      <c r="L35" s="60">
        <v>41.69</v>
      </c>
      <c r="M35" s="60">
        <v>91.53</v>
      </c>
      <c r="N35" s="60">
        <v>139.80000000000001</v>
      </c>
      <c r="O35" s="60">
        <v>0</v>
      </c>
      <c r="P35" s="60">
        <v>0.46</v>
      </c>
      <c r="Q35" s="60">
        <v>22.4</v>
      </c>
      <c r="R35" s="197"/>
      <c r="S35" s="197"/>
      <c r="T35" s="197"/>
      <c r="U35" s="197"/>
    </row>
    <row r="36" spans="1:21" s="12" customFormat="1" x14ac:dyDescent="0.25">
      <c r="A36" s="200" t="s">
        <v>2963</v>
      </c>
      <c r="B36" s="60">
        <v>4.7</v>
      </c>
      <c r="C36" s="60">
        <v>11.31</v>
      </c>
      <c r="D36" s="60">
        <v>16.010000000000002</v>
      </c>
      <c r="E36" s="60">
        <v>6.85</v>
      </c>
      <c r="F36" s="60">
        <v>0.02</v>
      </c>
      <c r="G36" s="60">
        <v>14.62</v>
      </c>
      <c r="H36" s="60">
        <v>4.07</v>
      </c>
      <c r="I36" s="215" t="s">
        <v>36</v>
      </c>
      <c r="J36" s="60">
        <v>0.41</v>
      </c>
      <c r="K36" s="60">
        <v>99.2</v>
      </c>
      <c r="L36" s="60">
        <v>42.23</v>
      </c>
      <c r="M36" s="60">
        <v>87.54</v>
      </c>
      <c r="N36" s="60">
        <v>171</v>
      </c>
      <c r="O36" s="60">
        <v>0</v>
      </c>
      <c r="P36" s="60">
        <v>0.47</v>
      </c>
      <c r="Q36" s="60">
        <v>24.61</v>
      </c>
      <c r="R36" s="197"/>
      <c r="S36" s="197"/>
      <c r="T36" s="197"/>
      <c r="U36" s="197"/>
    </row>
    <row r="37" spans="1:21" s="12" customFormat="1" x14ac:dyDescent="0.25">
      <c r="A37" s="200" t="s">
        <v>2964</v>
      </c>
      <c r="B37" s="60">
        <v>4.88</v>
      </c>
      <c r="C37" s="60">
        <v>10.7</v>
      </c>
      <c r="D37" s="60">
        <v>15.58</v>
      </c>
      <c r="E37" s="60">
        <v>6.96</v>
      </c>
      <c r="F37" s="60">
        <v>0.18</v>
      </c>
      <c r="G37" s="60">
        <v>15.13</v>
      </c>
      <c r="H37" s="60">
        <v>3.3</v>
      </c>
      <c r="I37" s="215" t="s">
        <v>36</v>
      </c>
      <c r="J37" s="60">
        <v>0.51</v>
      </c>
      <c r="K37" s="60">
        <v>112.62</v>
      </c>
      <c r="L37" s="60">
        <v>42.56</v>
      </c>
      <c r="M37" s="60">
        <v>82.81</v>
      </c>
      <c r="N37" s="60">
        <v>260.8</v>
      </c>
      <c r="O37" s="60">
        <v>0</v>
      </c>
      <c r="P37" s="60">
        <v>0.49</v>
      </c>
      <c r="Q37" s="60">
        <v>24.28</v>
      </c>
      <c r="R37" s="197"/>
      <c r="S37" s="197"/>
      <c r="T37" s="197"/>
      <c r="U37" s="197"/>
    </row>
    <row r="38" spans="1:21" s="12" customFormat="1" x14ac:dyDescent="0.25">
      <c r="A38" s="200" t="s">
        <v>2965</v>
      </c>
      <c r="B38" s="60">
        <v>4.72</v>
      </c>
      <c r="C38" s="60">
        <v>11.36</v>
      </c>
      <c r="D38" s="60">
        <v>16.079999999999998</v>
      </c>
      <c r="E38" s="60">
        <v>6.99</v>
      </c>
      <c r="F38" s="60">
        <v>0.24</v>
      </c>
      <c r="G38" s="60">
        <v>15.13</v>
      </c>
      <c r="H38" s="60">
        <v>3.3</v>
      </c>
      <c r="I38" s="215" t="s">
        <v>36</v>
      </c>
      <c r="J38" s="60">
        <v>0.45</v>
      </c>
      <c r="K38" s="60">
        <v>158.33000000000001</v>
      </c>
      <c r="L38" s="60">
        <v>43.78</v>
      </c>
      <c r="M38" s="60">
        <v>79.790000000000006</v>
      </c>
      <c r="N38" s="60">
        <v>323.60000000000002</v>
      </c>
      <c r="O38" s="60">
        <v>0</v>
      </c>
      <c r="P38" s="60">
        <v>0.51</v>
      </c>
      <c r="Q38" s="60">
        <v>25.75</v>
      </c>
      <c r="R38" s="197"/>
      <c r="S38" s="197"/>
      <c r="T38" s="197"/>
      <c r="U38" s="197"/>
    </row>
    <row r="39" spans="1:21" s="12" customFormat="1" x14ac:dyDescent="0.25">
      <c r="A39" s="200" t="s">
        <v>2966</v>
      </c>
      <c r="B39" s="60">
        <v>4.54</v>
      </c>
      <c r="C39" s="60">
        <v>11.03</v>
      </c>
      <c r="D39" s="60">
        <v>15.57</v>
      </c>
      <c r="E39" s="60">
        <v>6.53</v>
      </c>
      <c r="F39" s="60">
        <v>0.43</v>
      </c>
      <c r="G39" s="60">
        <v>15.13</v>
      </c>
      <c r="H39" s="60">
        <v>3.3</v>
      </c>
      <c r="I39" s="215" t="s">
        <v>36</v>
      </c>
      <c r="J39" s="60">
        <v>0.52</v>
      </c>
      <c r="K39" s="60">
        <v>97.02</v>
      </c>
      <c r="L39" s="60">
        <v>51.19</v>
      </c>
      <c r="M39" s="60">
        <v>79.38</v>
      </c>
      <c r="N39" s="60">
        <v>325</v>
      </c>
      <c r="O39" s="60">
        <v>0</v>
      </c>
      <c r="P39" s="60">
        <v>0.52</v>
      </c>
      <c r="Q39" s="60">
        <v>25.31</v>
      </c>
      <c r="R39" s="197"/>
      <c r="S39" s="197"/>
      <c r="T39" s="197"/>
      <c r="U39" s="197"/>
    </row>
    <row r="40" spans="1:21" s="12" customFormat="1" x14ac:dyDescent="0.25">
      <c r="A40" s="200" t="s">
        <v>2967</v>
      </c>
      <c r="B40" s="60">
        <v>4.5599999999999996</v>
      </c>
      <c r="C40" s="60">
        <v>11.92</v>
      </c>
      <c r="D40" s="60">
        <v>16.48</v>
      </c>
      <c r="E40" s="60">
        <v>3.49</v>
      </c>
      <c r="F40" s="60">
        <v>0.11</v>
      </c>
      <c r="G40" s="60">
        <v>14.27</v>
      </c>
      <c r="H40" s="60">
        <v>2.94</v>
      </c>
      <c r="I40" s="215" t="s">
        <v>36</v>
      </c>
      <c r="J40" s="60">
        <v>0.54</v>
      </c>
      <c r="K40" s="60">
        <v>97.82</v>
      </c>
      <c r="L40" s="60">
        <v>45.25</v>
      </c>
      <c r="M40" s="60">
        <v>78</v>
      </c>
      <c r="N40" s="60">
        <v>373.8</v>
      </c>
      <c r="O40" s="60">
        <v>0</v>
      </c>
      <c r="P40" s="60">
        <v>0.51</v>
      </c>
      <c r="Q40" s="60">
        <v>27.99</v>
      </c>
      <c r="R40" s="197"/>
      <c r="S40" s="197"/>
      <c r="T40" s="197"/>
      <c r="U40" s="197"/>
    </row>
    <row r="41" spans="1:21" s="12" customFormat="1" x14ac:dyDescent="0.25">
      <c r="A41" s="200" t="s">
        <v>2968</v>
      </c>
      <c r="B41" s="60">
        <v>4.55</v>
      </c>
      <c r="C41" s="60">
        <v>11.36</v>
      </c>
      <c r="D41" s="60">
        <v>15.91</v>
      </c>
      <c r="E41" s="60">
        <v>7.82</v>
      </c>
      <c r="F41" s="60">
        <v>0.46</v>
      </c>
      <c r="G41" s="60">
        <v>12.86</v>
      </c>
      <c r="H41" s="60">
        <v>2.31</v>
      </c>
      <c r="I41" s="215" t="s">
        <v>36</v>
      </c>
      <c r="J41" s="60">
        <v>0.82</v>
      </c>
      <c r="K41" s="60">
        <v>94.6</v>
      </c>
      <c r="L41" s="60">
        <v>45.87</v>
      </c>
      <c r="M41" s="60">
        <v>78.3</v>
      </c>
      <c r="N41" s="60">
        <v>511</v>
      </c>
      <c r="O41" s="60">
        <v>0</v>
      </c>
      <c r="P41" s="60">
        <v>0.5</v>
      </c>
      <c r="Q41" s="60">
        <v>29.63</v>
      </c>
      <c r="R41" s="197"/>
      <c r="S41" s="197"/>
      <c r="T41" s="197"/>
      <c r="U41" s="197"/>
    </row>
    <row r="42" spans="1:21" s="12" customFormat="1" x14ac:dyDescent="0.25">
      <c r="A42" s="200" t="s">
        <v>2969</v>
      </c>
      <c r="B42" s="60">
        <v>4.47</v>
      </c>
      <c r="C42" s="60">
        <v>11.25</v>
      </c>
      <c r="D42" s="60">
        <v>15.72</v>
      </c>
      <c r="E42" s="60">
        <v>8.4499999999999993</v>
      </c>
      <c r="F42" s="60">
        <v>0.5</v>
      </c>
      <c r="G42" s="60">
        <v>12.86</v>
      </c>
      <c r="H42" s="60">
        <v>2.31</v>
      </c>
      <c r="I42" s="215" t="s">
        <v>36</v>
      </c>
      <c r="J42" s="60">
        <v>0.54</v>
      </c>
      <c r="K42" s="60">
        <v>78.150000000000006</v>
      </c>
      <c r="L42" s="60">
        <v>46.37</v>
      </c>
      <c r="M42" s="60">
        <v>77.67</v>
      </c>
      <c r="N42" s="60">
        <v>548.6</v>
      </c>
      <c r="O42" s="60">
        <v>0</v>
      </c>
      <c r="P42" s="60">
        <v>0.51</v>
      </c>
      <c r="Q42" s="60">
        <v>33.26</v>
      </c>
      <c r="R42" s="197"/>
      <c r="S42" s="197"/>
      <c r="T42" s="197"/>
      <c r="U42" s="197"/>
    </row>
    <row r="43" spans="1:21" s="12" customFormat="1" x14ac:dyDescent="0.25">
      <c r="A43" s="200" t="s">
        <v>2970</v>
      </c>
      <c r="B43" s="60">
        <v>4.51</v>
      </c>
      <c r="C43" s="60">
        <v>11.2</v>
      </c>
      <c r="D43" s="60">
        <v>15.71</v>
      </c>
      <c r="E43" s="60">
        <v>8.8000000000000007</v>
      </c>
      <c r="F43" s="60">
        <v>0.42</v>
      </c>
      <c r="G43" s="60">
        <v>12.86</v>
      </c>
      <c r="H43" s="60">
        <v>2.31</v>
      </c>
      <c r="I43" s="215" t="s">
        <v>36</v>
      </c>
      <c r="J43" s="60">
        <v>0.69</v>
      </c>
      <c r="K43" s="60">
        <v>95.83</v>
      </c>
      <c r="L43" s="10" t="s">
        <v>43</v>
      </c>
      <c r="M43" s="60">
        <v>75.290000000000006</v>
      </c>
      <c r="N43" s="60">
        <v>614.5</v>
      </c>
      <c r="O43" s="60">
        <v>0</v>
      </c>
      <c r="P43" s="60">
        <v>0.51</v>
      </c>
      <c r="Q43" s="60">
        <v>36.65</v>
      </c>
      <c r="R43" s="197"/>
      <c r="S43" s="197"/>
      <c r="T43" s="197"/>
      <c r="U43" s="197"/>
    </row>
    <row r="44" spans="1:21" s="12" customFormat="1" x14ac:dyDescent="0.25">
      <c r="A44" s="200" t="s">
        <v>2971</v>
      </c>
      <c r="B44" s="60">
        <v>4.41</v>
      </c>
      <c r="C44" s="60">
        <v>11.07</v>
      </c>
      <c r="D44" s="60">
        <v>15.49</v>
      </c>
      <c r="E44" s="60">
        <v>8.76</v>
      </c>
      <c r="F44" s="60">
        <v>0.42</v>
      </c>
      <c r="G44" s="60">
        <v>13.42</v>
      </c>
      <c r="H44" s="60">
        <v>4.25</v>
      </c>
      <c r="I44" s="215" t="s">
        <v>36</v>
      </c>
      <c r="J44" s="60">
        <v>1.17</v>
      </c>
      <c r="K44" s="60">
        <v>88.83</v>
      </c>
      <c r="L44" s="10" t="s">
        <v>43</v>
      </c>
      <c r="M44" s="60">
        <v>79.06</v>
      </c>
      <c r="N44" s="60">
        <v>430.1</v>
      </c>
      <c r="O44" s="60">
        <v>0</v>
      </c>
      <c r="P44" s="60">
        <v>0.51</v>
      </c>
      <c r="Q44" s="60">
        <v>39.950000000000003</v>
      </c>
      <c r="R44" s="197"/>
      <c r="S44" s="197"/>
      <c r="T44" s="197"/>
      <c r="U44" s="197"/>
    </row>
    <row r="45" spans="1:21" s="12" customFormat="1" x14ac:dyDescent="0.25">
      <c r="A45" s="200" t="s">
        <v>2972</v>
      </c>
      <c r="B45" s="60">
        <v>4.24</v>
      </c>
      <c r="C45" s="60">
        <v>10.99</v>
      </c>
      <c r="D45" s="60">
        <v>15.23</v>
      </c>
      <c r="E45" s="60">
        <v>8.8699999999999992</v>
      </c>
      <c r="F45" s="60">
        <v>0.54</v>
      </c>
      <c r="G45" s="60">
        <v>14.35</v>
      </c>
      <c r="H45" s="60">
        <v>7.61</v>
      </c>
      <c r="I45" s="215" t="s">
        <v>36</v>
      </c>
      <c r="J45" s="60">
        <v>0.83</v>
      </c>
      <c r="K45" s="60">
        <v>101.89</v>
      </c>
      <c r="L45" s="10" t="s">
        <v>43</v>
      </c>
      <c r="M45" s="60">
        <v>80.650000000000006</v>
      </c>
      <c r="N45" s="60">
        <v>293.39999999999998</v>
      </c>
      <c r="O45" s="60">
        <v>0</v>
      </c>
      <c r="P45" s="60">
        <v>0.51</v>
      </c>
      <c r="Q45" s="60">
        <v>43.69</v>
      </c>
      <c r="R45" s="197"/>
      <c r="S45" s="197"/>
      <c r="T45" s="197"/>
      <c r="U45" s="197"/>
    </row>
    <row r="46" spans="1:21" s="12" customFormat="1" x14ac:dyDescent="0.25">
      <c r="A46" s="200" t="s">
        <v>2973</v>
      </c>
      <c r="B46" s="60">
        <v>4.32</v>
      </c>
      <c r="C46" s="60">
        <v>10.95</v>
      </c>
      <c r="D46" s="60">
        <v>15.27</v>
      </c>
      <c r="E46" s="60">
        <v>8.73</v>
      </c>
      <c r="F46" s="60">
        <v>0.43</v>
      </c>
      <c r="G46" s="60">
        <v>14.35</v>
      </c>
      <c r="H46" s="60">
        <v>7.61</v>
      </c>
      <c r="I46" s="215" t="s">
        <v>36</v>
      </c>
      <c r="J46" s="60">
        <v>0.82</v>
      </c>
      <c r="K46" s="60">
        <v>84.35</v>
      </c>
      <c r="L46" s="10" t="s">
        <v>43</v>
      </c>
      <c r="M46" s="60">
        <v>76.98</v>
      </c>
      <c r="N46" s="60">
        <v>629.6</v>
      </c>
      <c r="O46" s="60">
        <v>0</v>
      </c>
      <c r="P46" s="60">
        <v>0.52</v>
      </c>
      <c r="Q46" s="60">
        <v>45.79</v>
      </c>
      <c r="R46" s="197"/>
      <c r="S46" s="197"/>
      <c r="T46" s="197"/>
      <c r="U46" s="197"/>
    </row>
    <row r="47" spans="1:21" s="12" customFormat="1" x14ac:dyDescent="0.25">
      <c r="A47" s="200" t="s">
        <v>2974</v>
      </c>
      <c r="B47" s="60">
        <v>4.34</v>
      </c>
      <c r="C47" s="60">
        <v>11.16</v>
      </c>
      <c r="D47" s="60">
        <v>15.5</v>
      </c>
      <c r="E47" s="60">
        <v>8.5399999999999991</v>
      </c>
      <c r="F47" s="60">
        <v>0.42</v>
      </c>
      <c r="G47" s="60">
        <v>14.35</v>
      </c>
      <c r="H47" s="60">
        <v>7.61</v>
      </c>
      <c r="I47" s="215" t="s">
        <v>36</v>
      </c>
      <c r="J47" s="60">
        <v>0.71</v>
      </c>
      <c r="K47" s="60">
        <v>79.48</v>
      </c>
      <c r="L47" s="10" t="s">
        <v>43</v>
      </c>
      <c r="M47" s="60">
        <v>73.959999999999994</v>
      </c>
      <c r="N47" s="60">
        <v>874.8</v>
      </c>
      <c r="O47" s="60">
        <v>0</v>
      </c>
      <c r="P47" s="60">
        <v>0.52</v>
      </c>
      <c r="Q47" s="60">
        <v>47.63</v>
      </c>
      <c r="R47" s="197"/>
      <c r="S47" s="197"/>
      <c r="T47" s="197"/>
      <c r="U47" s="197"/>
    </row>
    <row r="48" spans="1:21" s="12" customFormat="1" x14ac:dyDescent="0.25">
      <c r="A48" s="200" t="s">
        <v>2975</v>
      </c>
      <c r="B48" s="60">
        <v>4.3899999999999997</v>
      </c>
      <c r="C48" s="60">
        <v>11.96</v>
      </c>
      <c r="D48" s="60">
        <v>16.350000000000001</v>
      </c>
      <c r="E48" s="60">
        <v>8.73</v>
      </c>
      <c r="F48" s="60">
        <v>0.28999999999999998</v>
      </c>
      <c r="G48" s="60">
        <v>12.72</v>
      </c>
      <c r="H48" s="60">
        <v>7.08</v>
      </c>
      <c r="I48" s="215" t="s">
        <v>36</v>
      </c>
      <c r="J48" s="60">
        <v>0.49</v>
      </c>
      <c r="K48" s="60">
        <v>41.17</v>
      </c>
      <c r="L48" s="10" t="s">
        <v>43</v>
      </c>
      <c r="M48" s="60">
        <v>69.05</v>
      </c>
      <c r="N48" s="60">
        <v>517.29999999999995</v>
      </c>
      <c r="O48" s="60">
        <v>0</v>
      </c>
      <c r="P48" s="60">
        <v>0.54</v>
      </c>
      <c r="Q48" s="60">
        <v>48.79</v>
      </c>
      <c r="R48" s="197"/>
      <c r="S48" s="197"/>
      <c r="T48" s="197"/>
      <c r="U48" s="197"/>
    </row>
    <row r="49" spans="1:21" s="12" customFormat="1" x14ac:dyDescent="0.25">
      <c r="A49" s="200" t="s">
        <v>2976</v>
      </c>
      <c r="B49" s="60">
        <v>4.4400000000000004</v>
      </c>
      <c r="C49" s="60">
        <v>11.96</v>
      </c>
      <c r="D49" s="60">
        <v>16.399999999999999</v>
      </c>
      <c r="E49" s="60">
        <v>8.75</v>
      </c>
      <c r="F49" s="60">
        <v>0.56999999999999995</v>
      </c>
      <c r="G49" s="60">
        <v>10.039999999999999</v>
      </c>
      <c r="H49" s="60">
        <v>6.16</v>
      </c>
      <c r="I49" s="215" t="s">
        <v>36</v>
      </c>
      <c r="J49" s="60">
        <v>0.89</v>
      </c>
      <c r="K49" s="60">
        <v>98.12</v>
      </c>
      <c r="L49" s="10" t="s">
        <v>43</v>
      </c>
      <c r="M49" s="60">
        <v>75.88</v>
      </c>
      <c r="N49" s="60">
        <v>364.9</v>
      </c>
      <c r="O49" s="60">
        <v>0</v>
      </c>
      <c r="P49" s="60">
        <v>0.54</v>
      </c>
      <c r="Q49" s="60">
        <v>46.53</v>
      </c>
      <c r="R49" s="197"/>
      <c r="S49" s="197"/>
      <c r="T49" s="197"/>
      <c r="U49" s="197"/>
    </row>
    <row r="50" spans="1:21" s="12" customFormat="1" x14ac:dyDescent="0.25">
      <c r="A50" s="200" t="s">
        <v>2977</v>
      </c>
      <c r="B50" s="60">
        <v>3.83</v>
      </c>
      <c r="C50" s="60">
        <v>13.18</v>
      </c>
      <c r="D50" s="60">
        <v>17.010000000000002</v>
      </c>
      <c r="E50" s="60">
        <v>8.34</v>
      </c>
      <c r="F50" s="60">
        <v>1.67</v>
      </c>
      <c r="G50" s="60">
        <v>10.039999999999999</v>
      </c>
      <c r="H50" s="60">
        <v>6.16</v>
      </c>
      <c r="I50" s="215" t="s">
        <v>36</v>
      </c>
      <c r="J50" s="60">
        <v>0.47</v>
      </c>
      <c r="K50" s="60">
        <v>346.66</v>
      </c>
      <c r="L50" s="10" t="s">
        <v>43</v>
      </c>
      <c r="M50" s="60">
        <v>73.13</v>
      </c>
      <c r="N50" s="60">
        <v>487.8</v>
      </c>
      <c r="O50" s="60">
        <v>0</v>
      </c>
      <c r="P50" s="60">
        <v>0.56999999999999995</v>
      </c>
      <c r="Q50" s="60">
        <v>41.52</v>
      </c>
      <c r="R50" s="197"/>
      <c r="S50" s="197"/>
      <c r="T50" s="197"/>
      <c r="U50" s="197"/>
    </row>
    <row r="51" spans="1:21" s="12" customFormat="1" x14ac:dyDescent="0.25">
      <c r="A51" s="200" t="s">
        <v>2978</v>
      </c>
      <c r="B51" s="60">
        <v>4.72</v>
      </c>
      <c r="C51" s="60">
        <v>17.86</v>
      </c>
      <c r="D51" s="60">
        <v>22.59</v>
      </c>
      <c r="E51" s="60">
        <v>7.12</v>
      </c>
      <c r="F51" s="60">
        <v>1.69</v>
      </c>
      <c r="G51" s="60">
        <v>10.039999999999999</v>
      </c>
      <c r="H51" s="60">
        <v>6.16</v>
      </c>
      <c r="I51" s="215" t="s">
        <v>36</v>
      </c>
      <c r="J51" s="60">
        <v>0.62</v>
      </c>
      <c r="K51" s="60">
        <v>7.32</v>
      </c>
      <c r="L51" s="10" t="s">
        <v>43</v>
      </c>
      <c r="M51" s="60">
        <v>65.08</v>
      </c>
      <c r="N51" s="60">
        <v>520.5</v>
      </c>
      <c r="O51" s="60">
        <v>0</v>
      </c>
      <c r="P51" s="60">
        <v>0.66</v>
      </c>
      <c r="Q51" s="60">
        <v>35.22</v>
      </c>
      <c r="R51" s="197"/>
      <c r="S51" s="197"/>
      <c r="T51" s="197"/>
      <c r="U51" s="197"/>
    </row>
    <row r="52" spans="1:21" s="12" customFormat="1" x14ac:dyDescent="0.25">
      <c r="A52" s="200" t="s">
        <v>2979</v>
      </c>
      <c r="B52" s="60">
        <v>5.21</v>
      </c>
      <c r="C52" s="60">
        <v>19.420000000000002</v>
      </c>
      <c r="D52" s="60">
        <v>24.63</v>
      </c>
      <c r="E52" s="60">
        <v>6.46</v>
      </c>
      <c r="F52" s="60">
        <v>1.01</v>
      </c>
      <c r="G52" s="60">
        <v>9.16</v>
      </c>
      <c r="H52" s="60">
        <v>7.52</v>
      </c>
      <c r="I52" s="215" t="s">
        <v>36</v>
      </c>
      <c r="J52" s="60">
        <v>0.88</v>
      </c>
      <c r="K52" s="60">
        <v>97.78</v>
      </c>
      <c r="L52" s="60">
        <v>48.6</v>
      </c>
      <c r="M52" s="60">
        <v>72.19</v>
      </c>
      <c r="N52" s="60">
        <v>599.70000000000005</v>
      </c>
      <c r="O52" s="60">
        <v>0</v>
      </c>
      <c r="P52" s="60">
        <v>0.69</v>
      </c>
      <c r="Q52" s="60">
        <v>31.66</v>
      </c>
      <c r="R52" s="197"/>
      <c r="S52" s="197"/>
      <c r="T52" s="197"/>
      <c r="U52" s="197"/>
    </row>
    <row r="53" spans="1:21" s="12" customFormat="1" x14ac:dyDescent="0.25">
      <c r="A53" s="200" t="s">
        <v>2980</v>
      </c>
      <c r="B53" s="60">
        <v>4.9400000000000004</v>
      </c>
      <c r="C53" s="60">
        <v>18.350000000000001</v>
      </c>
      <c r="D53" s="60">
        <v>23.29</v>
      </c>
      <c r="E53" s="60">
        <v>6.71</v>
      </c>
      <c r="F53" s="60">
        <v>0.84</v>
      </c>
      <c r="G53" s="60">
        <v>7.72</v>
      </c>
      <c r="H53" s="60">
        <v>9.8699999999999992</v>
      </c>
      <c r="I53" s="215" t="s">
        <v>36</v>
      </c>
      <c r="J53" s="60">
        <v>0.57999999999999996</v>
      </c>
      <c r="K53" s="60">
        <v>60.44</v>
      </c>
      <c r="L53" s="60">
        <v>49.03</v>
      </c>
      <c r="M53" s="60">
        <v>71.260000000000005</v>
      </c>
      <c r="N53" s="60">
        <v>607.20000000000005</v>
      </c>
      <c r="O53" s="60">
        <v>0</v>
      </c>
      <c r="P53" s="60">
        <v>0.7</v>
      </c>
      <c r="Q53" s="60">
        <v>30.69</v>
      </c>
      <c r="R53" s="197"/>
      <c r="S53" s="197"/>
      <c r="T53" s="197"/>
      <c r="U53" s="197"/>
    </row>
    <row r="54" spans="1:21" s="12" customFormat="1" x14ac:dyDescent="0.25">
      <c r="A54" s="200" t="s">
        <v>2981</v>
      </c>
      <c r="B54" s="60">
        <v>4.1500000000000004</v>
      </c>
      <c r="C54" s="60">
        <v>18.670000000000002</v>
      </c>
      <c r="D54" s="60">
        <v>22.82</v>
      </c>
      <c r="E54" s="60">
        <v>6.5</v>
      </c>
      <c r="F54" s="60">
        <v>0.89</v>
      </c>
      <c r="G54" s="60">
        <v>7.72</v>
      </c>
      <c r="H54" s="60">
        <v>9.8699999999999992</v>
      </c>
      <c r="I54" s="215" t="s">
        <v>36</v>
      </c>
      <c r="J54" s="60">
        <v>1.03</v>
      </c>
      <c r="K54" s="60">
        <v>111.58</v>
      </c>
      <c r="L54" s="60">
        <v>48.2</v>
      </c>
      <c r="M54" s="60">
        <v>72.11</v>
      </c>
      <c r="N54" s="60">
        <v>411.8</v>
      </c>
      <c r="O54" s="60">
        <v>0</v>
      </c>
      <c r="P54" s="60">
        <v>0.68</v>
      </c>
      <c r="Q54" s="60">
        <v>44.45</v>
      </c>
      <c r="R54" s="197"/>
      <c r="S54" s="197"/>
      <c r="T54" s="197"/>
      <c r="U54" s="197"/>
    </row>
    <row r="55" spans="1:21" s="12" customFormat="1" x14ac:dyDescent="0.25">
      <c r="A55" s="200" t="s">
        <v>2982</v>
      </c>
      <c r="B55" s="60">
        <v>2.14</v>
      </c>
      <c r="C55" s="60">
        <v>21.24</v>
      </c>
      <c r="D55" s="60">
        <v>23.37</v>
      </c>
      <c r="E55" s="60">
        <v>6.01</v>
      </c>
      <c r="F55" s="60">
        <v>6.7</v>
      </c>
      <c r="G55" s="60">
        <v>7.72</v>
      </c>
      <c r="H55" s="60">
        <v>9.8699999999999992</v>
      </c>
      <c r="I55" s="215" t="s">
        <v>36</v>
      </c>
      <c r="J55" s="60">
        <v>0.55000000000000004</v>
      </c>
      <c r="K55" s="60">
        <v>357.27</v>
      </c>
      <c r="L55" s="60">
        <v>49.12</v>
      </c>
      <c r="M55" s="60">
        <v>68.63</v>
      </c>
      <c r="N55" s="60">
        <v>496.7</v>
      </c>
      <c r="O55" s="60">
        <v>0</v>
      </c>
      <c r="P55" s="60">
        <v>0.78</v>
      </c>
      <c r="Q55" s="60">
        <v>51.76</v>
      </c>
      <c r="R55" s="197"/>
      <c r="S55" s="197"/>
      <c r="T55" s="197"/>
      <c r="U55" s="197"/>
    </row>
    <row r="56" spans="1:21" s="12" customFormat="1" x14ac:dyDescent="0.25">
      <c r="A56" s="200" t="s">
        <v>2983</v>
      </c>
      <c r="B56" s="60">
        <v>1.35</v>
      </c>
      <c r="C56" s="60">
        <v>26.6</v>
      </c>
      <c r="D56" s="60">
        <v>27.94</v>
      </c>
      <c r="E56" s="60">
        <v>0.91</v>
      </c>
      <c r="F56" s="60">
        <v>4.45</v>
      </c>
      <c r="G56" s="60">
        <v>10.8</v>
      </c>
      <c r="H56" s="60">
        <v>10</v>
      </c>
      <c r="I56" s="215" t="s">
        <v>36</v>
      </c>
      <c r="J56" s="60">
        <v>0.88</v>
      </c>
      <c r="K56" s="60">
        <v>342.64</v>
      </c>
      <c r="L56" s="10" t="s">
        <v>43</v>
      </c>
      <c r="M56" s="60">
        <v>65.42</v>
      </c>
      <c r="N56" s="60">
        <v>306.60000000000002</v>
      </c>
      <c r="O56" s="60">
        <v>0</v>
      </c>
      <c r="P56" s="60">
        <v>0.92</v>
      </c>
      <c r="Q56" s="60">
        <v>46.64</v>
      </c>
      <c r="R56" s="197"/>
      <c r="S56" s="197"/>
      <c r="T56" s="197"/>
      <c r="U56" s="197"/>
    </row>
    <row r="57" spans="1:21" s="12" customFormat="1" x14ac:dyDescent="0.25">
      <c r="A57" s="200" t="s">
        <v>2984</v>
      </c>
      <c r="B57" s="60">
        <v>1.95</v>
      </c>
      <c r="C57" s="60">
        <v>27.51</v>
      </c>
      <c r="D57" s="60">
        <v>29.46</v>
      </c>
      <c r="E57" s="60">
        <v>1.95</v>
      </c>
      <c r="F57" s="60">
        <v>2.0699999999999998</v>
      </c>
      <c r="G57" s="60">
        <v>15.88</v>
      </c>
      <c r="H57" s="60">
        <v>10.23</v>
      </c>
      <c r="I57" s="215" t="s">
        <v>36</v>
      </c>
      <c r="J57" s="60">
        <v>0.41</v>
      </c>
      <c r="K57" s="60">
        <v>346.45</v>
      </c>
      <c r="L57" s="10" t="s">
        <v>43</v>
      </c>
      <c r="M57" s="60">
        <v>63.05</v>
      </c>
      <c r="N57" s="60">
        <v>786.5</v>
      </c>
      <c r="O57" s="60">
        <v>0</v>
      </c>
      <c r="P57" s="60">
        <v>0.97</v>
      </c>
      <c r="Q57" s="60">
        <v>50.88</v>
      </c>
      <c r="R57" s="197"/>
      <c r="S57" s="197"/>
      <c r="T57" s="197"/>
      <c r="U57" s="197"/>
    </row>
    <row r="58" spans="1:21" s="12" customFormat="1" x14ac:dyDescent="0.25">
      <c r="A58" s="200" t="s">
        <v>2985</v>
      </c>
      <c r="B58" s="60">
        <v>2.0499999999999998</v>
      </c>
      <c r="C58" s="60">
        <v>26.01</v>
      </c>
      <c r="D58" s="60">
        <v>28.06</v>
      </c>
      <c r="E58" s="60">
        <v>2</v>
      </c>
      <c r="F58" s="60">
        <v>1.82</v>
      </c>
      <c r="G58" s="60">
        <v>15.88</v>
      </c>
      <c r="H58" s="60">
        <v>10.23</v>
      </c>
      <c r="I58" s="215" t="s">
        <v>36</v>
      </c>
      <c r="J58" s="60">
        <v>0.41</v>
      </c>
      <c r="K58" s="60">
        <v>50.95</v>
      </c>
      <c r="L58" s="10" t="s">
        <v>43</v>
      </c>
      <c r="M58" s="60">
        <v>65.23</v>
      </c>
      <c r="N58" s="60">
        <v>643</v>
      </c>
      <c r="O58" s="60">
        <v>0</v>
      </c>
      <c r="P58" s="60">
        <v>0.97</v>
      </c>
      <c r="Q58" s="60">
        <v>54.99</v>
      </c>
      <c r="R58" s="197"/>
      <c r="S58" s="197"/>
      <c r="T58" s="197"/>
      <c r="U58" s="197"/>
    </row>
    <row r="59" spans="1:21" s="12" customFormat="1" x14ac:dyDescent="0.25">
      <c r="A59" s="200" t="s">
        <v>2986</v>
      </c>
      <c r="B59" s="60">
        <v>1.83</v>
      </c>
      <c r="C59" s="60">
        <v>23.71</v>
      </c>
      <c r="D59" s="60">
        <v>25.55</v>
      </c>
      <c r="E59" s="60">
        <v>2.1800000000000002</v>
      </c>
      <c r="F59" s="60">
        <v>0.98</v>
      </c>
      <c r="G59" s="60">
        <v>15.88</v>
      </c>
      <c r="H59" s="60">
        <v>10.23</v>
      </c>
      <c r="I59" s="215" t="s">
        <v>36</v>
      </c>
      <c r="J59" s="60">
        <v>0.63</v>
      </c>
      <c r="K59" s="60">
        <v>336.92</v>
      </c>
      <c r="L59" s="10" t="s">
        <v>43</v>
      </c>
      <c r="M59" s="60">
        <v>62.62</v>
      </c>
      <c r="N59" s="60">
        <v>1065.5</v>
      </c>
      <c r="O59" s="60">
        <v>0</v>
      </c>
      <c r="P59" s="60">
        <v>0.95</v>
      </c>
      <c r="Q59" s="60">
        <v>64.63</v>
      </c>
      <c r="R59" s="197"/>
      <c r="S59" s="197"/>
      <c r="T59" s="197"/>
      <c r="U59" s="197"/>
    </row>
    <row r="60" spans="1:21" s="12" customFormat="1" x14ac:dyDescent="0.25">
      <c r="A60" s="200" t="s">
        <v>2987</v>
      </c>
      <c r="B60" s="60">
        <v>1.97</v>
      </c>
      <c r="C60" s="60">
        <v>20.329999999999998</v>
      </c>
      <c r="D60" s="60">
        <v>22.3</v>
      </c>
      <c r="E60" s="60">
        <v>2.5</v>
      </c>
      <c r="F60" s="60">
        <v>0.72</v>
      </c>
      <c r="G60" s="60">
        <v>17.86</v>
      </c>
      <c r="H60" s="60">
        <v>12.38</v>
      </c>
      <c r="I60" s="215" t="s">
        <v>36</v>
      </c>
      <c r="J60" s="60">
        <v>0.44</v>
      </c>
      <c r="K60" s="60">
        <v>17.8</v>
      </c>
      <c r="L60" s="10" t="s">
        <v>43</v>
      </c>
      <c r="M60" s="60">
        <v>62.82</v>
      </c>
      <c r="N60" s="60">
        <v>396</v>
      </c>
      <c r="O60" s="60">
        <v>0</v>
      </c>
      <c r="P60" s="60">
        <v>0.96</v>
      </c>
      <c r="Q60" s="60">
        <v>68.42</v>
      </c>
      <c r="R60" s="197"/>
      <c r="S60" s="197"/>
      <c r="T60" s="197"/>
      <c r="U60" s="197"/>
    </row>
    <row r="61" spans="1:21" s="12" customFormat="1" x14ac:dyDescent="0.25">
      <c r="A61" s="200" t="s">
        <v>2988</v>
      </c>
      <c r="B61" s="60">
        <v>3.39</v>
      </c>
      <c r="C61" s="60">
        <v>24.5</v>
      </c>
      <c r="D61" s="60">
        <v>27.89</v>
      </c>
      <c r="E61" s="60">
        <v>3.99</v>
      </c>
      <c r="F61" s="60">
        <v>250.97</v>
      </c>
      <c r="G61" s="60">
        <v>21.11</v>
      </c>
      <c r="H61" s="60">
        <v>16.079999999999998</v>
      </c>
      <c r="I61" s="215" t="s">
        <v>36</v>
      </c>
      <c r="J61" s="60">
        <v>0.64</v>
      </c>
      <c r="K61" s="60">
        <v>354.31</v>
      </c>
      <c r="L61" s="10" t="s">
        <v>43</v>
      </c>
      <c r="M61" s="60">
        <v>62.63</v>
      </c>
      <c r="N61" s="60">
        <v>612.4</v>
      </c>
      <c r="O61" s="60">
        <v>0</v>
      </c>
      <c r="P61" s="60">
        <v>0.94</v>
      </c>
      <c r="Q61" s="60">
        <v>75.209999999999994</v>
      </c>
      <c r="R61" s="197"/>
      <c r="S61" s="197"/>
      <c r="T61" s="197"/>
      <c r="U61" s="197"/>
    </row>
    <row r="62" spans="1:21" s="12" customFormat="1" x14ac:dyDescent="0.25">
      <c r="A62" s="200" t="s">
        <v>2989</v>
      </c>
      <c r="B62" s="60">
        <v>5.66</v>
      </c>
      <c r="C62" s="60">
        <v>28.78</v>
      </c>
      <c r="D62" s="60">
        <v>34.43</v>
      </c>
      <c r="E62" s="60">
        <v>3.78</v>
      </c>
      <c r="F62" s="60">
        <v>18.62</v>
      </c>
      <c r="G62" s="60">
        <v>21.11</v>
      </c>
      <c r="H62" s="60">
        <v>16.079999999999998</v>
      </c>
      <c r="I62" s="215" t="s">
        <v>36</v>
      </c>
      <c r="J62" s="60">
        <v>0.37</v>
      </c>
      <c r="K62" s="60">
        <v>19.309999999999999</v>
      </c>
      <c r="L62" s="10" t="s">
        <v>43</v>
      </c>
      <c r="M62" s="60">
        <v>59.41</v>
      </c>
      <c r="N62" s="60">
        <v>970.7</v>
      </c>
      <c r="O62" s="60">
        <v>0</v>
      </c>
      <c r="P62" s="60">
        <v>0.77</v>
      </c>
      <c r="Q62" s="60">
        <v>77.16</v>
      </c>
      <c r="R62" s="197"/>
      <c r="S62" s="197"/>
      <c r="T62" s="197"/>
      <c r="U62" s="197"/>
    </row>
    <row r="63" spans="1:21" s="12" customFormat="1" x14ac:dyDescent="0.25">
      <c r="A63" s="200" t="s">
        <v>2990</v>
      </c>
      <c r="B63" s="60">
        <v>3.35</v>
      </c>
      <c r="C63" s="60">
        <v>23.99</v>
      </c>
      <c r="D63" s="60">
        <v>27.34</v>
      </c>
      <c r="E63" s="60">
        <v>4.08</v>
      </c>
      <c r="F63" s="60">
        <v>3.87</v>
      </c>
      <c r="G63" s="60">
        <v>21.11</v>
      </c>
      <c r="H63" s="60">
        <v>16.079999999999998</v>
      </c>
      <c r="I63" s="215" t="s">
        <v>36</v>
      </c>
      <c r="J63" s="60">
        <v>0.48</v>
      </c>
      <c r="K63" s="60">
        <v>50.27</v>
      </c>
      <c r="L63" s="10" t="s">
        <v>43</v>
      </c>
      <c r="M63" s="60">
        <v>59.71</v>
      </c>
      <c r="N63" s="60">
        <v>921.5</v>
      </c>
      <c r="O63" s="60">
        <v>0</v>
      </c>
      <c r="P63" s="60">
        <v>0.94</v>
      </c>
      <c r="Q63" s="60">
        <v>78.41</v>
      </c>
      <c r="R63" s="197"/>
      <c r="S63" s="197"/>
      <c r="T63" s="197"/>
      <c r="U63" s="197"/>
    </row>
    <row r="64" spans="1:21" s="12" customFormat="1" x14ac:dyDescent="0.25">
      <c r="A64" s="200" t="s">
        <v>2991</v>
      </c>
      <c r="B64" s="60">
        <v>2.92</v>
      </c>
      <c r="C64" s="60">
        <v>22.1</v>
      </c>
      <c r="D64" s="60">
        <v>25.01</v>
      </c>
      <c r="E64" s="60">
        <v>3.15</v>
      </c>
      <c r="F64" s="60">
        <v>4.18</v>
      </c>
      <c r="G64" s="60">
        <v>24.39</v>
      </c>
      <c r="H64" s="60">
        <v>15.15</v>
      </c>
      <c r="I64" s="215" t="s">
        <v>36</v>
      </c>
      <c r="J64" s="60">
        <v>0.89</v>
      </c>
      <c r="K64" s="60">
        <v>345.42</v>
      </c>
      <c r="L64" s="10" t="s">
        <v>43</v>
      </c>
      <c r="M64" s="60">
        <v>56.95</v>
      </c>
      <c r="N64" s="60">
        <v>787.7</v>
      </c>
      <c r="O64" s="60">
        <v>0</v>
      </c>
      <c r="P64" s="60">
        <v>0.95</v>
      </c>
      <c r="Q64" s="60">
        <v>77.14</v>
      </c>
      <c r="R64" s="197"/>
      <c r="S64" s="197"/>
      <c r="T64" s="197"/>
      <c r="U64" s="197"/>
    </row>
    <row r="65" spans="1:21" s="12" customFormat="1" x14ac:dyDescent="0.25">
      <c r="A65" s="200" t="s">
        <v>2992</v>
      </c>
      <c r="B65" s="60">
        <v>3.44</v>
      </c>
      <c r="C65" s="60">
        <v>21.74</v>
      </c>
      <c r="D65" s="60">
        <v>25.19</v>
      </c>
      <c r="E65" s="60">
        <v>2.67</v>
      </c>
      <c r="F65" s="60">
        <v>6.63</v>
      </c>
      <c r="G65" s="60">
        <v>29.78</v>
      </c>
      <c r="H65" s="60">
        <v>13.54</v>
      </c>
      <c r="I65" s="215" t="s">
        <v>36</v>
      </c>
      <c r="J65" s="60">
        <v>0.55000000000000004</v>
      </c>
      <c r="K65" s="60">
        <v>90.24</v>
      </c>
      <c r="L65" s="10" t="s">
        <v>43</v>
      </c>
      <c r="M65" s="60">
        <v>58.59</v>
      </c>
      <c r="N65" s="60">
        <v>433</v>
      </c>
      <c r="O65" s="60">
        <v>0</v>
      </c>
      <c r="P65" s="60">
        <v>1</v>
      </c>
      <c r="Q65" s="60">
        <v>73.86</v>
      </c>
      <c r="R65" s="197"/>
      <c r="S65" s="197"/>
      <c r="T65" s="197"/>
      <c r="U65" s="197"/>
    </row>
    <row r="66" spans="1:21" s="12" customFormat="1" x14ac:dyDescent="0.25">
      <c r="A66" s="200" t="s">
        <v>2993</v>
      </c>
      <c r="B66" s="60">
        <v>2.69</v>
      </c>
      <c r="C66" s="60">
        <v>20.23</v>
      </c>
      <c r="D66" s="60">
        <v>22.92</v>
      </c>
      <c r="E66" s="60">
        <v>3.17</v>
      </c>
      <c r="F66" s="60">
        <v>5.93</v>
      </c>
      <c r="G66" s="60">
        <v>29.78</v>
      </c>
      <c r="H66" s="60">
        <v>13.54</v>
      </c>
      <c r="I66" s="215" t="s">
        <v>36</v>
      </c>
      <c r="J66" s="60">
        <v>0.28000000000000003</v>
      </c>
      <c r="K66" s="60">
        <v>59.62</v>
      </c>
      <c r="L66" s="10" t="s">
        <v>43</v>
      </c>
      <c r="M66" s="60">
        <v>62.19</v>
      </c>
      <c r="N66" s="60">
        <v>248.3</v>
      </c>
      <c r="O66" s="60">
        <v>0</v>
      </c>
      <c r="P66" s="60">
        <v>0.92</v>
      </c>
      <c r="Q66" s="60">
        <v>71.37</v>
      </c>
      <c r="R66" s="197"/>
      <c r="S66" s="197"/>
      <c r="T66" s="197"/>
      <c r="U66" s="197"/>
    </row>
    <row r="67" spans="1:21" s="12" customFormat="1" x14ac:dyDescent="0.25">
      <c r="A67" s="200" t="s">
        <v>2994</v>
      </c>
      <c r="B67" s="60">
        <v>2.57</v>
      </c>
      <c r="C67" s="60">
        <v>18.09</v>
      </c>
      <c r="D67" s="60">
        <v>20.65</v>
      </c>
      <c r="E67" s="60">
        <v>2.73</v>
      </c>
      <c r="F67" s="60">
        <v>11.54</v>
      </c>
      <c r="G67" s="60">
        <v>29.78</v>
      </c>
      <c r="H67" s="60">
        <v>13.54</v>
      </c>
      <c r="I67" s="215" t="s">
        <v>36</v>
      </c>
      <c r="J67" s="60">
        <v>0.37</v>
      </c>
      <c r="K67" s="60">
        <v>23.23</v>
      </c>
      <c r="L67" s="10" t="s">
        <v>43</v>
      </c>
      <c r="M67" s="60">
        <v>60.82</v>
      </c>
      <c r="N67" s="60">
        <v>701.8</v>
      </c>
      <c r="O67" s="60">
        <v>0</v>
      </c>
      <c r="P67" s="60">
        <v>0.85</v>
      </c>
      <c r="Q67" s="60">
        <v>70.39</v>
      </c>
      <c r="R67" s="197"/>
      <c r="S67" s="197"/>
      <c r="T67" s="197"/>
      <c r="U67" s="197"/>
    </row>
    <row r="68" spans="1:21" s="12" customFormat="1" x14ac:dyDescent="0.25">
      <c r="A68" s="200" t="s">
        <v>2995</v>
      </c>
      <c r="B68" s="60">
        <v>2.81</v>
      </c>
      <c r="C68" s="60">
        <v>16.559999999999999</v>
      </c>
      <c r="D68" s="60">
        <v>19.37</v>
      </c>
      <c r="E68" s="60">
        <v>2.66</v>
      </c>
      <c r="F68" s="60">
        <v>6.02</v>
      </c>
      <c r="G68" s="60">
        <v>28.1</v>
      </c>
      <c r="H68" s="60">
        <v>12.17</v>
      </c>
      <c r="I68" s="215" t="s">
        <v>36</v>
      </c>
      <c r="J68" s="60">
        <v>0.39</v>
      </c>
      <c r="K68" s="60">
        <v>121.32</v>
      </c>
      <c r="L68" s="10" t="s">
        <v>43</v>
      </c>
      <c r="M68" s="60">
        <v>58.32</v>
      </c>
      <c r="N68" s="60">
        <v>462.4</v>
      </c>
      <c r="O68" s="60">
        <v>0</v>
      </c>
      <c r="P68" s="60">
        <v>0.88</v>
      </c>
      <c r="Q68" s="60">
        <v>68.97</v>
      </c>
      <c r="R68" s="197"/>
      <c r="S68" s="197"/>
      <c r="T68" s="197"/>
      <c r="U68" s="197"/>
    </row>
    <row r="69" spans="1:21" s="12" customFormat="1" x14ac:dyDescent="0.25">
      <c r="A69" s="200" t="s">
        <v>2996</v>
      </c>
      <c r="B69" s="60">
        <v>2.4900000000000002</v>
      </c>
      <c r="C69" s="60">
        <v>14.26</v>
      </c>
      <c r="D69" s="60">
        <v>16.739999999999998</v>
      </c>
      <c r="E69" s="60">
        <v>2.72</v>
      </c>
      <c r="F69" s="60">
        <v>5.61</v>
      </c>
      <c r="G69" s="60">
        <v>25.34</v>
      </c>
      <c r="H69" s="60">
        <v>9.8000000000000007</v>
      </c>
      <c r="I69" s="215" t="s">
        <v>36</v>
      </c>
      <c r="J69" s="60">
        <v>0.22</v>
      </c>
      <c r="K69" s="60">
        <v>54.14</v>
      </c>
      <c r="L69" s="10" t="s">
        <v>43</v>
      </c>
      <c r="M69" s="60">
        <v>60.06</v>
      </c>
      <c r="N69" s="60">
        <v>412.3</v>
      </c>
      <c r="O69" s="60">
        <v>0</v>
      </c>
      <c r="P69" s="60">
        <v>0.82</v>
      </c>
      <c r="Q69" s="60">
        <v>68.42</v>
      </c>
      <c r="R69" s="197"/>
      <c r="S69" s="197"/>
      <c r="T69" s="197"/>
      <c r="U69" s="197"/>
    </row>
    <row r="70" spans="1:21" s="12" customFormat="1" x14ac:dyDescent="0.25">
      <c r="A70" s="200" t="s">
        <v>2997</v>
      </c>
      <c r="B70" s="60">
        <v>2.39</v>
      </c>
      <c r="C70" s="60">
        <v>13.35</v>
      </c>
      <c r="D70" s="60">
        <v>15.74</v>
      </c>
      <c r="E70" s="60">
        <v>3.06</v>
      </c>
      <c r="F70" s="60">
        <v>10.48</v>
      </c>
      <c r="G70" s="60">
        <v>25.34</v>
      </c>
      <c r="H70" s="60">
        <v>9.8000000000000007</v>
      </c>
      <c r="I70" s="215" t="s">
        <v>36</v>
      </c>
      <c r="J70" s="60">
        <v>0.81</v>
      </c>
      <c r="K70" s="60">
        <v>82.45</v>
      </c>
      <c r="L70" s="10" t="s">
        <v>43</v>
      </c>
      <c r="M70" s="60">
        <v>60.48</v>
      </c>
      <c r="N70" s="60">
        <v>247.1</v>
      </c>
      <c r="O70" s="60">
        <v>0</v>
      </c>
      <c r="P70" s="60">
        <v>0.72</v>
      </c>
      <c r="Q70" s="60">
        <v>71.790000000000006</v>
      </c>
      <c r="R70" s="197"/>
      <c r="S70" s="197"/>
      <c r="T70" s="197"/>
      <c r="U70" s="197"/>
    </row>
    <row r="71" spans="1:21" s="12" customFormat="1" x14ac:dyDescent="0.25">
      <c r="A71" s="200" t="s">
        <v>2998</v>
      </c>
      <c r="B71" s="60">
        <v>3.32</v>
      </c>
      <c r="C71" s="60">
        <v>13.68</v>
      </c>
      <c r="D71" s="60">
        <v>17</v>
      </c>
      <c r="E71" s="60">
        <v>3.15</v>
      </c>
      <c r="F71" s="60">
        <v>7.47</v>
      </c>
      <c r="G71" s="60">
        <v>25.34</v>
      </c>
      <c r="H71" s="60">
        <v>9.8000000000000007</v>
      </c>
      <c r="I71" s="215" t="s">
        <v>36</v>
      </c>
      <c r="J71" s="60">
        <v>1.05</v>
      </c>
      <c r="K71" s="60">
        <v>91.86</v>
      </c>
      <c r="L71" s="10" t="s">
        <v>43</v>
      </c>
      <c r="M71" s="60">
        <v>66.31</v>
      </c>
      <c r="N71" s="60">
        <v>124.3</v>
      </c>
      <c r="O71" s="60">
        <v>0</v>
      </c>
      <c r="P71" s="60">
        <v>0.79</v>
      </c>
      <c r="Q71" s="60">
        <v>75.739999999999995</v>
      </c>
      <c r="R71" s="197"/>
      <c r="S71" s="197"/>
      <c r="T71" s="197"/>
      <c r="U71" s="197"/>
    </row>
    <row r="72" spans="1:21" s="12" customFormat="1" x14ac:dyDescent="0.25">
      <c r="A72" s="200" t="s">
        <v>2999</v>
      </c>
      <c r="B72" s="60">
        <v>3.12</v>
      </c>
      <c r="C72" s="60">
        <v>13.89</v>
      </c>
      <c r="D72" s="60">
        <v>17.010000000000002</v>
      </c>
      <c r="E72" s="60">
        <v>1.92</v>
      </c>
      <c r="F72" s="60">
        <v>18.510000000000002</v>
      </c>
      <c r="G72" s="60">
        <v>23.48</v>
      </c>
      <c r="H72" s="60">
        <v>10.17</v>
      </c>
      <c r="I72" s="215" t="s">
        <v>36</v>
      </c>
      <c r="J72" s="60">
        <v>0.98</v>
      </c>
      <c r="K72" s="60">
        <v>93.28</v>
      </c>
      <c r="L72" s="10" t="s">
        <v>43</v>
      </c>
      <c r="M72" s="60">
        <v>67.05</v>
      </c>
      <c r="N72" s="60">
        <v>116.2</v>
      </c>
      <c r="O72" s="60">
        <v>0</v>
      </c>
      <c r="P72" s="60">
        <v>0.57999999999999996</v>
      </c>
      <c r="Q72" s="60">
        <v>79.22</v>
      </c>
      <c r="R72" s="197"/>
      <c r="S72" s="197"/>
      <c r="T72" s="197"/>
      <c r="U72" s="197"/>
    </row>
    <row r="73" spans="1:21" s="12" customFormat="1" x14ac:dyDescent="0.25">
      <c r="A73" s="200" t="s">
        <v>3000</v>
      </c>
      <c r="B73" s="60">
        <v>6.18</v>
      </c>
      <c r="C73" s="60">
        <v>19.3</v>
      </c>
      <c r="D73" s="60">
        <v>25.48</v>
      </c>
      <c r="E73" s="60">
        <v>2.52</v>
      </c>
      <c r="F73" s="60">
        <v>21.16</v>
      </c>
      <c r="G73" s="60">
        <v>20.420000000000002</v>
      </c>
      <c r="H73" s="60">
        <v>10.8</v>
      </c>
      <c r="I73" s="215" t="s">
        <v>36</v>
      </c>
      <c r="J73" s="60">
        <v>0.45</v>
      </c>
      <c r="K73" s="60">
        <v>61.32</v>
      </c>
      <c r="L73" s="10" t="s">
        <v>43</v>
      </c>
      <c r="M73" s="60">
        <v>69.319999999999993</v>
      </c>
      <c r="N73" s="60">
        <v>119.4</v>
      </c>
      <c r="O73" s="60">
        <v>0</v>
      </c>
      <c r="P73" s="60">
        <v>0.98</v>
      </c>
      <c r="Q73" s="60">
        <v>77.38</v>
      </c>
      <c r="R73" s="197"/>
      <c r="S73" s="197"/>
      <c r="T73" s="197"/>
      <c r="U73" s="197"/>
    </row>
    <row r="74" spans="1:21" s="12" customFormat="1" x14ac:dyDescent="0.25">
      <c r="A74" s="200" t="s">
        <v>3001</v>
      </c>
      <c r="B74" s="60">
        <v>6.91</v>
      </c>
      <c r="C74" s="60">
        <v>22.7</v>
      </c>
      <c r="D74" s="60">
        <v>29.61</v>
      </c>
      <c r="E74" s="60">
        <v>1.45</v>
      </c>
      <c r="F74" s="60">
        <v>18.57</v>
      </c>
      <c r="G74" s="60">
        <v>20.420000000000002</v>
      </c>
      <c r="H74" s="60">
        <v>10.8</v>
      </c>
      <c r="I74" s="215" t="s">
        <v>36</v>
      </c>
      <c r="J74" s="60">
        <v>2.5499999999999998</v>
      </c>
      <c r="K74" s="60">
        <v>74.489999999999995</v>
      </c>
      <c r="L74" s="10" t="s">
        <v>43</v>
      </c>
      <c r="M74" s="60">
        <v>69.510000000000005</v>
      </c>
      <c r="N74" s="60">
        <v>124</v>
      </c>
      <c r="O74" s="60">
        <v>0</v>
      </c>
      <c r="P74" s="60">
        <v>0.93</v>
      </c>
      <c r="Q74" s="60">
        <v>70.010000000000005</v>
      </c>
      <c r="R74" s="197"/>
      <c r="S74" s="197"/>
      <c r="T74" s="197"/>
      <c r="U74" s="197"/>
    </row>
    <row r="75" spans="1:21" s="12" customFormat="1" x14ac:dyDescent="0.25">
      <c r="A75" s="200" t="s">
        <v>3002</v>
      </c>
      <c r="B75" s="60">
        <v>7.08</v>
      </c>
      <c r="C75" s="60">
        <v>24.08</v>
      </c>
      <c r="D75" s="60">
        <v>31.16</v>
      </c>
      <c r="E75" s="60">
        <v>1.71</v>
      </c>
      <c r="F75" s="60">
        <v>22.33</v>
      </c>
      <c r="G75" s="60">
        <v>20.420000000000002</v>
      </c>
      <c r="H75" s="60">
        <v>10.8</v>
      </c>
      <c r="I75" s="215" t="s">
        <v>36</v>
      </c>
      <c r="J75" s="60">
        <v>2.66</v>
      </c>
      <c r="K75" s="60">
        <v>65.53</v>
      </c>
      <c r="L75" s="10" t="s">
        <v>43</v>
      </c>
      <c r="M75" s="60">
        <v>70.36</v>
      </c>
      <c r="N75" s="60">
        <v>105.4</v>
      </c>
      <c r="O75" s="60">
        <v>0</v>
      </c>
      <c r="P75" s="60">
        <v>0.79</v>
      </c>
      <c r="Q75" s="60">
        <v>70.400000000000006</v>
      </c>
      <c r="R75" s="197"/>
      <c r="S75" s="197"/>
      <c r="T75" s="197"/>
      <c r="U75" s="197"/>
    </row>
    <row r="76" spans="1:21" s="12" customFormat="1" x14ac:dyDescent="0.25">
      <c r="A76" s="200" t="s">
        <v>3003</v>
      </c>
      <c r="B76" s="60">
        <v>6.41</v>
      </c>
      <c r="C76" s="60">
        <v>24.93</v>
      </c>
      <c r="D76" s="60">
        <v>31.34</v>
      </c>
      <c r="E76" s="60">
        <v>0.99</v>
      </c>
      <c r="F76" s="60">
        <v>19.93</v>
      </c>
      <c r="G76" s="60">
        <v>22.86</v>
      </c>
      <c r="H76" s="60">
        <v>9.83</v>
      </c>
      <c r="I76" s="215" t="s">
        <v>36</v>
      </c>
      <c r="J76" s="60">
        <v>1.9</v>
      </c>
      <c r="K76" s="60">
        <v>51.52</v>
      </c>
      <c r="L76" s="10" t="s">
        <v>43</v>
      </c>
      <c r="M76" s="60">
        <v>71.34</v>
      </c>
      <c r="N76" s="60">
        <v>94.2</v>
      </c>
      <c r="O76" s="60">
        <v>0</v>
      </c>
      <c r="P76" s="60">
        <v>0.98</v>
      </c>
      <c r="Q76" s="60">
        <v>67.31</v>
      </c>
      <c r="R76" s="197"/>
      <c r="S76" s="197"/>
      <c r="T76" s="197"/>
      <c r="U76" s="197"/>
    </row>
    <row r="77" spans="1:21" s="12" customFormat="1" x14ac:dyDescent="0.25">
      <c r="A77" s="200" t="s">
        <v>3004</v>
      </c>
      <c r="B77" s="60">
        <v>5.65</v>
      </c>
      <c r="C77" s="60">
        <v>24.13</v>
      </c>
      <c r="D77" s="60">
        <v>29.78</v>
      </c>
      <c r="E77" s="60">
        <v>1.77</v>
      </c>
      <c r="F77" s="60">
        <v>16.600000000000001</v>
      </c>
      <c r="G77" s="60">
        <v>26.89</v>
      </c>
      <c r="H77" s="60">
        <v>8.24</v>
      </c>
      <c r="I77" s="60">
        <v>5.99</v>
      </c>
      <c r="J77" s="60">
        <v>2.4300000000000002</v>
      </c>
      <c r="K77" s="60">
        <v>83.41</v>
      </c>
      <c r="L77" s="10" t="s">
        <v>43</v>
      </c>
      <c r="M77" s="60">
        <v>70.73</v>
      </c>
      <c r="N77" s="60">
        <v>88</v>
      </c>
      <c r="O77" s="60">
        <v>0</v>
      </c>
      <c r="P77" s="60">
        <v>0.85</v>
      </c>
      <c r="Q77" s="60">
        <v>65.88</v>
      </c>
      <c r="R77" s="197"/>
      <c r="S77" s="197"/>
      <c r="T77" s="197"/>
      <c r="U77" s="197"/>
    </row>
    <row r="78" spans="1:21" s="12" customFormat="1" x14ac:dyDescent="0.25">
      <c r="A78" s="200" t="s">
        <v>3005</v>
      </c>
      <c r="B78" s="60">
        <v>5.41</v>
      </c>
      <c r="C78" s="60">
        <v>24.36</v>
      </c>
      <c r="D78" s="60">
        <v>29.77</v>
      </c>
      <c r="E78" s="60">
        <v>1.82</v>
      </c>
      <c r="F78" s="60">
        <v>16.48</v>
      </c>
      <c r="G78" s="60">
        <v>26.89</v>
      </c>
      <c r="H78" s="60">
        <v>8.24</v>
      </c>
      <c r="I78" s="60">
        <v>11.41</v>
      </c>
      <c r="J78" s="60">
        <v>3.04</v>
      </c>
      <c r="K78" s="60">
        <v>90.97</v>
      </c>
      <c r="L78" s="10" t="s">
        <v>43</v>
      </c>
      <c r="M78" s="60">
        <v>70.91</v>
      </c>
      <c r="N78" s="60">
        <v>72.599999999999994</v>
      </c>
      <c r="O78" s="60">
        <v>0</v>
      </c>
      <c r="P78" s="60">
        <v>0.76</v>
      </c>
      <c r="Q78" s="60">
        <v>59.49</v>
      </c>
      <c r="R78" s="197"/>
      <c r="S78" s="197"/>
      <c r="T78" s="197"/>
      <c r="U78" s="197"/>
    </row>
    <row r="79" spans="1:21" s="12" customFormat="1" x14ac:dyDescent="0.25">
      <c r="A79" s="200" t="s">
        <v>3006</v>
      </c>
      <c r="B79" s="60">
        <v>3.9</v>
      </c>
      <c r="C79" s="60">
        <v>19.329999999999998</v>
      </c>
      <c r="D79" s="60">
        <v>23.23</v>
      </c>
      <c r="E79" s="60">
        <v>2.64</v>
      </c>
      <c r="F79" s="60">
        <v>6.26</v>
      </c>
      <c r="G79" s="60">
        <v>26.89</v>
      </c>
      <c r="H79" s="60">
        <v>8.24</v>
      </c>
      <c r="I79" s="60">
        <v>12.33</v>
      </c>
      <c r="J79" s="60">
        <v>3.74</v>
      </c>
      <c r="K79" s="60">
        <v>99.69</v>
      </c>
      <c r="L79" s="10" t="s">
        <v>43</v>
      </c>
      <c r="M79" s="60">
        <v>70.94</v>
      </c>
      <c r="N79" s="60">
        <v>52</v>
      </c>
      <c r="O79" s="60">
        <v>0</v>
      </c>
      <c r="P79" s="60">
        <v>0.76</v>
      </c>
      <c r="Q79" s="60">
        <v>55.63</v>
      </c>
      <c r="R79" s="197"/>
      <c r="S79" s="197"/>
      <c r="T79" s="197"/>
      <c r="U79" s="197"/>
    </row>
    <row r="80" spans="1:21" s="12" customFormat="1" x14ac:dyDescent="0.25">
      <c r="A80" s="200" t="s">
        <v>3007</v>
      </c>
      <c r="B80" s="60">
        <v>3.1</v>
      </c>
      <c r="C80" s="60">
        <v>17.04</v>
      </c>
      <c r="D80" s="60">
        <v>20.14</v>
      </c>
      <c r="E80" s="60">
        <v>2.75</v>
      </c>
      <c r="F80" s="60">
        <v>14.6</v>
      </c>
      <c r="G80" s="60">
        <v>28.68</v>
      </c>
      <c r="H80" s="60">
        <v>9.25</v>
      </c>
      <c r="I80" s="60">
        <v>5.16</v>
      </c>
      <c r="J80" s="60">
        <v>2.78</v>
      </c>
      <c r="K80" s="60">
        <v>95.81</v>
      </c>
      <c r="L80" s="10" t="s">
        <v>43</v>
      </c>
      <c r="M80" s="60">
        <v>70.81</v>
      </c>
      <c r="N80" s="60">
        <v>35.9</v>
      </c>
      <c r="O80" s="60">
        <v>0</v>
      </c>
      <c r="P80" s="60">
        <v>0.61</v>
      </c>
      <c r="Q80" s="60">
        <v>52.85</v>
      </c>
      <c r="R80" s="197"/>
      <c r="S80" s="197"/>
      <c r="T80" s="197"/>
      <c r="U80" s="197"/>
    </row>
    <row r="81" spans="1:26" s="12" customFormat="1" x14ac:dyDescent="0.25">
      <c r="A81" s="200" t="s">
        <v>3008</v>
      </c>
      <c r="B81" s="60">
        <v>2.72</v>
      </c>
      <c r="C81" s="60">
        <v>15.9</v>
      </c>
      <c r="D81" s="60">
        <v>18.62</v>
      </c>
      <c r="E81" s="60">
        <v>2.12</v>
      </c>
      <c r="F81" s="60">
        <v>11.16</v>
      </c>
      <c r="G81" s="60">
        <v>31.63</v>
      </c>
      <c r="H81" s="60">
        <v>10.99</v>
      </c>
      <c r="I81" s="60">
        <v>7.53</v>
      </c>
      <c r="J81" s="60">
        <v>2.39</v>
      </c>
      <c r="K81" s="60">
        <v>95.38</v>
      </c>
      <c r="L81" s="10" t="s">
        <v>43</v>
      </c>
      <c r="M81" s="60">
        <v>71.66</v>
      </c>
      <c r="N81" s="60">
        <v>23</v>
      </c>
      <c r="O81" s="60">
        <v>0</v>
      </c>
      <c r="P81" s="60">
        <v>0.66</v>
      </c>
      <c r="Q81" s="60">
        <v>49.03</v>
      </c>
      <c r="R81" s="197"/>
      <c r="S81" s="197"/>
      <c r="T81" s="197"/>
      <c r="U81" s="197"/>
    </row>
    <row r="82" spans="1:26" s="12" customFormat="1" x14ac:dyDescent="0.25">
      <c r="A82" s="200" t="s">
        <v>3009</v>
      </c>
      <c r="B82" s="60">
        <v>2.5</v>
      </c>
      <c r="C82" s="60">
        <v>14.93</v>
      </c>
      <c r="D82" s="60">
        <v>17.43</v>
      </c>
      <c r="E82" s="60">
        <v>3.47</v>
      </c>
      <c r="F82" s="60">
        <v>7.88</v>
      </c>
      <c r="G82" s="60">
        <v>31.63</v>
      </c>
      <c r="H82" s="60">
        <v>10.99</v>
      </c>
      <c r="I82" s="60">
        <v>14.33</v>
      </c>
      <c r="J82" s="60">
        <v>2.46</v>
      </c>
      <c r="K82" s="60">
        <v>88.52</v>
      </c>
      <c r="L82" s="10" t="s">
        <v>43</v>
      </c>
      <c r="M82" s="60">
        <v>73.31</v>
      </c>
      <c r="N82" s="60">
        <v>16.3</v>
      </c>
      <c r="O82" s="60">
        <v>0</v>
      </c>
      <c r="P82" s="60">
        <v>0.68</v>
      </c>
      <c r="Q82" s="60">
        <v>50.93</v>
      </c>
      <c r="R82" s="197"/>
      <c r="S82" s="197"/>
      <c r="T82" s="197"/>
      <c r="U82" s="197"/>
    </row>
    <row r="83" spans="1:26" s="12" customFormat="1" x14ac:dyDescent="0.25">
      <c r="A83" s="200" t="s">
        <v>3010</v>
      </c>
      <c r="B83" s="60">
        <v>2.33</v>
      </c>
      <c r="C83" s="60">
        <v>17.28</v>
      </c>
      <c r="D83" s="60">
        <v>19.61</v>
      </c>
      <c r="E83" s="60">
        <v>0.95</v>
      </c>
      <c r="F83" s="60">
        <v>10.64</v>
      </c>
      <c r="G83" s="60">
        <v>31.63</v>
      </c>
      <c r="H83" s="60">
        <v>10.99</v>
      </c>
      <c r="I83" s="60">
        <v>6.14</v>
      </c>
      <c r="J83" s="60">
        <v>1.25</v>
      </c>
      <c r="K83" s="60">
        <v>119.6</v>
      </c>
      <c r="L83" s="10" t="s">
        <v>43</v>
      </c>
      <c r="M83" s="60">
        <v>75.39</v>
      </c>
      <c r="N83" s="60">
        <v>15</v>
      </c>
      <c r="O83" s="60">
        <v>0</v>
      </c>
      <c r="P83" s="60">
        <v>0.76</v>
      </c>
      <c r="Q83" s="60">
        <v>46.01</v>
      </c>
      <c r="R83" s="197"/>
      <c r="S83" s="197"/>
      <c r="T83" s="197"/>
      <c r="U83" s="197"/>
    </row>
    <row r="84" spans="1:26" s="12" customFormat="1" x14ac:dyDescent="0.25">
      <c r="A84" s="200" t="s">
        <v>3011</v>
      </c>
      <c r="B84" s="60">
        <v>3</v>
      </c>
      <c r="C84" s="60">
        <v>20.5</v>
      </c>
      <c r="D84" s="60">
        <v>23.51</v>
      </c>
      <c r="E84" s="60">
        <v>0.39</v>
      </c>
      <c r="F84" s="60">
        <v>6.19</v>
      </c>
      <c r="G84" s="60">
        <v>28.38</v>
      </c>
      <c r="H84" s="60">
        <v>10.9</v>
      </c>
      <c r="I84" s="60">
        <v>3.63</v>
      </c>
      <c r="J84" s="60">
        <v>0.93</v>
      </c>
      <c r="K84" s="60">
        <v>205.32</v>
      </c>
      <c r="L84" s="10" t="s">
        <v>43</v>
      </c>
      <c r="M84" s="60">
        <v>76.069999999999993</v>
      </c>
      <c r="N84" s="60">
        <v>15</v>
      </c>
      <c r="O84" s="60">
        <v>0</v>
      </c>
      <c r="P84" s="60">
        <v>0.71</v>
      </c>
      <c r="Q84" s="60">
        <v>42.4</v>
      </c>
      <c r="R84" s="197"/>
      <c r="S84" s="197"/>
      <c r="T84" s="197"/>
      <c r="U84" s="197"/>
    </row>
    <row r="85" spans="1:26" s="12" customFormat="1" x14ac:dyDescent="0.25">
      <c r="A85" s="200" t="s">
        <v>3012</v>
      </c>
      <c r="B85" s="60">
        <v>4.6100000000000003</v>
      </c>
      <c r="C85" s="60">
        <v>23.77</v>
      </c>
      <c r="D85" s="60">
        <v>28.38</v>
      </c>
      <c r="E85" s="60">
        <v>0.15</v>
      </c>
      <c r="F85" s="60">
        <v>5.65</v>
      </c>
      <c r="G85" s="60">
        <v>23.02</v>
      </c>
      <c r="H85" s="60">
        <v>10.74</v>
      </c>
      <c r="I85" s="60">
        <v>7.13</v>
      </c>
      <c r="J85" s="60">
        <v>1.4</v>
      </c>
      <c r="K85" s="60">
        <v>63.41</v>
      </c>
      <c r="L85" s="10" t="s">
        <v>43</v>
      </c>
      <c r="M85" s="60">
        <v>76.86</v>
      </c>
      <c r="N85" s="60">
        <v>14.8</v>
      </c>
      <c r="O85" s="60">
        <v>0</v>
      </c>
      <c r="P85" s="60">
        <v>0.76</v>
      </c>
      <c r="Q85" s="60">
        <v>44.5</v>
      </c>
      <c r="R85" s="197"/>
      <c r="S85" s="197"/>
      <c r="T85" s="197"/>
      <c r="U85" s="197"/>
    </row>
    <row r="86" spans="1:26" s="12" customFormat="1" x14ac:dyDescent="0.25">
      <c r="A86" s="200" t="s">
        <v>3013</v>
      </c>
      <c r="B86" s="60">
        <v>12.31</v>
      </c>
      <c r="C86" s="60">
        <v>25.3</v>
      </c>
      <c r="D86" s="60">
        <v>37.6</v>
      </c>
      <c r="E86" s="60">
        <v>0.3</v>
      </c>
      <c r="F86" s="60">
        <v>2.67</v>
      </c>
      <c r="G86" s="60">
        <v>23.02</v>
      </c>
      <c r="H86" s="60">
        <v>10.74</v>
      </c>
      <c r="I86" s="60">
        <v>5.63</v>
      </c>
      <c r="J86" s="60">
        <v>0.77</v>
      </c>
      <c r="K86" s="60">
        <v>99.12</v>
      </c>
      <c r="L86" s="10" t="s">
        <v>43</v>
      </c>
      <c r="M86" s="60">
        <v>79.239999999999995</v>
      </c>
      <c r="N86" s="60">
        <v>14.9</v>
      </c>
      <c r="O86" s="60">
        <v>0</v>
      </c>
      <c r="P86" s="60">
        <v>1.76</v>
      </c>
      <c r="Q86" s="60">
        <v>40.94</v>
      </c>
      <c r="R86" s="197"/>
      <c r="S86" s="197"/>
      <c r="T86" s="197"/>
      <c r="U86" s="197"/>
    </row>
    <row r="87" spans="1:26" s="12" customFormat="1" x14ac:dyDescent="0.25">
      <c r="A87" s="200" t="s">
        <v>3014</v>
      </c>
      <c r="B87" s="60">
        <v>6.85</v>
      </c>
      <c r="C87" s="60">
        <v>22.24</v>
      </c>
      <c r="D87" s="60">
        <v>29.09</v>
      </c>
      <c r="E87" s="60">
        <v>0.78</v>
      </c>
      <c r="F87" s="60">
        <v>3.22</v>
      </c>
      <c r="G87" s="60">
        <v>23.02</v>
      </c>
      <c r="H87" s="60">
        <v>10.74</v>
      </c>
      <c r="I87" s="60">
        <v>6.57</v>
      </c>
      <c r="J87" s="60">
        <v>2</v>
      </c>
      <c r="K87" s="60">
        <v>98.35</v>
      </c>
      <c r="L87" s="10" t="s">
        <v>43</v>
      </c>
      <c r="M87" s="60">
        <v>80.760000000000005</v>
      </c>
      <c r="N87" s="60">
        <v>14.6</v>
      </c>
      <c r="O87" s="60">
        <v>0</v>
      </c>
      <c r="P87" s="60">
        <v>0.94</v>
      </c>
      <c r="Q87" s="60">
        <v>44.09</v>
      </c>
      <c r="R87" s="197"/>
      <c r="S87" s="197"/>
      <c r="T87" s="197"/>
      <c r="U87" s="197"/>
    </row>
    <row r="88" spans="1:26" s="12" customFormat="1" x14ac:dyDescent="0.25">
      <c r="A88" s="200" t="s">
        <v>3015</v>
      </c>
      <c r="B88" s="60">
        <v>6.13</v>
      </c>
      <c r="C88" s="60">
        <v>19.98</v>
      </c>
      <c r="D88" s="60">
        <v>26.11</v>
      </c>
      <c r="E88" s="60">
        <v>1.47</v>
      </c>
      <c r="F88" s="60">
        <v>6.03</v>
      </c>
      <c r="G88" s="60">
        <v>25.17</v>
      </c>
      <c r="H88" s="60">
        <v>11.06</v>
      </c>
      <c r="I88" s="60">
        <v>7.51</v>
      </c>
      <c r="J88" s="60">
        <v>2.04</v>
      </c>
      <c r="K88" s="60">
        <v>84.73</v>
      </c>
      <c r="L88" s="10" t="s">
        <v>43</v>
      </c>
      <c r="M88" s="60">
        <v>82.98</v>
      </c>
      <c r="N88" s="60">
        <v>14.7</v>
      </c>
      <c r="O88" s="60">
        <v>0</v>
      </c>
      <c r="P88" s="60">
        <v>0.86</v>
      </c>
      <c r="Q88" s="60">
        <v>46.16</v>
      </c>
      <c r="R88" s="197"/>
      <c r="S88" s="197"/>
      <c r="T88" s="197"/>
      <c r="U88" s="197"/>
    </row>
    <row r="89" spans="1:26" s="12" customFormat="1" x14ac:dyDescent="0.25">
      <c r="A89" s="200" t="s">
        <v>3016</v>
      </c>
      <c r="B89" s="60">
        <v>5.09</v>
      </c>
      <c r="C89" s="60">
        <v>15.63</v>
      </c>
      <c r="D89" s="60">
        <v>20.72</v>
      </c>
      <c r="E89" s="60">
        <v>3.2</v>
      </c>
      <c r="F89" s="60">
        <v>6.83</v>
      </c>
      <c r="G89" s="60">
        <v>28.72</v>
      </c>
      <c r="H89" s="60">
        <v>11.6</v>
      </c>
      <c r="I89" s="60">
        <v>7.11</v>
      </c>
      <c r="J89" s="60">
        <v>2.23</v>
      </c>
      <c r="K89" s="60">
        <v>96.36</v>
      </c>
      <c r="L89" s="10" t="s">
        <v>43</v>
      </c>
      <c r="M89" s="60">
        <v>83.39</v>
      </c>
      <c r="N89" s="60">
        <v>14.7</v>
      </c>
      <c r="O89" s="60">
        <v>0</v>
      </c>
      <c r="P89" s="60">
        <v>1.02</v>
      </c>
      <c r="Q89" s="60">
        <v>50.03</v>
      </c>
      <c r="R89" s="197"/>
      <c r="S89" s="197"/>
      <c r="T89" s="197"/>
      <c r="U89" s="197"/>
    </row>
    <row r="90" spans="1:26" s="12" customFormat="1" x14ac:dyDescent="0.25">
      <c r="A90" s="200" t="s">
        <v>3017</v>
      </c>
      <c r="B90" s="60">
        <v>5.24</v>
      </c>
      <c r="C90" s="60">
        <v>13.95</v>
      </c>
      <c r="D90" s="60">
        <v>19.190000000000001</v>
      </c>
      <c r="E90" s="60">
        <v>4.28</v>
      </c>
      <c r="F90" s="60">
        <v>3.64</v>
      </c>
      <c r="G90" s="60">
        <v>28.72</v>
      </c>
      <c r="H90" s="60">
        <v>11.6</v>
      </c>
      <c r="I90" s="60">
        <v>9.6</v>
      </c>
      <c r="J90" s="60">
        <v>2.5499999999999998</v>
      </c>
      <c r="K90" s="60">
        <v>107.46</v>
      </c>
      <c r="L90" s="10" t="s">
        <v>43</v>
      </c>
      <c r="M90" s="60">
        <v>82.48</v>
      </c>
      <c r="N90" s="60">
        <v>14.4</v>
      </c>
      <c r="O90" s="60">
        <v>0</v>
      </c>
      <c r="P90" s="60">
        <v>0.9</v>
      </c>
      <c r="Q90" s="60">
        <v>50.64</v>
      </c>
      <c r="R90" s="197"/>
      <c r="S90" s="197"/>
      <c r="T90" s="197"/>
      <c r="U90" s="197"/>
    </row>
    <row r="91" spans="1:26" s="12" customFormat="1" x14ac:dyDescent="0.25">
      <c r="A91" s="200" t="s">
        <v>3018</v>
      </c>
      <c r="B91" s="60">
        <v>5.97</v>
      </c>
      <c r="C91" s="60">
        <v>14.91</v>
      </c>
      <c r="D91" s="60">
        <v>20.89</v>
      </c>
      <c r="E91" s="60">
        <v>4.46</v>
      </c>
      <c r="F91" s="60">
        <v>3.07</v>
      </c>
      <c r="G91" s="60">
        <v>28.72</v>
      </c>
      <c r="H91" s="60">
        <v>11.6</v>
      </c>
      <c r="I91" s="60">
        <v>13.79</v>
      </c>
      <c r="J91" s="60">
        <v>2.39</v>
      </c>
      <c r="K91" s="60">
        <v>100.07</v>
      </c>
      <c r="L91" s="10" t="s">
        <v>43</v>
      </c>
      <c r="M91" s="60">
        <v>83.12</v>
      </c>
      <c r="N91" s="60">
        <v>14.7</v>
      </c>
      <c r="O91" s="60">
        <v>0</v>
      </c>
      <c r="P91" s="60">
        <v>0.89</v>
      </c>
      <c r="Q91" s="60">
        <v>50.57</v>
      </c>
      <c r="R91" s="197"/>
      <c r="S91" s="197"/>
      <c r="T91" s="197"/>
      <c r="U91" s="197"/>
    </row>
    <row r="92" spans="1:26" s="12" customFormat="1" x14ac:dyDescent="0.25">
      <c r="A92" s="200" t="s">
        <v>3019</v>
      </c>
      <c r="B92" s="60">
        <v>5.83</v>
      </c>
      <c r="C92" s="60">
        <v>14.12</v>
      </c>
      <c r="D92" s="60">
        <v>19.95</v>
      </c>
      <c r="E92" s="60">
        <v>5.14</v>
      </c>
      <c r="F92" s="60">
        <v>3.67</v>
      </c>
      <c r="G92" s="60">
        <v>26.86</v>
      </c>
      <c r="H92" s="60">
        <v>10.64</v>
      </c>
      <c r="I92" s="60">
        <v>14.5</v>
      </c>
      <c r="J92" s="60">
        <v>1.72</v>
      </c>
      <c r="K92" s="60">
        <v>85.86</v>
      </c>
      <c r="L92" s="10" t="s">
        <v>43</v>
      </c>
      <c r="M92" s="60">
        <v>84.86</v>
      </c>
      <c r="N92" s="60">
        <v>14.9</v>
      </c>
      <c r="O92" s="60">
        <v>0</v>
      </c>
      <c r="P92" s="60">
        <v>1.08</v>
      </c>
      <c r="Q92" s="60">
        <v>53.72</v>
      </c>
      <c r="R92" s="197"/>
      <c r="S92" s="197"/>
      <c r="T92" s="197"/>
      <c r="U92" s="197"/>
    </row>
    <row r="93" spans="1:26" s="12" customFormat="1" x14ac:dyDescent="0.25">
      <c r="A93" s="200" t="s">
        <v>3020</v>
      </c>
      <c r="B93" s="60">
        <v>12.35</v>
      </c>
      <c r="C93" s="60">
        <v>21.7</v>
      </c>
      <c r="D93" s="60">
        <v>34.049999999999997</v>
      </c>
      <c r="E93" s="60">
        <v>2.65</v>
      </c>
      <c r="F93" s="60">
        <v>2.4</v>
      </c>
      <c r="G93" s="60">
        <v>23.79</v>
      </c>
      <c r="H93" s="60">
        <v>9.0500000000000007</v>
      </c>
      <c r="I93" s="60">
        <v>15.65</v>
      </c>
      <c r="J93" s="60">
        <v>1.9</v>
      </c>
      <c r="K93" s="60">
        <v>82.95</v>
      </c>
      <c r="L93" s="10" t="s">
        <v>43</v>
      </c>
      <c r="M93" s="60">
        <v>85.51</v>
      </c>
      <c r="N93" s="60">
        <v>14.8</v>
      </c>
      <c r="O93" s="60">
        <v>0</v>
      </c>
      <c r="P93" s="60">
        <v>1.53</v>
      </c>
      <c r="Q93" s="60">
        <v>44.57</v>
      </c>
      <c r="R93" s="197"/>
      <c r="S93" s="197"/>
      <c r="T93" s="197"/>
      <c r="U93" s="197"/>
    </row>
    <row r="94" spans="1:26" s="12" customFormat="1" x14ac:dyDescent="0.25">
      <c r="A94" s="200" t="s">
        <v>3021</v>
      </c>
      <c r="B94" s="60">
        <v>8.15</v>
      </c>
      <c r="C94" s="60">
        <v>16.07</v>
      </c>
      <c r="D94" s="60">
        <v>24.22</v>
      </c>
      <c r="E94" s="60">
        <v>4.75</v>
      </c>
      <c r="F94" s="60">
        <v>2.84</v>
      </c>
      <c r="G94" s="60">
        <v>23.79</v>
      </c>
      <c r="H94" s="60">
        <v>9.0500000000000007</v>
      </c>
      <c r="I94" s="60">
        <v>14.68</v>
      </c>
      <c r="J94" s="60">
        <v>2.54</v>
      </c>
      <c r="K94" s="60">
        <v>98.24</v>
      </c>
      <c r="L94" s="10" t="s">
        <v>43</v>
      </c>
      <c r="M94" s="60">
        <v>86.43</v>
      </c>
      <c r="N94" s="60">
        <v>14.6</v>
      </c>
      <c r="O94" s="60">
        <v>0</v>
      </c>
      <c r="P94" s="60">
        <v>0.93</v>
      </c>
      <c r="Q94" s="60">
        <v>44.44</v>
      </c>
      <c r="R94" s="197"/>
      <c r="S94" s="197"/>
      <c r="T94" s="197"/>
      <c r="U94" s="197"/>
    </row>
    <row r="95" spans="1:26" s="12" customFormat="1" x14ac:dyDescent="0.25">
      <c r="A95" s="200" t="s">
        <v>3022</v>
      </c>
      <c r="B95" s="60">
        <v>7.3</v>
      </c>
      <c r="C95" s="60">
        <v>12.69</v>
      </c>
      <c r="D95" s="60">
        <v>20</v>
      </c>
      <c r="E95" s="60">
        <v>6.06</v>
      </c>
      <c r="F95" s="60">
        <v>1.56</v>
      </c>
      <c r="G95" s="60">
        <v>23.79</v>
      </c>
      <c r="H95" s="60">
        <v>9.0500000000000007</v>
      </c>
      <c r="I95" s="60">
        <v>11.13</v>
      </c>
      <c r="J95" s="60">
        <v>2.76</v>
      </c>
      <c r="K95" s="60">
        <v>103.03</v>
      </c>
      <c r="L95" s="10" t="s">
        <v>43</v>
      </c>
      <c r="M95" s="60">
        <v>88.71</v>
      </c>
      <c r="N95" s="60">
        <v>14.7</v>
      </c>
      <c r="O95" s="60">
        <v>0</v>
      </c>
      <c r="P95" s="60">
        <v>0.93</v>
      </c>
      <c r="Q95" s="60">
        <v>47.53</v>
      </c>
      <c r="R95" s="197"/>
      <c r="S95" s="197"/>
      <c r="T95" s="197"/>
      <c r="U95" s="197"/>
    </row>
    <row r="96" spans="1:26" s="12" customFormat="1" x14ac:dyDescent="0.25">
      <c r="A96" s="200" t="s">
        <v>3023</v>
      </c>
      <c r="B96" s="60">
        <v>7.43</v>
      </c>
      <c r="C96" s="60">
        <v>12.09</v>
      </c>
      <c r="D96" s="60">
        <v>19.52</v>
      </c>
      <c r="E96" s="60">
        <v>6.34</v>
      </c>
      <c r="F96" s="60">
        <v>1.87</v>
      </c>
      <c r="G96" s="60">
        <v>22.87</v>
      </c>
      <c r="H96" s="60">
        <v>11.14</v>
      </c>
      <c r="I96" s="60">
        <v>7.45</v>
      </c>
      <c r="J96" s="60">
        <v>3.23</v>
      </c>
      <c r="K96" s="60">
        <v>100.82</v>
      </c>
      <c r="L96" s="10" t="s">
        <v>43</v>
      </c>
      <c r="M96" s="60">
        <v>84.93</v>
      </c>
      <c r="N96" s="60">
        <v>14.5</v>
      </c>
      <c r="O96" s="60">
        <v>0</v>
      </c>
      <c r="P96" s="60">
        <v>0.9</v>
      </c>
      <c r="Q96" s="60">
        <v>46.01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3024</v>
      </c>
      <c r="B97" s="60">
        <v>7.1</v>
      </c>
      <c r="C97" s="60">
        <v>11.1</v>
      </c>
      <c r="D97" s="60">
        <v>18.21</v>
      </c>
      <c r="E97" s="60">
        <v>6.96</v>
      </c>
      <c r="F97" s="60">
        <v>1.53</v>
      </c>
      <c r="G97" s="60">
        <v>21.35</v>
      </c>
      <c r="H97" s="60">
        <v>14.75</v>
      </c>
      <c r="I97" s="60">
        <v>8.41</v>
      </c>
      <c r="J97" s="60">
        <v>2.2200000000000002</v>
      </c>
      <c r="K97" s="60">
        <v>89.69</v>
      </c>
      <c r="L97" s="10" t="s">
        <v>43</v>
      </c>
      <c r="M97" s="60">
        <v>82.9</v>
      </c>
      <c r="N97" s="60">
        <v>14.8</v>
      </c>
      <c r="O97" s="60">
        <v>0</v>
      </c>
      <c r="P97" s="60">
        <v>0.89</v>
      </c>
      <c r="Q97" s="60">
        <v>48.28</v>
      </c>
      <c r="R97" s="197"/>
      <c r="S97" s="197"/>
      <c r="T97" s="197"/>
      <c r="U97" s="197"/>
    </row>
    <row r="98" spans="1:33" s="12" customFormat="1" x14ac:dyDescent="0.25">
      <c r="A98" s="200" t="s">
        <v>3025</v>
      </c>
      <c r="B98" s="60">
        <v>7</v>
      </c>
      <c r="C98" s="60">
        <v>15.43</v>
      </c>
      <c r="D98" s="60">
        <v>22.43</v>
      </c>
      <c r="E98" s="60">
        <v>4.13</v>
      </c>
      <c r="F98" s="60">
        <v>1.0900000000000001</v>
      </c>
      <c r="G98" s="60">
        <v>21.35</v>
      </c>
      <c r="H98" s="60">
        <v>14.75</v>
      </c>
      <c r="I98" s="60">
        <v>10.51</v>
      </c>
      <c r="J98" s="60">
        <v>1.08</v>
      </c>
      <c r="K98" s="60">
        <v>106.1</v>
      </c>
      <c r="L98" s="10" t="s">
        <v>43</v>
      </c>
      <c r="M98" s="60">
        <v>84.28</v>
      </c>
      <c r="N98" s="60">
        <v>15</v>
      </c>
      <c r="O98" s="60">
        <v>0</v>
      </c>
      <c r="P98" s="60">
        <v>0.75</v>
      </c>
      <c r="Q98" s="60">
        <v>46.88</v>
      </c>
      <c r="R98" s="197"/>
      <c r="S98" s="197"/>
      <c r="T98" s="197"/>
      <c r="U98" s="197"/>
    </row>
    <row r="99" spans="1:33" s="12" customFormat="1" x14ac:dyDescent="0.25">
      <c r="A99" s="200" t="s">
        <v>3026</v>
      </c>
      <c r="B99" s="60">
        <v>7</v>
      </c>
      <c r="C99" s="60">
        <v>17.32</v>
      </c>
      <c r="D99" s="60">
        <v>24.32</v>
      </c>
      <c r="E99" s="60">
        <v>2.98</v>
      </c>
      <c r="F99" s="60">
        <v>1.89</v>
      </c>
      <c r="G99" s="60">
        <v>21.35</v>
      </c>
      <c r="H99" s="60">
        <v>14.75</v>
      </c>
      <c r="I99" s="60">
        <v>5.3</v>
      </c>
      <c r="J99" s="60">
        <v>1.86</v>
      </c>
      <c r="K99" s="60">
        <v>99.51</v>
      </c>
      <c r="L99" s="10" t="s">
        <v>43</v>
      </c>
      <c r="M99" s="60">
        <v>83.87</v>
      </c>
      <c r="N99" s="60">
        <v>14.8</v>
      </c>
      <c r="O99" s="60">
        <v>0</v>
      </c>
      <c r="P99" s="60">
        <v>0.7</v>
      </c>
      <c r="Q99" s="60">
        <v>45.73</v>
      </c>
      <c r="R99" s="197"/>
      <c r="S99" s="197"/>
      <c r="T99" s="197"/>
      <c r="U99" s="197"/>
    </row>
    <row r="100" spans="1:33" s="12" customFormat="1" x14ac:dyDescent="0.25">
      <c r="A100" s="200" t="s">
        <v>3027</v>
      </c>
      <c r="B100" s="60">
        <v>7.53</v>
      </c>
      <c r="C100" s="60">
        <v>14.53</v>
      </c>
      <c r="D100" s="60">
        <v>22.06</v>
      </c>
      <c r="E100" s="60">
        <v>6.04</v>
      </c>
      <c r="F100" s="60">
        <v>2.16</v>
      </c>
      <c r="G100" s="60">
        <v>21.81</v>
      </c>
      <c r="H100" s="60">
        <v>13.21</v>
      </c>
      <c r="I100" s="60">
        <v>8.99</v>
      </c>
      <c r="J100" s="60">
        <v>2.91</v>
      </c>
      <c r="K100" s="60">
        <v>96.68</v>
      </c>
      <c r="L100" s="10" t="s">
        <v>43</v>
      </c>
      <c r="M100" s="60">
        <v>83.67</v>
      </c>
      <c r="N100" s="60">
        <v>14.5</v>
      </c>
      <c r="O100" s="60">
        <v>0</v>
      </c>
      <c r="P100" s="60">
        <v>0.84</v>
      </c>
      <c r="Q100" s="60">
        <v>50.37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3028</v>
      </c>
      <c r="B101" s="60">
        <v>7.42</v>
      </c>
      <c r="C101" s="60">
        <v>12.08</v>
      </c>
      <c r="D101" s="60">
        <v>19.5</v>
      </c>
      <c r="E101" s="60">
        <v>7.25</v>
      </c>
      <c r="F101" s="60">
        <v>1.77</v>
      </c>
      <c r="G101" s="60">
        <v>22.58</v>
      </c>
      <c r="H101" s="60">
        <v>10.68</v>
      </c>
      <c r="I101" s="60">
        <v>9.64</v>
      </c>
      <c r="J101" s="60">
        <v>2.99</v>
      </c>
      <c r="K101" s="60">
        <v>89.43</v>
      </c>
      <c r="L101" s="10" t="s">
        <v>43</v>
      </c>
      <c r="M101" s="60">
        <v>84.52</v>
      </c>
      <c r="N101" s="60">
        <v>14.6</v>
      </c>
      <c r="O101" s="60">
        <v>0</v>
      </c>
      <c r="P101" s="60">
        <v>0.85</v>
      </c>
      <c r="Q101" s="60">
        <v>54.45</v>
      </c>
      <c r="R101" s="197"/>
      <c r="S101" s="197"/>
      <c r="T101" s="197"/>
      <c r="U101" s="197"/>
    </row>
    <row r="102" spans="1:33" s="12" customFormat="1" x14ac:dyDescent="0.25">
      <c r="A102" s="200" t="s">
        <v>3029</v>
      </c>
      <c r="B102" s="60">
        <v>6.92</v>
      </c>
      <c r="C102" s="60">
        <v>12.91</v>
      </c>
      <c r="D102" s="60">
        <v>19.829999999999998</v>
      </c>
      <c r="E102" s="60">
        <v>5.44</v>
      </c>
      <c r="F102" s="60">
        <v>3.54</v>
      </c>
      <c r="G102" s="60">
        <v>22.58</v>
      </c>
      <c r="H102" s="60">
        <v>10.68</v>
      </c>
      <c r="I102" s="60">
        <v>8.35</v>
      </c>
      <c r="J102" s="60">
        <v>1.78</v>
      </c>
      <c r="K102" s="60">
        <v>165.08</v>
      </c>
      <c r="L102" s="10" t="s">
        <v>43</v>
      </c>
      <c r="M102" s="60">
        <v>85.47</v>
      </c>
      <c r="N102" s="60">
        <v>15.2</v>
      </c>
      <c r="O102" s="60">
        <v>0</v>
      </c>
      <c r="P102" s="60">
        <v>0.68</v>
      </c>
      <c r="Q102" s="60">
        <v>55.34</v>
      </c>
      <c r="R102" s="197"/>
      <c r="S102" s="197"/>
      <c r="T102" s="197"/>
      <c r="U102" s="197"/>
    </row>
    <row r="103" spans="1:33" s="12" customFormat="1" x14ac:dyDescent="0.25">
      <c r="A103" s="200" t="s">
        <v>3030</v>
      </c>
      <c r="B103" s="60">
        <v>6.55</v>
      </c>
      <c r="C103" s="60">
        <v>12.01</v>
      </c>
      <c r="D103" s="60">
        <v>18.559999999999999</v>
      </c>
      <c r="E103" s="60">
        <v>6.11</v>
      </c>
      <c r="F103" s="60">
        <v>4.1500000000000004</v>
      </c>
      <c r="G103" s="60">
        <v>22.58</v>
      </c>
      <c r="H103" s="60">
        <v>10.68</v>
      </c>
      <c r="I103" s="215" t="s">
        <v>36</v>
      </c>
      <c r="J103" s="60">
        <v>1.71</v>
      </c>
      <c r="K103" s="60">
        <v>170.39</v>
      </c>
      <c r="L103" s="10" t="s">
        <v>43</v>
      </c>
      <c r="M103" s="60">
        <v>86.61</v>
      </c>
      <c r="N103" s="60">
        <v>15.3</v>
      </c>
      <c r="O103" s="60">
        <v>0</v>
      </c>
      <c r="P103" s="60">
        <v>0.62</v>
      </c>
      <c r="Q103" s="60">
        <v>54.23</v>
      </c>
      <c r="R103" s="197"/>
      <c r="S103" s="197"/>
      <c r="T103" s="197"/>
      <c r="U103" s="197"/>
    </row>
    <row r="104" spans="1:33" s="12" customFormat="1" x14ac:dyDescent="0.25">
      <c r="A104" s="200" t="s">
        <v>3031</v>
      </c>
      <c r="B104" s="60">
        <v>5.83</v>
      </c>
      <c r="C104" s="60">
        <v>12.2</v>
      </c>
      <c r="D104" s="60">
        <v>18.03</v>
      </c>
      <c r="E104" s="60">
        <v>1.17</v>
      </c>
      <c r="F104" s="60">
        <v>5.45</v>
      </c>
      <c r="G104" s="60">
        <v>22.42</v>
      </c>
      <c r="H104" s="60">
        <v>10.4</v>
      </c>
      <c r="I104" s="215" t="s">
        <v>36</v>
      </c>
      <c r="J104" s="60">
        <v>1.36</v>
      </c>
      <c r="K104" s="60">
        <v>263.22000000000003</v>
      </c>
      <c r="L104" s="10" t="s">
        <v>43</v>
      </c>
      <c r="M104" s="60">
        <v>89.47</v>
      </c>
      <c r="N104" s="60">
        <v>15.4</v>
      </c>
      <c r="O104" s="60">
        <v>0</v>
      </c>
      <c r="P104" s="60">
        <v>0.53</v>
      </c>
      <c r="Q104" s="60">
        <v>52.86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5" t="s">
        <v>59</v>
      </c>
      <c r="B106" s="67">
        <f>MIN(B9:B104)</f>
        <v>1.35</v>
      </c>
      <c r="C106" s="67">
        <f>MIN(C9:C104)</f>
        <v>9.4700000000000006</v>
      </c>
      <c r="D106" s="67">
        <f t="shared" ref="D106:Q106" si="0">MIN(D9:D104)</f>
        <v>12.08</v>
      </c>
      <c r="E106" s="67">
        <f t="shared" si="0"/>
        <v>0.15</v>
      </c>
      <c r="F106" s="67">
        <f t="shared" si="0"/>
        <v>0.01</v>
      </c>
      <c r="G106" s="67">
        <f t="shared" si="0"/>
        <v>7.72</v>
      </c>
      <c r="H106" s="67">
        <f t="shared" si="0"/>
        <v>2.31</v>
      </c>
      <c r="I106" s="67">
        <f t="shared" si="0"/>
        <v>3.63</v>
      </c>
      <c r="J106" s="67">
        <f t="shared" si="0"/>
        <v>0.13</v>
      </c>
      <c r="K106" s="67">
        <f t="shared" si="0"/>
        <v>7.32</v>
      </c>
      <c r="L106" s="67">
        <f t="shared" si="0"/>
        <v>36.43</v>
      </c>
      <c r="M106" s="67">
        <f t="shared" si="0"/>
        <v>56.95</v>
      </c>
      <c r="N106" s="67">
        <f t="shared" si="0"/>
        <v>14.4</v>
      </c>
      <c r="O106" s="67">
        <f t="shared" si="0"/>
        <v>0</v>
      </c>
      <c r="P106" s="67">
        <f t="shared" si="0"/>
        <v>0.46</v>
      </c>
      <c r="Q106" s="67">
        <f t="shared" si="0"/>
        <v>10.83</v>
      </c>
      <c r="R106" s="198"/>
      <c r="S106" s="198"/>
      <c r="T106" s="198"/>
      <c r="U106" s="198"/>
    </row>
    <row r="107" spans="1:33" x14ac:dyDescent="0.25">
      <c r="A107" s="65" t="s">
        <v>60</v>
      </c>
      <c r="B107" s="66">
        <f>MAX(B9:B104)</f>
        <v>12.35</v>
      </c>
      <c r="C107" s="66">
        <f t="shared" ref="C107:Q107" si="1">MAX(C9:C104)</f>
        <v>28.78</v>
      </c>
      <c r="D107" s="66">
        <f t="shared" si="1"/>
        <v>37.6</v>
      </c>
      <c r="E107" s="66">
        <f t="shared" si="1"/>
        <v>8.8699999999999992</v>
      </c>
      <c r="F107" s="66">
        <f t="shared" si="1"/>
        <v>250.97</v>
      </c>
      <c r="G107" s="66">
        <f t="shared" si="1"/>
        <v>31.63</v>
      </c>
      <c r="H107" s="66">
        <f t="shared" si="1"/>
        <v>16.079999999999998</v>
      </c>
      <c r="I107" s="66">
        <f t="shared" si="1"/>
        <v>15.65</v>
      </c>
      <c r="J107" s="66">
        <f t="shared" si="1"/>
        <v>3.74</v>
      </c>
      <c r="K107" s="66">
        <f t="shared" si="1"/>
        <v>357.27</v>
      </c>
      <c r="L107" s="66">
        <f t="shared" si="1"/>
        <v>56.35</v>
      </c>
      <c r="M107" s="66">
        <f t="shared" si="1"/>
        <v>99.18</v>
      </c>
      <c r="N107" s="66">
        <f t="shared" si="1"/>
        <v>1065.5</v>
      </c>
      <c r="O107" s="66">
        <f t="shared" si="1"/>
        <v>0.2</v>
      </c>
      <c r="P107" s="66">
        <f t="shared" si="1"/>
        <v>1.76</v>
      </c>
      <c r="Q107" s="66">
        <f t="shared" si="1"/>
        <v>79.22</v>
      </c>
      <c r="R107" s="199"/>
      <c r="S107" s="199"/>
      <c r="T107" s="199"/>
      <c r="U107" s="199"/>
    </row>
    <row r="108" spans="1:33" x14ac:dyDescent="0.25">
      <c r="A108" s="65" t="s">
        <v>61</v>
      </c>
      <c r="B108" s="67">
        <f>AVERAGE(B9:B104)</f>
        <v>4.3902083333333346</v>
      </c>
      <c r="C108" s="67">
        <f t="shared" ref="C108:Q108" si="2">AVERAGE(C9:C104)</f>
        <v>15.462499999999999</v>
      </c>
      <c r="D108" s="67">
        <f t="shared" si="2"/>
        <v>19.853124999999995</v>
      </c>
      <c r="E108" s="67">
        <f t="shared" si="2"/>
        <v>4.9517708333333319</v>
      </c>
      <c r="F108" s="67">
        <f t="shared" si="2"/>
        <v>6.5960638297872336</v>
      </c>
      <c r="G108" s="67">
        <f t="shared" si="2"/>
        <v>17.92166666666667</v>
      </c>
      <c r="H108" s="67">
        <f t="shared" si="2"/>
        <v>8.9578124999999975</v>
      </c>
      <c r="I108" s="67">
        <f t="shared" si="2"/>
        <v>9.1719230769230773</v>
      </c>
      <c r="J108" s="67">
        <f t="shared" si="2"/>
        <v>1.0731250000000001</v>
      </c>
      <c r="K108" s="67">
        <f t="shared" si="2"/>
        <v>132.98364583333336</v>
      </c>
      <c r="L108" s="67">
        <f t="shared" si="2"/>
        <v>43.7112121212121</v>
      </c>
      <c r="M108" s="67">
        <f t="shared" si="2"/>
        <v>81.000729166666659</v>
      </c>
      <c r="N108" s="67">
        <f t="shared" si="2"/>
        <v>211.7010416666667</v>
      </c>
      <c r="O108" s="67">
        <f t="shared" si="2"/>
        <v>8.3333333333333332E-3</v>
      </c>
      <c r="P108" s="67">
        <f t="shared" si="2"/>
        <v>0.72645833333333343</v>
      </c>
      <c r="Q108" s="67">
        <f t="shared" si="2"/>
        <v>43.020937500000009</v>
      </c>
      <c r="R108" s="198"/>
      <c r="S108" s="198"/>
      <c r="T108" s="198"/>
      <c r="U108" s="198"/>
    </row>
    <row r="109" spans="1:33" x14ac:dyDescent="0.25">
      <c r="A109" s="65" t="s">
        <v>77</v>
      </c>
      <c r="B109" s="67">
        <f>STDEV(B9:B104)</f>
        <v>1.9881231451675405</v>
      </c>
      <c r="C109" s="67">
        <f t="shared" ref="C109:Q109" si="3">STDEV(C9:C104)</f>
        <v>5.2610407215383104</v>
      </c>
      <c r="D109" s="67">
        <f t="shared" si="3"/>
        <v>5.9234167438272154</v>
      </c>
      <c r="E109" s="67">
        <f t="shared" si="3"/>
        <v>2.4778636786731703</v>
      </c>
      <c r="F109" s="67">
        <f t="shared" si="3"/>
        <v>26.076519830884369</v>
      </c>
      <c r="G109" s="67">
        <f t="shared" si="3"/>
        <v>7.2221551917717024</v>
      </c>
      <c r="H109" s="67">
        <f t="shared" si="3"/>
        <v>3.3690467816736169</v>
      </c>
      <c r="I109" s="67">
        <f t="shared" si="3"/>
        <v>3.3952920572236684</v>
      </c>
      <c r="J109" s="67">
        <f t="shared" si="3"/>
        <v>0.88959519179408675</v>
      </c>
      <c r="K109" s="67">
        <f t="shared" si="3"/>
        <v>80.202997727408615</v>
      </c>
      <c r="L109" s="67">
        <f t="shared" si="3"/>
        <v>5.0787576960168552</v>
      </c>
      <c r="M109" s="67">
        <f t="shared" si="3"/>
        <v>13.559097877520971</v>
      </c>
      <c r="N109" s="67">
        <f t="shared" si="3"/>
        <v>273.42548854921534</v>
      </c>
      <c r="O109" s="67">
        <f t="shared" si="3"/>
        <v>4.0175055540960972E-2</v>
      </c>
      <c r="P109" s="67">
        <f t="shared" si="3"/>
        <v>0.22060671921182112</v>
      </c>
      <c r="Q109" s="67">
        <f t="shared" si="3"/>
        <v>19.286645997909631</v>
      </c>
      <c r="R109" s="198"/>
      <c r="S109" s="198"/>
      <c r="T109" s="198"/>
      <c r="U109" s="198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COUNT(F9:F104)+2</f>
        <v>96</v>
      </c>
      <c r="G110" s="66">
        <f t="shared" si="4"/>
        <v>96</v>
      </c>
      <c r="H110" s="66">
        <f>COUNT(H9:H104)</f>
        <v>96</v>
      </c>
      <c r="I110" s="66">
        <f>COUNT(I9:I104)+7+63</f>
        <v>96</v>
      </c>
      <c r="J110" s="66">
        <f>COUNT(J9:J104)</f>
        <v>96</v>
      </c>
      <c r="K110" s="66">
        <f t="shared" si="4"/>
        <v>96</v>
      </c>
      <c r="L110" s="66">
        <f t="shared" si="4"/>
        <v>33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9"/>
      <c r="S110" s="199"/>
      <c r="T110" s="199"/>
      <c r="U110" s="199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&lt;90%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LESS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218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24" activePane="bottomLeft" state="frozen"/>
      <selection activeCell="N106" sqref="N106:P109"/>
      <selection pane="bottomLeft" activeCell="L9" sqref="L9:L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30-08-2022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234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x14ac:dyDescent="0.25">
      <c r="A8" s="15"/>
      <c r="B8" s="13" t="s">
        <v>51</v>
      </c>
      <c r="C8" s="13" t="s">
        <v>51</v>
      </c>
      <c r="D8" s="13" t="s">
        <v>51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8" t="s">
        <v>51</v>
      </c>
      <c r="R8" s="195"/>
      <c r="S8" s="196"/>
      <c r="T8" s="195"/>
      <c r="U8" s="195"/>
    </row>
    <row r="9" spans="1:21" s="12" customFormat="1" x14ac:dyDescent="0.25">
      <c r="A9" s="200" t="s">
        <v>3032</v>
      </c>
      <c r="B9" s="60">
        <v>6.4</v>
      </c>
      <c r="C9" s="60">
        <v>13.13</v>
      </c>
      <c r="D9" s="60">
        <v>19.53</v>
      </c>
      <c r="E9" s="60">
        <v>1.43</v>
      </c>
      <c r="F9" s="60">
        <v>3.6</v>
      </c>
      <c r="G9" s="60">
        <v>22.15</v>
      </c>
      <c r="H9" s="60">
        <v>9.92</v>
      </c>
      <c r="I9" s="60">
        <v>3.2</v>
      </c>
      <c r="J9" s="60">
        <v>1.51</v>
      </c>
      <c r="K9" s="60">
        <v>230.42</v>
      </c>
      <c r="L9" s="10" t="s">
        <v>43</v>
      </c>
      <c r="M9" s="60">
        <v>92.85</v>
      </c>
      <c r="N9" s="60">
        <v>15</v>
      </c>
      <c r="O9" s="60">
        <v>0</v>
      </c>
      <c r="P9" s="60">
        <v>0.54</v>
      </c>
      <c r="Q9" s="60">
        <v>51.12</v>
      </c>
      <c r="R9" s="197"/>
      <c r="S9" s="197"/>
      <c r="T9" s="197"/>
      <c r="U9" s="197"/>
    </row>
    <row r="10" spans="1:21" s="12" customFormat="1" x14ac:dyDescent="0.25">
      <c r="A10" s="200" t="s">
        <v>3033</v>
      </c>
      <c r="B10" s="60">
        <v>6.35</v>
      </c>
      <c r="C10" s="60">
        <v>11.13</v>
      </c>
      <c r="D10" s="60">
        <v>17.48</v>
      </c>
      <c r="E10" s="60">
        <v>3.29</v>
      </c>
      <c r="F10" s="60">
        <v>3.65</v>
      </c>
      <c r="G10" s="60">
        <v>22.15</v>
      </c>
      <c r="H10" s="60">
        <v>9.92</v>
      </c>
      <c r="I10" s="60">
        <v>5.87</v>
      </c>
      <c r="J10" s="60">
        <v>0.88</v>
      </c>
      <c r="K10" s="60">
        <v>218.81</v>
      </c>
      <c r="L10" s="10" t="s">
        <v>43</v>
      </c>
      <c r="M10" s="60">
        <v>92.51</v>
      </c>
      <c r="N10" s="60">
        <v>14.8</v>
      </c>
      <c r="O10" s="60">
        <v>0</v>
      </c>
      <c r="P10" s="60">
        <v>0.65</v>
      </c>
      <c r="Q10" s="60">
        <v>50.18</v>
      </c>
      <c r="R10" s="197"/>
      <c r="S10" s="197"/>
      <c r="T10" s="197"/>
      <c r="U10" s="197"/>
    </row>
    <row r="11" spans="1:21" s="12" customFormat="1" x14ac:dyDescent="0.25">
      <c r="A11" s="200" t="s">
        <v>3034</v>
      </c>
      <c r="B11" s="60">
        <v>6.06</v>
      </c>
      <c r="C11" s="60">
        <v>9.82</v>
      </c>
      <c r="D11" s="60">
        <v>15.88</v>
      </c>
      <c r="E11" s="60">
        <v>3.42</v>
      </c>
      <c r="F11" s="60">
        <v>5.58</v>
      </c>
      <c r="G11" s="60">
        <v>22.15</v>
      </c>
      <c r="H11" s="60">
        <v>9.92</v>
      </c>
      <c r="I11" s="60">
        <v>6.79</v>
      </c>
      <c r="J11" s="60">
        <v>1.49</v>
      </c>
      <c r="K11" s="60">
        <v>199.25</v>
      </c>
      <c r="L11" s="10" t="s">
        <v>43</v>
      </c>
      <c r="M11" s="60">
        <v>93.86</v>
      </c>
      <c r="N11" s="60">
        <v>15</v>
      </c>
      <c r="O11" s="60">
        <v>0</v>
      </c>
      <c r="P11" s="60">
        <v>0.48</v>
      </c>
      <c r="Q11" s="60">
        <v>48.61</v>
      </c>
      <c r="R11" s="197"/>
      <c r="S11" s="197"/>
      <c r="T11" s="197"/>
      <c r="U11" s="197"/>
    </row>
    <row r="12" spans="1:21" s="12" customFormat="1" x14ac:dyDescent="0.25">
      <c r="A12" s="200" t="s">
        <v>3035</v>
      </c>
      <c r="B12" s="60">
        <v>5.59</v>
      </c>
      <c r="C12" s="60">
        <v>9.4600000000000009</v>
      </c>
      <c r="D12" s="60">
        <v>15.05</v>
      </c>
      <c r="E12" s="60">
        <v>1.77</v>
      </c>
      <c r="F12" s="60">
        <v>5.78</v>
      </c>
      <c r="G12" s="60">
        <v>21.71</v>
      </c>
      <c r="H12" s="60">
        <v>9.56</v>
      </c>
      <c r="I12" s="60">
        <v>10.11</v>
      </c>
      <c r="J12" s="60">
        <v>0.78</v>
      </c>
      <c r="K12" s="60">
        <v>200.85</v>
      </c>
      <c r="L12" s="10" t="s">
        <v>43</v>
      </c>
      <c r="M12" s="60">
        <v>95.89</v>
      </c>
      <c r="N12" s="60">
        <v>15</v>
      </c>
      <c r="O12" s="60">
        <v>0</v>
      </c>
      <c r="P12" s="60">
        <v>0.38</v>
      </c>
      <c r="Q12" s="60">
        <v>41.99</v>
      </c>
      <c r="R12" s="197"/>
      <c r="S12" s="197"/>
      <c r="T12" s="197"/>
      <c r="U12" s="197"/>
    </row>
    <row r="13" spans="1:21" s="12" customFormat="1" x14ac:dyDescent="0.25">
      <c r="A13" s="200" t="s">
        <v>3036</v>
      </c>
      <c r="B13" s="60">
        <v>5.92</v>
      </c>
      <c r="C13" s="60">
        <v>8.6199999999999992</v>
      </c>
      <c r="D13" s="60">
        <v>14.54</v>
      </c>
      <c r="E13" s="60">
        <v>3.84</v>
      </c>
      <c r="F13" s="60">
        <v>3.08</v>
      </c>
      <c r="G13" s="60">
        <v>20.98</v>
      </c>
      <c r="H13" s="60">
        <v>8.9700000000000006</v>
      </c>
      <c r="I13" s="60">
        <v>8.23</v>
      </c>
      <c r="J13" s="60">
        <v>1.69</v>
      </c>
      <c r="K13" s="60">
        <v>175.92</v>
      </c>
      <c r="L13" s="10" t="s">
        <v>43</v>
      </c>
      <c r="M13" s="60">
        <v>95.06</v>
      </c>
      <c r="N13" s="60">
        <v>14.9</v>
      </c>
      <c r="O13" s="60">
        <v>0</v>
      </c>
      <c r="P13" s="60">
        <v>0.63</v>
      </c>
      <c r="Q13" s="60">
        <v>37.71</v>
      </c>
      <c r="R13" s="197"/>
      <c r="S13" s="197"/>
      <c r="T13" s="197"/>
      <c r="U13" s="197"/>
    </row>
    <row r="14" spans="1:21" s="12" customFormat="1" x14ac:dyDescent="0.25">
      <c r="A14" s="200" t="s">
        <v>3037</v>
      </c>
      <c r="B14" s="60">
        <v>5.86</v>
      </c>
      <c r="C14" s="60">
        <v>7.81</v>
      </c>
      <c r="D14" s="60">
        <v>13.67</v>
      </c>
      <c r="E14" s="60">
        <v>6.01</v>
      </c>
      <c r="F14" s="60">
        <v>3.99</v>
      </c>
      <c r="G14" s="60">
        <v>20.98</v>
      </c>
      <c r="H14" s="60">
        <v>8.9700000000000006</v>
      </c>
      <c r="I14" s="60">
        <v>7.88</v>
      </c>
      <c r="J14" s="60">
        <v>1.49</v>
      </c>
      <c r="K14" s="60">
        <v>190.96</v>
      </c>
      <c r="L14" s="10" t="s">
        <v>43</v>
      </c>
      <c r="M14" s="60">
        <v>86.54</v>
      </c>
      <c r="N14" s="60">
        <v>15.7</v>
      </c>
      <c r="O14" s="60">
        <v>0</v>
      </c>
      <c r="P14" s="60">
        <v>0.63</v>
      </c>
      <c r="Q14" s="60">
        <v>37.25</v>
      </c>
      <c r="R14" s="197"/>
      <c r="S14" s="197"/>
      <c r="T14" s="197"/>
      <c r="U14" s="197"/>
    </row>
    <row r="15" spans="1:21" s="12" customFormat="1" x14ac:dyDescent="0.25">
      <c r="A15" s="200" t="s">
        <v>3038</v>
      </c>
      <c r="B15" s="60">
        <v>5.32</v>
      </c>
      <c r="C15" s="60">
        <v>7.54</v>
      </c>
      <c r="D15" s="60">
        <v>12.86</v>
      </c>
      <c r="E15" s="60">
        <v>6.39</v>
      </c>
      <c r="F15" s="60">
        <v>3.08</v>
      </c>
      <c r="G15" s="60">
        <v>20.98</v>
      </c>
      <c r="H15" s="60">
        <v>8.9700000000000006</v>
      </c>
      <c r="I15" s="60">
        <v>5.95</v>
      </c>
      <c r="J15" s="60">
        <v>1.0900000000000001</v>
      </c>
      <c r="K15" s="60">
        <v>189.33</v>
      </c>
      <c r="L15" s="10" t="s">
        <v>43</v>
      </c>
      <c r="M15" s="60">
        <v>87.85</v>
      </c>
      <c r="N15" s="60">
        <v>15.7</v>
      </c>
      <c r="O15" s="60">
        <v>0</v>
      </c>
      <c r="P15" s="60">
        <v>0.67</v>
      </c>
      <c r="Q15" s="60">
        <v>33.83</v>
      </c>
      <c r="R15" s="197"/>
      <c r="S15" s="197"/>
      <c r="T15" s="197"/>
      <c r="U15" s="197"/>
    </row>
    <row r="16" spans="1:21" s="12" customFormat="1" x14ac:dyDescent="0.25">
      <c r="A16" s="200" t="s">
        <v>3039</v>
      </c>
      <c r="B16" s="60">
        <v>4.71</v>
      </c>
      <c r="C16" s="60">
        <v>7.68</v>
      </c>
      <c r="D16" s="60">
        <v>12.39</v>
      </c>
      <c r="E16" s="60">
        <v>6.96</v>
      </c>
      <c r="F16" s="60">
        <v>2.6</v>
      </c>
      <c r="G16" s="60">
        <v>18.600000000000001</v>
      </c>
      <c r="H16" s="60">
        <v>9.35</v>
      </c>
      <c r="I16" s="215" t="s">
        <v>36</v>
      </c>
      <c r="J16" s="60">
        <v>2.5299999999999998</v>
      </c>
      <c r="K16" s="60">
        <v>168.05</v>
      </c>
      <c r="L16" s="10" t="s">
        <v>43</v>
      </c>
      <c r="M16" s="60">
        <v>90.89</v>
      </c>
      <c r="N16" s="60">
        <v>16.600000000000001</v>
      </c>
      <c r="O16" s="60">
        <v>0.2</v>
      </c>
      <c r="P16" s="60">
        <v>0.62</v>
      </c>
      <c r="Q16" s="60">
        <v>33.42</v>
      </c>
      <c r="R16" s="197"/>
      <c r="S16" s="197"/>
      <c r="T16" s="197"/>
      <c r="U16" s="197"/>
    </row>
    <row r="17" spans="1:21" s="12" customFormat="1" x14ac:dyDescent="0.25">
      <c r="A17" s="200" t="s">
        <v>3040</v>
      </c>
      <c r="B17" s="60">
        <v>4.09</v>
      </c>
      <c r="C17" s="60">
        <v>7.56</v>
      </c>
      <c r="D17" s="60">
        <v>11.65</v>
      </c>
      <c r="E17" s="60">
        <v>6.73</v>
      </c>
      <c r="F17" s="60">
        <v>3.18</v>
      </c>
      <c r="G17" s="60">
        <v>14.69</v>
      </c>
      <c r="H17" s="60">
        <v>10.01</v>
      </c>
      <c r="I17" s="215" t="s">
        <v>36</v>
      </c>
      <c r="J17" s="60">
        <v>0.68</v>
      </c>
      <c r="K17" s="60">
        <v>69.180000000000007</v>
      </c>
      <c r="L17" s="10" t="s">
        <v>43</v>
      </c>
      <c r="M17" s="60">
        <v>98.24</v>
      </c>
      <c r="N17" s="60">
        <v>16.600000000000001</v>
      </c>
      <c r="O17" s="60">
        <v>4.8</v>
      </c>
      <c r="P17" s="60">
        <v>0.59</v>
      </c>
      <c r="Q17" s="60">
        <v>30.99</v>
      </c>
      <c r="R17" s="197"/>
      <c r="S17" s="197"/>
      <c r="T17" s="197"/>
      <c r="U17" s="197"/>
    </row>
    <row r="18" spans="1:21" s="12" customFormat="1" x14ac:dyDescent="0.25">
      <c r="A18" s="200" t="s">
        <v>3041</v>
      </c>
      <c r="B18" s="60">
        <v>3.56</v>
      </c>
      <c r="C18" s="60">
        <v>7.63</v>
      </c>
      <c r="D18" s="60">
        <v>11.19</v>
      </c>
      <c r="E18" s="60">
        <v>6.14</v>
      </c>
      <c r="F18" s="60">
        <v>2.38</v>
      </c>
      <c r="G18" s="60">
        <v>14.69</v>
      </c>
      <c r="H18" s="60">
        <v>10.01</v>
      </c>
      <c r="I18" s="215" t="s">
        <v>36</v>
      </c>
      <c r="J18" s="60">
        <v>0.8</v>
      </c>
      <c r="K18" s="60">
        <v>193.09</v>
      </c>
      <c r="L18" s="10" t="s">
        <v>43</v>
      </c>
      <c r="M18" s="60">
        <v>99.15</v>
      </c>
      <c r="N18" s="60">
        <v>15.2</v>
      </c>
      <c r="O18" s="60">
        <v>1.2</v>
      </c>
      <c r="P18" s="60">
        <v>0.57999999999999996</v>
      </c>
      <c r="Q18" s="60">
        <v>33.54</v>
      </c>
      <c r="R18" s="197"/>
      <c r="S18" s="197"/>
      <c r="T18" s="197"/>
      <c r="U18" s="197"/>
    </row>
    <row r="19" spans="1:21" s="12" customFormat="1" x14ac:dyDescent="0.25">
      <c r="A19" s="200" t="s">
        <v>3042</v>
      </c>
      <c r="B19" s="60">
        <v>3.42</v>
      </c>
      <c r="C19" s="60">
        <v>8</v>
      </c>
      <c r="D19" s="60">
        <v>11.42</v>
      </c>
      <c r="E19" s="60">
        <v>6.46</v>
      </c>
      <c r="F19" s="60">
        <v>2.4900000000000002</v>
      </c>
      <c r="G19" s="60">
        <v>14.69</v>
      </c>
      <c r="H19" s="60">
        <v>10.01</v>
      </c>
      <c r="I19" s="215" t="s">
        <v>36</v>
      </c>
      <c r="J19" s="60">
        <v>0.11</v>
      </c>
      <c r="K19" s="60">
        <v>42.53</v>
      </c>
      <c r="L19" s="10" t="s">
        <v>43</v>
      </c>
      <c r="M19" s="60">
        <v>99.15</v>
      </c>
      <c r="N19" s="60">
        <v>15.1</v>
      </c>
      <c r="O19" s="60">
        <v>0</v>
      </c>
      <c r="P19" s="60">
        <v>0.56999999999999995</v>
      </c>
      <c r="Q19" s="60">
        <v>34.08</v>
      </c>
      <c r="R19" s="197"/>
      <c r="S19" s="197"/>
      <c r="T19" s="197"/>
      <c r="U19" s="197"/>
    </row>
    <row r="20" spans="1:21" s="12" customFormat="1" x14ac:dyDescent="0.25">
      <c r="A20" s="200" t="s">
        <v>3043</v>
      </c>
      <c r="B20" s="60">
        <v>3.44</v>
      </c>
      <c r="C20" s="60">
        <v>8.1199999999999992</v>
      </c>
      <c r="D20" s="60">
        <v>11.55</v>
      </c>
      <c r="E20" s="60">
        <v>7.04</v>
      </c>
      <c r="F20" s="60">
        <v>1.39</v>
      </c>
      <c r="G20" s="60">
        <v>15.04</v>
      </c>
      <c r="H20" s="60">
        <v>9.39</v>
      </c>
      <c r="I20" s="215" t="s">
        <v>36</v>
      </c>
      <c r="J20" s="60">
        <v>1.27</v>
      </c>
      <c r="K20" s="60">
        <v>353.82</v>
      </c>
      <c r="L20" s="10" t="s">
        <v>43</v>
      </c>
      <c r="M20" s="60">
        <v>99.15</v>
      </c>
      <c r="N20" s="60">
        <v>15.4</v>
      </c>
      <c r="O20" s="60">
        <v>0.2</v>
      </c>
      <c r="P20" s="60">
        <v>0.59</v>
      </c>
      <c r="Q20" s="60">
        <v>33.86</v>
      </c>
      <c r="R20" s="197"/>
      <c r="S20" s="197"/>
      <c r="T20" s="197"/>
      <c r="U20" s="197"/>
    </row>
    <row r="21" spans="1:21" s="12" customFormat="1" x14ac:dyDescent="0.25">
      <c r="A21" s="200" t="s">
        <v>3044</v>
      </c>
      <c r="B21" s="60">
        <v>3.37</v>
      </c>
      <c r="C21" s="60">
        <v>8.19</v>
      </c>
      <c r="D21" s="60">
        <v>11.56</v>
      </c>
      <c r="E21" s="60">
        <v>6.98</v>
      </c>
      <c r="F21" s="60">
        <v>0.79</v>
      </c>
      <c r="G21" s="60">
        <v>15.62</v>
      </c>
      <c r="H21" s="60">
        <v>8.31</v>
      </c>
      <c r="I21" s="215" t="s">
        <v>36</v>
      </c>
      <c r="J21" s="60">
        <v>1.97</v>
      </c>
      <c r="K21" s="60">
        <v>315.79000000000002</v>
      </c>
      <c r="L21" s="10" t="s">
        <v>43</v>
      </c>
      <c r="M21" s="60">
        <v>99.15</v>
      </c>
      <c r="N21" s="60">
        <v>15.4</v>
      </c>
      <c r="O21" s="60">
        <v>0</v>
      </c>
      <c r="P21" s="60">
        <v>0.56999999999999995</v>
      </c>
      <c r="Q21" s="60">
        <v>32.99</v>
      </c>
      <c r="R21" s="197"/>
      <c r="S21" s="197"/>
      <c r="T21" s="197"/>
      <c r="U21" s="197"/>
    </row>
    <row r="22" spans="1:21" s="12" customFormat="1" x14ac:dyDescent="0.25">
      <c r="A22" s="200" t="s">
        <v>3045</v>
      </c>
      <c r="B22" s="60">
        <v>3.31</v>
      </c>
      <c r="C22" s="60">
        <v>8.1199999999999992</v>
      </c>
      <c r="D22" s="60">
        <v>11.43</v>
      </c>
      <c r="E22" s="60">
        <v>6.62</v>
      </c>
      <c r="F22" s="60">
        <v>1.9</v>
      </c>
      <c r="G22" s="60">
        <v>15.62</v>
      </c>
      <c r="H22" s="60">
        <v>8.31</v>
      </c>
      <c r="I22" s="215" t="s">
        <v>36</v>
      </c>
      <c r="J22" s="60">
        <v>1.97</v>
      </c>
      <c r="K22" s="60">
        <v>342.51</v>
      </c>
      <c r="L22" s="10" t="s">
        <v>43</v>
      </c>
      <c r="M22" s="60">
        <v>99.15</v>
      </c>
      <c r="N22" s="60">
        <v>15.2</v>
      </c>
      <c r="O22" s="60">
        <v>0</v>
      </c>
      <c r="P22" s="60">
        <v>0.55000000000000004</v>
      </c>
      <c r="Q22" s="60">
        <v>32.04</v>
      </c>
      <c r="R22" s="197"/>
      <c r="S22" s="197"/>
      <c r="T22" s="197"/>
      <c r="U22" s="197"/>
    </row>
    <row r="23" spans="1:21" s="12" customFormat="1" x14ac:dyDescent="0.25">
      <c r="A23" s="200" t="s">
        <v>3046</v>
      </c>
      <c r="B23" s="60">
        <v>3.2</v>
      </c>
      <c r="C23" s="60">
        <v>7.86</v>
      </c>
      <c r="D23" s="60">
        <v>11.06</v>
      </c>
      <c r="E23" s="60">
        <v>6.12</v>
      </c>
      <c r="F23" s="60">
        <v>5.75</v>
      </c>
      <c r="G23" s="60">
        <v>15.62</v>
      </c>
      <c r="H23" s="60">
        <v>8.31</v>
      </c>
      <c r="I23" s="60">
        <v>6.55</v>
      </c>
      <c r="J23" s="60">
        <v>0.95</v>
      </c>
      <c r="K23" s="60">
        <v>346</v>
      </c>
      <c r="L23" s="10" t="s">
        <v>43</v>
      </c>
      <c r="M23" s="60">
        <v>99.15</v>
      </c>
      <c r="N23" s="60">
        <v>15</v>
      </c>
      <c r="O23" s="60">
        <v>0</v>
      </c>
      <c r="P23" s="60">
        <v>0.46</v>
      </c>
      <c r="Q23" s="60">
        <v>32.25</v>
      </c>
      <c r="R23" s="197"/>
      <c r="S23" s="197"/>
      <c r="T23" s="197"/>
      <c r="U23" s="197"/>
    </row>
    <row r="24" spans="1:21" s="12" customFormat="1" x14ac:dyDescent="0.25">
      <c r="A24" s="200" t="s">
        <v>3047</v>
      </c>
      <c r="B24" s="60">
        <v>3.04</v>
      </c>
      <c r="C24" s="60">
        <v>7.7</v>
      </c>
      <c r="D24" s="60">
        <v>10.74</v>
      </c>
      <c r="E24" s="60">
        <v>3.23</v>
      </c>
      <c r="F24" s="60">
        <v>4.7</v>
      </c>
      <c r="G24" s="60">
        <v>13.85</v>
      </c>
      <c r="H24" s="60">
        <v>7.57</v>
      </c>
      <c r="I24" s="60">
        <v>13.98</v>
      </c>
      <c r="J24" s="60">
        <v>0.77</v>
      </c>
      <c r="K24" s="60">
        <v>149.12</v>
      </c>
      <c r="L24" s="10" t="s">
        <v>43</v>
      </c>
      <c r="M24" s="60">
        <v>99.15</v>
      </c>
      <c r="N24" s="60">
        <v>14.9</v>
      </c>
      <c r="O24" s="60">
        <v>0</v>
      </c>
      <c r="P24" s="60">
        <v>0.42</v>
      </c>
      <c r="Q24" s="60">
        <v>32.409999999999997</v>
      </c>
      <c r="R24" s="197"/>
      <c r="S24" s="197"/>
      <c r="T24" s="197"/>
      <c r="U24" s="197"/>
    </row>
    <row r="25" spans="1:21" s="12" customFormat="1" x14ac:dyDescent="0.25">
      <c r="A25" s="200" t="s">
        <v>3048</v>
      </c>
      <c r="B25" s="60">
        <v>3.12</v>
      </c>
      <c r="C25" s="60">
        <v>8.36</v>
      </c>
      <c r="D25" s="60">
        <v>11.48</v>
      </c>
      <c r="E25" s="60">
        <v>4.17</v>
      </c>
      <c r="F25" s="60">
        <v>4.3099999999999996</v>
      </c>
      <c r="G25" s="60">
        <v>10.94</v>
      </c>
      <c r="H25" s="60">
        <v>6.28</v>
      </c>
      <c r="I25" s="60">
        <v>12.19</v>
      </c>
      <c r="J25" s="60">
        <v>0.21</v>
      </c>
      <c r="K25" s="60">
        <v>140.62</v>
      </c>
      <c r="L25" s="10" t="s">
        <v>43</v>
      </c>
      <c r="M25" s="60">
        <v>99.15</v>
      </c>
      <c r="N25" s="60">
        <v>14.9</v>
      </c>
      <c r="O25" s="60">
        <v>0</v>
      </c>
      <c r="P25" s="60">
        <v>0.46</v>
      </c>
      <c r="Q25" s="60">
        <v>32.26</v>
      </c>
      <c r="R25" s="197"/>
      <c r="S25" s="197"/>
      <c r="T25" s="197"/>
      <c r="U25" s="197"/>
    </row>
    <row r="26" spans="1:21" s="12" customFormat="1" x14ac:dyDescent="0.25">
      <c r="A26" s="200" t="s">
        <v>3049</v>
      </c>
      <c r="B26" s="60">
        <v>3.26</v>
      </c>
      <c r="C26" s="60">
        <v>8.5</v>
      </c>
      <c r="D26" s="60">
        <v>11.76</v>
      </c>
      <c r="E26" s="60">
        <v>4.45</v>
      </c>
      <c r="F26" s="60">
        <v>3.31</v>
      </c>
      <c r="G26" s="60">
        <v>10.94</v>
      </c>
      <c r="H26" s="60">
        <v>6.28</v>
      </c>
      <c r="I26" s="60">
        <v>10.85</v>
      </c>
      <c r="J26" s="60">
        <v>2.4500000000000002</v>
      </c>
      <c r="K26" s="60">
        <v>90.22</v>
      </c>
      <c r="L26" s="10" t="s">
        <v>43</v>
      </c>
      <c r="M26" s="60">
        <v>98.9</v>
      </c>
      <c r="N26" s="60">
        <v>14.4</v>
      </c>
      <c r="O26" s="60">
        <v>0</v>
      </c>
      <c r="P26" s="60">
        <v>0.5</v>
      </c>
      <c r="Q26" s="60">
        <v>29.61</v>
      </c>
      <c r="R26" s="197"/>
      <c r="S26" s="197"/>
      <c r="T26" s="197"/>
      <c r="U26" s="197"/>
    </row>
    <row r="27" spans="1:21" s="12" customFormat="1" x14ac:dyDescent="0.25">
      <c r="A27" s="200" t="s">
        <v>3050</v>
      </c>
      <c r="B27" s="60">
        <v>3.46</v>
      </c>
      <c r="C27" s="60">
        <v>7.93</v>
      </c>
      <c r="D27" s="60">
        <v>11.39</v>
      </c>
      <c r="E27" s="60">
        <v>6.8</v>
      </c>
      <c r="F27" s="60">
        <v>1.65</v>
      </c>
      <c r="G27" s="60">
        <v>10.94</v>
      </c>
      <c r="H27" s="60">
        <v>6.28</v>
      </c>
      <c r="I27" s="60">
        <v>10.5</v>
      </c>
      <c r="J27" s="60">
        <v>2.91</v>
      </c>
      <c r="K27" s="60">
        <v>85.29</v>
      </c>
      <c r="L27" s="10" t="s">
        <v>43</v>
      </c>
      <c r="M27" s="60">
        <v>98.12</v>
      </c>
      <c r="N27" s="60">
        <v>14.9</v>
      </c>
      <c r="O27" s="60">
        <v>0</v>
      </c>
      <c r="P27" s="60">
        <v>0.51</v>
      </c>
      <c r="Q27" s="60">
        <v>31.03</v>
      </c>
      <c r="R27" s="197"/>
      <c r="S27" s="197"/>
      <c r="T27" s="197"/>
      <c r="U27" s="197"/>
    </row>
    <row r="28" spans="1:21" s="12" customFormat="1" x14ac:dyDescent="0.25">
      <c r="A28" s="200" t="s">
        <v>3051</v>
      </c>
      <c r="B28" s="60">
        <v>3.37</v>
      </c>
      <c r="C28" s="60">
        <v>7.66</v>
      </c>
      <c r="D28" s="60">
        <v>11.03</v>
      </c>
      <c r="E28" s="60">
        <v>6.97</v>
      </c>
      <c r="F28" s="60">
        <v>0.99</v>
      </c>
      <c r="G28" s="60">
        <v>10.39</v>
      </c>
      <c r="H28" s="60">
        <v>5.79</v>
      </c>
      <c r="I28" s="60">
        <v>5.83</v>
      </c>
      <c r="J28" s="60">
        <v>1.72</v>
      </c>
      <c r="K28" s="60">
        <v>84.85</v>
      </c>
      <c r="L28" s="10" t="s">
        <v>43</v>
      </c>
      <c r="M28" s="60">
        <v>98.49</v>
      </c>
      <c r="N28" s="60">
        <v>15.1</v>
      </c>
      <c r="O28" s="60">
        <v>0</v>
      </c>
      <c r="P28" s="60">
        <v>0.51</v>
      </c>
      <c r="Q28" s="60">
        <v>33.909999999999997</v>
      </c>
      <c r="R28" s="197"/>
      <c r="S28" s="197"/>
      <c r="T28" s="197"/>
      <c r="U28" s="197"/>
    </row>
    <row r="29" spans="1:21" s="12" customFormat="1" x14ac:dyDescent="0.25">
      <c r="A29" s="200" t="s">
        <v>3052</v>
      </c>
      <c r="B29" s="60">
        <v>3.28</v>
      </c>
      <c r="C29" s="60">
        <v>8.17</v>
      </c>
      <c r="D29" s="60">
        <v>11.44</v>
      </c>
      <c r="E29" s="60">
        <v>6.56</v>
      </c>
      <c r="F29" s="60">
        <v>1.62</v>
      </c>
      <c r="G29" s="60">
        <v>9.48</v>
      </c>
      <c r="H29" s="60">
        <v>4.95</v>
      </c>
      <c r="I29" s="215" t="s">
        <v>36</v>
      </c>
      <c r="J29" s="60">
        <v>1.86</v>
      </c>
      <c r="K29" s="60">
        <v>84.74</v>
      </c>
      <c r="L29" s="10" t="s">
        <v>43</v>
      </c>
      <c r="M29" s="60">
        <v>99.13</v>
      </c>
      <c r="N29" s="60">
        <v>14.8</v>
      </c>
      <c r="O29" s="60">
        <v>0</v>
      </c>
      <c r="P29" s="60">
        <v>0.47</v>
      </c>
      <c r="Q29" s="60">
        <v>35.75</v>
      </c>
      <c r="R29" s="197"/>
      <c r="S29" s="197"/>
      <c r="T29" s="197"/>
      <c r="U29" s="197"/>
    </row>
    <row r="30" spans="1:21" s="12" customFormat="1" x14ac:dyDescent="0.25">
      <c r="A30" s="200" t="s">
        <v>3053</v>
      </c>
      <c r="B30" s="60">
        <v>3.24</v>
      </c>
      <c r="C30" s="60">
        <v>7.85</v>
      </c>
      <c r="D30" s="60">
        <v>11.1</v>
      </c>
      <c r="E30" s="60">
        <v>6.55</v>
      </c>
      <c r="F30" s="60">
        <v>1.07</v>
      </c>
      <c r="G30" s="60">
        <v>9.48</v>
      </c>
      <c r="H30" s="60">
        <v>4.95</v>
      </c>
      <c r="I30" s="215" t="s">
        <v>36</v>
      </c>
      <c r="J30" s="60">
        <v>1.58</v>
      </c>
      <c r="K30" s="60">
        <v>138.86000000000001</v>
      </c>
      <c r="L30" s="10" t="s">
        <v>43</v>
      </c>
      <c r="M30" s="60">
        <v>99.15</v>
      </c>
      <c r="N30" s="60">
        <v>15.1</v>
      </c>
      <c r="O30" s="60">
        <v>0</v>
      </c>
      <c r="P30" s="60">
        <v>0.48</v>
      </c>
      <c r="Q30" s="60">
        <v>36.07</v>
      </c>
      <c r="R30" s="197"/>
      <c r="S30" s="197"/>
      <c r="T30" s="197"/>
      <c r="U30" s="197"/>
    </row>
    <row r="31" spans="1:21" s="12" customFormat="1" x14ac:dyDescent="0.25">
      <c r="A31" s="200" t="s">
        <v>3054</v>
      </c>
      <c r="B31" s="60">
        <v>3.2</v>
      </c>
      <c r="C31" s="60">
        <v>7.96</v>
      </c>
      <c r="D31" s="60">
        <v>11.16</v>
      </c>
      <c r="E31" s="60">
        <v>6.61</v>
      </c>
      <c r="F31" s="60">
        <v>1.3</v>
      </c>
      <c r="G31" s="60">
        <v>9.48</v>
      </c>
      <c r="H31" s="60">
        <v>4.95</v>
      </c>
      <c r="I31" s="215" t="s">
        <v>36</v>
      </c>
      <c r="J31" s="60">
        <v>0.97</v>
      </c>
      <c r="K31" s="60">
        <v>130.83000000000001</v>
      </c>
      <c r="L31" s="10" t="s">
        <v>43</v>
      </c>
      <c r="M31" s="60">
        <v>99.15</v>
      </c>
      <c r="N31" s="60">
        <v>17.399999999999999</v>
      </c>
      <c r="O31" s="60">
        <v>0</v>
      </c>
      <c r="P31" s="60">
        <v>0.46</v>
      </c>
      <c r="Q31" s="60">
        <v>34.549999999999997</v>
      </c>
      <c r="R31" s="197"/>
      <c r="S31" s="197"/>
      <c r="T31" s="197"/>
      <c r="U31" s="197"/>
    </row>
    <row r="32" spans="1:21" s="12" customFormat="1" x14ac:dyDescent="0.25">
      <c r="A32" s="200" t="s">
        <v>3055</v>
      </c>
      <c r="B32" s="60">
        <v>3.07</v>
      </c>
      <c r="C32" s="60">
        <v>7.78</v>
      </c>
      <c r="D32" s="60">
        <v>10.85</v>
      </c>
      <c r="E32" s="60">
        <v>6.47</v>
      </c>
      <c r="F32" s="60">
        <v>0.82</v>
      </c>
      <c r="G32" s="60">
        <v>9.26</v>
      </c>
      <c r="H32" s="60">
        <v>5.48</v>
      </c>
      <c r="I32" s="215" t="s">
        <v>36</v>
      </c>
      <c r="J32" s="60">
        <v>1.75</v>
      </c>
      <c r="K32" s="60">
        <v>156.58000000000001</v>
      </c>
      <c r="L32" s="10" t="s">
        <v>43</v>
      </c>
      <c r="M32" s="60">
        <v>99.15</v>
      </c>
      <c r="N32" s="60">
        <v>25</v>
      </c>
      <c r="O32" s="60">
        <v>0</v>
      </c>
      <c r="P32" s="60">
        <v>0.46</v>
      </c>
      <c r="Q32" s="60">
        <v>35.119999999999997</v>
      </c>
      <c r="R32" s="197"/>
      <c r="S32" s="197"/>
      <c r="T32" s="197"/>
      <c r="U32" s="197"/>
    </row>
    <row r="33" spans="1:21" s="12" customFormat="1" x14ac:dyDescent="0.25">
      <c r="A33" s="200" t="s">
        <v>3056</v>
      </c>
      <c r="B33" s="60">
        <v>3.11</v>
      </c>
      <c r="C33" s="60">
        <v>8.11</v>
      </c>
      <c r="D33" s="60">
        <v>11.22</v>
      </c>
      <c r="E33" s="60">
        <v>6.73</v>
      </c>
      <c r="F33" s="60">
        <v>0.9</v>
      </c>
      <c r="G33" s="60">
        <v>8.8699999999999992</v>
      </c>
      <c r="H33" s="60">
        <v>6.39</v>
      </c>
      <c r="I33" s="215" t="s">
        <v>36</v>
      </c>
      <c r="J33" s="60">
        <v>3.34</v>
      </c>
      <c r="K33" s="60">
        <v>156.36000000000001</v>
      </c>
      <c r="L33" s="10" t="s">
        <v>43</v>
      </c>
      <c r="M33" s="60">
        <v>99.15</v>
      </c>
      <c r="N33" s="60">
        <v>38.9</v>
      </c>
      <c r="O33" s="60">
        <v>0</v>
      </c>
      <c r="P33" s="60">
        <v>0.46</v>
      </c>
      <c r="Q33" s="60">
        <v>36.32</v>
      </c>
      <c r="R33" s="197"/>
      <c r="S33" s="197"/>
      <c r="T33" s="197"/>
      <c r="U33" s="197"/>
    </row>
    <row r="34" spans="1:21" s="12" customFormat="1" x14ac:dyDescent="0.25">
      <c r="A34" s="200" t="s">
        <v>3057</v>
      </c>
      <c r="B34" s="60">
        <v>3.1</v>
      </c>
      <c r="C34" s="60">
        <v>8.5500000000000007</v>
      </c>
      <c r="D34" s="60">
        <v>11.65</v>
      </c>
      <c r="E34" s="60">
        <v>6.6</v>
      </c>
      <c r="F34" s="60">
        <v>1.17</v>
      </c>
      <c r="G34" s="60">
        <v>8.8699999999999992</v>
      </c>
      <c r="H34" s="60">
        <v>6.39</v>
      </c>
      <c r="I34" s="215" t="s">
        <v>36</v>
      </c>
      <c r="J34" s="60">
        <v>1.39</v>
      </c>
      <c r="K34" s="60">
        <v>147.84</v>
      </c>
      <c r="L34" s="10" t="s">
        <v>43</v>
      </c>
      <c r="M34" s="60">
        <v>99.15</v>
      </c>
      <c r="N34" s="60">
        <v>60.3</v>
      </c>
      <c r="O34" s="60">
        <v>0</v>
      </c>
      <c r="P34" s="60">
        <v>0.44</v>
      </c>
      <c r="Q34" s="60">
        <v>35.270000000000003</v>
      </c>
      <c r="R34" s="197"/>
      <c r="S34" s="197"/>
      <c r="T34" s="197"/>
      <c r="U34" s="197"/>
    </row>
    <row r="35" spans="1:21" s="12" customFormat="1" x14ac:dyDescent="0.25">
      <c r="A35" s="200" t="s">
        <v>3058</v>
      </c>
      <c r="B35" s="60">
        <v>3.18</v>
      </c>
      <c r="C35" s="60">
        <v>8.58</v>
      </c>
      <c r="D35" s="60">
        <v>11.76</v>
      </c>
      <c r="E35" s="60">
        <v>6.58</v>
      </c>
      <c r="F35" s="60">
        <v>1.35</v>
      </c>
      <c r="G35" s="60">
        <v>8.8699999999999992</v>
      </c>
      <c r="H35" s="60">
        <v>6.39</v>
      </c>
      <c r="I35" s="215" t="s">
        <v>36</v>
      </c>
      <c r="J35" s="60">
        <v>1.55</v>
      </c>
      <c r="K35" s="60">
        <v>163.71</v>
      </c>
      <c r="L35" s="10" t="s">
        <v>43</v>
      </c>
      <c r="M35" s="60">
        <v>98.98</v>
      </c>
      <c r="N35" s="60">
        <v>82.9</v>
      </c>
      <c r="O35" s="60">
        <v>0</v>
      </c>
      <c r="P35" s="60">
        <v>0.44</v>
      </c>
      <c r="Q35" s="60">
        <v>34.659999999999997</v>
      </c>
      <c r="R35" s="197"/>
      <c r="S35" s="197"/>
      <c r="T35" s="197"/>
      <c r="U35" s="197"/>
    </row>
    <row r="36" spans="1:21" s="12" customFormat="1" x14ac:dyDescent="0.25">
      <c r="A36" s="200" t="s">
        <v>3059</v>
      </c>
      <c r="B36" s="60">
        <v>3.24</v>
      </c>
      <c r="C36" s="60">
        <v>8.42</v>
      </c>
      <c r="D36" s="60">
        <v>11.66</v>
      </c>
      <c r="E36" s="60">
        <v>6.83</v>
      </c>
      <c r="F36" s="60">
        <v>1.1000000000000001</v>
      </c>
      <c r="G36" s="60">
        <v>8.07</v>
      </c>
      <c r="H36" s="60">
        <v>5.76</v>
      </c>
      <c r="I36" s="215" t="s">
        <v>36</v>
      </c>
      <c r="J36" s="60">
        <v>0.96</v>
      </c>
      <c r="K36" s="60">
        <v>172.79</v>
      </c>
      <c r="L36" s="10" t="s">
        <v>43</v>
      </c>
      <c r="M36" s="60">
        <v>98.72</v>
      </c>
      <c r="N36" s="60">
        <v>102.4</v>
      </c>
      <c r="O36" s="60">
        <v>0</v>
      </c>
      <c r="P36" s="60">
        <v>0.44</v>
      </c>
      <c r="Q36" s="60">
        <v>33.950000000000003</v>
      </c>
      <c r="R36" s="197"/>
      <c r="S36" s="197"/>
      <c r="T36" s="197"/>
      <c r="U36" s="197"/>
    </row>
    <row r="37" spans="1:21" s="12" customFormat="1" x14ac:dyDescent="0.25">
      <c r="A37" s="200" t="s">
        <v>3060</v>
      </c>
      <c r="B37" s="60">
        <v>3.27</v>
      </c>
      <c r="C37" s="60">
        <v>8.33</v>
      </c>
      <c r="D37" s="60">
        <v>11.6</v>
      </c>
      <c r="E37" s="60">
        <v>6.89</v>
      </c>
      <c r="F37" s="60">
        <v>0.89</v>
      </c>
      <c r="G37" s="60">
        <v>6.75</v>
      </c>
      <c r="H37" s="60">
        <v>4.66</v>
      </c>
      <c r="I37" s="215" t="s">
        <v>36</v>
      </c>
      <c r="J37" s="60">
        <v>0.34</v>
      </c>
      <c r="K37" s="60">
        <v>205.89</v>
      </c>
      <c r="L37" s="10" t="s">
        <v>43</v>
      </c>
      <c r="M37" s="60">
        <v>98.28</v>
      </c>
      <c r="N37" s="60">
        <v>147.30000000000001</v>
      </c>
      <c r="O37" s="60">
        <v>0</v>
      </c>
      <c r="P37" s="60">
        <v>0.42</v>
      </c>
      <c r="Q37" s="60">
        <v>33.229999999999997</v>
      </c>
      <c r="R37" s="197"/>
      <c r="S37" s="197"/>
      <c r="T37" s="197"/>
      <c r="U37" s="197"/>
    </row>
    <row r="38" spans="1:21" s="12" customFormat="1" x14ac:dyDescent="0.25">
      <c r="A38" s="200" t="s">
        <v>3061</v>
      </c>
      <c r="B38" s="60">
        <v>3.63</v>
      </c>
      <c r="C38" s="60">
        <v>8.36</v>
      </c>
      <c r="D38" s="60">
        <v>11.98</v>
      </c>
      <c r="E38" s="60">
        <v>6.95</v>
      </c>
      <c r="F38" s="60">
        <v>0.76</v>
      </c>
      <c r="G38" s="60">
        <v>6.75</v>
      </c>
      <c r="H38" s="60">
        <v>4.66</v>
      </c>
      <c r="I38" s="215" t="s">
        <v>36</v>
      </c>
      <c r="J38" s="60">
        <v>0.2</v>
      </c>
      <c r="K38" s="60">
        <v>263.91000000000003</v>
      </c>
      <c r="L38" s="10" t="s">
        <v>43</v>
      </c>
      <c r="M38" s="60">
        <v>96.51</v>
      </c>
      <c r="N38" s="60">
        <v>133.6</v>
      </c>
      <c r="O38" s="60">
        <v>0</v>
      </c>
      <c r="P38" s="60">
        <v>0.45</v>
      </c>
      <c r="Q38" s="60">
        <v>31.98</v>
      </c>
      <c r="R38" s="197"/>
      <c r="S38" s="197"/>
      <c r="T38" s="197"/>
      <c r="U38" s="197"/>
    </row>
    <row r="39" spans="1:21" s="12" customFormat="1" x14ac:dyDescent="0.25">
      <c r="A39" s="200" t="s">
        <v>3062</v>
      </c>
      <c r="B39" s="60">
        <v>4.26</v>
      </c>
      <c r="C39" s="60">
        <v>8.3800000000000008</v>
      </c>
      <c r="D39" s="60">
        <v>12.64</v>
      </c>
      <c r="E39" s="60">
        <v>6.92</v>
      </c>
      <c r="F39" s="60">
        <v>0.73</v>
      </c>
      <c r="G39" s="60">
        <v>6.75</v>
      </c>
      <c r="H39" s="60">
        <v>4.66</v>
      </c>
      <c r="I39" s="215" t="s">
        <v>36</v>
      </c>
      <c r="J39" s="60">
        <v>0.95</v>
      </c>
      <c r="K39" s="60">
        <v>335.65</v>
      </c>
      <c r="L39" s="10" t="s">
        <v>43</v>
      </c>
      <c r="M39" s="60">
        <v>92.76</v>
      </c>
      <c r="N39" s="60">
        <v>307.3</v>
      </c>
      <c r="O39" s="60">
        <v>0</v>
      </c>
      <c r="P39" s="60">
        <v>0.45</v>
      </c>
      <c r="Q39" s="60">
        <v>31.61</v>
      </c>
      <c r="R39" s="197"/>
      <c r="S39" s="197"/>
      <c r="T39" s="197"/>
      <c r="U39" s="197"/>
    </row>
    <row r="40" spans="1:21" s="12" customFormat="1" x14ac:dyDescent="0.25">
      <c r="A40" s="200" t="s">
        <v>3063</v>
      </c>
      <c r="B40" s="60">
        <v>5.23</v>
      </c>
      <c r="C40" s="60">
        <v>8.59</v>
      </c>
      <c r="D40" s="60">
        <v>13.82</v>
      </c>
      <c r="E40" s="60">
        <v>3.55</v>
      </c>
      <c r="F40" s="60">
        <v>1.03</v>
      </c>
      <c r="G40" s="60">
        <v>9.35</v>
      </c>
      <c r="H40" s="60">
        <v>4.95</v>
      </c>
      <c r="I40" s="215" t="s">
        <v>36</v>
      </c>
      <c r="J40" s="60">
        <v>0.78</v>
      </c>
      <c r="K40" s="60">
        <v>332.62</v>
      </c>
      <c r="L40" s="10" t="s">
        <v>43</v>
      </c>
      <c r="M40" s="60">
        <v>86.72</v>
      </c>
      <c r="N40" s="60">
        <v>196.3</v>
      </c>
      <c r="O40" s="60">
        <v>0</v>
      </c>
      <c r="P40" s="60">
        <v>0.46</v>
      </c>
      <c r="Q40" s="60">
        <v>30.94</v>
      </c>
      <c r="R40" s="197"/>
      <c r="S40" s="197"/>
      <c r="T40" s="197"/>
      <c r="U40" s="197"/>
    </row>
    <row r="41" spans="1:21" s="12" customFormat="1" x14ac:dyDescent="0.25">
      <c r="A41" s="200" t="s">
        <v>3064</v>
      </c>
      <c r="B41" s="60">
        <v>6.19</v>
      </c>
      <c r="C41" s="60">
        <v>8.76</v>
      </c>
      <c r="D41" s="60">
        <v>14.95</v>
      </c>
      <c r="E41" s="60">
        <v>6.41</v>
      </c>
      <c r="F41" s="60">
        <v>0.72</v>
      </c>
      <c r="G41" s="60">
        <v>13.64</v>
      </c>
      <c r="H41" s="60">
        <v>5.45</v>
      </c>
      <c r="I41" s="215" t="s">
        <v>36</v>
      </c>
      <c r="J41" s="60">
        <v>0.93</v>
      </c>
      <c r="K41" s="60">
        <v>306.92</v>
      </c>
      <c r="L41" s="10" t="s">
        <v>43</v>
      </c>
      <c r="M41" s="60">
        <v>86.21</v>
      </c>
      <c r="N41" s="60">
        <v>335.1</v>
      </c>
      <c r="O41" s="60">
        <v>0</v>
      </c>
      <c r="P41" s="60">
        <v>0.48</v>
      </c>
      <c r="Q41" s="60">
        <v>28.02</v>
      </c>
      <c r="R41" s="197"/>
      <c r="S41" s="197"/>
      <c r="T41" s="197"/>
      <c r="U41" s="197"/>
    </row>
    <row r="42" spans="1:21" s="12" customFormat="1" x14ac:dyDescent="0.25">
      <c r="A42" s="200" t="s">
        <v>3065</v>
      </c>
      <c r="B42" s="60">
        <v>7.03</v>
      </c>
      <c r="C42" s="60">
        <v>9.24</v>
      </c>
      <c r="D42" s="60">
        <v>16.28</v>
      </c>
      <c r="E42" s="60">
        <v>6.85</v>
      </c>
      <c r="F42" s="60">
        <v>0.54</v>
      </c>
      <c r="G42" s="60">
        <v>13.64</v>
      </c>
      <c r="H42" s="60">
        <v>5.45</v>
      </c>
      <c r="I42" s="215" t="s">
        <v>36</v>
      </c>
      <c r="J42" s="60">
        <v>0.85</v>
      </c>
      <c r="K42" s="60">
        <v>336.64</v>
      </c>
      <c r="L42" s="10" t="s">
        <v>43</v>
      </c>
      <c r="M42" s="60">
        <v>79.3</v>
      </c>
      <c r="N42" s="60">
        <v>606.1</v>
      </c>
      <c r="O42" s="60">
        <v>0</v>
      </c>
      <c r="P42" s="60">
        <v>0.49</v>
      </c>
      <c r="Q42" s="60">
        <v>27.7</v>
      </c>
      <c r="R42" s="197"/>
      <c r="S42" s="197"/>
      <c r="T42" s="197"/>
      <c r="U42" s="197"/>
    </row>
    <row r="43" spans="1:21" s="12" customFormat="1" x14ac:dyDescent="0.25">
      <c r="A43" s="200" t="s">
        <v>3066</v>
      </c>
      <c r="B43" s="60">
        <v>7.52</v>
      </c>
      <c r="C43" s="60">
        <v>9.57</v>
      </c>
      <c r="D43" s="60">
        <v>17.09</v>
      </c>
      <c r="E43" s="60">
        <v>6.55</v>
      </c>
      <c r="F43" s="60">
        <v>0.82</v>
      </c>
      <c r="G43" s="60">
        <v>13.64</v>
      </c>
      <c r="H43" s="60">
        <v>5.45</v>
      </c>
      <c r="I43" s="215" t="s">
        <v>36</v>
      </c>
      <c r="J43" s="60">
        <v>0.44</v>
      </c>
      <c r="K43" s="60">
        <v>319.83</v>
      </c>
      <c r="L43" s="10" t="s">
        <v>43</v>
      </c>
      <c r="M43" s="60">
        <v>72.47</v>
      </c>
      <c r="N43" s="60">
        <v>563.4</v>
      </c>
      <c r="O43" s="60">
        <v>0</v>
      </c>
      <c r="P43" s="60">
        <v>0.49</v>
      </c>
      <c r="Q43" s="60">
        <v>26.84</v>
      </c>
      <c r="R43" s="197"/>
      <c r="S43" s="197"/>
      <c r="T43" s="197"/>
      <c r="U43" s="197"/>
    </row>
    <row r="44" spans="1:21" s="12" customFormat="1" x14ac:dyDescent="0.25">
      <c r="A44" s="200" t="s">
        <v>3067</v>
      </c>
      <c r="B44" s="60">
        <v>7.53</v>
      </c>
      <c r="C44" s="60">
        <v>9.5299999999999994</v>
      </c>
      <c r="D44" s="60">
        <v>17.059999999999999</v>
      </c>
      <c r="E44" s="60">
        <v>6.77</v>
      </c>
      <c r="F44" s="60">
        <v>0.56000000000000005</v>
      </c>
      <c r="G44" s="60">
        <v>14.16</v>
      </c>
      <c r="H44" s="60">
        <v>6.9</v>
      </c>
      <c r="I44" s="60">
        <v>5.53</v>
      </c>
      <c r="J44" s="60">
        <v>0.69</v>
      </c>
      <c r="K44" s="60">
        <v>323.7</v>
      </c>
      <c r="L44" s="10" t="s">
        <v>43</v>
      </c>
      <c r="M44" s="60">
        <v>72.25</v>
      </c>
      <c r="N44" s="60">
        <v>648.4</v>
      </c>
      <c r="O44" s="60">
        <v>0</v>
      </c>
      <c r="P44" s="60">
        <v>0.51</v>
      </c>
      <c r="Q44" s="60">
        <v>24.82</v>
      </c>
      <c r="R44" s="197"/>
      <c r="S44" s="197"/>
      <c r="T44" s="197"/>
      <c r="U44" s="197"/>
    </row>
    <row r="45" spans="1:21" s="12" customFormat="1" x14ac:dyDescent="0.25">
      <c r="A45" s="200" t="s">
        <v>3068</v>
      </c>
      <c r="B45" s="60">
        <v>7.54</v>
      </c>
      <c r="C45" s="60">
        <v>9.86</v>
      </c>
      <c r="D45" s="60">
        <v>17.399999999999999</v>
      </c>
      <c r="E45" s="60">
        <v>6.76</v>
      </c>
      <c r="F45" s="60">
        <v>0.72</v>
      </c>
      <c r="G45" s="60">
        <v>15.03</v>
      </c>
      <c r="H45" s="60">
        <v>9.4</v>
      </c>
      <c r="I45" s="60">
        <v>12.35</v>
      </c>
      <c r="J45" s="60">
        <v>0.8</v>
      </c>
      <c r="K45" s="60">
        <v>137.36000000000001</v>
      </c>
      <c r="L45" s="10" t="s">
        <v>43</v>
      </c>
      <c r="M45" s="60">
        <v>74.28</v>
      </c>
      <c r="N45" s="60">
        <v>718.7</v>
      </c>
      <c r="O45" s="60">
        <v>0</v>
      </c>
      <c r="P45" s="60">
        <v>0.51</v>
      </c>
      <c r="Q45" s="60">
        <v>24.24</v>
      </c>
      <c r="R45" s="197"/>
      <c r="S45" s="197"/>
      <c r="T45" s="197"/>
      <c r="U45" s="197"/>
    </row>
    <row r="46" spans="1:21" s="12" customFormat="1" x14ac:dyDescent="0.25">
      <c r="A46" s="200" t="s">
        <v>3069</v>
      </c>
      <c r="B46" s="60">
        <v>7.07</v>
      </c>
      <c r="C46" s="60">
        <v>9.5299999999999994</v>
      </c>
      <c r="D46" s="60">
        <v>16.600000000000001</v>
      </c>
      <c r="E46" s="60">
        <v>7.01</v>
      </c>
      <c r="F46" s="60">
        <v>0.56999999999999995</v>
      </c>
      <c r="G46" s="60">
        <v>15.03</v>
      </c>
      <c r="H46" s="60">
        <v>9.4</v>
      </c>
      <c r="I46" s="60">
        <v>12.1</v>
      </c>
      <c r="J46" s="60">
        <v>1.51</v>
      </c>
      <c r="K46" s="60">
        <v>152.75</v>
      </c>
      <c r="L46" s="10" t="s">
        <v>43</v>
      </c>
      <c r="M46" s="60">
        <v>73.459999999999994</v>
      </c>
      <c r="N46" s="60">
        <v>759.4</v>
      </c>
      <c r="O46" s="60">
        <v>0</v>
      </c>
      <c r="P46" s="60">
        <v>0.51</v>
      </c>
      <c r="Q46" s="60">
        <v>21.58</v>
      </c>
      <c r="R46" s="197"/>
      <c r="S46" s="197"/>
      <c r="T46" s="197"/>
      <c r="U46" s="197"/>
    </row>
    <row r="47" spans="1:21" s="12" customFormat="1" x14ac:dyDescent="0.25">
      <c r="A47" s="200" t="s">
        <v>3070</v>
      </c>
      <c r="B47" s="60">
        <v>6.43</v>
      </c>
      <c r="C47" s="60">
        <v>9.4499999999999993</v>
      </c>
      <c r="D47" s="60">
        <v>15.88</v>
      </c>
      <c r="E47" s="60">
        <v>6.63</v>
      </c>
      <c r="F47" s="60">
        <v>0.94</v>
      </c>
      <c r="G47" s="60">
        <v>15.03</v>
      </c>
      <c r="H47" s="60">
        <v>9.4</v>
      </c>
      <c r="I47" s="60">
        <v>11.93</v>
      </c>
      <c r="J47" s="60">
        <v>0.27</v>
      </c>
      <c r="K47" s="60">
        <v>276.61</v>
      </c>
      <c r="L47" s="10" t="s">
        <v>43</v>
      </c>
      <c r="M47" s="60">
        <v>72.400000000000006</v>
      </c>
      <c r="N47" s="60">
        <v>799.7</v>
      </c>
      <c r="O47" s="60">
        <v>0</v>
      </c>
      <c r="P47" s="60">
        <v>0.5</v>
      </c>
      <c r="Q47" s="60">
        <v>24.08</v>
      </c>
      <c r="R47" s="197"/>
      <c r="S47" s="197"/>
      <c r="T47" s="197"/>
      <c r="U47" s="197"/>
    </row>
    <row r="48" spans="1:21" s="12" customFormat="1" x14ac:dyDescent="0.25">
      <c r="A48" s="200" t="s">
        <v>3071</v>
      </c>
      <c r="B48" s="60">
        <v>6.25</v>
      </c>
      <c r="C48" s="60">
        <v>9.4600000000000009</v>
      </c>
      <c r="D48" s="60">
        <v>15.71</v>
      </c>
      <c r="E48" s="60">
        <v>6.61</v>
      </c>
      <c r="F48" s="60">
        <v>0.84</v>
      </c>
      <c r="G48" s="60">
        <v>13.33</v>
      </c>
      <c r="H48" s="60">
        <v>9.36</v>
      </c>
      <c r="I48" s="60">
        <v>11.71</v>
      </c>
      <c r="J48" s="60">
        <v>0.99</v>
      </c>
      <c r="K48" s="60">
        <v>145.87</v>
      </c>
      <c r="L48" s="10" t="s">
        <v>43</v>
      </c>
      <c r="M48" s="60">
        <v>68.489999999999995</v>
      </c>
      <c r="N48" s="60">
        <v>800.9</v>
      </c>
      <c r="O48" s="60">
        <v>0</v>
      </c>
      <c r="P48" s="60">
        <v>0.5</v>
      </c>
      <c r="Q48" s="60">
        <v>25.08</v>
      </c>
      <c r="R48" s="197"/>
      <c r="S48" s="197"/>
      <c r="T48" s="197"/>
      <c r="U48" s="197"/>
    </row>
    <row r="49" spans="1:21" s="12" customFormat="1" x14ac:dyDescent="0.25">
      <c r="A49" s="200" t="s">
        <v>3072</v>
      </c>
      <c r="B49" s="60">
        <v>6.11</v>
      </c>
      <c r="C49" s="60">
        <v>9.4499999999999993</v>
      </c>
      <c r="D49" s="60">
        <v>15.56</v>
      </c>
      <c r="E49" s="60">
        <v>6.62</v>
      </c>
      <c r="F49" s="60">
        <v>0.95</v>
      </c>
      <c r="G49" s="60">
        <v>10.52</v>
      </c>
      <c r="H49" s="60">
        <v>9.2899999999999991</v>
      </c>
      <c r="I49" s="60">
        <v>11.58</v>
      </c>
      <c r="J49" s="60">
        <v>1.37</v>
      </c>
      <c r="K49" s="60">
        <v>158.72999999999999</v>
      </c>
      <c r="L49" s="10" t="s">
        <v>43</v>
      </c>
      <c r="M49" s="60">
        <v>71.760000000000005</v>
      </c>
      <c r="N49" s="60">
        <v>874.5</v>
      </c>
      <c r="O49" s="60">
        <v>0</v>
      </c>
      <c r="P49" s="60">
        <v>0.5</v>
      </c>
      <c r="Q49" s="60">
        <v>26.1</v>
      </c>
      <c r="R49" s="197"/>
      <c r="S49" s="197"/>
      <c r="T49" s="197"/>
      <c r="U49" s="197"/>
    </row>
    <row r="50" spans="1:21" s="12" customFormat="1" x14ac:dyDescent="0.25">
      <c r="A50" s="200" t="s">
        <v>3073</v>
      </c>
      <c r="B50" s="60">
        <v>5.82</v>
      </c>
      <c r="C50" s="60">
        <v>9.33</v>
      </c>
      <c r="D50" s="60">
        <v>15.15</v>
      </c>
      <c r="E50" s="60">
        <v>6.66</v>
      </c>
      <c r="F50" s="60">
        <v>1.35</v>
      </c>
      <c r="G50" s="60">
        <v>10.52</v>
      </c>
      <c r="H50" s="60">
        <v>9.2899999999999991</v>
      </c>
      <c r="I50" s="60">
        <v>11.89</v>
      </c>
      <c r="J50" s="60">
        <v>1.8</v>
      </c>
      <c r="K50" s="60">
        <v>171.94</v>
      </c>
      <c r="L50" s="10" t="s">
        <v>43</v>
      </c>
      <c r="M50" s="60">
        <v>71.59</v>
      </c>
      <c r="N50" s="60">
        <v>924.4</v>
      </c>
      <c r="O50" s="60">
        <v>0</v>
      </c>
      <c r="P50" s="60">
        <v>0.49</v>
      </c>
      <c r="Q50" s="60">
        <v>25.68</v>
      </c>
      <c r="R50" s="197"/>
      <c r="S50" s="197"/>
      <c r="T50" s="197"/>
      <c r="U50" s="197"/>
    </row>
    <row r="51" spans="1:21" s="12" customFormat="1" x14ac:dyDescent="0.25">
      <c r="A51" s="200" t="s">
        <v>3074</v>
      </c>
      <c r="B51" s="60">
        <v>5.25</v>
      </c>
      <c r="C51" s="60">
        <v>9.31</v>
      </c>
      <c r="D51" s="60">
        <v>14.55</v>
      </c>
      <c r="E51" s="60">
        <v>6.57</v>
      </c>
      <c r="F51" s="60">
        <v>2.34</v>
      </c>
      <c r="G51" s="60">
        <v>10.52</v>
      </c>
      <c r="H51" s="60">
        <v>9.2899999999999991</v>
      </c>
      <c r="I51" s="60">
        <v>6.71</v>
      </c>
      <c r="J51" s="60">
        <v>1.47</v>
      </c>
      <c r="K51" s="60">
        <v>163.33000000000001</v>
      </c>
      <c r="L51" s="10" t="s">
        <v>43</v>
      </c>
      <c r="M51" s="60">
        <v>70.209999999999994</v>
      </c>
      <c r="N51" s="60">
        <v>850.3</v>
      </c>
      <c r="O51" s="60">
        <v>0</v>
      </c>
      <c r="P51" s="60">
        <v>0.46</v>
      </c>
      <c r="Q51" s="60">
        <v>25.53</v>
      </c>
      <c r="R51" s="197"/>
      <c r="S51" s="197"/>
      <c r="T51" s="197"/>
      <c r="U51" s="197"/>
    </row>
    <row r="52" spans="1:21" s="12" customFormat="1" x14ac:dyDescent="0.25">
      <c r="A52" s="200" t="s">
        <v>3075</v>
      </c>
      <c r="B52" s="60">
        <v>4.8499999999999996</v>
      </c>
      <c r="C52" s="60">
        <v>9.17</v>
      </c>
      <c r="D52" s="60">
        <v>14.02</v>
      </c>
      <c r="E52" s="60">
        <v>6.46</v>
      </c>
      <c r="F52" s="60">
        <v>2.13</v>
      </c>
      <c r="G52" s="60">
        <v>12.36</v>
      </c>
      <c r="H52" s="60">
        <v>8.77</v>
      </c>
      <c r="I52" s="60">
        <v>4.92</v>
      </c>
      <c r="J52" s="60">
        <v>0.75</v>
      </c>
      <c r="K52" s="60">
        <v>147.13</v>
      </c>
      <c r="L52" s="10" t="s">
        <v>43</v>
      </c>
      <c r="M52" s="60">
        <v>70.38</v>
      </c>
      <c r="N52" s="60">
        <v>892.7</v>
      </c>
      <c r="O52" s="60">
        <v>0</v>
      </c>
      <c r="P52" s="60">
        <v>0.47</v>
      </c>
      <c r="Q52" s="60">
        <v>25.57</v>
      </c>
      <c r="R52" s="197"/>
      <c r="S52" s="197"/>
      <c r="T52" s="197"/>
      <c r="U52" s="197"/>
    </row>
    <row r="53" spans="1:21" s="12" customFormat="1" x14ac:dyDescent="0.25">
      <c r="A53" s="200" t="s">
        <v>3076</v>
      </c>
      <c r="B53" s="60">
        <v>4.8899999999999997</v>
      </c>
      <c r="C53" s="60">
        <v>9.23</v>
      </c>
      <c r="D53" s="60">
        <v>14.12</v>
      </c>
      <c r="E53" s="60">
        <v>6.92</v>
      </c>
      <c r="F53" s="60">
        <v>1.36</v>
      </c>
      <c r="G53" s="60">
        <v>15.37</v>
      </c>
      <c r="H53" s="60">
        <v>7.89</v>
      </c>
      <c r="I53" s="60">
        <v>11.25</v>
      </c>
      <c r="J53" s="60">
        <v>0.08</v>
      </c>
      <c r="K53" s="60">
        <v>48.98</v>
      </c>
      <c r="L53" s="10" t="s">
        <v>43</v>
      </c>
      <c r="M53" s="60">
        <v>65.75</v>
      </c>
      <c r="N53" s="60">
        <v>935.5</v>
      </c>
      <c r="O53" s="60">
        <v>0</v>
      </c>
      <c r="P53" s="60">
        <v>0.5</v>
      </c>
      <c r="Q53" s="60">
        <v>25.24</v>
      </c>
      <c r="R53" s="197"/>
      <c r="S53" s="197"/>
      <c r="T53" s="197"/>
      <c r="U53" s="197"/>
    </row>
    <row r="54" spans="1:21" s="12" customFormat="1" x14ac:dyDescent="0.25">
      <c r="A54" s="200" t="s">
        <v>3077</v>
      </c>
      <c r="B54" s="60">
        <v>5.0199999999999996</v>
      </c>
      <c r="C54" s="60">
        <v>9.68</v>
      </c>
      <c r="D54" s="60">
        <v>14.7</v>
      </c>
      <c r="E54" s="60">
        <v>6.99</v>
      </c>
      <c r="F54" s="60">
        <v>1.38</v>
      </c>
      <c r="G54" s="60">
        <v>15.37</v>
      </c>
      <c r="H54" s="60">
        <v>7.89</v>
      </c>
      <c r="I54" s="60">
        <v>6.37</v>
      </c>
      <c r="J54" s="60">
        <v>0.57999999999999996</v>
      </c>
      <c r="K54" s="60">
        <v>179.41</v>
      </c>
      <c r="L54" s="10" t="s">
        <v>43</v>
      </c>
      <c r="M54" s="60">
        <v>66.209999999999994</v>
      </c>
      <c r="N54" s="60">
        <v>836.4</v>
      </c>
      <c r="O54" s="60">
        <v>0</v>
      </c>
      <c r="P54" s="60">
        <v>0.5</v>
      </c>
      <c r="Q54" s="60">
        <v>25.92</v>
      </c>
      <c r="R54" s="197"/>
      <c r="S54" s="197"/>
      <c r="T54" s="197"/>
      <c r="U54" s="197"/>
    </row>
    <row r="55" spans="1:21" s="12" customFormat="1" x14ac:dyDescent="0.25">
      <c r="A55" s="200" t="s">
        <v>3078</v>
      </c>
      <c r="B55" s="60">
        <v>4.71</v>
      </c>
      <c r="C55" s="60">
        <v>9.6999999999999993</v>
      </c>
      <c r="D55" s="60">
        <v>14.41</v>
      </c>
      <c r="E55" s="60">
        <v>7.08</v>
      </c>
      <c r="F55" s="60">
        <v>1.71</v>
      </c>
      <c r="G55" s="60">
        <v>15.37</v>
      </c>
      <c r="H55" s="60">
        <v>7.89</v>
      </c>
      <c r="I55" s="60">
        <v>5.12</v>
      </c>
      <c r="J55" s="60">
        <v>0.56999999999999995</v>
      </c>
      <c r="K55" s="60">
        <v>153.15</v>
      </c>
      <c r="L55" s="10" t="s">
        <v>43</v>
      </c>
      <c r="M55" s="60">
        <v>68.040000000000006</v>
      </c>
      <c r="N55" s="60">
        <v>951.6</v>
      </c>
      <c r="O55" s="60">
        <v>0</v>
      </c>
      <c r="P55" s="60">
        <v>0.48</v>
      </c>
      <c r="Q55" s="60">
        <v>24.41</v>
      </c>
      <c r="R55" s="197"/>
      <c r="S55" s="197"/>
      <c r="T55" s="197"/>
      <c r="U55" s="197"/>
    </row>
    <row r="56" spans="1:21" s="12" customFormat="1" x14ac:dyDescent="0.25">
      <c r="A56" s="200" t="s">
        <v>3079</v>
      </c>
      <c r="B56" s="60">
        <v>4.34</v>
      </c>
      <c r="C56" s="60">
        <v>9.61</v>
      </c>
      <c r="D56" s="60">
        <v>13.95</v>
      </c>
      <c r="E56" s="60">
        <v>2.04</v>
      </c>
      <c r="F56" s="60">
        <v>1.4</v>
      </c>
      <c r="G56" s="60">
        <v>15.02</v>
      </c>
      <c r="H56" s="60">
        <v>9.15</v>
      </c>
      <c r="I56" s="60">
        <v>11.47</v>
      </c>
      <c r="J56" s="60">
        <v>0.51</v>
      </c>
      <c r="K56" s="60">
        <v>323.08999999999997</v>
      </c>
      <c r="L56" s="10" t="s">
        <v>43</v>
      </c>
      <c r="M56" s="60">
        <v>67.38</v>
      </c>
      <c r="N56" s="60">
        <v>711.4</v>
      </c>
      <c r="O56" s="60">
        <v>0</v>
      </c>
      <c r="P56" s="60">
        <v>0.49</v>
      </c>
      <c r="Q56" s="60">
        <v>20.75</v>
      </c>
      <c r="R56" s="197"/>
      <c r="S56" s="197"/>
      <c r="T56" s="197"/>
      <c r="U56" s="197"/>
    </row>
    <row r="57" spans="1:21" s="12" customFormat="1" x14ac:dyDescent="0.25">
      <c r="A57" s="200" t="s">
        <v>3080</v>
      </c>
      <c r="B57" s="60">
        <v>4.1900000000000004</v>
      </c>
      <c r="C57" s="60">
        <v>9.69</v>
      </c>
      <c r="D57" s="60">
        <v>13.88</v>
      </c>
      <c r="E57" s="60">
        <v>3.95</v>
      </c>
      <c r="F57" s="60">
        <v>1.52</v>
      </c>
      <c r="G57" s="60">
        <v>14.45</v>
      </c>
      <c r="H57" s="60">
        <v>11.34</v>
      </c>
      <c r="I57" s="60">
        <v>11.25</v>
      </c>
      <c r="J57" s="60">
        <v>0.41</v>
      </c>
      <c r="K57" s="60">
        <v>282.86</v>
      </c>
      <c r="L57" s="10" t="s">
        <v>43</v>
      </c>
      <c r="M57" s="60">
        <v>62.41</v>
      </c>
      <c r="N57" s="60">
        <v>1032.5999999999999</v>
      </c>
      <c r="O57" s="60">
        <v>0</v>
      </c>
      <c r="P57" s="60">
        <v>0.5</v>
      </c>
      <c r="Q57" s="60">
        <v>17.02</v>
      </c>
      <c r="R57" s="197"/>
      <c r="S57" s="197"/>
      <c r="T57" s="197"/>
      <c r="U57" s="197"/>
    </row>
    <row r="58" spans="1:21" s="12" customFormat="1" x14ac:dyDescent="0.25">
      <c r="A58" s="200" t="s">
        <v>3081</v>
      </c>
      <c r="B58" s="60">
        <v>4.18</v>
      </c>
      <c r="C58" s="60">
        <v>9.7200000000000006</v>
      </c>
      <c r="D58" s="60">
        <v>13.91</v>
      </c>
      <c r="E58" s="60">
        <v>4.22</v>
      </c>
      <c r="F58" s="60">
        <v>3.62</v>
      </c>
      <c r="G58" s="60">
        <v>14.45</v>
      </c>
      <c r="H58" s="60">
        <v>11.34</v>
      </c>
      <c r="I58" s="60">
        <v>10.73</v>
      </c>
      <c r="J58" s="60">
        <v>1.39</v>
      </c>
      <c r="K58" s="60">
        <v>350.29</v>
      </c>
      <c r="L58" s="10" t="s">
        <v>43</v>
      </c>
      <c r="M58" s="60">
        <v>61.1</v>
      </c>
      <c r="N58" s="60">
        <v>595.70000000000005</v>
      </c>
      <c r="O58" s="60">
        <v>0</v>
      </c>
      <c r="P58" s="60">
        <v>0.49</v>
      </c>
      <c r="Q58" s="60">
        <v>14.74</v>
      </c>
      <c r="R58" s="197"/>
      <c r="S58" s="197"/>
      <c r="T58" s="197"/>
      <c r="U58" s="197"/>
    </row>
    <row r="59" spans="1:21" s="12" customFormat="1" x14ac:dyDescent="0.25">
      <c r="A59" s="200" t="s">
        <v>3082</v>
      </c>
      <c r="B59" s="60">
        <v>4.28</v>
      </c>
      <c r="C59" s="60">
        <v>10.18</v>
      </c>
      <c r="D59" s="60">
        <v>14.46</v>
      </c>
      <c r="E59" s="60">
        <v>4.82</v>
      </c>
      <c r="F59" s="60">
        <v>1.44</v>
      </c>
      <c r="G59" s="60">
        <v>14.45</v>
      </c>
      <c r="H59" s="60">
        <v>11.34</v>
      </c>
      <c r="I59" s="60">
        <v>9.8000000000000007</v>
      </c>
      <c r="J59" s="60">
        <v>1.28</v>
      </c>
      <c r="K59" s="60">
        <v>315.26</v>
      </c>
      <c r="L59" s="10" t="s">
        <v>43</v>
      </c>
      <c r="M59" s="60">
        <v>61.4</v>
      </c>
      <c r="N59" s="60">
        <v>767.2</v>
      </c>
      <c r="O59" s="60">
        <v>0</v>
      </c>
      <c r="P59" s="60">
        <v>0.54</v>
      </c>
      <c r="Q59" s="60">
        <v>14.97</v>
      </c>
      <c r="R59" s="197"/>
      <c r="S59" s="197"/>
      <c r="T59" s="197"/>
      <c r="U59" s="197"/>
    </row>
    <row r="60" spans="1:21" s="12" customFormat="1" x14ac:dyDescent="0.25">
      <c r="A60" s="200" t="s">
        <v>3083</v>
      </c>
      <c r="B60" s="60">
        <v>4.3600000000000003</v>
      </c>
      <c r="C60" s="60">
        <v>10.38</v>
      </c>
      <c r="D60" s="60">
        <v>14.74</v>
      </c>
      <c r="E60" s="60">
        <v>3.75</v>
      </c>
      <c r="F60" s="60">
        <v>3.41</v>
      </c>
      <c r="G60" s="60">
        <v>15.58</v>
      </c>
      <c r="H60" s="60">
        <v>12.27</v>
      </c>
      <c r="I60" s="60">
        <v>9.57</v>
      </c>
      <c r="J60" s="60">
        <v>0.94</v>
      </c>
      <c r="K60" s="60">
        <v>328.23</v>
      </c>
      <c r="L60" s="10" t="s">
        <v>43</v>
      </c>
      <c r="M60" s="60">
        <v>57.5</v>
      </c>
      <c r="N60" s="60">
        <v>867.9</v>
      </c>
      <c r="O60" s="60">
        <v>0</v>
      </c>
      <c r="P60" s="60">
        <v>0.53</v>
      </c>
      <c r="Q60" s="60">
        <v>14.55</v>
      </c>
      <c r="R60" s="197"/>
      <c r="S60" s="197"/>
      <c r="T60" s="197"/>
      <c r="U60" s="197"/>
    </row>
    <row r="61" spans="1:21" s="12" customFormat="1" x14ac:dyDescent="0.25">
      <c r="A61" s="200" t="s">
        <v>3084</v>
      </c>
      <c r="B61" s="60">
        <v>4.2</v>
      </c>
      <c r="C61" s="60">
        <v>10.36</v>
      </c>
      <c r="D61" s="60">
        <v>14.55</v>
      </c>
      <c r="E61" s="60">
        <v>3.86</v>
      </c>
      <c r="F61" s="60">
        <v>3.75</v>
      </c>
      <c r="G61" s="60">
        <v>17.440000000000001</v>
      </c>
      <c r="H61" s="60">
        <v>13.88</v>
      </c>
      <c r="I61" s="60">
        <v>9.4499999999999993</v>
      </c>
      <c r="J61" s="60">
        <v>0.17</v>
      </c>
      <c r="K61" s="60">
        <v>57.13</v>
      </c>
      <c r="L61" s="10" t="s">
        <v>43</v>
      </c>
      <c r="M61" s="60">
        <v>58.42</v>
      </c>
      <c r="N61" s="60">
        <v>892.1</v>
      </c>
      <c r="O61" s="60">
        <v>0</v>
      </c>
      <c r="P61" s="60">
        <v>0.51</v>
      </c>
      <c r="Q61" s="60">
        <v>13.34</v>
      </c>
      <c r="R61" s="197"/>
      <c r="S61" s="197"/>
      <c r="T61" s="197"/>
      <c r="U61" s="197"/>
    </row>
    <row r="62" spans="1:21" s="12" customFormat="1" x14ac:dyDescent="0.25">
      <c r="A62" s="200" t="s">
        <v>3085</v>
      </c>
      <c r="B62" s="60">
        <v>4.04</v>
      </c>
      <c r="C62" s="60">
        <v>10.57</v>
      </c>
      <c r="D62" s="60">
        <v>14.6</v>
      </c>
      <c r="E62" s="60">
        <v>3.95</v>
      </c>
      <c r="F62" s="60">
        <v>3.54</v>
      </c>
      <c r="G62" s="60">
        <v>17.440000000000001</v>
      </c>
      <c r="H62" s="60">
        <v>13.88</v>
      </c>
      <c r="I62" s="60">
        <v>8.51</v>
      </c>
      <c r="J62" s="60">
        <v>0.48</v>
      </c>
      <c r="K62" s="60">
        <v>319.91000000000003</v>
      </c>
      <c r="L62" s="10" t="s">
        <v>43</v>
      </c>
      <c r="M62" s="60">
        <v>59.92</v>
      </c>
      <c r="N62" s="60">
        <v>525.5</v>
      </c>
      <c r="O62" s="60">
        <v>0</v>
      </c>
      <c r="P62" s="60">
        <v>0.53</v>
      </c>
      <c r="Q62" s="60">
        <v>15.42</v>
      </c>
      <c r="R62" s="197"/>
      <c r="S62" s="197"/>
      <c r="T62" s="197"/>
      <c r="U62" s="197"/>
    </row>
    <row r="63" spans="1:21" s="12" customFormat="1" x14ac:dyDescent="0.25">
      <c r="A63" s="200" t="s">
        <v>3086</v>
      </c>
      <c r="B63" s="60">
        <v>4.18</v>
      </c>
      <c r="C63" s="60">
        <v>10.74</v>
      </c>
      <c r="D63" s="60">
        <v>14.92</v>
      </c>
      <c r="E63" s="60">
        <v>3.81</v>
      </c>
      <c r="F63" s="60">
        <v>2.98</v>
      </c>
      <c r="G63" s="60">
        <v>17.440000000000001</v>
      </c>
      <c r="H63" s="60">
        <v>13.88</v>
      </c>
      <c r="I63" s="60">
        <v>8.34</v>
      </c>
      <c r="J63" s="60">
        <v>0.78</v>
      </c>
      <c r="K63" s="60">
        <v>331.69</v>
      </c>
      <c r="L63" s="10" t="s">
        <v>43</v>
      </c>
      <c r="M63" s="60">
        <v>61.72</v>
      </c>
      <c r="N63" s="60">
        <v>729.5</v>
      </c>
      <c r="O63" s="60">
        <v>0</v>
      </c>
      <c r="P63" s="60">
        <v>0.56000000000000005</v>
      </c>
      <c r="Q63" s="60">
        <v>16.7</v>
      </c>
      <c r="R63" s="197"/>
      <c r="S63" s="197"/>
      <c r="T63" s="197"/>
      <c r="U63" s="197"/>
    </row>
    <row r="64" spans="1:21" s="12" customFormat="1" x14ac:dyDescent="0.25">
      <c r="A64" s="200" t="s">
        <v>3087</v>
      </c>
      <c r="B64" s="60">
        <v>4.26</v>
      </c>
      <c r="C64" s="60">
        <v>10.64</v>
      </c>
      <c r="D64" s="60">
        <v>14.9</v>
      </c>
      <c r="E64" s="60">
        <v>4.28</v>
      </c>
      <c r="F64" s="60">
        <v>2.2400000000000002</v>
      </c>
      <c r="G64" s="60">
        <v>19.23</v>
      </c>
      <c r="H64" s="60">
        <v>12.42</v>
      </c>
      <c r="I64" s="60">
        <v>8.7899999999999991</v>
      </c>
      <c r="J64" s="60">
        <v>0.34</v>
      </c>
      <c r="K64" s="60">
        <v>284.67</v>
      </c>
      <c r="L64" s="10" t="s">
        <v>43</v>
      </c>
      <c r="M64" s="60">
        <v>58.23</v>
      </c>
      <c r="N64" s="60">
        <v>884.8</v>
      </c>
      <c r="O64" s="60">
        <v>0</v>
      </c>
      <c r="P64" s="60">
        <v>0.56999999999999995</v>
      </c>
      <c r="Q64" s="60">
        <v>16.64</v>
      </c>
      <c r="R64" s="197"/>
      <c r="S64" s="197"/>
      <c r="T64" s="197"/>
      <c r="U64" s="197"/>
    </row>
    <row r="65" spans="1:21" s="12" customFormat="1" x14ac:dyDescent="0.25">
      <c r="A65" s="200" t="s">
        <v>3088</v>
      </c>
      <c r="B65" s="60">
        <v>3.97</v>
      </c>
      <c r="C65" s="60">
        <v>10.7</v>
      </c>
      <c r="D65" s="60">
        <v>14.67</v>
      </c>
      <c r="E65" s="60">
        <v>3.9</v>
      </c>
      <c r="F65" s="60">
        <v>2.84</v>
      </c>
      <c r="G65" s="60">
        <v>22.18</v>
      </c>
      <c r="H65" s="60">
        <v>9.89</v>
      </c>
      <c r="I65" s="60">
        <v>9.4</v>
      </c>
      <c r="J65" s="60">
        <v>0.69</v>
      </c>
      <c r="K65" s="60">
        <v>338.97</v>
      </c>
      <c r="L65" s="10" t="s">
        <v>43</v>
      </c>
      <c r="M65" s="60">
        <v>57.49</v>
      </c>
      <c r="N65" s="60">
        <v>853</v>
      </c>
      <c r="O65" s="60">
        <v>0</v>
      </c>
      <c r="P65" s="60">
        <v>0.54</v>
      </c>
      <c r="Q65" s="60">
        <v>17.22</v>
      </c>
      <c r="R65" s="197"/>
      <c r="S65" s="197"/>
      <c r="T65" s="197"/>
      <c r="U65" s="197"/>
    </row>
    <row r="66" spans="1:21" s="12" customFormat="1" x14ac:dyDescent="0.25">
      <c r="A66" s="200" t="s">
        <v>3089</v>
      </c>
      <c r="B66" s="60">
        <v>3.82</v>
      </c>
      <c r="C66" s="60">
        <v>10.82</v>
      </c>
      <c r="D66" s="60">
        <v>14.64</v>
      </c>
      <c r="E66" s="60">
        <v>4.55</v>
      </c>
      <c r="F66" s="60">
        <v>1.6</v>
      </c>
      <c r="G66" s="60">
        <v>22.18</v>
      </c>
      <c r="H66" s="60">
        <v>9.89</v>
      </c>
      <c r="I66" s="60">
        <v>9.0399999999999991</v>
      </c>
      <c r="J66" s="60">
        <v>0.72</v>
      </c>
      <c r="K66" s="60">
        <v>332.75</v>
      </c>
      <c r="L66" s="10" t="s">
        <v>43</v>
      </c>
      <c r="M66" s="60">
        <v>55.47</v>
      </c>
      <c r="N66" s="60">
        <v>855.1</v>
      </c>
      <c r="O66" s="60">
        <v>0</v>
      </c>
      <c r="P66" s="60">
        <v>0.57999999999999996</v>
      </c>
      <c r="Q66" s="60">
        <v>16.53</v>
      </c>
      <c r="R66" s="197"/>
      <c r="S66" s="197"/>
      <c r="T66" s="197"/>
      <c r="U66" s="197"/>
    </row>
    <row r="67" spans="1:21" s="12" customFormat="1" x14ac:dyDescent="0.25">
      <c r="A67" s="200" t="s">
        <v>3090</v>
      </c>
      <c r="B67" s="60">
        <v>4.04</v>
      </c>
      <c r="C67" s="60">
        <v>10.95</v>
      </c>
      <c r="D67" s="60">
        <v>14.99</v>
      </c>
      <c r="E67" s="60">
        <v>4.0199999999999996</v>
      </c>
      <c r="F67" s="60">
        <v>2.88</v>
      </c>
      <c r="G67" s="60">
        <v>22.18</v>
      </c>
      <c r="H67" s="60">
        <v>9.89</v>
      </c>
      <c r="I67" s="60">
        <v>9</v>
      </c>
      <c r="J67" s="60">
        <v>1.95</v>
      </c>
      <c r="K67" s="60">
        <v>328.73</v>
      </c>
      <c r="L67" s="10" t="s">
        <v>43</v>
      </c>
      <c r="M67" s="60">
        <v>49</v>
      </c>
      <c r="N67" s="60">
        <v>625.1</v>
      </c>
      <c r="O67" s="60">
        <v>0</v>
      </c>
      <c r="P67" s="60">
        <v>0.59</v>
      </c>
      <c r="Q67" s="60">
        <v>15.26</v>
      </c>
      <c r="R67" s="197"/>
      <c r="S67" s="197"/>
      <c r="T67" s="197"/>
      <c r="U67" s="197"/>
    </row>
    <row r="68" spans="1:21" s="12" customFormat="1" x14ac:dyDescent="0.25">
      <c r="A68" s="200" t="s">
        <v>3091</v>
      </c>
      <c r="B68" s="60">
        <v>4.38</v>
      </c>
      <c r="C68" s="60">
        <v>11.13</v>
      </c>
      <c r="D68" s="60">
        <v>15.51</v>
      </c>
      <c r="E68" s="60">
        <v>3.98</v>
      </c>
      <c r="F68" s="60">
        <v>3.14</v>
      </c>
      <c r="G68" s="60">
        <v>22.2</v>
      </c>
      <c r="H68" s="60">
        <v>9.0299999999999994</v>
      </c>
      <c r="I68" s="60">
        <v>9.14</v>
      </c>
      <c r="J68" s="60">
        <v>1.1000000000000001</v>
      </c>
      <c r="K68" s="60">
        <v>320.98</v>
      </c>
      <c r="L68" s="10" t="s">
        <v>43</v>
      </c>
      <c r="M68" s="60">
        <v>51.14</v>
      </c>
      <c r="N68" s="60">
        <v>157.1</v>
      </c>
      <c r="O68" s="60">
        <v>0</v>
      </c>
      <c r="P68" s="60">
        <v>0.64</v>
      </c>
      <c r="Q68" s="60">
        <v>15.9</v>
      </c>
      <c r="R68" s="197"/>
      <c r="S68" s="197"/>
      <c r="T68" s="197"/>
      <c r="U68" s="197"/>
    </row>
    <row r="69" spans="1:21" s="12" customFormat="1" x14ac:dyDescent="0.25">
      <c r="A69" s="200" t="s">
        <v>3092</v>
      </c>
      <c r="B69" s="60">
        <v>6.02</v>
      </c>
      <c r="C69" s="60">
        <v>12.04</v>
      </c>
      <c r="D69" s="60">
        <v>18.059999999999999</v>
      </c>
      <c r="E69" s="60">
        <v>4.1399999999999997</v>
      </c>
      <c r="F69" s="60">
        <v>3.32</v>
      </c>
      <c r="G69" s="60">
        <v>22.25</v>
      </c>
      <c r="H69" s="60">
        <v>7.55</v>
      </c>
      <c r="I69" s="60">
        <v>8.7100000000000009</v>
      </c>
      <c r="J69" s="60">
        <v>1.05</v>
      </c>
      <c r="K69" s="60">
        <v>314.66000000000003</v>
      </c>
      <c r="L69" s="10" t="s">
        <v>43</v>
      </c>
      <c r="M69" s="60">
        <v>54.29</v>
      </c>
      <c r="N69" s="60">
        <v>306.2</v>
      </c>
      <c r="O69" s="60">
        <v>0</v>
      </c>
      <c r="P69" s="60">
        <v>0.66</v>
      </c>
      <c r="Q69" s="60">
        <v>16.38</v>
      </c>
      <c r="R69" s="197"/>
      <c r="S69" s="197"/>
      <c r="T69" s="197"/>
      <c r="U69" s="197"/>
    </row>
    <row r="70" spans="1:21" s="12" customFormat="1" x14ac:dyDescent="0.25">
      <c r="A70" s="200" t="s">
        <v>3093</v>
      </c>
      <c r="B70" s="60">
        <v>4.9800000000000004</v>
      </c>
      <c r="C70" s="60">
        <v>11.49</v>
      </c>
      <c r="D70" s="60">
        <v>16.48</v>
      </c>
      <c r="E70" s="60">
        <v>4.22</v>
      </c>
      <c r="F70" s="60">
        <v>9.2899999999999991</v>
      </c>
      <c r="G70" s="60">
        <v>22.25</v>
      </c>
      <c r="H70" s="60">
        <v>7.55</v>
      </c>
      <c r="I70" s="60">
        <v>8.66</v>
      </c>
      <c r="J70" s="60">
        <v>0.6</v>
      </c>
      <c r="K70" s="60">
        <v>249.69</v>
      </c>
      <c r="L70" s="10" t="s">
        <v>43</v>
      </c>
      <c r="M70" s="60">
        <v>58.37</v>
      </c>
      <c r="N70" s="60">
        <v>135.4</v>
      </c>
      <c r="O70" s="60">
        <v>0</v>
      </c>
      <c r="P70" s="60">
        <v>0.55000000000000004</v>
      </c>
      <c r="Q70" s="60">
        <v>15.14</v>
      </c>
      <c r="R70" s="197"/>
      <c r="S70" s="197"/>
      <c r="T70" s="197"/>
      <c r="U70" s="197"/>
    </row>
    <row r="71" spans="1:21" s="12" customFormat="1" x14ac:dyDescent="0.25">
      <c r="A71" s="200" t="s">
        <v>3094</v>
      </c>
      <c r="B71" s="60">
        <v>6.97</v>
      </c>
      <c r="C71" s="60">
        <v>16.04</v>
      </c>
      <c r="D71" s="60">
        <v>23.01</v>
      </c>
      <c r="E71" s="60">
        <v>3.37</v>
      </c>
      <c r="F71" s="60">
        <v>16.66</v>
      </c>
      <c r="G71" s="60">
        <v>22.25</v>
      </c>
      <c r="H71" s="60">
        <v>7.55</v>
      </c>
      <c r="I71" s="60">
        <v>8.18</v>
      </c>
      <c r="J71" s="60">
        <v>1.36</v>
      </c>
      <c r="K71" s="60">
        <v>347.32</v>
      </c>
      <c r="L71" s="10" t="s">
        <v>43</v>
      </c>
      <c r="M71" s="60">
        <v>61.44</v>
      </c>
      <c r="N71" s="60">
        <v>106.1</v>
      </c>
      <c r="O71" s="60">
        <v>0</v>
      </c>
      <c r="P71" s="60">
        <v>1.06</v>
      </c>
      <c r="Q71" s="60">
        <v>10.42</v>
      </c>
      <c r="R71" s="197"/>
      <c r="S71" s="197"/>
      <c r="T71" s="197"/>
      <c r="U71" s="197"/>
    </row>
    <row r="72" spans="1:21" s="12" customFormat="1" x14ac:dyDescent="0.25">
      <c r="A72" s="200" t="s">
        <v>3095</v>
      </c>
      <c r="B72" s="60">
        <v>9.7799999999999994</v>
      </c>
      <c r="C72" s="60">
        <v>23.25</v>
      </c>
      <c r="D72" s="60">
        <v>33.03</v>
      </c>
      <c r="E72" s="60">
        <v>1.66</v>
      </c>
      <c r="F72" s="60">
        <v>20.66</v>
      </c>
      <c r="G72" s="60">
        <v>20.2</v>
      </c>
      <c r="H72" s="60">
        <v>8.25</v>
      </c>
      <c r="I72" s="60">
        <v>6.79</v>
      </c>
      <c r="J72" s="60">
        <v>1.26</v>
      </c>
      <c r="K72" s="60">
        <v>5.94</v>
      </c>
      <c r="L72" s="10" t="s">
        <v>43</v>
      </c>
      <c r="M72" s="60">
        <v>63.9</v>
      </c>
      <c r="N72" s="60">
        <v>91.6</v>
      </c>
      <c r="O72" s="60">
        <v>0</v>
      </c>
      <c r="P72" s="60">
        <v>1.27</v>
      </c>
      <c r="Q72" s="60">
        <v>6.97</v>
      </c>
      <c r="R72" s="197"/>
      <c r="S72" s="197"/>
      <c r="T72" s="197"/>
      <c r="U72" s="197"/>
    </row>
    <row r="73" spans="1:21" s="12" customFormat="1" x14ac:dyDescent="0.25">
      <c r="A73" s="200" t="s">
        <v>3096</v>
      </c>
      <c r="B73" s="60">
        <v>5.92</v>
      </c>
      <c r="C73" s="60">
        <v>18.86</v>
      </c>
      <c r="D73" s="60">
        <v>24.79</v>
      </c>
      <c r="E73" s="60">
        <v>3.66</v>
      </c>
      <c r="F73" s="60">
        <v>11.92</v>
      </c>
      <c r="G73" s="60">
        <v>16.829999999999998</v>
      </c>
      <c r="H73" s="60">
        <v>9.4499999999999993</v>
      </c>
      <c r="I73" s="60">
        <v>5.03</v>
      </c>
      <c r="J73" s="60">
        <v>2.13</v>
      </c>
      <c r="K73" s="60">
        <v>98.89</v>
      </c>
      <c r="L73" s="10" t="s">
        <v>43</v>
      </c>
      <c r="M73" s="60">
        <v>68.84</v>
      </c>
      <c r="N73" s="60">
        <v>130.69999999999999</v>
      </c>
      <c r="O73" s="60">
        <v>0</v>
      </c>
      <c r="P73" s="60">
        <v>0.85</v>
      </c>
      <c r="Q73" s="60">
        <v>10.81</v>
      </c>
      <c r="R73" s="197"/>
      <c r="S73" s="197"/>
      <c r="T73" s="197"/>
      <c r="U73" s="197"/>
    </row>
    <row r="74" spans="1:21" s="12" customFormat="1" x14ac:dyDescent="0.25">
      <c r="A74" s="200" t="s">
        <v>3097</v>
      </c>
      <c r="B74" s="60">
        <v>4.22</v>
      </c>
      <c r="C74" s="60">
        <v>15.43</v>
      </c>
      <c r="D74" s="60">
        <v>19.649999999999999</v>
      </c>
      <c r="E74" s="60">
        <v>7.56</v>
      </c>
      <c r="F74" s="60">
        <v>34.979999999999997</v>
      </c>
      <c r="G74" s="60">
        <v>16.829999999999998</v>
      </c>
      <c r="H74" s="60">
        <v>9.4499999999999993</v>
      </c>
      <c r="I74" s="60">
        <v>5.77</v>
      </c>
      <c r="J74" s="60">
        <v>1.81</v>
      </c>
      <c r="K74" s="60">
        <v>98.72</v>
      </c>
      <c r="L74" s="10" t="s">
        <v>43</v>
      </c>
      <c r="M74" s="60">
        <v>67.040000000000006</v>
      </c>
      <c r="N74" s="60">
        <v>124.3</v>
      </c>
      <c r="O74" s="60">
        <v>0</v>
      </c>
      <c r="P74" s="60">
        <v>0.76</v>
      </c>
      <c r="Q74" s="60">
        <v>16.510000000000002</v>
      </c>
      <c r="R74" s="197"/>
      <c r="S74" s="197"/>
      <c r="T74" s="197"/>
      <c r="U74" s="197"/>
    </row>
    <row r="75" spans="1:21" s="12" customFormat="1" x14ac:dyDescent="0.25">
      <c r="A75" s="200" t="s">
        <v>3098</v>
      </c>
      <c r="B75" s="60">
        <v>4.03</v>
      </c>
      <c r="C75" s="60">
        <v>18.190000000000001</v>
      </c>
      <c r="D75" s="60">
        <v>22.23</v>
      </c>
      <c r="E75" s="60">
        <v>6.65</v>
      </c>
      <c r="F75" s="60">
        <v>23.57</v>
      </c>
      <c r="G75" s="60">
        <v>16.829999999999998</v>
      </c>
      <c r="H75" s="60">
        <v>9.4499999999999993</v>
      </c>
      <c r="I75" s="60">
        <v>7.81</v>
      </c>
      <c r="J75" s="60">
        <v>1.86</v>
      </c>
      <c r="K75" s="60">
        <v>93.96</v>
      </c>
      <c r="L75" s="10" t="s">
        <v>43</v>
      </c>
      <c r="M75" s="60">
        <v>64.7</v>
      </c>
      <c r="N75" s="60">
        <v>126.8</v>
      </c>
      <c r="O75" s="60">
        <v>0</v>
      </c>
      <c r="P75" s="60">
        <v>0.71</v>
      </c>
      <c r="Q75" s="60">
        <v>15.9</v>
      </c>
      <c r="R75" s="197"/>
      <c r="S75" s="197"/>
      <c r="T75" s="197"/>
      <c r="U75" s="197"/>
    </row>
    <row r="76" spans="1:21" s="12" customFormat="1" x14ac:dyDescent="0.25">
      <c r="A76" s="200" t="s">
        <v>3099</v>
      </c>
      <c r="B76" s="60">
        <v>2.64</v>
      </c>
      <c r="C76" s="60">
        <v>14.69</v>
      </c>
      <c r="D76" s="60">
        <v>17.32</v>
      </c>
      <c r="E76" s="60">
        <v>7.88</v>
      </c>
      <c r="F76" s="60">
        <v>20.239999999999998</v>
      </c>
      <c r="G76" s="60">
        <v>20.41</v>
      </c>
      <c r="H76" s="60">
        <v>12.82</v>
      </c>
      <c r="I76" s="60">
        <v>6.93</v>
      </c>
      <c r="J76" s="60">
        <v>1.68</v>
      </c>
      <c r="K76" s="60">
        <v>122.49</v>
      </c>
      <c r="L76" s="10" t="s">
        <v>43</v>
      </c>
      <c r="M76" s="60">
        <v>61.79</v>
      </c>
      <c r="N76" s="60">
        <v>131.19999999999999</v>
      </c>
      <c r="O76" s="60">
        <v>0</v>
      </c>
      <c r="P76" s="60">
        <v>0.63</v>
      </c>
      <c r="Q76" s="60">
        <v>19.75</v>
      </c>
      <c r="R76" s="197"/>
      <c r="S76" s="197"/>
      <c r="T76" s="197"/>
      <c r="U76" s="197"/>
    </row>
    <row r="77" spans="1:21" s="12" customFormat="1" x14ac:dyDescent="0.25">
      <c r="A77" s="200" t="s">
        <v>3100</v>
      </c>
      <c r="B77" s="60">
        <v>1.85</v>
      </c>
      <c r="C77" s="60">
        <v>14.23</v>
      </c>
      <c r="D77" s="60">
        <v>16.079999999999998</v>
      </c>
      <c r="E77" s="60">
        <v>8.52</v>
      </c>
      <c r="F77" s="60">
        <v>28.77</v>
      </c>
      <c r="G77" s="60">
        <v>26.31</v>
      </c>
      <c r="H77" s="60">
        <v>18.63</v>
      </c>
      <c r="I77" s="60">
        <v>7.32</v>
      </c>
      <c r="J77" s="60">
        <v>0.73</v>
      </c>
      <c r="K77" s="60">
        <v>87.66</v>
      </c>
      <c r="L77" s="10" t="s">
        <v>43</v>
      </c>
      <c r="M77" s="60">
        <v>62.58</v>
      </c>
      <c r="N77" s="60">
        <v>101.1</v>
      </c>
      <c r="O77" s="60">
        <v>0</v>
      </c>
      <c r="P77" s="60">
        <v>0.56999999999999995</v>
      </c>
      <c r="Q77" s="60">
        <v>23.54</v>
      </c>
      <c r="R77" s="197"/>
      <c r="S77" s="197"/>
      <c r="T77" s="197"/>
      <c r="U77" s="197"/>
    </row>
    <row r="78" spans="1:21" s="12" customFormat="1" x14ac:dyDescent="0.25">
      <c r="A78" s="200" t="s">
        <v>3101</v>
      </c>
      <c r="B78" s="60">
        <v>1.96</v>
      </c>
      <c r="C78" s="60">
        <v>16.37</v>
      </c>
      <c r="D78" s="60">
        <v>18.329999999999998</v>
      </c>
      <c r="E78" s="60">
        <v>8.4700000000000006</v>
      </c>
      <c r="F78" s="60">
        <v>26.3</v>
      </c>
      <c r="G78" s="60">
        <v>26.31</v>
      </c>
      <c r="H78" s="60">
        <v>18.63</v>
      </c>
      <c r="I78" s="60">
        <v>8.5500000000000007</v>
      </c>
      <c r="J78" s="60">
        <v>0.66</v>
      </c>
      <c r="K78" s="60">
        <v>203.39</v>
      </c>
      <c r="L78" s="10" t="s">
        <v>43</v>
      </c>
      <c r="M78" s="60">
        <v>61.81</v>
      </c>
      <c r="N78" s="60">
        <v>94.2</v>
      </c>
      <c r="O78" s="60">
        <v>0</v>
      </c>
      <c r="P78" s="60">
        <v>0.77</v>
      </c>
      <c r="Q78" s="60">
        <v>23.19</v>
      </c>
      <c r="R78" s="197"/>
      <c r="S78" s="197"/>
      <c r="T78" s="197"/>
      <c r="U78" s="197"/>
    </row>
    <row r="79" spans="1:21" s="12" customFormat="1" x14ac:dyDescent="0.25">
      <c r="A79" s="200" t="s">
        <v>3102</v>
      </c>
      <c r="B79" s="60">
        <v>1.42</v>
      </c>
      <c r="C79" s="60">
        <v>14.72</v>
      </c>
      <c r="D79" s="60">
        <v>16.14</v>
      </c>
      <c r="E79" s="60">
        <v>9.61</v>
      </c>
      <c r="F79" s="60">
        <v>33.19</v>
      </c>
      <c r="G79" s="60">
        <v>26.31</v>
      </c>
      <c r="H79" s="60">
        <v>18.63</v>
      </c>
      <c r="I79" s="60">
        <v>6.15</v>
      </c>
      <c r="J79" s="60">
        <v>0.64</v>
      </c>
      <c r="K79" s="60">
        <v>68.44</v>
      </c>
      <c r="L79" s="10" t="s">
        <v>43</v>
      </c>
      <c r="M79" s="60">
        <v>60.54</v>
      </c>
      <c r="N79" s="60">
        <v>73.099999999999994</v>
      </c>
      <c r="O79" s="60">
        <v>0</v>
      </c>
      <c r="P79" s="60">
        <v>0.71</v>
      </c>
      <c r="Q79" s="60">
        <v>24.09</v>
      </c>
      <c r="R79" s="197"/>
      <c r="S79" s="197"/>
      <c r="T79" s="197"/>
      <c r="U79" s="197"/>
    </row>
    <row r="80" spans="1:21" s="12" customFormat="1" x14ac:dyDescent="0.25">
      <c r="A80" s="200" t="s">
        <v>3103</v>
      </c>
      <c r="B80" s="60">
        <v>5.36</v>
      </c>
      <c r="C80" s="60">
        <v>22.98</v>
      </c>
      <c r="D80" s="60">
        <v>28.35</v>
      </c>
      <c r="E80" s="60">
        <v>9.58</v>
      </c>
      <c r="F80" s="60">
        <v>22.38</v>
      </c>
      <c r="G80" s="60">
        <v>26.68</v>
      </c>
      <c r="H80" s="60">
        <v>19.63</v>
      </c>
      <c r="I80" s="60">
        <v>4.5599999999999996</v>
      </c>
      <c r="J80" s="60">
        <v>1.24</v>
      </c>
      <c r="K80" s="60">
        <v>330.25</v>
      </c>
      <c r="L80" s="10" t="s">
        <v>43</v>
      </c>
      <c r="M80" s="60">
        <v>62</v>
      </c>
      <c r="N80" s="60">
        <v>43.8</v>
      </c>
      <c r="O80" s="60">
        <v>0</v>
      </c>
      <c r="P80" s="60">
        <v>1.67</v>
      </c>
      <c r="Q80" s="60">
        <v>21.08</v>
      </c>
      <c r="R80" s="197"/>
      <c r="S80" s="197"/>
      <c r="T80" s="197"/>
      <c r="U80" s="197"/>
    </row>
    <row r="81" spans="1:26" s="12" customFormat="1" x14ac:dyDescent="0.25">
      <c r="A81" s="200" t="s">
        <v>3104</v>
      </c>
      <c r="B81" s="60">
        <v>3.79</v>
      </c>
      <c r="C81" s="60">
        <v>20.49</v>
      </c>
      <c r="D81" s="60">
        <v>24.28</v>
      </c>
      <c r="E81" s="60">
        <v>9.14</v>
      </c>
      <c r="F81" s="60">
        <v>44.96</v>
      </c>
      <c r="G81" s="60">
        <v>27.28</v>
      </c>
      <c r="H81" s="60">
        <v>21.36</v>
      </c>
      <c r="I81" s="60">
        <v>6.08</v>
      </c>
      <c r="J81" s="60">
        <v>1.06</v>
      </c>
      <c r="K81" s="60">
        <v>103.44</v>
      </c>
      <c r="L81" s="10" t="s">
        <v>43</v>
      </c>
      <c r="M81" s="60">
        <v>62.58</v>
      </c>
      <c r="N81" s="60">
        <v>21.4</v>
      </c>
      <c r="O81" s="60">
        <v>0</v>
      </c>
      <c r="P81" s="60">
        <v>0.74</v>
      </c>
      <c r="Q81" s="60">
        <v>22.61</v>
      </c>
      <c r="R81" s="197"/>
      <c r="S81" s="197"/>
      <c r="T81" s="197"/>
      <c r="U81" s="197"/>
    </row>
    <row r="82" spans="1:26" s="12" customFormat="1" x14ac:dyDescent="0.25">
      <c r="A82" s="200" t="s">
        <v>3105</v>
      </c>
      <c r="B82" s="60">
        <v>1.8</v>
      </c>
      <c r="C82" s="60">
        <v>16.43</v>
      </c>
      <c r="D82" s="60">
        <v>18.23</v>
      </c>
      <c r="E82" s="60">
        <v>6.8</v>
      </c>
      <c r="F82" s="60">
        <v>42.21</v>
      </c>
      <c r="G82" s="60">
        <v>27.28</v>
      </c>
      <c r="H82" s="60">
        <v>21.36</v>
      </c>
      <c r="I82" s="60">
        <v>6.94</v>
      </c>
      <c r="J82" s="60">
        <v>0.67</v>
      </c>
      <c r="K82" s="60">
        <v>150.15</v>
      </c>
      <c r="L82" s="10" t="s">
        <v>43</v>
      </c>
      <c r="M82" s="60">
        <v>64.41</v>
      </c>
      <c r="N82" s="60">
        <v>16.899999999999999</v>
      </c>
      <c r="O82" s="60">
        <v>0</v>
      </c>
      <c r="P82" s="60">
        <v>0.75</v>
      </c>
      <c r="Q82" s="60">
        <v>24.47</v>
      </c>
      <c r="R82" s="197"/>
      <c r="S82" s="197"/>
      <c r="T82" s="197"/>
      <c r="U82" s="197"/>
    </row>
    <row r="83" spans="1:26" s="12" customFormat="1" x14ac:dyDescent="0.25">
      <c r="A83" s="200" t="s">
        <v>3106</v>
      </c>
      <c r="B83" s="60">
        <v>1.45</v>
      </c>
      <c r="C83" s="60">
        <v>17.739999999999998</v>
      </c>
      <c r="D83" s="60">
        <v>19.2</v>
      </c>
      <c r="E83" s="60">
        <v>6.49</v>
      </c>
      <c r="F83" s="60">
        <v>32.93</v>
      </c>
      <c r="G83" s="60">
        <v>27.28</v>
      </c>
      <c r="H83" s="60">
        <v>21.36</v>
      </c>
      <c r="I83" s="60">
        <v>4.28</v>
      </c>
      <c r="J83" s="60">
        <v>0.96</v>
      </c>
      <c r="K83" s="60">
        <v>207.29</v>
      </c>
      <c r="L83" s="10" t="s">
        <v>43</v>
      </c>
      <c r="M83" s="60">
        <v>68.53</v>
      </c>
      <c r="N83" s="60">
        <v>15.6</v>
      </c>
      <c r="O83" s="60">
        <v>0</v>
      </c>
      <c r="P83" s="60">
        <v>0.82</v>
      </c>
      <c r="Q83" s="60">
        <v>24.31</v>
      </c>
      <c r="R83" s="197"/>
      <c r="S83" s="197"/>
      <c r="T83" s="197"/>
      <c r="U83" s="197"/>
    </row>
    <row r="84" spans="1:26" s="12" customFormat="1" x14ac:dyDescent="0.25">
      <c r="A84" s="200" t="s">
        <v>3107</v>
      </c>
      <c r="B84" s="60">
        <v>1.1599999999999999</v>
      </c>
      <c r="C84" s="60">
        <v>18.28</v>
      </c>
      <c r="D84" s="60">
        <v>19.440000000000001</v>
      </c>
      <c r="E84" s="60">
        <v>4.09</v>
      </c>
      <c r="F84" s="60">
        <v>35.47</v>
      </c>
      <c r="G84" s="60">
        <v>33.14</v>
      </c>
      <c r="H84" s="60">
        <v>21.94</v>
      </c>
      <c r="I84" s="60">
        <v>3.92</v>
      </c>
      <c r="J84" s="60">
        <v>1.3</v>
      </c>
      <c r="K84" s="60">
        <v>206.62</v>
      </c>
      <c r="L84" s="10" t="s">
        <v>43</v>
      </c>
      <c r="M84" s="60">
        <v>70.180000000000007</v>
      </c>
      <c r="N84" s="60">
        <v>15.4</v>
      </c>
      <c r="O84" s="60">
        <v>0</v>
      </c>
      <c r="P84" s="60">
        <v>0.82</v>
      </c>
      <c r="Q84" s="60">
        <v>24.38</v>
      </c>
      <c r="R84" s="197"/>
      <c r="S84" s="197"/>
      <c r="T84" s="197"/>
      <c r="U84" s="197"/>
    </row>
    <row r="85" spans="1:26" s="12" customFormat="1" x14ac:dyDescent="0.25">
      <c r="A85" s="200" t="s">
        <v>3108</v>
      </c>
      <c r="B85" s="60">
        <v>0.97</v>
      </c>
      <c r="C85" s="60">
        <v>17.760000000000002</v>
      </c>
      <c r="D85" s="60">
        <v>18.73</v>
      </c>
      <c r="E85" s="60">
        <v>2.23</v>
      </c>
      <c r="F85" s="60">
        <v>29.08</v>
      </c>
      <c r="G85" s="60">
        <v>42.78</v>
      </c>
      <c r="H85" s="60">
        <v>22.93</v>
      </c>
      <c r="I85" s="60">
        <v>5.2</v>
      </c>
      <c r="J85" s="60">
        <v>0.85</v>
      </c>
      <c r="K85" s="60">
        <v>221.19</v>
      </c>
      <c r="L85" s="10" t="s">
        <v>43</v>
      </c>
      <c r="M85" s="60">
        <v>71.010000000000005</v>
      </c>
      <c r="N85" s="60">
        <v>15.4</v>
      </c>
      <c r="O85" s="60">
        <v>0</v>
      </c>
      <c r="P85" s="60">
        <v>0.71</v>
      </c>
      <c r="Q85" s="60">
        <v>20.85</v>
      </c>
      <c r="R85" s="197"/>
      <c r="S85" s="197"/>
      <c r="T85" s="197"/>
      <c r="U85" s="197"/>
    </row>
    <row r="86" spans="1:26" s="12" customFormat="1" x14ac:dyDescent="0.25">
      <c r="A86" s="200" t="s">
        <v>3109</v>
      </c>
      <c r="B86" s="60">
        <v>1.64</v>
      </c>
      <c r="C86" s="60">
        <v>20.39</v>
      </c>
      <c r="D86" s="60">
        <v>22.02</v>
      </c>
      <c r="E86" s="60">
        <v>0.69</v>
      </c>
      <c r="F86" s="60">
        <v>28.86</v>
      </c>
      <c r="G86" s="60">
        <v>42.78</v>
      </c>
      <c r="H86" s="60">
        <v>22.93</v>
      </c>
      <c r="I86" s="60">
        <v>5.28</v>
      </c>
      <c r="J86" s="60">
        <v>0.73</v>
      </c>
      <c r="K86" s="60">
        <v>234.12</v>
      </c>
      <c r="L86" s="10" t="s">
        <v>43</v>
      </c>
      <c r="M86" s="60">
        <v>70.19</v>
      </c>
      <c r="N86" s="60">
        <v>15.4</v>
      </c>
      <c r="O86" s="60">
        <v>0</v>
      </c>
      <c r="P86" s="60">
        <v>0.8</v>
      </c>
      <c r="Q86" s="60">
        <v>16.350000000000001</v>
      </c>
      <c r="R86" s="197"/>
      <c r="S86" s="197"/>
      <c r="T86" s="197"/>
      <c r="U86" s="197"/>
    </row>
    <row r="87" spans="1:26" s="12" customFormat="1" x14ac:dyDescent="0.25">
      <c r="A87" s="200" t="s">
        <v>3110</v>
      </c>
      <c r="B87" s="60">
        <v>0.91</v>
      </c>
      <c r="C87" s="60">
        <v>17.93</v>
      </c>
      <c r="D87" s="60">
        <v>18.850000000000001</v>
      </c>
      <c r="E87" s="60">
        <v>1.1200000000000001</v>
      </c>
      <c r="F87" s="60">
        <v>26.1</v>
      </c>
      <c r="G87" s="60">
        <v>42.78</v>
      </c>
      <c r="H87" s="60">
        <v>22.93</v>
      </c>
      <c r="I87" s="60">
        <v>4.5999999999999996</v>
      </c>
      <c r="J87" s="60">
        <v>1.1200000000000001</v>
      </c>
      <c r="K87" s="60">
        <v>261.89</v>
      </c>
      <c r="L87" s="10" t="s">
        <v>43</v>
      </c>
      <c r="M87" s="60">
        <v>72.37</v>
      </c>
      <c r="N87" s="60">
        <v>15.4</v>
      </c>
      <c r="O87" s="60">
        <v>0</v>
      </c>
      <c r="P87" s="60">
        <v>0.77</v>
      </c>
      <c r="Q87" s="60">
        <v>15.34</v>
      </c>
      <c r="R87" s="197"/>
      <c r="S87" s="197"/>
      <c r="T87" s="197"/>
      <c r="U87" s="197"/>
    </row>
    <row r="88" spans="1:26" s="12" customFormat="1" x14ac:dyDescent="0.25">
      <c r="A88" s="200" t="s">
        <v>3111</v>
      </c>
      <c r="B88" s="60">
        <v>0.75</v>
      </c>
      <c r="C88" s="60">
        <v>18.95</v>
      </c>
      <c r="D88" s="60">
        <v>19.7</v>
      </c>
      <c r="E88" s="60">
        <v>1.05</v>
      </c>
      <c r="F88" s="60">
        <v>22.38</v>
      </c>
      <c r="G88" s="60">
        <v>39.94</v>
      </c>
      <c r="H88" s="60">
        <v>23.39</v>
      </c>
      <c r="I88" s="60">
        <v>4.2</v>
      </c>
      <c r="J88" s="60">
        <v>1</v>
      </c>
      <c r="K88" s="60">
        <v>198.94</v>
      </c>
      <c r="L88" s="10" t="s">
        <v>43</v>
      </c>
      <c r="M88" s="60">
        <v>74.760000000000005</v>
      </c>
      <c r="N88" s="60">
        <v>15</v>
      </c>
      <c r="O88" s="60">
        <v>0</v>
      </c>
      <c r="P88" s="60">
        <v>0.76</v>
      </c>
      <c r="Q88" s="60">
        <v>16.760000000000002</v>
      </c>
      <c r="R88" s="197"/>
      <c r="S88" s="197"/>
      <c r="T88" s="197"/>
      <c r="U88" s="197"/>
    </row>
    <row r="89" spans="1:26" s="12" customFormat="1" x14ac:dyDescent="0.25">
      <c r="A89" s="200" t="s">
        <v>3112</v>
      </c>
      <c r="B89" s="60">
        <v>0.71</v>
      </c>
      <c r="C89" s="60">
        <v>15.99</v>
      </c>
      <c r="D89" s="60">
        <v>16.7</v>
      </c>
      <c r="E89" s="60">
        <v>2.08</v>
      </c>
      <c r="F89" s="60">
        <v>17.75</v>
      </c>
      <c r="G89" s="60">
        <v>35.25</v>
      </c>
      <c r="H89" s="60">
        <v>24.19</v>
      </c>
      <c r="I89" s="60">
        <v>4.0599999999999996</v>
      </c>
      <c r="J89" s="60">
        <v>0.9</v>
      </c>
      <c r="K89" s="60">
        <v>248.28</v>
      </c>
      <c r="L89" s="10" t="s">
        <v>43</v>
      </c>
      <c r="M89" s="60">
        <v>77.02</v>
      </c>
      <c r="N89" s="60">
        <v>15.1</v>
      </c>
      <c r="O89" s="60">
        <v>0</v>
      </c>
      <c r="P89" s="60">
        <v>0.7</v>
      </c>
      <c r="Q89" s="60">
        <v>16.12</v>
      </c>
      <c r="R89" s="197"/>
      <c r="S89" s="197"/>
      <c r="T89" s="197"/>
      <c r="U89" s="197"/>
    </row>
    <row r="90" spans="1:26" s="12" customFormat="1" x14ac:dyDescent="0.25">
      <c r="A90" s="200" t="s">
        <v>3113</v>
      </c>
      <c r="B90" s="60">
        <v>0.71</v>
      </c>
      <c r="C90" s="60">
        <v>15.08</v>
      </c>
      <c r="D90" s="60">
        <v>15.8</v>
      </c>
      <c r="E90" s="60">
        <v>1.52</v>
      </c>
      <c r="F90" s="60">
        <v>13.42</v>
      </c>
      <c r="G90" s="60">
        <v>35.25</v>
      </c>
      <c r="H90" s="60">
        <v>24.19</v>
      </c>
      <c r="I90" s="60">
        <v>4.1399999999999997</v>
      </c>
      <c r="J90" s="60">
        <v>0.36</v>
      </c>
      <c r="K90" s="60">
        <v>297.81</v>
      </c>
      <c r="L90" s="10" t="s">
        <v>43</v>
      </c>
      <c r="M90" s="60">
        <v>79.97</v>
      </c>
      <c r="N90" s="60">
        <v>15</v>
      </c>
      <c r="O90" s="60">
        <v>0</v>
      </c>
      <c r="P90" s="60">
        <v>0.74</v>
      </c>
      <c r="Q90" s="60">
        <v>16.66</v>
      </c>
      <c r="R90" s="197"/>
      <c r="S90" s="197"/>
      <c r="T90" s="197"/>
      <c r="U90" s="197"/>
    </row>
    <row r="91" spans="1:26" s="12" customFormat="1" x14ac:dyDescent="0.25">
      <c r="A91" s="200" t="s">
        <v>3114</v>
      </c>
      <c r="B91" s="60">
        <v>1.1200000000000001</v>
      </c>
      <c r="C91" s="60">
        <v>15.57</v>
      </c>
      <c r="D91" s="60">
        <v>16.690000000000001</v>
      </c>
      <c r="E91" s="60">
        <v>1.46</v>
      </c>
      <c r="F91" s="60">
        <v>10.16</v>
      </c>
      <c r="G91" s="60">
        <v>35.25</v>
      </c>
      <c r="H91" s="60">
        <v>24.19</v>
      </c>
      <c r="I91" s="60">
        <v>4.1900000000000004</v>
      </c>
      <c r="J91" s="60">
        <v>0.98</v>
      </c>
      <c r="K91" s="60">
        <v>165.95</v>
      </c>
      <c r="L91" s="10" t="s">
        <v>43</v>
      </c>
      <c r="M91" s="60">
        <v>81.81</v>
      </c>
      <c r="N91" s="60">
        <v>14.7</v>
      </c>
      <c r="O91" s="60">
        <v>0</v>
      </c>
      <c r="P91" s="60">
        <v>0.66</v>
      </c>
      <c r="Q91" s="60">
        <v>17.59</v>
      </c>
      <c r="R91" s="197"/>
      <c r="S91" s="197"/>
      <c r="T91" s="197"/>
      <c r="U91" s="197"/>
    </row>
    <row r="92" spans="1:26" s="12" customFormat="1" x14ac:dyDescent="0.25">
      <c r="A92" s="200" t="s">
        <v>3115</v>
      </c>
      <c r="B92" s="60">
        <v>1.87</v>
      </c>
      <c r="C92" s="60">
        <v>17.489999999999998</v>
      </c>
      <c r="D92" s="60">
        <v>19.36</v>
      </c>
      <c r="E92" s="60">
        <v>1.1599999999999999</v>
      </c>
      <c r="F92" s="60">
        <v>5.23</v>
      </c>
      <c r="G92" s="60">
        <v>34.29</v>
      </c>
      <c r="H92" s="60">
        <v>24.35</v>
      </c>
      <c r="I92" s="60">
        <v>4.0999999999999996</v>
      </c>
      <c r="J92" s="60">
        <v>0.89</v>
      </c>
      <c r="K92" s="60">
        <v>231.8</v>
      </c>
      <c r="L92" s="10" t="s">
        <v>43</v>
      </c>
      <c r="M92" s="60">
        <v>83.68</v>
      </c>
      <c r="N92" s="60">
        <v>14.9</v>
      </c>
      <c r="O92" s="60">
        <v>0</v>
      </c>
      <c r="P92" s="60">
        <v>0.8</v>
      </c>
      <c r="Q92" s="60">
        <v>18.079999999999998</v>
      </c>
      <c r="R92" s="197"/>
      <c r="S92" s="197"/>
      <c r="T92" s="197"/>
      <c r="U92" s="197"/>
    </row>
    <row r="93" spans="1:26" s="12" customFormat="1" x14ac:dyDescent="0.25">
      <c r="A93" s="200" t="s">
        <v>3116</v>
      </c>
      <c r="B93" s="60">
        <v>1.85</v>
      </c>
      <c r="C93" s="60">
        <v>15.21</v>
      </c>
      <c r="D93" s="60">
        <v>17.05</v>
      </c>
      <c r="E93" s="60">
        <v>1.55</v>
      </c>
      <c r="F93" s="60">
        <v>7.08</v>
      </c>
      <c r="G93" s="60">
        <v>32.700000000000003</v>
      </c>
      <c r="H93" s="60">
        <v>24.6</v>
      </c>
      <c r="I93" s="60">
        <v>3.74</v>
      </c>
      <c r="J93" s="60">
        <v>0.95</v>
      </c>
      <c r="K93" s="60">
        <v>222.44</v>
      </c>
      <c r="L93" s="10" t="s">
        <v>43</v>
      </c>
      <c r="M93" s="60">
        <v>85.57</v>
      </c>
      <c r="N93" s="60">
        <v>14.6</v>
      </c>
      <c r="O93" s="60">
        <v>0</v>
      </c>
      <c r="P93" s="60">
        <v>0.78</v>
      </c>
      <c r="Q93" s="60">
        <v>19.68</v>
      </c>
      <c r="R93" s="197"/>
      <c r="S93" s="197"/>
      <c r="T93" s="197"/>
      <c r="U93" s="197"/>
    </row>
    <row r="94" spans="1:26" s="12" customFormat="1" x14ac:dyDescent="0.25">
      <c r="A94" s="200" t="s">
        <v>3117</v>
      </c>
      <c r="B94" s="60">
        <v>1.78</v>
      </c>
      <c r="C94" s="60">
        <v>13.15</v>
      </c>
      <c r="D94" s="60">
        <v>14.93</v>
      </c>
      <c r="E94" s="60">
        <v>2.17</v>
      </c>
      <c r="F94" s="60">
        <v>6.2</v>
      </c>
      <c r="G94" s="60">
        <v>32.700000000000003</v>
      </c>
      <c r="H94" s="60">
        <v>24.6</v>
      </c>
      <c r="I94" s="60">
        <v>3.98</v>
      </c>
      <c r="J94" s="60">
        <v>1.07</v>
      </c>
      <c r="K94" s="60">
        <v>187.98</v>
      </c>
      <c r="L94" s="10" t="s">
        <v>43</v>
      </c>
      <c r="M94" s="60">
        <v>87.79</v>
      </c>
      <c r="N94" s="60">
        <v>15</v>
      </c>
      <c r="O94" s="60">
        <v>0</v>
      </c>
      <c r="P94" s="60">
        <v>0.66</v>
      </c>
      <c r="Q94" s="60">
        <v>20.76</v>
      </c>
      <c r="R94" s="197"/>
      <c r="S94" s="197"/>
      <c r="T94" s="197"/>
      <c r="U94" s="197"/>
    </row>
    <row r="95" spans="1:26" s="12" customFormat="1" x14ac:dyDescent="0.25">
      <c r="A95" s="200" t="s">
        <v>3118</v>
      </c>
      <c r="B95" s="60">
        <v>2</v>
      </c>
      <c r="C95" s="60">
        <v>12.66</v>
      </c>
      <c r="D95" s="60">
        <v>14.66</v>
      </c>
      <c r="E95" s="60">
        <v>1.25</v>
      </c>
      <c r="F95" s="60">
        <v>5.45</v>
      </c>
      <c r="G95" s="60">
        <v>32.700000000000003</v>
      </c>
      <c r="H95" s="60">
        <v>24.6</v>
      </c>
      <c r="I95" s="60">
        <v>4.49</v>
      </c>
      <c r="J95" s="60">
        <v>0.8</v>
      </c>
      <c r="K95" s="60">
        <v>217.29</v>
      </c>
      <c r="L95" s="10" t="s">
        <v>43</v>
      </c>
      <c r="M95" s="60">
        <v>88.98</v>
      </c>
      <c r="N95" s="60">
        <v>15.1</v>
      </c>
      <c r="O95" s="60">
        <v>0</v>
      </c>
      <c r="P95" s="60">
        <v>0.66</v>
      </c>
      <c r="Q95" s="60">
        <v>21.27</v>
      </c>
      <c r="R95" s="197"/>
      <c r="S95" s="197"/>
      <c r="T95" s="197"/>
      <c r="U95" s="197"/>
    </row>
    <row r="96" spans="1:26" s="12" customFormat="1" x14ac:dyDescent="0.25">
      <c r="A96" s="200" t="s">
        <v>3119</v>
      </c>
      <c r="B96" s="60">
        <v>3.57</v>
      </c>
      <c r="C96" s="60">
        <v>12.82</v>
      </c>
      <c r="D96" s="60">
        <v>16.39</v>
      </c>
      <c r="E96" s="60">
        <v>1.57</v>
      </c>
      <c r="F96" s="60">
        <v>4.37</v>
      </c>
      <c r="G96" s="60">
        <v>29.01</v>
      </c>
      <c r="H96" s="60">
        <v>24.49</v>
      </c>
      <c r="I96" s="60">
        <v>4.29</v>
      </c>
      <c r="J96" s="60">
        <v>0.8</v>
      </c>
      <c r="K96" s="60">
        <v>226.16</v>
      </c>
      <c r="L96" s="10" t="s">
        <v>43</v>
      </c>
      <c r="M96" s="60">
        <v>91.02</v>
      </c>
      <c r="N96" s="60">
        <v>15</v>
      </c>
      <c r="O96" s="60">
        <v>0</v>
      </c>
      <c r="P96" s="60">
        <v>0.75</v>
      </c>
      <c r="Q96" s="60">
        <v>20.99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3120</v>
      </c>
      <c r="B97" s="60">
        <v>2.5499999999999998</v>
      </c>
      <c r="C97" s="60">
        <v>11.92</v>
      </c>
      <c r="D97" s="60">
        <v>14.47</v>
      </c>
      <c r="E97" s="60">
        <v>1.57</v>
      </c>
      <c r="F97" s="60">
        <v>5.04</v>
      </c>
      <c r="G97" s="60">
        <v>22.93</v>
      </c>
      <c r="H97" s="60">
        <v>24.29</v>
      </c>
      <c r="I97" s="60">
        <v>3.96</v>
      </c>
      <c r="J97" s="60">
        <v>0.49</v>
      </c>
      <c r="K97" s="60">
        <v>214.78</v>
      </c>
      <c r="L97" s="10" t="s">
        <v>43</v>
      </c>
      <c r="M97" s="60">
        <v>91.64</v>
      </c>
      <c r="N97" s="60">
        <v>14.9</v>
      </c>
      <c r="O97" s="60">
        <v>0</v>
      </c>
      <c r="P97" s="60">
        <v>0.61</v>
      </c>
      <c r="Q97" s="60">
        <v>22.34</v>
      </c>
      <c r="R97" s="197"/>
      <c r="S97" s="197"/>
      <c r="T97" s="197"/>
      <c r="U97" s="197"/>
    </row>
    <row r="98" spans="1:33" s="12" customFormat="1" x14ac:dyDescent="0.25">
      <c r="A98" s="200" t="s">
        <v>3121</v>
      </c>
      <c r="B98" s="60">
        <v>2.5</v>
      </c>
      <c r="C98" s="60">
        <v>11.33</v>
      </c>
      <c r="D98" s="60">
        <v>13.82</v>
      </c>
      <c r="E98" s="60">
        <v>1.79</v>
      </c>
      <c r="F98" s="60">
        <v>4.9800000000000004</v>
      </c>
      <c r="G98" s="60">
        <v>22.93</v>
      </c>
      <c r="H98" s="60">
        <v>24.29</v>
      </c>
      <c r="I98" s="60">
        <v>4.12</v>
      </c>
      <c r="J98" s="60">
        <v>0.75</v>
      </c>
      <c r="K98" s="60">
        <v>200.84</v>
      </c>
      <c r="L98" s="10" t="s">
        <v>43</v>
      </c>
      <c r="M98" s="60">
        <v>91.77</v>
      </c>
      <c r="N98" s="60">
        <v>14.8</v>
      </c>
      <c r="O98" s="60">
        <v>0</v>
      </c>
      <c r="P98" s="60">
        <v>0.56999999999999995</v>
      </c>
      <c r="Q98" s="60">
        <v>22.11</v>
      </c>
      <c r="R98" s="197"/>
      <c r="S98" s="197"/>
      <c r="T98" s="197"/>
      <c r="U98" s="197"/>
    </row>
    <row r="99" spans="1:33" s="12" customFormat="1" x14ac:dyDescent="0.25">
      <c r="A99" s="200" t="s">
        <v>3122</v>
      </c>
      <c r="B99" s="60">
        <v>2.79</v>
      </c>
      <c r="C99" s="60">
        <v>11.18</v>
      </c>
      <c r="D99" s="60">
        <v>13.97</v>
      </c>
      <c r="E99" s="60">
        <v>1.79</v>
      </c>
      <c r="F99" s="60">
        <v>4.7699999999999996</v>
      </c>
      <c r="G99" s="60">
        <v>22.93</v>
      </c>
      <c r="H99" s="60">
        <v>24.29</v>
      </c>
      <c r="I99" s="60">
        <v>3.97</v>
      </c>
      <c r="J99" s="60">
        <v>0.73</v>
      </c>
      <c r="K99" s="60">
        <v>195.59</v>
      </c>
      <c r="L99" s="10" t="s">
        <v>43</v>
      </c>
      <c r="M99" s="60">
        <v>94.03</v>
      </c>
      <c r="N99" s="60">
        <v>14.8</v>
      </c>
      <c r="O99" s="60">
        <v>0</v>
      </c>
      <c r="P99" s="60">
        <v>0.56000000000000005</v>
      </c>
      <c r="Q99" s="60">
        <v>19.48</v>
      </c>
      <c r="R99" s="197"/>
      <c r="S99" s="197"/>
      <c r="T99" s="197"/>
      <c r="U99" s="197"/>
    </row>
    <row r="100" spans="1:33" s="12" customFormat="1" x14ac:dyDescent="0.25">
      <c r="A100" s="200" t="s">
        <v>3123</v>
      </c>
      <c r="B100" s="60">
        <v>2.77</v>
      </c>
      <c r="C100" s="60">
        <v>10.220000000000001</v>
      </c>
      <c r="D100" s="60">
        <v>12.98</v>
      </c>
      <c r="E100" s="60">
        <v>2</v>
      </c>
      <c r="F100" s="60">
        <v>4.47</v>
      </c>
      <c r="G100" s="60">
        <v>22.44</v>
      </c>
      <c r="H100" s="60">
        <v>21.8</v>
      </c>
      <c r="I100" s="60">
        <v>3.7</v>
      </c>
      <c r="J100" s="60">
        <v>1.1200000000000001</v>
      </c>
      <c r="K100" s="60">
        <v>156.13</v>
      </c>
      <c r="L100" s="10" t="s">
        <v>43</v>
      </c>
      <c r="M100" s="60">
        <v>94.61</v>
      </c>
      <c r="N100" s="60">
        <v>14.9</v>
      </c>
      <c r="O100" s="60">
        <v>0</v>
      </c>
      <c r="P100" s="60">
        <v>0.62</v>
      </c>
      <c r="Q100" s="60">
        <v>16.96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3124</v>
      </c>
      <c r="B101" s="60">
        <v>2.69</v>
      </c>
      <c r="C101" s="60">
        <v>9.6199999999999992</v>
      </c>
      <c r="D101" s="60">
        <v>12.31</v>
      </c>
      <c r="E101" s="60">
        <v>3.04</v>
      </c>
      <c r="F101" s="60">
        <v>5.09</v>
      </c>
      <c r="G101" s="60">
        <v>21.63</v>
      </c>
      <c r="H101" s="60">
        <v>17.7</v>
      </c>
      <c r="I101" s="60">
        <v>3.4</v>
      </c>
      <c r="J101" s="60">
        <v>1.01</v>
      </c>
      <c r="K101" s="60">
        <v>164.27</v>
      </c>
      <c r="L101" s="10" t="s">
        <v>43</v>
      </c>
      <c r="M101" s="60">
        <v>93.14</v>
      </c>
      <c r="N101" s="60">
        <v>14.8</v>
      </c>
      <c r="O101" s="60">
        <v>0</v>
      </c>
      <c r="P101" s="60">
        <v>0.47</v>
      </c>
      <c r="Q101" s="60">
        <v>17.84</v>
      </c>
      <c r="R101" s="197"/>
      <c r="S101" s="197"/>
      <c r="T101" s="197"/>
      <c r="U101" s="197"/>
    </row>
    <row r="102" spans="1:33" s="12" customFormat="1" x14ac:dyDescent="0.25">
      <c r="A102" s="200" t="s">
        <v>3125</v>
      </c>
      <c r="B102" s="60">
        <v>2.61</v>
      </c>
      <c r="C102" s="60">
        <v>9.73</v>
      </c>
      <c r="D102" s="60">
        <v>12.34</v>
      </c>
      <c r="E102" s="60">
        <v>1.9</v>
      </c>
      <c r="F102" s="60">
        <v>5.79</v>
      </c>
      <c r="G102" s="60">
        <v>21.63</v>
      </c>
      <c r="H102" s="60">
        <v>17.7</v>
      </c>
      <c r="I102" s="60">
        <v>4.79</v>
      </c>
      <c r="J102" s="60">
        <v>0.43</v>
      </c>
      <c r="K102" s="60">
        <v>191.89</v>
      </c>
      <c r="L102" s="10" t="s">
        <v>43</v>
      </c>
      <c r="M102" s="60">
        <v>91.03</v>
      </c>
      <c r="N102" s="60">
        <v>14.8</v>
      </c>
      <c r="O102" s="60">
        <v>0</v>
      </c>
      <c r="P102" s="60">
        <v>0.52</v>
      </c>
      <c r="Q102" s="60">
        <v>15.54</v>
      </c>
      <c r="R102" s="197"/>
      <c r="S102" s="197"/>
      <c r="T102" s="197"/>
      <c r="U102" s="197"/>
    </row>
    <row r="103" spans="1:33" s="12" customFormat="1" x14ac:dyDescent="0.25">
      <c r="A103" s="200" t="s">
        <v>3126</v>
      </c>
      <c r="B103" s="60">
        <v>2.65</v>
      </c>
      <c r="C103" s="60">
        <v>9.4</v>
      </c>
      <c r="D103" s="60">
        <v>12.06</v>
      </c>
      <c r="E103" s="60">
        <v>3.91</v>
      </c>
      <c r="F103" s="60">
        <v>3.73</v>
      </c>
      <c r="G103" s="60">
        <v>21.63</v>
      </c>
      <c r="H103" s="60">
        <v>17.7</v>
      </c>
      <c r="I103" s="60">
        <v>4.42</v>
      </c>
      <c r="J103" s="60">
        <v>0.8</v>
      </c>
      <c r="K103" s="60">
        <v>218.54</v>
      </c>
      <c r="L103" s="10" t="s">
        <v>43</v>
      </c>
      <c r="M103" s="60">
        <v>92.44</v>
      </c>
      <c r="N103" s="60">
        <v>14.9</v>
      </c>
      <c r="O103" s="60">
        <v>0</v>
      </c>
      <c r="P103" s="60">
        <v>0.57999999999999996</v>
      </c>
      <c r="Q103" s="60">
        <v>16.13</v>
      </c>
      <c r="R103" s="197"/>
      <c r="S103" s="197"/>
      <c r="T103" s="197"/>
      <c r="U103" s="197"/>
    </row>
    <row r="104" spans="1:33" s="12" customFormat="1" x14ac:dyDescent="0.25">
      <c r="A104" s="200" t="s">
        <v>3127</v>
      </c>
      <c r="B104" s="60">
        <v>2.75</v>
      </c>
      <c r="C104" s="60">
        <v>10.210000000000001</v>
      </c>
      <c r="D104" s="60">
        <v>12.96</v>
      </c>
      <c r="E104" s="60">
        <v>0.85</v>
      </c>
      <c r="F104" s="60">
        <v>4.96</v>
      </c>
      <c r="G104" s="60">
        <v>20.84</v>
      </c>
      <c r="H104" s="60">
        <v>18</v>
      </c>
      <c r="I104" s="60">
        <v>4.0599999999999996</v>
      </c>
      <c r="J104" s="60">
        <v>0.16</v>
      </c>
      <c r="K104" s="60">
        <v>166.5</v>
      </c>
      <c r="L104" s="10" t="s">
        <v>43</v>
      </c>
      <c r="M104" s="60">
        <v>93.32</v>
      </c>
      <c r="N104" s="60">
        <v>14.7</v>
      </c>
      <c r="O104" s="60">
        <v>0</v>
      </c>
      <c r="P104" s="60">
        <v>0.67</v>
      </c>
      <c r="Q104" s="60">
        <v>15.24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5" t="s">
        <v>59</v>
      </c>
      <c r="B106" s="67">
        <f>MIN(B9:B104)</f>
        <v>0.71</v>
      </c>
      <c r="C106" s="67">
        <f>MIN(C9:C104)</f>
        <v>7.54</v>
      </c>
      <c r="D106" s="67">
        <f t="shared" ref="D106:Q106" si="0">MIN(D9:D104)</f>
        <v>10.74</v>
      </c>
      <c r="E106" s="67">
        <f t="shared" si="0"/>
        <v>0.69</v>
      </c>
      <c r="F106" s="67">
        <f t="shared" si="0"/>
        <v>0.54</v>
      </c>
      <c r="G106" s="67">
        <f t="shared" si="0"/>
        <v>6.75</v>
      </c>
      <c r="H106" s="67">
        <f t="shared" si="0"/>
        <v>4.66</v>
      </c>
      <c r="I106" s="67">
        <f t="shared" si="0"/>
        <v>3.2</v>
      </c>
      <c r="J106" s="67">
        <f t="shared" si="0"/>
        <v>0.08</v>
      </c>
      <c r="K106" s="67">
        <f t="shared" si="0"/>
        <v>5.94</v>
      </c>
      <c r="L106" s="67">
        <f t="shared" si="0"/>
        <v>0</v>
      </c>
      <c r="M106" s="67">
        <f t="shared" si="0"/>
        <v>49</v>
      </c>
      <c r="N106" s="67">
        <f t="shared" si="0"/>
        <v>14.4</v>
      </c>
      <c r="O106" s="67">
        <f t="shared" si="0"/>
        <v>0</v>
      </c>
      <c r="P106" s="67">
        <f t="shared" si="0"/>
        <v>0.38</v>
      </c>
      <c r="Q106" s="67">
        <f t="shared" si="0"/>
        <v>6.97</v>
      </c>
      <c r="R106" s="198"/>
      <c r="S106" s="198"/>
      <c r="T106" s="198"/>
      <c r="U106" s="198"/>
    </row>
    <row r="107" spans="1:33" x14ac:dyDescent="0.25">
      <c r="A107" s="65" t="s">
        <v>60</v>
      </c>
      <c r="B107" s="66">
        <f>MAX(B9:B104)</f>
        <v>9.7799999999999994</v>
      </c>
      <c r="C107" s="66">
        <f t="shared" ref="C107:Q107" si="1">MAX(C9:C104)</f>
        <v>23.25</v>
      </c>
      <c r="D107" s="66">
        <f t="shared" si="1"/>
        <v>33.03</v>
      </c>
      <c r="E107" s="66">
        <f t="shared" si="1"/>
        <v>9.61</v>
      </c>
      <c r="F107" s="66">
        <f t="shared" si="1"/>
        <v>44.96</v>
      </c>
      <c r="G107" s="66">
        <f t="shared" si="1"/>
        <v>42.78</v>
      </c>
      <c r="H107" s="66">
        <f t="shared" si="1"/>
        <v>24.6</v>
      </c>
      <c r="I107" s="66">
        <f t="shared" si="1"/>
        <v>13.98</v>
      </c>
      <c r="J107" s="66">
        <f t="shared" si="1"/>
        <v>3.34</v>
      </c>
      <c r="K107" s="66">
        <f t="shared" si="1"/>
        <v>353.82</v>
      </c>
      <c r="L107" s="66">
        <f t="shared" si="1"/>
        <v>0</v>
      </c>
      <c r="M107" s="66">
        <f t="shared" si="1"/>
        <v>99.15</v>
      </c>
      <c r="N107" s="66">
        <f t="shared" si="1"/>
        <v>1032.5999999999999</v>
      </c>
      <c r="O107" s="66">
        <f t="shared" si="1"/>
        <v>4.8</v>
      </c>
      <c r="P107" s="66">
        <f t="shared" si="1"/>
        <v>1.67</v>
      </c>
      <c r="Q107" s="66">
        <f t="shared" si="1"/>
        <v>51.12</v>
      </c>
      <c r="R107" s="199"/>
      <c r="S107" s="199"/>
      <c r="T107" s="199"/>
      <c r="U107" s="199"/>
    </row>
    <row r="108" spans="1:33" x14ac:dyDescent="0.25">
      <c r="A108" s="65" t="s">
        <v>61</v>
      </c>
      <c r="B108" s="67">
        <f>AVERAGE(B9:B104)</f>
        <v>3.9338541666666682</v>
      </c>
      <c r="C108" s="67">
        <f t="shared" ref="C108:Q108" si="2">AVERAGE(C9:C104)</f>
        <v>11.40104166666667</v>
      </c>
      <c r="D108" s="67">
        <f t="shared" si="2"/>
        <v>15.334895833333333</v>
      </c>
      <c r="E108" s="67">
        <f t="shared" si="2"/>
        <v>4.9022916666666676</v>
      </c>
      <c r="F108" s="67">
        <f t="shared" si="2"/>
        <v>7.8123958333333334</v>
      </c>
      <c r="G108" s="67">
        <f t="shared" si="2"/>
        <v>19.409479166666674</v>
      </c>
      <c r="H108" s="67">
        <f t="shared" si="2"/>
        <v>12.420937499999999</v>
      </c>
      <c r="I108" s="67">
        <f t="shared" si="2"/>
        <v>7.219594594594593</v>
      </c>
      <c r="J108" s="67">
        <f t="shared" si="2"/>
        <v>1.0598958333333333</v>
      </c>
      <c r="K108" s="67">
        <f t="shared" si="2"/>
        <v>207.54791666666665</v>
      </c>
      <c r="L108" s="67" t="e">
        <f t="shared" si="2"/>
        <v>#DIV/0!</v>
      </c>
      <c r="M108" s="67">
        <f t="shared" si="2"/>
        <v>79.712291666666687</v>
      </c>
      <c r="N108" s="67">
        <f t="shared" si="2"/>
        <v>252.8458333333333</v>
      </c>
      <c r="O108" s="67">
        <f t="shared" si="2"/>
        <v>6.6666666666666666E-2</v>
      </c>
      <c r="P108" s="67">
        <f t="shared" si="2"/>
        <v>0.59927083333333342</v>
      </c>
      <c r="Q108" s="67">
        <f t="shared" si="2"/>
        <v>24.875208333333337</v>
      </c>
      <c r="R108" s="198"/>
      <c r="S108" s="198"/>
      <c r="T108" s="198"/>
      <c r="U108" s="198"/>
    </row>
    <row r="109" spans="1:33" x14ac:dyDescent="0.25">
      <c r="A109" s="65" t="s">
        <v>77</v>
      </c>
      <c r="B109" s="67">
        <f>STDEV(B9:B104)</f>
        <v>1.8119918495178977</v>
      </c>
      <c r="C109" s="67">
        <f t="shared" ref="C109:Q109" si="3">STDEV(C9:C104)</f>
        <v>3.8448517811871761</v>
      </c>
      <c r="D109" s="67">
        <f t="shared" si="3"/>
        <v>3.8658172676589229</v>
      </c>
      <c r="E109" s="67">
        <f t="shared" si="3"/>
        <v>2.3240384448159297</v>
      </c>
      <c r="F109" s="67">
        <f t="shared" si="3"/>
        <v>10.633976702783906</v>
      </c>
      <c r="G109" s="67">
        <f t="shared" si="3"/>
        <v>8.5705521986062774</v>
      </c>
      <c r="H109" s="67">
        <f t="shared" si="3"/>
        <v>6.6038038604755398</v>
      </c>
      <c r="I109" s="67">
        <f t="shared" si="3"/>
        <v>2.8656503429744493</v>
      </c>
      <c r="J109" s="67">
        <f t="shared" si="3"/>
        <v>0.60605974135205509</v>
      </c>
      <c r="K109" s="67">
        <f t="shared" si="3"/>
        <v>88.229140095151152</v>
      </c>
      <c r="L109" s="67" t="e">
        <f t="shared" si="3"/>
        <v>#DIV/0!</v>
      </c>
      <c r="M109" s="67">
        <f t="shared" si="3"/>
        <v>15.682527889621902</v>
      </c>
      <c r="N109" s="67">
        <f t="shared" si="3"/>
        <v>340.81550709613117</v>
      </c>
      <c r="O109" s="67">
        <f t="shared" si="3"/>
        <v>0.50401893587374103</v>
      </c>
      <c r="P109" s="67">
        <f t="shared" si="3"/>
        <v>0.17915735389913634</v>
      </c>
      <c r="Q109" s="67">
        <f t="shared" si="3"/>
        <v>8.9284005733527305</v>
      </c>
      <c r="R109" s="198"/>
      <c r="S109" s="198"/>
      <c r="T109" s="198"/>
      <c r="U109" s="198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COUNT(I9:I104)+7+15</f>
        <v>96</v>
      </c>
      <c r="J110" s="66">
        <f>COUNT(J9:J104)</f>
        <v>96</v>
      </c>
      <c r="K110" s="66">
        <f t="shared" si="4"/>
        <v>96</v>
      </c>
      <c r="L110" s="66">
        <f t="shared" si="4"/>
        <v>0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9"/>
      <c r="S110" s="199"/>
      <c r="T110" s="199"/>
      <c r="U110" s="199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&lt;90%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LESS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218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selection activeCell="K110" sqref="K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7" t="str">
        <f>$A$9</f>
        <v>31-08-2022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3"/>
      <c r="P2" s="104" t="s">
        <v>35</v>
      </c>
      <c r="Q2" s="103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4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234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x14ac:dyDescent="0.25">
      <c r="A8" s="15"/>
      <c r="B8" s="13" t="s">
        <v>51</v>
      </c>
      <c r="C8" s="13" t="s">
        <v>51</v>
      </c>
      <c r="D8" s="13" t="s">
        <v>51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8" t="s">
        <v>51</v>
      </c>
      <c r="R8" s="195"/>
      <c r="S8" s="196"/>
      <c r="T8" s="195"/>
      <c r="U8" s="195"/>
    </row>
    <row r="9" spans="1:21" s="12" customFormat="1" x14ac:dyDescent="0.25">
      <c r="A9" s="200" t="s">
        <v>3128</v>
      </c>
      <c r="B9" s="60">
        <v>2.56</v>
      </c>
      <c r="C9" s="60">
        <v>9.23</v>
      </c>
      <c r="D9" s="60">
        <v>11.79</v>
      </c>
      <c r="E9" s="60">
        <v>2.27</v>
      </c>
      <c r="F9" s="60">
        <v>5.82</v>
      </c>
      <c r="G9" s="60">
        <v>19.55</v>
      </c>
      <c r="H9" s="60">
        <v>18.53</v>
      </c>
      <c r="I9" s="60">
        <v>4.7</v>
      </c>
      <c r="J9" s="60">
        <v>0.51</v>
      </c>
      <c r="K9" s="60">
        <v>200.05</v>
      </c>
      <c r="L9" s="10" t="s">
        <v>43</v>
      </c>
      <c r="M9" s="60">
        <v>91.57</v>
      </c>
      <c r="N9" s="60">
        <v>14.7</v>
      </c>
      <c r="O9" s="60">
        <v>0</v>
      </c>
      <c r="P9" s="60">
        <v>0.5</v>
      </c>
      <c r="Q9" s="60">
        <v>14.88</v>
      </c>
      <c r="R9" s="197"/>
      <c r="S9" s="197"/>
      <c r="T9" s="197"/>
      <c r="U9" s="197"/>
    </row>
    <row r="10" spans="1:21" s="12" customFormat="1" x14ac:dyDescent="0.25">
      <c r="A10" s="200" t="s">
        <v>3129</v>
      </c>
      <c r="B10" s="60">
        <v>2.64</v>
      </c>
      <c r="C10" s="60">
        <v>9.16</v>
      </c>
      <c r="D10" s="60">
        <v>11.8</v>
      </c>
      <c r="E10" s="60">
        <v>1.86</v>
      </c>
      <c r="F10" s="60">
        <v>6.67</v>
      </c>
      <c r="G10" s="60">
        <v>19.55</v>
      </c>
      <c r="H10" s="60">
        <v>18.53</v>
      </c>
      <c r="I10" s="60">
        <v>3.13</v>
      </c>
      <c r="J10" s="60">
        <v>1.36</v>
      </c>
      <c r="K10" s="60">
        <v>154.31</v>
      </c>
      <c r="L10" s="10" t="s">
        <v>43</v>
      </c>
      <c r="M10" s="60">
        <v>91.27</v>
      </c>
      <c r="N10" s="60">
        <v>14.6</v>
      </c>
      <c r="O10" s="60">
        <v>0</v>
      </c>
      <c r="P10" s="60">
        <v>0.45</v>
      </c>
      <c r="Q10" s="60">
        <v>17.68</v>
      </c>
      <c r="R10" s="197"/>
      <c r="S10" s="197"/>
      <c r="T10" s="197"/>
      <c r="U10" s="197"/>
    </row>
    <row r="11" spans="1:21" s="12" customFormat="1" x14ac:dyDescent="0.25">
      <c r="A11" s="200" t="s">
        <v>3130</v>
      </c>
      <c r="B11" s="60">
        <v>2.4500000000000002</v>
      </c>
      <c r="C11" s="60">
        <v>9.11</v>
      </c>
      <c r="D11" s="60">
        <v>11.56</v>
      </c>
      <c r="E11" s="60">
        <v>1.69</v>
      </c>
      <c r="F11" s="60">
        <v>5.79</v>
      </c>
      <c r="G11" s="60">
        <v>19.55</v>
      </c>
      <c r="H11" s="60">
        <v>18.53</v>
      </c>
      <c r="I11" s="60">
        <v>3.5</v>
      </c>
      <c r="J11" s="60">
        <v>0.85</v>
      </c>
      <c r="K11" s="60">
        <v>154.47999999999999</v>
      </c>
      <c r="L11" s="10" t="s">
        <v>43</v>
      </c>
      <c r="M11" s="60">
        <v>92</v>
      </c>
      <c r="N11" s="60">
        <v>14.8</v>
      </c>
      <c r="O11" s="60">
        <v>0</v>
      </c>
      <c r="P11" s="60">
        <v>0.43</v>
      </c>
      <c r="Q11" s="60">
        <v>19.48</v>
      </c>
      <c r="R11" s="197"/>
      <c r="S11" s="197"/>
      <c r="T11" s="197"/>
      <c r="U11" s="197"/>
    </row>
    <row r="12" spans="1:21" s="12" customFormat="1" x14ac:dyDescent="0.25">
      <c r="A12" s="200" t="s">
        <v>3131</v>
      </c>
      <c r="B12" s="60">
        <v>2.56</v>
      </c>
      <c r="C12" s="60">
        <v>9.24</v>
      </c>
      <c r="D12" s="60">
        <v>11.81</v>
      </c>
      <c r="E12" s="60">
        <v>2.54</v>
      </c>
      <c r="F12" s="60">
        <v>5.36</v>
      </c>
      <c r="G12" s="60">
        <v>22.81</v>
      </c>
      <c r="H12" s="60">
        <v>16.690000000000001</v>
      </c>
      <c r="I12" s="60">
        <v>3</v>
      </c>
      <c r="J12" s="60">
        <v>1.23</v>
      </c>
      <c r="K12" s="60">
        <v>160.61000000000001</v>
      </c>
      <c r="L12" s="10" t="s">
        <v>43</v>
      </c>
      <c r="M12" s="60">
        <v>92.76</v>
      </c>
      <c r="N12" s="60">
        <v>14.6</v>
      </c>
      <c r="O12" s="60">
        <v>0</v>
      </c>
      <c r="P12" s="60">
        <v>0.47</v>
      </c>
      <c r="Q12" s="60">
        <v>21.04</v>
      </c>
      <c r="R12" s="197"/>
      <c r="S12" s="197"/>
      <c r="T12" s="197"/>
      <c r="U12" s="197"/>
    </row>
    <row r="13" spans="1:21" s="12" customFormat="1" x14ac:dyDescent="0.25">
      <c r="A13" s="200" t="s">
        <v>3132</v>
      </c>
      <c r="B13" s="60">
        <v>2.75</v>
      </c>
      <c r="C13" s="60">
        <v>8.6</v>
      </c>
      <c r="D13" s="60">
        <v>11.35</v>
      </c>
      <c r="E13" s="60">
        <v>2.69</v>
      </c>
      <c r="F13" s="60">
        <v>5.54</v>
      </c>
      <c r="G13" s="60">
        <v>28.18</v>
      </c>
      <c r="H13" s="60">
        <v>13.67</v>
      </c>
      <c r="I13" s="60">
        <v>2.93</v>
      </c>
      <c r="J13" s="60">
        <v>0.76</v>
      </c>
      <c r="K13" s="60">
        <v>176.15</v>
      </c>
      <c r="L13" s="10" t="s">
        <v>43</v>
      </c>
      <c r="M13" s="60">
        <v>93.08</v>
      </c>
      <c r="N13" s="60">
        <v>14.8</v>
      </c>
      <c r="O13" s="60">
        <v>0</v>
      </c>
      <c r="P13" s="60">
        <v>0.45</v>
      </c>
      <c r="Q13" s="60">
        <v>22.71</v>
      </c>
      <c r="R13" s="197"/>
      <c r="S13" s="197"/>
      <c r="T13" s="197"/>
      <c r="U13" s="197"/>
    </row>
    <row r="14" spans="1:21" s="12" customFormat="1" x14ac:dyDescent="0.25">
      <c r="A14" s="200" t="s">
        <v>3133</v>
      </c>
      <c r="B14" s="60">
        <v>2.99</v>
      </c>
      <c r="C14" s="60">
        <v>8.1999999999999993</v>
      </c>
      <c r="D14" s="60">
        <v>11.19</v>
      </c>
      <c r="E14" s="60">
        <v>3.65</v>
      </c>
      <c r="F14" s="60">
        <v>4.49</v>
      </c>
      <c r="G14" s="60">
        <v>28.18</v>
      </c>
      <c r="H14" s="60">
        <v>13.67</v>
      </c>
      <c r="I14" s="60">
        <v>4.41</v>
      </c>
      <c r="J14" s="60">
        <v>1.5</v>
      </c>
      <c r="K14" s="60">
        <v>169.19</v>
      </c>
      <c r="L14" s="10" t="s">
        <v>43</v>
      </c>
      <c r="M14" s="60">
        <v>93.81</v>
      </c>
      <c r="N14" s="60">
        <v>14.7</v>
      </c>
      <c r="O14" s="60">
        <v>0</v>
      </c>
      <c r="P14" s="60">
        <v>0.55000000000000004</v>
      </c>
      <c r="Q14" s="60">
        <v>22.91</v>
      </c>
      <c r="R14" s="197"/>
      <c r="S14" s="197"/>
      <c r="T14" s="197"/>
      <c r="U14" s="197"/>
    </row>
    <row r="15" spans="1:21" s="12" customFormat="1" x14ac:dyDescent="0.25">
      <c r="A15" s="200" t="s">
        <v>3134</v>
      </c>
      <c r="B15" s="60">
        <v>3</v>
      </c>
      <c r="C15" s="60">
        <v>7.92</v>
      </c>
      <c r="D15" s="60">
        <v>10.92</v>
      </c>
      <c r="E15" s="60">
        <v>3.68</v>
      </c>
      <c r="F15" s="60">
        <v>5.1100000000000003</v>
      </c>
      <c r="G15" s="60">
        <v>28.18</v>
      </c>
      <c r="H15" s="60">
        <v>13.67</v>
      </c>
      <c r="I15" s="60">
        <v>5.68</v>
      </c>
      <c r="J15" s="60">
        <v>0.3</v>
      </c>
      <c r="K15" s="60">
        <v>223</v>
      </c>
      <c r="L15" s="10" t="s">
        <v>43</v>
      </c>
      <c r="M15" s="60">
        <v>95.19</v>
      </c>
      <c r="N15" s="60">
        <v>15</v>
      </c>
      <c r="O15" s="60">
        <v>0</v>
      </c>
      <c r="P15" s="60">
        <v>0.45</v>
      </c>
      <c r="Q15" s="60">
        <v>23.49</v>
      </c>
      <c r="R15" s="197"/>
      <c r="S15" s="197"/>
      <c r="T15" s="197"/>
      <c r="U15" s="197"/>
    </row>
    <row r="16" spans="1:21" s="12" customFormat="1" x14ac:dyDescent="0.25">
      <c r="A16" s="200" t="s">
        <v>3135</v>
      </c>
      <c r="B16" s="60">
        <v>2.94</v>
      </c>
      <c r="C16" s="60">
        <v>7.81</v>
      </c>
      <c r="D16" s="60">
        <v>10.75</v>
      </c>
      <c r="E16" s="60">
        <v>2.23</v>
      </c>
      <c r="F16" s="60">
        <v>5.13</v>
      </c>
      <c r="G16" s="60">
        <v>27.71</v>
      </c>
      <c r="H16" s="60">
        <v>12.8</v>
      </c>
      <c r="I16" s="60">
        <v>5.54</v>
      </c>
      <c r="J16" s="60">
        <v>0.73</v>
      </c>
      <c r="K16" s="60">
        <v>233.06</v>
      </c>
      <c r="L16" s="10" t="s">
        <v>43</v>
      </c>
      <c r="M16" s="60">
        <v>96.25</v>
      </c>
      <c r="N16" s="60">
        <v>14.8</v>
      </c>
      <c r="O16" s="60">
        <v>0</v>
      </c>
      <c r="P16" s="60">
        <v>0.44</v>
      </c>
      <c r="Q16" s="60">
        <v>24.21</v>
      </c>
      <c r="R16" s="197"/>
      <c r="S16" s="197"/>
      <c r="T16" s="197"/>
      <c r="U16" s="197"/>
    </row>
    <row r="17" spans="1:21" s="12" customFormat="1" x14ac:dyDescent="0.25">
      <c r="A17" s="200" t="s">
        <v>3136</v>
      </c>
      <c r="B17" s="60">
        <v>2.91</v>
      </c>
      <c r="C17" s="60">
        <v>8.18</v>
      </c>
      <c r="D17" s="60">
        <v>11.09</v>
      </c>
      <c r="E17" s="60">
        <v>1.36</v>
      </c>
      <c r="F17" s="60">
        <v>6.03</v>
      </c>
      <c r="G17" s="60">
        <v>26.94</v>
      </c>
      <c r="H17" s="60">
        <v>11.31</v>
      </c>
      <c r="I17" s="60">
        <v>4.32</v>
      </c>
      <c r="J17" s="60">
        <v>0.59</v>
      </c>
      <c r="K17" s="60">
        <v>186.86</v>
      </c>
      <c r="L17" s="10" t="s">
        <v>43</v>
      </c>
      <c r="M17" s="60">
        <v>96.52</v>
      </c>
      <c r="N17" s="60">
        <v>14.8</v>
      </c>
      <c r="O17" s="60">
        <v>0</v>
      </c>
      <c r="P17" s="60">
        <v>0.33</v>
      </c>
      <c r="Q17" s="60">
        <v>24.33</v>
      </c>
      <c r="R17" s="197"/>
      <c r="S17" s="197"/>
      <c r="T17" s="197"/>
      <c r="U17" s="197"/>
    </row>
    <row r="18" spans="1:21" s="12" customFormat="1" x14ac:dyDescent="0.25">
      <c r="A18" s="200" t="s">
        <v>3137</v>
      </c>
      <c r="B18" s="60">
        <v>2.76</v>
      </c>
      <c r="C18" s="60">
        <v>7.47</v>
      </c>
      <c r="D18" s="60">
        <v>10.23</v>
      </c>
      <c r="E18" s="60">
        <v>0.99</v>
      </c>
      <c r="F18" s="60">
        <v>7.37</v>
      </c>
      <c r="G18" s="60">
        <v>26.94</v>
      </c>
      <c r="H18" s="60">
        <v>11.31</v>
      </c>
      <c r="I18" s="60">
        <v>3.06</v>
      </c>
      <c r="J18" s="60">
        <v>0.98</v>
      </c>
      <c r="K18" s="60">
        <v>172.18</v>
      </c>
      <c r="L18" s="10" t="s">
        <v>43</v>
      </c>
      <c r="M18" s="60">
        <v>96.49</v>
      </c>
      <c r="N18" s="60">
        <v>14.7</v>
      </c>
      <c r="O18" s="60">
        <v>0</v>
      </c>
      <c r="P18" s="60">
        <v>0.34</v>
      </c>
      <c r="Q18" s="60">
        <v>20.54</v>
      </c>
      <c r="R18" s="197"/>
      <c r="S18" s="197"/>
      <c r="T18" s="197"/>
      <c r="U18" s="197"/>
    </row>
    <row r="19" spans="1:21" s="12" customFormat="1" x14ac:dyDescent="0.25">
      <c r="A19" s="200" t="s">
        <v>3138</v>
      </c>
      <c r="B19" s="60">
        <v>3.08</v>
      </c>
      <c r="C19" s="60">
        <v>7.65</v>
      </c>
      <c r="D19" s="60">
        <v>10.73</v>
      </c>
      <c r="E19" s="60">
        <v>3.41</v>
      </c>
      <c r="F19" s="60">
        <v>3.35</v>
      </c>
      <c r="G19" s="60">
        <v>26.94</v>
      </c>
      <c r="H19" s="60">
        <v>11.31</v>
      </c>
      <c r="I19" s="60">
        <v>2.4300000000000002</v>
      </c>
      <c r="J19" s="60">
        <v>0.42</v>
      </c>
      <c r="K19" s="60">
        <v>226.64</v>
      </c>
      <c r="L19" s="10" t="s">
        <v>43</v>
      </c>
      <c r="M19" s="60">
        <v>96.24</v>
      </c>
      <c r="N19" s="60">
        <v>14.9</v>
      </c>
      <c r="O19" s="60">
        <v>0</v>
      </c>
      <c r="P19" s="60">
        <v>0.49</v>
      </c>
      <c r="Q19" s="60">
        <v>18.63</v>
      </c>
      <c r="R19" s="197"/>
      <c r="S19" s="197"/>
      <c r="T19" s="197"/>
      <c r="U19" s="197"/>
    </row>
    <row r="20" spans="1:21" s="12" customFormat="1" x14ac:dyDescent="0.25">
      <c r="A20" s="200" t="s">
        <v>3139</v>
      </c>
      <c r="B20" s="60">
        <v>2.77</v>
      </c>
      <c r="C20" s="60">
        <v>7.63</v>
      </c>
      <c r="D20" s="60">
        <v>10.4</v>
      </c>
      <c r="E20" s="60">
        <v>1.31</v>
      </c>
      <c r="F20" s="60">
        <v>5.55</v>
      </c>
      <c r="G20" s="60">
        <v>24.57</v>
      </c>
      <c r="H20" s="60">
        <v>11.41</v>
      </c>
      <c r="I20" s="60">
        <v>3.06</v>
      </c>
      <c r="J20" s="60">
        <v>0.98</v>
      </c>
      <c r="K20" s="60">
        <v>177.98</v>
      </c>
      <c r="L20" s="10" t="s">
        <v>43</v>
      </c>
      <c r="M20" s="60">
        <v>96.22</v>
      </c>
      <c r="N20" s="60">
        <v>15</v>
      </c>
      <c r="O20" s="60">
        <v>0</v>
      </c>
      <c r="P20" s="60">
        <v>0.34</v>
      </c>
      <c r="Q20" s="60">
        <v>19.190000000000001</v>
      </c>
      <c r="R20" s="197"/>
      <c r="S20" s="197"/>
      <c r="T20" s="197"/>
      <c r="U20" s="197"/>
    </row>
    <row r="21" spans="1:21" s="12" customFormat="1" x14ac:dyDescent="0.25">
      <c r="A21" s="200" t="s">
        <v>3140</v>
      </c>
      <c r="B21" s="60">
        <v>3.03</v>
      </c>
      <c r="C21" s="60">
        <v>7.44</v>
      </c>
      <c r="D21" s="60">
        <v>10.47</v>
      </c>
      <c r="E21" s="60">
        <v>4.1900000000000004</v>
      </c>
      <c r="F21" s="60">
        <v>3.42</v>
      </c>
      <c r="G21" s="60">
        <v>20.66</v>
      </c>
      <c r="H21" s="60">
        <v>11.59</v>
      </c>
      <c r="I21" s="60">
        <v>4.4800000000000004</v>
      </c>
      <c r="J21" s="60">
        <v>1.05</v>
      </c>
      <c r="K21" s="60">
        <v>140.33000000000001</v>
      </c>
      <c r="L21" s="10" t="s">
        <v>43</v>
      </c>
      <c r="M21" s="60">
        <v>96.45</v>
      </c>
      <c r="N21" s="60">
        <v>14.9</v>
      </c>
      <c r="O21" s="60">
        <v>0</v>
      </c>
      <c r="P21" s="60">
        <v>0.54</v>
      </c>
      <c r="Q21" s="60">
        <v>17.440000000000001</v>
      </c>
      <c r="R21" s="197"/>
      <c r="S21" s="197"/>
      <c r="T21" s="197"/>
      <c r="U21" s="197"/>
    </row>
    <row r="22" spans="1:21" s="12" customFormat="1" x14ac:dyDescent="0.25">
      <c r="A22" s="200" t="s">
        <v>3141</v>
      </c>
      <c r="B22" s="60">
        <v>2.86</v>
      </c>
      <c r="C22" s="60">
        <v>7.44</v>
      </c>
      <c r="D22" s="60">
        <v>10.3</v>
      </c>
      <c r="E22" s="60">
        <v>3.62</v>
      </c>
      <c r="F22" s="60">
        <v>3.52</v>
      </c>
      <c r="G22" s="60">
        <v>20.66</v>
      </c>
      <c r="H22" s="60">
        <v>11.59</v>
      </c>
      <c r="I22" s="60">
        <v>4.4000000000000004</v>
      </c>
      <c r="J22" s="60">
        <v>1.26</v>
      </c>
      <c r="K22" s="60">
        <v>151.16999999999999</v>
      </c>
      <c r="L22" s="10" t="s">
        <v>43</v>
      </c>
      <c r="M22" s="60">
        <v>96.52</v>
      </c>
      <c r="N22" s="60">
        <v>14.8</v>
      </c>
      <c r="O22" s="60">
        <v>0</v>
      </c>
      <c r="P22" s="60">
        <v>0.42</v>
      </c>
      <c r="Q22" s="60">
        <v>18.510000000000002</v>
      </c>
      <c r="R22" s="197"/>
      <c r="S22" s="197"/>
      <c r="T22" s="197"/>
      <c r="U22" s="197"/>
    </row>
    <row r="23" spans="1:21" s="12" customFormat="1" x14ac:dyDescent="0.25">
      <c r="A23" s="200" t="s">
        <v>3142</v>
      </c>
      <c r="B23" s="60">
        <v>3.1</v>
      </c>
      <c r="C23" s="60">
        <v>7.24</v>
      </c>
      <c r="D23" s="60">
        <v>10.34</v>
      </c>
      <c r="E23" s="60">
        <v>5.66</v>
      </c>
      <c r="F23" s="60">
        <v>2.5499999999999998</v>
      </c>
      <c r="G23" s="60">
        <v>20.66</v>
      </c>
      <c r="H23" s="60">
        <v>11.59</v>
      </c>
      <c r="I23" s="60">
        <v>5.31</v>
      </c>
      <c r="J23" s="60">
        <v>1.63</v>
      </c>
      <c r="K23" s="60">
        <v>170.21</v>
      </c>
      <c r="L23" s="10" t="s">
        <v>43</v>
      </c>
      <c r="M23" s="60">
        <v>96.42</v>
      </c>
      <c r="N23" s="60">
        <v>14.7</v>
      </c>
      <c r="O23" s="60">
        <v>0</v>
      </c>
      <c r="P23" s="60">
        <v>0.54</v>
      </c>
      <c r="Q23" s="60">
        <v>13.46</v>
      </c>
      <c r="R23" s="197"/>
      <c r="S23" s="197"/>
      <c r="T23" s="197"/>
      <c r="U23" s="197"/>
    </row>
    <row r="24" spans="1:21" s="12" customFormat="1" x14ac:dyDescent="0.25">
      <c r="A24" s="200" t="s">
        <v>3143</v>
      </c>
      <c r="B24" s="60">
        <v>2.95</v>
      </c>
      <c r="C24" s="60">
        <v>7.38</v>
      </c>
      <c r="D24" s="60">
        <v>10.33</v>
      </c>
      <c r="E24" s="60">
        <v>2.1</v>
      </c>
      <c r="F24" s="60">
        <v>3.47</v>
      </c>
      <c r="G24" s="60">
        <v>19.53</v>
      </c>
      <c r="H24" s="60">
        <v>10.46</v>
      </c>
      <c r="I24" s="60">
        <v>6.76</v>
      </c>
      <c r="J24" s="60">
        <v>1.28</v>
      </c>
      <c r="K24" s="60">
        <v>167.79</v>
      </c>
      <c r="L24" s="10" t="s">
        <v>43</v>
      </c>
      <c r="M24" s="60">
        <v>97.05</v>
      </c>
      <c r="N24" s="60">
        <v>14.8</v>
      </c>
      <c r="O24" s="60">
        <v>0</v>
      </c>
      <c r="P24" s="60">
        <v>0.44</v>
      </c>
      <c r="Q24" s="60">
        <v>17.93</v>
      </c>
      <c r="R24" s="197"/>
      <c r="S24" s="197"/>
      <c r="T24" s="197"/>
      <c r="U24" s="197"/>
    </row>
    <row r="25" spans="1:21" s="12" customFormat="1" x14ac:dyDescent="0.25">
      <c r="A25" s="200" t="s">
        <v>3144</v>
      </c>
      <c r="B25" s="60">
        <v>3.06</v>
      </c>
      <c r="C25" s="60">
        <v>7.86</v>
      </c>
      <c r="D25" s="60">
        <v>10.92</v>
      </c>
      <c r="E25" s="60">
        <v>4.12</v>
      </c>
      <c r="F25" s="60">
        <v>3.07</v>
      </c>
      <c r="G25" s="60">
        <v>17.68</v>
      </c>
      <c r="H25" s="60">
        <v>8.51</v>
      </c>
      <c r="I25" s="60">
        <v>8.64</v>
      </c>
      <c r="J25" s="60">
        <v>0.36</v>
      </c>
      <c r="K25" s="60">
        <v>173.87</v>
      </c>
      <c r="L25" s="10" t="s">
        <v>43</v>
      </c>
      <c r="M25" s="60">
        <v>97.47</v>
      </c>
      <c r="N25" s="60">
        <v>14.9</v>
      </c>
      <c r="O25" s="60">
        <v>0</v>
      </c>
      <c r="P25" s="60">
        <v>0.42</v>
      </c>
      <c r="Q25" s="60">
        <v>19.440000000000001</v>
      </c>
      <c r="R25" s="197"/>
      <c r="S25" s="197"/>
      <c r="T25" s="197"/>
      <c r="U25" s="197"/>
    </row>
    <row r="26" spans="1:21" s="12" customFormat="1" x14ac:dyDescent="0.25">
      <c r="A26" s="200" t="s">
        <v>3145</v>
      </c>
      <c r="B26" s="60">
        <v>2.86</v>
      </c>
      <c r="C26" s="60">
        <v>7.56</v>
      </c>
      <c r="D26" s="60">
        <v>10.41</v>
      </c>
      <c r="E26" s="60">
        <v>1.56</v>
      </c>
      <c r="F26" s="60">
        <v>3.4</v>
      </c>
      <c r="G26" s="60">
        <v>17.68</v>
      </c>
      <c r="H26" s="60">
        <v>8.51</v>
      </c>
      <c r="I26" s="60">
        <v>7.19</v>
      </c>
      <c r="J26" s="60">
        <v>0.16</v>
      </c>
      <c r="K26" s="60">
        <v>185.71</v>
      </c>
      <c r="L26" s="10" t="s">
        <v>43</v>
      </c>
      <c r="M26" s="60">
        <v>98.14</v>
      </c>
      <c r="N26" s="60">
        <v>14.9</v>
      </c>
      <c r="O26" s="60">
        <v>0</v>
      </c>
      <c r="P26" s="60">
        <v>0.36</v>
      </c>
      <c r="Q26" s="60">
        <v>21.87</v>
      </c>
      <c r="R26" s="197"/>
      <c r="S26" s="197"/>
      <c r="T26" s="197"/>
      <c r="U26" s="197"/>
    </row>
    <row r="27" spans="1:21" s="12" customFormat="1" x14ac:dyDescent="0.25">
      <c r="A27" s="200" t="s">
        <v>3146</v>
      </c>
      <c r="B27" s="60">
        <v>3.25</v>
      </c>
      <c r="C27" s="60">
        <v>7.71</v>
      </c>
      <c r="D27" s="60">
        <v>10.96</v>
      </c>
      <c r="E27" s="60">
        <v>2.81</v>
      </c>
      <c r="F27" s="60">
        <v>2.91</v>
      </c>
      <c r="G27" s="60">
        <v>17.68</v>
      </c>
      <c r="H27" s="60">
        <v>8.51</v>
      </c>
      <c r="I27" s="60">
        <v>4.84</v>
      </c>
      <c r="J27" s="60">
        <v>1.03</v>
      </c>
      <c r="K27" s="60">
        <v>184.8</v>
      </c>
      <c r="L27" s="10" t="s">
        <v>43</v>
      </c>
      <c r="M27" s="60">
        <v>98.59</v>
      </c>
      <c r="N27" s="60">
        <v>14.7</v>
      </c>
      <c r="O27" s="60">
        <v>0</v>
      </c>
      <c r="P27" s="60">
        <v>0.45</v>
      </c>
      <c r="Q27" s="60">
        <v>22.21</v>
      </c>
      <c r="R27" s="197"/>
      <c r="S27" s="197"/>
      <c r="T27" s="197"/>
      <c r="U27" s="197"/>
    </row>
    <row r="28" spans="1:21" s="12" customFormat="1" x14ac:dyDescent="0.25">
      <c r="A28" s="200" t="s">
        <v>3147</v>
      </c>
      <c r="B28" s="60">
        <v>3.61</v>
      </c>
      <c r="C28" s="60">
        <v>7.85</v>
      </c>
      <c r="D28" s="60">
        <v>11.46</v>
      </c>
      <c r="E28" s="60">
        <v>3.33</v>
      </c>
      <c r="F28" s="60">
        <v>2.52</v>
      </c>
      <c r="G28" s="60">
        <v>16.010000000000002</v>
      </c>
      <c r="H28" s="60">
        <v>9.2100000000000009</v>
      </c>
      <c r="I28" s="60">
        <v>4.5599999999999996</v>
      </c>
      <c r="J28" s="60">
        <v>0.74</v>
      </c>
      <c r="K28" s="60">
        <v>205.59</v>
      </c>
      <c r="L28" s="10" t="s">
        <v>43</v>
      </c>
      <c r="M28" s="60">
        <v>98.48</v>
      </c>
      <c r="N28" s="60">
        <v>14.8</v>
      </c>
      <c r="O28" s="60">
        <v>0</v>
      </c>
      <c r="P28" s="60">
        <v>0.45</v>
      </c>
      <c r="Q28" s="60">
        <v>22.96</v>
      </c>
      <c r="R28" s="197"/>
      <c r="S28" s="197"/>
      <c r="T28" s="197"/>
      <c r="U28" s="197"/>
    </row>
    <row r="29" spans="1:21" s="12" customFormat="1" x14ac:dyDescent="0.25">
      <c r="A29" s="200" t="s">
        <v>3148</v>
      </c>
      <c r="B29" s="60">
        <v>3.74</v>
      </c>
      <c r="C29" s="60">
        <v>7.83</v>
      </c>
      <c r="D29" s="60">
        <v>11.57</v>
      </c>
      <c r="E29" s="60">
        <v>3.63</v>
      </c>
      <c r="F29" s="60">
        <v>2.5</v>
      </c>
      <c r="G29" s="60">
        <v>13.25</v>
      </c>
      <c r="H29" s="60">
        <v>10.41</v>
      </c>
      <c r="I29" s="60">
        <v>6.47</v>
      </c>
      <c r="J29" s="60">
        <v>0.75</v>
      </c>
      <c r="K29" s="60">
        <v>200.83</v>
      </c>
      <c r="L29" s="10" t="s">
        <v>43</v>
      </c>
      <c r="M29" s="60">
        <v>98.9</v>
      </c>
      <c r="N29" s="60">
        <v>14.9</v>
      </c>
      <c r="O29" s="60">
        <v>0</v>
      </c>
      <c r="P29" s="60">
        <v>0.47</v>
      </c>
      <c r="Q29" s="60">
        <v>23.5</v>
      </c>
      <c r="R29" s="197"/>
      <c r="S29" s="197"/>
      <c r="T29" s="197"/>
      <c r="U29" s="197"/>
    </row>
    <row r="30" spans="1:21" s="12" customFormat="1" x14ac:dyDescent="0.25">
      <c r="A30" s="200" t="s">
        <v>3149</v>
      </c>
      <c r="B30" s="60">
        <v>4.0599999999999996</v>
      </c>
      <c r="C30" s="60">
        <v>7.83</v>
      </c>
      <c r="D30" s="60">
        <v>11.88</v>
      </c>
      <c r="E30" s="60">
        <v>4.22</v>
      </c>
      <c r="F30" s="60">
        <v>2.42</v>
      </c>
      <c r="G30" s="60">
        <v>13.25</v>
      </c>
      <c r="H30" s="60">
        <v>10.41</v>
      </c>
      <c r="I30" s="60">
        <v>6.46</v>
      </c>
      <c r="J30" s="60">
        <v>0.9</v>
      </c>
      <c r="K30" s="60">
        <v>193.26</v>
      </c>
      <c r="L30" s="10" t="s">
        <v>43</v>
      </c>
      <c r="M30" s="60">
        <v>99.07</v>
      </c>
      <c r="N30" s="60">
        <v>14.8</v>
      </c>
      <c r="O30" s="60">
        <v>0</v>
      </c>
      <c r="P30" s="60">
        <v>0.48</v>
      </c>
      <c r="Q30" s="60">
        <v>23.52</v>
      </c>
      <c r="R30" s="197"/>
      <c r="S30" s="197"/>
      <c r="T30" s="197"/>
      <c r="U30" s="197"/>
    </row>
    <row r="31" spans="1:21" s="12" customFormat="1" x14ac:dyDescent="0.25">
      <c r="A31" s="200" t="s">
        <v>3150</v>
      </c>
      <c r="B31" s="60">
        <v>4.4400000000000004</v>
      </c>
      <c r="C31" s="60">
        <v>7.9</v>
      </c>
      <c r="D31" s="60">
        <v>12.34</v>
      </c>
      <c r="E31" s="60">
        <v>4.83</v>
      </c>
      <c r="F31" s="60">
        <v>2.58</v>
      </c>
      <c r="G31" s="60">
        <v>13.25</v>
      </c>
      <c r="H31" s="60">
        <v>10.41</v>
      </c>
      <c r="I31" s="60">
        <v>6.45</v>
      </c>
      <c r="J31" s="60">
        <v>1.52</v>
      </c>
      <c r="K31" s="60">
        <v>160.66999999999999</v>
      </c>
      <c r="L31" s="10" t="s">
        <v>43</v>
      </c>
      <c r="M31" s="60">
        <v>99.12</v>
      </c>
      <c r="N31" s="60">
        <v>16.3</v>
      </c>
      <c r="O31" s="60">
        <v>0</v>
      </c>
      <c r="P31" s="60">
        <v>0.5</v>
      </c>
      <c r="Q31" s="60">
        <v>23.97</v>
      </c>
      <c r="R31" s="197"/>
      <c r="S31" s="197"/>
      <c r="T31" s="197"/>
      <c r="U31" s="197"/>
    </row>
    <row r="32" spans="1:21" s="12" customFormat="1" x14ac:dyDescent="0.25">
      <c r="A32" s="200" t="s">
        <v>3151</v>
      </c>
      <c r="B32" s="60">
        <v>4.5</v>
      </c>
      <c r="C32" s="60">
        <v>7.54</v>
      </c>
      <c r="D32" s="60">
        <v>12.04</v>
      </c>
      <c r="E32" s="60">
        <v>4.67</v>
      </c>
      <c r="F32" s="60">
        <v>2.31</v>
      </c>
      <c r="G32" s="60">
        <v>11.97</v>
      </c>
      <c r="H32" s="60">
        <v>9.4499999999999993</v>
      </c>
      <c r="I32" s="60">
        <v>7</v>
      </c>
      <c r="J32" s="60">
        <v>1.26</v>
      </c>
      <c r="K32" s="60">
        <v>176.5</v>
      </c>
      <c r="L32" s="10" t="s">
        <v>43</v>
      </c>
      <c r="M32" s="60">
        <v>98.32</v>
      </c>
      <c r="N32" s="60">
        <v>24.4</v>
      </c>
      <c r="O32" s="60">
        <v>0</v>
      </c>
      <c r="P32" s="60">
        <v>0.43</v>
      </c>
      <c r="Q32" s="60">
        <v>21.89</v>
      </c>
      <c r="R32" s="197"/>
      <c r="S32" s="197"/>
      <c r="T32" s="197"/>
      <c r="U32" s="197"/>
    </row>
    <row r="33" spans="1:21" s="12" customFormat="1" x14ac:dyDescent="0.25">
      <c r="A33" s="200" t="s">
        <v>3152</v>
      </c>
      <c r="B33" s="60">
        <v>4.78</v>
      </c>
      <c r="C33" s="60">
        <v>7.3</v>
      </c>
      <c r="D33" s="60">
        <v>12.08</v>
      </c>
      <c r="E33" s="60">
        <v>6.47</v>
      </c>
      <c r="F33" s="60">
        <v>2</v>
      </c>
      <c r="G33" s="60">
        <v>9.86</v>
      </c>
      <c r="H33" s="60">
        <v>7.79</v>
      </c>
      <c r="I33" s="60">
        <v>7.53</v>
      </c>
      <c r="J33" s="60">
        <v>1.72</v>
      </c>
      <c r="K33" s="60">
        <v>154.01</v>
      </c>
      <c r="L33" s="10" t="s">
        <v>43</v>
      </c>
      <c r="M33" s="60">
        <v>97.59</v>
      </c>
      <c r="N33" s="60">
        <v>43.6</v>
      </c>
      <c r="O33" s="60">
        <v>0</v>
      </c>
      <c r="P33" s="60">
        <v>0.5</v>
      </c>
      <c r="Q33" s="60">
        <v>19.18</v>
      </c>
      <c r="R33" s="197"/>
      <c r="S33" s="197"/>
      <c r="T33" s="197"/>
      <c r="U33" s="197"/>
    </row>
    <row r="34" spans="1:21" s="12" customFormat="1" x14ac:dyDescent="0.25">
      <c r="A34" s="200" t="s">
        <v>3153</v>
      </c>
      <c r="B34" s="60">
        <v>4.71</v>
      </c>
      <c r="C34" s="60">
        <v>7.83</v>
      </c>
      <c r="D34" s="60">
        <v>12.55</v>
      </c>
      <c r="E34" s="60">
        <v>3.69</v>
      </c>
      <c r="F34" s="60">
        <v>2.58</v>
      </c>
      <c r="G34" s="60">
        <v>9.86</v>
      </c>
      <c r="H34" s="60">
        <v>7.79</v>
      </c>
      <c r="I34" s="60">
        <v>4.38</v>
      </c>
      <c r="J34" s="60">
        <v>1.19</v>
      </c>
      <c r="K34" s="60">
        <v>156.30000000000001</v>
      </c>
      <c r="L34" s="10" t="s">
        <v>43</v>
      </c>
      <c r="M34" s="60">
        <v>96.61</v>
      </c>
      <c r="N34" s="60">
        <v>78.400000000000006</v>
      </c>
      <c r="O34" s="60">
        <v>0</v>
      </c>
      <c r="P34" s="60">
        <v>0.41</v>
      </c>
      <c r="Q34" s="60">
        <v>18.690000000000001</v>
      </c>
      <c r="R34" s="197"/>
      <c r="S34" s="197"/>
      <c r="T34" s="197"/>
      <c r="U34" s="197"/>
    </row>
    <row r="35" spans="1:21" s="12" customFormat="1" x14ac:dyDescent="0.25">
      <c r="A35" s="200" t="s">
        <v>3154</v>
      </c>
      <c r="B35" s="60">
        <v>4.9400000000000004</v>
      </c>
      <c r="C35" s="60">
        <v>7.39</v>
      </c>
      <c r="D35" s="60">
        <v>12.33</v>
      </c>
      <c r="E35" s="60">
        <v>6.38</v>
      </c>
      <c r="F35" s="60">
        <v>2.48</v>
      </c>
      <c r="G35" s="60">
        <v>9.86</v>
      </c>
      <c r="H35" s="60">
        <v>7.79</v>
      </c>
      <c r="I35" s="60">
        <v>2.78</v>
      </c>
      <c r="J35" s="60">
        <v>1</v>
      </c>
      <c r="K35" s="60">
        <v>170.65</v>
      </c>
      <c r="L35" s="10" t="s">
        <v>43</v>
      </c>
      <c r="M35" s="60">
        <v>92.96</v>
      </c>
      <c r="N35" s="60">
        <v>108.3</v>
      </c>
      <c r="O35" s="60">
        <v>0</v>
      </c>
      <c r="P35" s="60">
        <v>0.5</v>
      </c>
      <c r="Q35" s="60">
        <v>17.63</v>
      </c>
      <c r="R35" s="197"/>
      <c r="S35" s="197"/>
      <c r="T35" s="197"/>
      <c r="U35" s="197"/>
    </row>
    <row r="36" spans="1:21" s="12" customFormat="1" x14ac:dyDescent="0.25">
      <c r="A36" s="200" t="s">
        <v>3155</v>
      </c>
      <c r="B36" s="60">
        <v>5.1100000000000003</v>
      </c>
      <c r="C36" s="60">
        <v>7.87</v>
      </c>
      <c r="D36" s="60">
        <v>12.98</v>
      </c>
      <c r="E36" s="60">
        <v>4.82</v>
      </c>
      <c r="F36" s="60">
        <v>1.89</v>
      </c>
      <c r="G36" s="60">
        <v>8.91</v>
      </c>
      <c r="H36" s="60">
        <v>6.93</v>
      </c>
      <c r="I36" s="60">
        <v>7.47</v>
      </c>
      <c r="J36" s="60">
        <v>0.49</v>
      </c>
      <c r="K36" s="60">
        <v>171.77</v>
      </c>
      <c r="L36" s="10" t="s">
        <v>43</v>
      </c>
      <c r="M36" s="60">
        <v>88.61</v>
      </c>
      <c r="N36" s="60">
        <v>174.5</v>
      </c>
      <c r="O36" s="60">
        <v>0</v>
      </c>
      <c r="P36" s="60">
        <v>0.46</v>
      </c>
      <c r="Q36" s="60">
        <v>18.100000000000001</v>
      </c>
      <c r="R36" s="197"/>
      <c r="S36" s="197"/>
      <c r="T36" s="197"/>
      <c r="U36" s="197"/>
    </row>
    <row r="37" spans="1:21" s="12" customFormat="1" x14ac:dyDescent="0.25">
      <c r="A37" s="200" t="s">
        <v>3156</v>
      </c>
      <c r="B37" s="60">
        <v>5.14</v>
      </c>
      <c r="C37" s="60">
        <v>7.42</v>
      </c>
      <c r="D37" s="60">
        <v>12.56</v>
      </c>
      <c r="E37" s="60">
        <v>5.87</v>
      </c>
      <c r="F37" s="60">
        <v>2.1</v>
      </c>
      <c r="G37" s="60">
        <v>7.34</v>
      </c>
      <c r="H37" s="60">
        <v>5.45</v>
      </c>
      <c r="I37" s="60">
        <v>8.4700000000000006</v>
      </c>
      <c r="J37" s="60">
        <v>0.49</v>
      </c>
      <c r="K37" s="60">
        <v>154.37</v>
      </c>
      <c r="L37" s="10" t="s">
        <v>43</v>
      </c>
      <c r="M37" s="60">
        <v>85.51</v>
      </c>
      <c r="N37" s="60">
        <v>223.5</v>
      </c>
      <c r="O37" s="60">
        <v>0</v>
      </c>
      <c r="P37" s="60">
        <v>0.48</v>
      </c>
      <c r="Q37" s="60">
        <v>15.89</v>
      </c>
      <c r="R37" s="197"/>
      <c r="S37" s="197"/>
      <c r="T37" s="197"/>
      <c r="U37" s="197"/>
    </row>
    <row r="38" spans="1:21" s="12" customFormat="1" x14ac:dyDescent="0.25">
      <c r="A38" s="200" t="s">
        <v>3157</v>
      </c>
      <c r="B38" s="60">
        <v>5.25</v>
      </c>
      <c r="C38" s="60">
        <v>7.59</v>
      </c>
      <c r="D38" s="60">
        <v>12.84</v>
      </c>
      <c r="E38" s="60">
        <v>6.78</v>
      </c>
      <c r="F38" s="60">
        <v>1.51</v>
      </c>
      <c r="G38" s="60">
        <v>7.34</v>
      </c>
      <c r="H38" s="60">
        <v>5.45</v>
      </c>
      <c r="I38" s="60">
        <v>7.94</v>
      </c>
      <c r="J38" s="60">
        <v>1.1599999999999999</v>
      </c>
      <c r="K38" s="60">
        <v>185.67</v>
      </c>
      <c r="L38" s="10" t="s">
        <v>43</v>
      </c>
      <c r="M38" s="60">
        <v>85.22</v>
      </c>
      <c r="N38" s="60">
        <v>290</v>
      </c>
      <c r="O38" s="60">
        <v>0</v>
      </c>
      <c r="P38" s="60">
        <v>0.48</v>
      </c>
      <c r="Q38" s="60">
        <v>17.77</v>
      </c>
      <c r="R38" s="197"/>
      <c r="S38" s="197"/>
      <c r="T38" s="197"/>
      <c r="U38" s="197"/>
    </row>
    <row r="39" spans="1:21" s="12" customFormat="1" x14ac:dyDescent="0.25">
      <c r="A39" s="200" t="s">
        <v>3158</v>
      </c>
      <c r="B39" s="60">
        <v>5.32</v>
      </c>
      <c r="C39" s="60">
        <v>7.93</v>
      </c>
      <c r="D39" s="60">
        <v>13.25</v>
      </c>
      <c r="E39" s="60">
        <v>6.01</v>
      </c>
      <c r="F39" s="60">
        <v>2.09</v>
      </c>
      <c r="G39" s="60">
        <v>7.34</v>
      </c>
      <c r="H39" s="60">
        <v>5.45</v>
      </c>
      <c r="I39" s="60">
        <v>9.02</v>
      </c>
      <c r="J39" s="60">
        <v>1.75</v>
      </c>
      <c r="K39" s="60">
        <v>152.76</v>
      </c>
      <c r="L39" s="10" t="s">
        <v>43</v>
      </c>
      <c r="M39" s="60">
        <v>82.58</v>
      </c>
      <c r="N39" s="60">
        <v>342.2</v>
      </c>
      <c r="O39" s="60">
        <v>0</v>
      </c>
      <c r="P39" s="60">
        <v>0.48</v>
      </c>
      <c r="Q39" s="60">
        <v>18.95</v>
      </c>
      <c r="R39" s="197"/>
      <c r="S39" s="197"/>
      <c r="T39" s="197"/>
      <c r="U39" s="197"/>
    </row>
    <row r="40" spans="1:21" s="12" customFormat="1" x14ac:dyDescent="0.25">
      <c r="A40" s="200" t="s">
        <v>3159</v>
      </c>
      <c r="B40" s="60">
        <v>5.26</v>
      </c>
      <c r="C40" s="60">
        <v>7.97</v>
      </c>
      <c r="D40" s="60">
        <v>13.23</v>
      </c>
      <c r="E40" s="60">
        <v>2.8</v>
      </c>
      <c r="F40" s="60">
        <v>1.17</v>
      </c>
      <c r="G40" s="60">
        <v>9.58</v>
      </c>
      <c r="H40" s="60">
        <v>5.15</v>
      </c>
      <c r="I40" s="60">
        <v>9.59</v>
      </c>
      <c r="J40" s="60">
        <v>1.48</v>
      </c>
      <c r="K40" s="60">
        <v>152.94999999999999</v>
      </c>
      <c r="L40" s="10" t="s">
        <v>43</v>
      </c>
      <c r="M40" s="60">
        <v>80.69</v>
      </c>
      <c r="N40" s="60">
        <v>414.7</v>
      </c>
      <c r="O40" s="60">
        <v>0</v>
      </c>
      <c r="P40" s="60">
        <v>0.47</v>
      </c>
      <c r="Q40" s="60">
        <v>20.75</v>
      </c>
      <c r="R40" s="197"/>
      <c r="S40" s="197"/>
      <c r="T40" s="197"/>
      <c r="U40" s="197"/>
    </row>
    <row r="41" spans="1:21" s="12" customFormat="1" x14ac:dyDescent="0.25">
      <c r="A41" s="200" t="s">
        <v>3160</v>
      </c>
      <c r="B41" s="60">
        <v>5.36</v>
      </c>
      <c r="C41" s="60">
        <v>7.92</v>
      </c>
      <c r="D41" s="60">
        <v>13.28</v>
      </c>
      <c r="E41" s="60">
        <v>5.37</v>
      </c>
      <c r="F41" s="60">
        <v>1.95</v>
      </c>
      <c r="G41" s="60">
        <v>13.28</v>
      </c>
      <c r="H41" s="60">
        <v>4.62</v>
      </c>
      <c r="I41" s="60">
        <v>9.01</v>
      </c>
      <c r="J41" s="60">
        <v>0.73</v>
      </c>
      <c r="K41" s="60">
        <v>164.32</v>
      </c>
      <c r="L41" s="10" t="s">
        <v>43</v>
      </c>
      <c r="M41" s="60">
        <v>79.209999999999994</v>
      </c>
      <c r="N41" s="60">
        <v>477.6</v>
      </c>
      <c r="O41" s="60">
        <v>0</v>
      </c>
      <c r="P41" s="60">
        <v>0.48</v>
      </c>
      <c r="Q41" s="60">
        <v>23</v>
      </c>
      <c r="R41" s="197"/>
      <c r="S41" s="197"/>
      <c r="T41" s="197"/>
      <c r="U41" s="197"/>
    </row>
    <row r="42" spans="1:21" s="12" customFormat="1" x14ac:dyDescent="0.25">
      <c r="A42" s="200" t="s">
        <v>3161</v>
      </c>
      <c r="B42" s="60">
        <v>5.42</v>
      </c>
      <c r="C42" s="60">
        <v>7.89</v>
      </c>
      <c r="D42" s="60">
        <v>13.31</v>
      </c>
      <c r="E42" s="60">
        <v>6.42</v>
      </c>
      <c r="F42" s="60">
        <v>2.0299999999999998</v>
      </c>
      <c r="G42" s="60">
        <v>13.28</v>
      </c>
      <c r="H42" s="60">
        <v>4.62</v>
      </c>
      <c r="I42" s="60">
        <v>9.19</v>
      </c>
      <c r="J42" s="60">
        <v>0.69</v>
      </c>
      <c r="K42" s="60">
        <v>158.86000000000001</v>
      </c>
      <c r="L42" s="10" t="s">
        <v>43</v>
      </c>
      <c r="M42" s="60">
        <v>77</v>
      </c>
      <c r="N42" s="60">
        <v>542.20000000000005</v>
      </c>
      <c r="O42" s="60">
        <v>0</v>
      </c>
      <c r="P42" s="60">
        <v>0.5</v>
      </c>
      <c r="Q42" s="60">
        <v>23.07</v>
      </c>
      <c r="R42" s="197"/>
      <c r="S42" s="197"/>
      <c r="T42" s="197"/>
      <c r="U42" s="197"/>
    </row>
    <row r="43" spans="1:21" s="12" customFormat="1" x14ac:dyDescent="0.25">
      <c r="A43" s="200" t="s">
        <v>3162</v>
      </c>
      <c r="B43" s="60">
        <v>5.44</v>
      </c>
      <c r="C43" s="60">
        <v>8.0299999999999994</v>
      </c>
      <c r="D43" s="60">
        <v>13.48</v>
      </c>
      <c r="E43" s="60">
        <v>6.81</v>
      </c>
      <c r="F43" s="60">
        <v>2.0299999999999998</v>
      </c>
      <c r="G43" s="60">
        <v>13.28</v>
      </c>
      <c r="H43" s="60">
        <v>4.62</v>
      </c>
      <c r="I43" s="60">
        <v>9.57</v>
      </c>
      <c r="J43" s="60">
        <v>1.07</v>
      </c>
      <c r="K43" s="60">
        <v>146.47</v>
      </c>
      <c r="L43" s="10" t="s">
        <v>43</v>
      </c>
      <c r="M43" s="60">
        <v>75.680000000000007</v>
      </c>
      <c r="N43" s="60">
        <v>589.79999999999995</v>
      </c>
      <c r="O43" s="60">
        <v>0</v>
      </c>
      <c r="P43" s="60">
        <v>0.5</v>
      </c>
      <c r="Q43" s="60">
        <v>23.5</v>
      </c>
      <c r="R43" s="197"/>
      <c r="S43" s="197"/>
      <c r="T43" s="197"/>
      <c r="U43" s="197"/>
    </row>
    <row r="44" spans="1:21" s="12" customFormat="1" x14ac:dyDescent="0.25">
      <c r="A44" s="200" t="s">
        <v>3163</v>
      </c>
      <c r="B44" s="60">
        <v>5.26</v>
      </c>
      <c r="C44" s="60">
        <v>8.11</v>
      </c>
      <c r="D44" s="60">
        <v>13.37</v>
      </c>
      <c r="E44" s="60">
        <v>6.79</v>
      </c>
      <c r="F44" s="60">
        <v>1.51</v>
      </c>
      <c r="G44" s="60">
        <v>12.68</v>
      </c>
      <c r="H44" s="60">
        <v>5.47</v>
      </c>
      <c r="I44" s="60">
        <v>5.6</v>
      </c>
      <c r="J44" s="60">
        <v>1.24</v>
      </c>
      <c r="K44" s="60">
        <v>150.69</v>
      </c>
      <c r="L44" s="10" t="s">
        <v>43</v>
      </c>
      <c r="M44" s="60">
        <v>75.83</v>
      </c>
      <c r="N44" s="60">
        <v>663.1</v>
      </c>
      <c r="O44" s="60">
        <v>0</v>
      </c>
      <c r="P44" s="60">
        <v>0.51</v>
      </c>
      <c r="Q44" s="60">
        <v>23.4</v>
      </c>
      <c r="R44" s="197"/>
      <c r="S44" s="197"/>
      <c r="T44" s="197"/>
      <c r="U44" s="197"/>
    </row>
    <row r="45" spans="1:21" s="12" customFormat="1" x14ac:dyDescent="0.25">
      <c r="A45" s="200" t="s">
        <v>3164</v>
      </c>
      <c r="B45" s="60">
        <v>4.8899999999999997</v>
      </c>
      <c r="C45" s="60">
        <v>8.48</v>
      </c>
      <c r="D45" s="60">
        <v>13.36</v>
      </c>
      <c r="E45" s="60">
        <v>7.07</v>
      </c>
      <c r="F45" s="60">
        <v>1.74</v>
      </c>
      <c r="G45" s="60">
        <v>11.69</v>
      </c>
      <c r="H45" s="60">
        <v>6.94</v>
      </c>
      <c r="I45" s="215" t="s">
        <v>36</v>
      </c>
      <c r="J45" s="60">
        <v>0.93</v>
      </c>
      <c r="K45" s="60">
        <v>150.38999999999999</v>
      </c>
      <c r="L45" s="10" t="s">
        <v>43</v>
      </c>
      <c r="M45" s="60">
        <v>72.069999999999993</v>
      </c>
      <c r="N45" s="60">
        <v>670</v>
      </c>
      <c r="O45" s="60">
        <v>0</v>
      </c>
      <c r="P45" s="60">
        <v>0.5</v>
      </c>
      <c r="Q45" s="60">
        <v>24.16</v>
      </c>
      <c r="R45" s="197"/>
      <c r="S45" s="197"/>
      <c r="T45" s="197"/>
      <c r="U45" s="197"/>
    </row>
    <row r="46" spans="1:21" s="12" customFormat="1" x14ac:dyDescent="0.25">
      <c r="A46" s="200" t="s">
        <v>3165</v>
      </c>
      <c r="B46" s="60">
        <v>4.43</v>
      </c>
      <c r="C46" s="60">
        <v>8.7899999999999991</v>
      </c>
      <c r="D46" s="60">
        <v>13.22</v>
      </c>
      <c r="E46" s="60">
        <v>6.93</v>
      </c>
      <c r="F46" s="60">
        <v>1.77</v>
      </c>
      <c r="G46" s="60">
        <v>11.69</v>
      </c>
      <c r="H46" s="60">
        <v>6.94</v>
      </c>
      <c r="I46" s="215" t="s">
        <v>36</v>
      </c>
      <c r="J46" s="60">
        <v>0.62</v>
      </c>
      <c r="K46" s="60">
        <v>164.68</v>
      </c>
      <c r="L46" s="10" t="s">
        <v>43</v>
      </c>
      <c r="M46" s="60">
        <v>71.459999999999994</v>
      </c>
      <c r="N46" s="60">
        <v>600.5</v>
      </c>
      <c r="O46" s="60">
        <v>0</v>
      </c>
      <c r="P46" s="60">
        <v>0.49</v>
      </c>
      <c r="Q46" s="60">
        <v>24.49</v>
      </c>
      <c r="R46" s="197"/>
      <c r="S46" s="197"/>
      <c r="T46" s="197"/>
      <c r="U46" s="197"/>
    </row>
    <row r="47" spans="1:21" s="12" customFormat="1" x14ac:dyDescent="0.25">
      <c r="A47" s="200" t="s">
        <v>3166</v>
      </c>
      <c r="B47" s="60">
        <v>3.9</v>
      </c>
      <c r="C47" s="60">
        <v>8.7899999999999991</v>
      </c>
      <c r="D47" s="60">
        <v>12.69</v>
      </c>
      <c r="E47" s="60">
        <v>6.45</v>
      </c>
      <c r="F47" s="60">
        <v>2.5299999999999998</v>
      </c>
      <c r="G47" s="60">
        <v>11.69</v>
      </c>
      <c r="H47" s="60">
        <v>6.94</v>
      </c>
      <c r="I47" s="215" t="s">
        <v>36</v>
      </c>
      <c r="J47" s="60">
        <v>0.6</v>
      </c>
      <c r="K47" s="60">
        <v>145.07</v>
      </c>
      <c r="L47" s="10" t="s">
        <v>43</v>
      </c>
      <c r="M47" s="60">
        <v>68.97</v>
      </c>
      <c r="N47" s="60">
        <v>540.70000000000005</v>
      </c>
      <c r="O47" s="60">
        <v>0</v>
      </c>
      <c r="P47" s="60">
        <v>0.49</v>
      </c>
      <c r="Q47" s="60">
        <v>21.61</v>
      </c>
      <c r="R47" s="197"/>
      <c r="S47" s="197"/>
      <c r="T47" s="197"/>
      <c r="U47" s="197"/>
    </row>
    <row r="48" spans="1:21" s="12" customFormat="1" x14ac:dyDescent="0.25">
      <c r="A48" s="200" t="s">
        <v>3167</v>
      </c>
      <c r="B48" s="60">
        <v>3.4</v>
      </c>
      <c r="C48" s="60">
        <v>8.91</v>
      </c>
      <c r="D48" s="60">
        <v>12.3</v>
      </c>
      <c r="E48" s="60">
        <v>6.28</v>
      </c>
      <c r="F48" s="60">
        <v>4.03</v>
      </c>
      <c r="G48" s="60">
        <v>13.87</v>
      </c>
      <c r="H48" s="60">
        <v>6.73</v>
      </c>
      <c r="I48" s="60">
        <v>4.8600000000000003</v>
      </c>
      <c r="J48" s="60">
        <v>1.1200000000000001</v>
      </c>
      <c r="K48" s="60">
        <v>141.94999999999999</v>
      </c>
      <c r="L48" s="10" t="s">
        <v>43</v>
      </c>
      <c r="M48" s="60">
        <v>69.3</v>
      </c>
      <c r="N48" s="60">
        <v>612.9</v>
      </c>
      <c r="O48" s="60">
        <v>0</v>
      </c>
      <c r="P48" s="60">
        <v>0.48</v>
      </c>
      <c r="Q48" s="60">
        <v>19.07</v>
      </c>
      <c r="R48" s="197"/>
      <c r="S48" s="197"/>
      <c r="T48" s="197"/>
      <c r="U48" s="197"/>
    </row>
    <row r="49" spans="1:21" s="12" customFormat="1" x14ac:dyDescent="0.25">
      <c r="A49" s="200" t="s">
        <v>3168</v>
      </c>
      <c r="B49" s="60">
        <v>2.97</v>
      </c>
      <c r="C49" s="60">
        <v>8.93</v>
      </c>
      <c r="D49" s="60">
        <v>11.9</v>
      </c>
      <c r="E49" s="60">
        <v>5.84</v>
      </c>
      <c r="F49" s="60">
        <v>2.93</v>
      </c>
      <c r="G49" s="60">
        <v>17.46</v>
      </c>
      <c r="H49" s="60">
        <v>6.38</v>
      </c>
      <c r="I49" s="60">
        <v>10.52</v>
      </c>
      <c r="J49" s="60">
        <v>1.06</v>
      </c>
      <c r="K49" s="60">
        <v>144.37</v>
      </c>
      <c r="L49" s="10" t="s">
        <v>43</v>
      </c>
      <c r="M49" s="60">
        <v>65.489999999999995</v>
      </c>
      <c r="N49" s="60">
        <v>889</v>
      </c>
      <c r="O49" s="60">
        <v>0</v>
      </c>
      <c r="P49" s="60">
        <v>0.48</v>
      </c>
      <c r="Q49" s="60">
        <v>17.43</v>
      </c>
      <c r="R49" s="197"/>
      <c r="S49" s="197"/>
      <c r="T49" s="197"/>
      <c r="U49" s="197"/>
    </row>
    <row r="50" spans="1:21" s="12" customFormat="1" x14ac:dyDescent="0.25">
      <c r="A50" s="200" t="s">
        <v>3169</v>
      </c>
      <c r="B50" s="60">
        <v>2.5299999999999998</v>
      </c>
      <c r="C50" s="60">
        <v>8.9499999999999993</v>
      </c>
      <c r="D50" s="60">
        <v>11.47</v>
      </c>
      <c r="E50" s="60">
        <v>6.2</v>
      </c>
      <c r="F50" s="60">
        <v>2</v>
      </c>
      <c r="G50" s="60">
        <v>17.46</v>
      </c>
      <c r="H50" s="60">
        <v>6.38</v>
      </c>
      <c r="I50" s="60">
        <v>10.16</v>
      </c>
      <c r="J50" s="60">
        <v>0.84</v>
      </c>
      <c r="K50" s="60">
        <v>166.71</v>
      </c>
      <c r="L50" s="10" t="s">
        <v>43</v>
      </c>
      <c r="M50" s="60">
        <v>65.63</v>
      </c>
      <c r="N50" s="60">
        <v>698.5</v>
      </c>
      <c r="O50" s="60">
        <v>0</v>
      </c>
      <c r="P50" s="60">
        <v>0.49</v>
      </c>
      <c r="Q50" s="60">
        <v>16.600000000000001</v>
      </c>
      <c r="R50" s="197"/>
      <c r="S50" s="197"/>
      <c r="T50" s="197"/>
      <c r="U50" s="197"/>
    </row>
    <row r="51" spans="1:21" s="12" customFormat="1" x14ac:dyDescent="0.25">
      <c r="A51" s="200" t="s">
        <v>3170</v>
      </c>
      <c r="B51" s="60">
        <v>2.1</v>
      </c>
      <c r="C51" s="60">
        <v>8.89</v>
      </c>
      <c r="D51" s="60">
        <v>10.99</v>
      </c>
      <c r="E51" s="60">
        <v>6.09</v>
      </c>
      <c r="F51" s="60">
        <v>1.99</v>
      </c>
      <c r="G51" s="60">
        <v>17.46</v>
      </c>
      <c r="H51" s="60">
        <v>6.38</v>
      </c>
      <c r="I51" s="60">
        <v>5.75</v>
      </c>
      <c r="J51" s="60">
        <v>2.3199999999999998</v>
      </c>
      <c r="K51" s="60">
        <v>151.43</v>
      </c>
      <c r="L51" s="10" t="s">
        <v>43</v>
      </c>
      <c r="M51" s="60">
        <v>66.38</v>
      </c>
      <c r="N51" s="60">
        <v>941</v>
      </c>
      <c r="O51" s="60">
        <v>0</v>
      </c>
      <c r="P51" s="60">
        <v>0.47</v>
      </c>
      <c r="Q51" s="60">
        <v>17.22</v>
      </c>
      <c r="R51" s="197"/>
      <c r="S51" s="197"/>
      <c r="T51" s="197"/>
      <c r="U51" s="197"/>
    </row>
    <row r="52" spans="1:21" s="12" customFormat="1" x14ac:dyDescent="0.25">
      <c r="A52" s="200" t="s">
        <v>3171</v>
      </c>
      <c r="B52" s="60">
        <v>1.8</v>
      </c>
      <c r="C52" s="60">
        <v>8.74</v>
      </c>
      <c r="D52" s="60">
        <v>10.54</v>
      </c>
      <c r="E52" s="60">
        <v>5.96</v>
      </c>
      <c r="F52" s="60">
        <v>2.98</v>
      </c>
      <c r="G52" s="60">
        <v>15.57</v>
      </c>
      <c r="H52" s="60">
        <v>6.55</v>
      </c>
      <c r="I52" s="60">
        <v>4.63</v>
      </c>
      <c r="J52" s="60">
        <v>0.51</v>
      </c>
      <c r="K52" s="60">
        <v>159.72999999999999</v>
      </c>
      <c r="L52" s="10" t="s">
        <v>43</v>
      </c>
      <c r="M52" s="60">
        <v>64.489999999999995</v>
      </c>
      <c r="N52" s="60">
        <v>730.7</v>
      </c>
      <c r="O52" s="60">
        <v>0</v>
      </c>
      <c r="P52" s="60">
        <v>0.47</v>
      </c>
      <c r="Q52" s="60">
        <v>16.45</v>
      </c>
      <c r="R52" s="197"/>
      <c r="S52" s="197"/>
      <c r="T52" s="197"/>
      <c r="U52" s="197"/>
    </row>
    <row r="53" spans="1:21" s="12" customFormat="1" x14ac:dyDescent="0.25">
      <c r="A53" s="200" t="s">
        <v>3172</v>
      </c>
      <c r="B53" s="60">
        <v>1.69</v>
      </c>
      <c r="C53" s="60">
        <v>8.99</v>
      </c>
      <c r="D53" s="60">
        <v>10.68</v>
      </c>
      <c r="E53" s="60">
        <v>5.74</v>
      </c>
      <c r="F53" s="60">
        <v>3.02</v>
      </c>
      <c r="G53" s="60">
        <v>12.45</v>
      </c>
      <c r="H53" s="60">
        <v>6.84</v>
      </c>
      <c r="I53" s="60">
        <v>10.210000000000001</v>
      </c>
      <c r="J53" s="60">
        <v>0.72</v>
      </c>
      <c r="K53" s="60">
        <v>131.05000000000001</v>
      </c>
      <c r="L53" s="10" t="s">
        <v>43</v>
      </c>
      <c r="M53" s="60">
        <v>62.66</v>
      </c>
      <c r="N53" s="60">
        <v>880.2</v>
      </c>
      <c r="O53" s="60">
        <v>0</v>
      </c>
      <c r="P53" s="60">
        <v>0.47</v>
      </c>
      <c r="Q53" s="60">
        <v>17.02</v>
      </c>
      <c r="R53" s="197"/>
      <c r="S53" s="197"/>
      <c r="T53" s="197"/>
      <c r="U53" s="197"/>
    </row>
    <row r="54" spans="1:21" s="12" customFormat="1" x14ac:dyDescent="0.25">
      <c r="A54" s="200" t="s">
        <v>3173</v>
      </c>
      <c r="B54" s="60">
        <v>1.76</v>
      </c>
      <c r="C54" s="60">
        <v>9</v>
      </c>
      <c r="D54" s="60">
        <v>10.75</v>
      </c>
      <c r="E54" s="60">
        <v>5.46</v>
      </c>
      <c r="F54" s="60">
        <v>3.04</v>
      </c>
      <c r="G54" s="60">
        <v>12.45</v>
      </c>
      <c r="H54" s="60">
        <v>6.84</v>
      </c>
      <c r="I54" s="60">
        <v>9.91</v>
      </c>
      <c r="J54" s="60">
        <v>0.42</v>
      </c>
      <c r="K54" s="60">
        <v>227.41</v>
      </c>
      <c r="L54" s="10" t="s">
        <v>43</v>
      </c>
      <c r="M54" s="60">
        <v>63.49</v>
      </c>
      <c r="N54" s="60">
        <v>870.9</v>
      </c>
      <c r="O54" s="60">
        <v>0</v>
      </c>
      <c r="P54" s="60">
        <v>0.47</v>
      </c>
      <c r="Q54" s="60">
        <v>18.46</v>
      </c>
      <c r="R54" s="197"/>
      <c r="S54" s="197"/>
      <c r="T54" s="197"/>
      <c r="U54" s="197"/>
    </row>
    <row r="55" spans="1:21" s="12" customFormat="1" x14ac:dyDescent="0.25">
      <c r="A55" s="200" t="s">
        <v>3174</v>
      </c>
      <c r="B55" s="60">
        <v>1.64</v>
      </c>
      <c r="C55" s="60">
        <v>8.6300000000000008</v>
      </c>
      <c r="D55" s="60">
        <v>10.28</v>
      </c>
      <c r="E55" s="60">
        <v>5.87</v>
      </c>
      <c r="F55" s="60">
        <v>3.74</v>
      </c>
      <c r="G55" s="60">
        <v>12.45</v>
      </c>
      <c r="H55" s="60">
        <v>6.84</v>
      </c>
      <c r="I55" s="60">
        <v>9.8699999999999992</v>
      </c>
      <c r="J55" s="60">
        <v>1.32</v>
      </c>
      <c r="K55" s="60">
        <v>162.84</v>
      </c>
      <c r="L55" s="10" t="s">
        <v>43</v>
      </c>
      <c r="M55" s="60">
        <v>61.36</v>
      </c>
      <c r="N55" s="60">
        <v>1090.0999999999999</v>
      </c>
      <c r="O55" s="60">
        <v>0</v>
      </c>
      <c r="P55" s="60">
        <v>0.45</v>
      </c>
      <c r="Q55" s="60">
        <v>18.36</v>
      </c>
      <c r="R55" s="197"/>
      <c r="S55" s="197"/>
      <c r="T55" s="197"/>
      <c r="U55" s="197"/>
    </row>
    <row r="56" spans="1:21" s="12" customFormat="1" x14ac:dyDescent="0.25">
      <c r="A56" s="200" t="s">
        <v>3175</v>
      </c>
      <c r="B56" s="60">
        <v>1.54</v>
      </c>
      <c r="C56" s="60">
        <v>8.4700000000000006</v>
      </c>
      <c r="D56" s="60">
        <v>10.01</v>
      </c>
      <c r="E56" s="60">
        <v>2.5</v>
      </c>
      <c r="F56" s="60">
        <v>4.54</v>
      </c>
      <c r="G56" s="60">
        <v>12.46</v>
      </c>
      <c r="H56" s="60">
        <v>7.6</v>
      </c>
      <c r="I56" s="60">
        <v>9.5500000000000007</v>
      </c>
      <c r="J56" s="60">
        <v>0.96</v>
      </c>
      <c r="K56" s="60">
        <v>179.26</v>
      </c>
      <c r="L56" s="10" t="s">
        <v>43</v>
      </c>
      <c r="M56" s="60">
        <v>61.65</v>
      </c>
      <c r="N56" s="60">
        <v>991.8</v>
      </c>
      <c r="O56" s="60">
        <v>0</v>
      </c>
      <c r="P56" s="60">
        <v>0.45</v>
      </c>
      <c r="Q56" s="60">
        <v>19.399999999999999</v>
      </c>
      <c r="R56" s="197"/>
      <c r="S56" s="197"/>
      <c r="T56" s="197"/>
      <c r="U56" s="197"/>
    </row>
    <row r="57" spans="1:21" s="12" customFormat="1" x14ac:dyDescent="0.25">
      <c r="A57" s="200" t="s">
        <v>3176</v>
      </c>
      <c r="B57" s="60">
        <v>1.45</v>
      </c>
      <c r="C57" s="60">
        <v>8.3800000000000008</v>
      </c>
      <c r="D57" s="60">
        <v>9.84</v>
      </c>
      <c r="E57" s="60">
        <v>4.3899999999999997</v>
      </c>
      <c r="F57" s="60">
        <v>4.0599999999999996</v>
      </c>
      <c r="G57" s="60">
        <v>12.47</v>
      </c>
      <c r="H57" s="60">
        <v>8.92</v>
      </c>
      <c r="I57" s="60">
        <v>9.2100000000000009</v>
      </c>
      <c r="J57" s="60">
        <v>0.95</v>
      </c>
      <c r="K57" s="60">
        <v>179.67</v>
      </c>
      <c r="L57" s="10" t="s">
        <v>43</v>
      </c>
      <c r="M57" s="60">
        <v>63.34</v>
      </c>
      <c r="N57" s="60">
        <v>1042.9000000000001</v>
      </c>
      <c r="O57" s="60">
        <v>0</v>
      </c>
      <c r="P57" s="60">
        <v>0.45</v>
      </c>
      <c r="Q57" s="60">
        <v>18.46</v>
      </c>
      <c r="R57" s="197"/>
      <c r="S57" s="197"/>
      <c r="T57" s="197"/>
      <c r="U57" s="197"/>
    </row>
    <row r="58" spans="1:21" s="12" customFormat="1" x14ac:dyDescent="0.25">
      <c r="A58" s="200" t="s">
        <v>3177</v>
      </c>
      <c r="B58" s="60">
        <v>1.31</v>
      </c>
      <c r="C58" s="60">
        <v>8.52</v>
      </c>
      <c r="D58" s="60">
        <v>9.83</v>
      </c>
      <c r="E58" s="60">
        <v>4.92</v>
      </c>
      <c r="F58" s="60">
        <v>2.82</v>
      </c>
      <c r="G58" s="60">
        <v>12.47</v>
      </c>
      <c r="H58" s="60">
        <v>8.92</v>
      </c>
      <c r="I58" s="60">
        <v>9.15</v>
      </c>
      <c r="J58" s="60">
        <v>0.4</v>
      </c>
      <c r="K58" s="60">
        <v>171.75</v>
      </c>
      <c r="L58" s="10" t="s">
        <v>43</v>
      </c>
      <c r="M58" s="60">
        <v>61.53</v>
      </c>
      <c r="N58" s="60">
        <v>976.8</v>
      </c>
      <c r="O58" s="60">
        <v>0</v>
      </c>
      <c r="P58" s="60">
        <v>0.44</v>
      </c>
      <c r="Q58" s="60">
        <v>18.309999999999999</v>
      </c>
      <c r="R58" s="197"/>
      <c r="S58" s="197"/>
      <c r="T58" s="197"/>
      <c r="U58" s="197"/>
    </row>
    <row r="59" spans="1:21" s="12" customFormat="1" x14ac:dyDescent="0.25">
      <c r="A59" s="200" t="s">
        <v>3178</v>
      </c>
      <c r="B59" s="60">
        <v>1.21</v>
      </c>
      <c r="C59" s="60">
        <v>8.3000000000000007</v>
      </c>
      <c r="D59" s="60">
        <v>9.51</v>
      </c>
      <c r="E59" s="60">
        <v>4.79</v>
      </c>
      <c r="F59" s="60">
        <v>4.34</v>
      </c>
      <c r="G59" s="60">
        <v>12.47</v>
      </c>
      <c r="H59" s="60">
        <v>8.92</v>
      </c>
      <c r="I59" s="60">
        <v>9.32</v>
      </c>
      <c r="J59" s="60">
        <v>0.98</v>
      </c>
      <c r="K59" s="60">
        <v>148.82</v>
      </c>
      <c r="L59" s="10" t="s">
        <v>43</v>
      </c>
      <c r="M59" s="60">
        <v>60.11</v>
      </c>
      <c r="N59" s="60">
        <v>954.4</v>
      </c>
      <c r="O59" s="60">
        <v>0</v>
      </c>
      <c r="P59" s="60">
        <v>0.43</v>
      </c>
      <c r="Q59" s="60">
        <v>16.97</v>
      </c>
      <c r="R59" s="197"/>
      <c r="S59" s="197"/>
      <c r="T59" s="197"/>
      <c r="U59" s="197"/>
    </row>
    <row r="60" spans="1:21" s="12" customFormat="1" x14ac:dyDescent="0.25">
      <c r="A60" s="200" t="s">
        <v>3179</v>
      </c>
      <c r="B60" s="60">
        <v>1.2</v>
      </c>
      <c r="C60" s="60">
        <v>8.2200000000000006</v>
      </c>
      <c r="D60" s="60">
        <v>9.43</v>
      </c>
      <c r="E60" s="60">
        <v>4.97</v>
      </c>
      <c r="F60" s="60">
        <v>3.18</v>
      </c>
      <c r="G60" s="60">
        <v>12.15</v>
      </c>
      <c r="H60" s="60">
        <v>8.9600000000000009</v>
      </c>
      <c r="I60" s="60">
        <v>9.09</v>
      </c>
      <c r="J60" s="60">
        <v>0.93</v>
      </c>
      <c r="K60" s="60">
        <v>158.02000000000001</v>
      </c>
      <c r="L60" s="10" t="s">
        <v>43</v>
      </c>
      <c r="M60" s="60">
        <v>56.61</v>
      </c>
      <c r="N60" s="60">
        <v>999</v>
      </c>
      <c r="O60" s="60">
        <v>0</v>
      </c>
      <c r="P60" s="60">
        <v>0.44</v>
      </c>
      <c r="Q60" s="60">
        <v>17.09</v>
      </c>
      <c r="R60" s="197"/>
      <c r="S60" s="197"/>
      <c r="T60" s="197"/>
      <c r="U60" s="197"/>
    </row>
    <row r="61" spans="1:21" s="12" customFormat="1" x14ac:dyDescent="0.25">
      <c r="A61" s="200" t="s">
        <v>3180</v>
      </c>
      <c r="B61" s="60">
        <v>1.32</v>
      </c>
      <c r="C61" s="60">
        <v>8.4600000000000009</v>
      </c>
      <c r="D61" s="60">
        <v>9.7799999999999994</v>
      </c>
      <c r="E61" s="60">
        <v>4.84</v>
      </c>
      <c r="F61" s="60">
        <v>3.2</v>
      </c>
      <c r="G61" s="60">
        <v>11.64</v>
      </c>
      <c r="H61" s="60">
        <v>9.0299999999999994</v>
      </c>
      <c r="I61" s="60">
        <v>4.63</v>
      </c>
      <c r="J61" s="60">
        <v>1.51</v>
      </c>
      <c r="K61" s="60">
        <v>345.09</v>
      </c>
      <c r="L61" s="10" t="s">
        <v>43</v>
      </c>
      <c r="M61" s="60">
        <v>56.12</v>
      </c>
      <c r="N61" s="60">
        <v>854.3</v>
      </c>
      <c r="O61" s="60">
        <v>0</v>
      </c>
      <c r="P61" s="60">
        <v>0.45</v>
      </c>
      <c r="Q61" s="60">
        <v>17.29</v>
      </c>
      <c r="R61" s="197"/>
      <c r="S61" s="197"/>
      <c r="T61" s="197"/>
      <c r="U61" s="197"/>
    </row>
    <row r="62" spans="1:21" s="12" customFormat="1" x14ac:dyDescent="0.25">
      <c r="A62" s="200" t="s">
        <v>3181</v>
      </c>
      <c r="B62" s="60">
        <v>1.96</v>
      </c>
      <c r="C62" s="60">
        <v>9.34</v>
      </c>
      <c r="D62" s="60">
        <v>11.3</v>
      </c>
      <c r="E62" s="60">
        <v>5.0599999999999996</v>
      </c>
      <c r="F62" s="60">
        <v>3.36</v>
      </c>
      <c r="G62" s="60">
        <v>11.64</v>
      </c>
      <c r="H62" s="60">
        <v>9.0299999999999994</v>
      </c>
      <c r="I62" s="60">
        <v>4.1399999999999997</v>
      </c>
      <c r="J62" s="60">
        <v>2.1</v>
      </c>
      <c r="K62" s="60">
        <v>336.03</v>
      </c>
      <c r="L62" s="10" t="s">
        <v>43</v>
      </c>
      <c r="M62" s="60">
        <v>56.41</v>
      </c>
      <c r="N62" s="60">
        <v>655.6</v>
      </c>
      <c r="O62" s="60">
        <v>0</v>
      </c>
      <c r="P62" s="60">
        <v>0.51</v>
      </c>
      <c r="Q62" s="60">
        <v>15.61</v>
      </c>
      <c r="R62" s="197"/>
      <c r="S62" s="197"/>
      <c r="T62" s="197"/>
      <c r="U62" s="197"/>
    </row>
    <row r="63" spans="1:21" s="12" customFormat="1" x14ac:dyDescent="0.25">
      <c r="A63" s="200" t="s">
        <v>3182</v>
      </c>
      <c r="B63" s="60">
        <v>2.4300000000000002</v>
      </c>
      <c r="C63" s="60">
        <v>10.57</v>
      </c>
      <c r="D63" s="60">
        <v>13.01</v>
      </c>
      <c r="E63" s="60">
        <v>5.34</v>
      </c>
      <c r="F63" s="60">
        <v>4.8</v>
      </c>
      <c r="G63" s="60">
        <v>11.64</v>
      </c>
      <c r="H63" s="60">
        <v>9.0299999999999994</v>
      </c>
      <c r="I63" s="60">
        <v>9.35</v>
      </c>
      <c r="J63" s="60">
        <v>2.34</v>
      </c>
      <c r="K63" s="60">
        <v>342.29</v>
      </c>
      <c r="L63" s="10" t="s">
        <v>43</v>
      </c>
      <c r="M63" s="60">
        <v>56.82</v>
      </c>
      <c r="N63" s="60">
        <v>634.4</v>
      </c>
      <c r="O63" s="60">
        <v>0</v>
      </c>
      <c r="P63" s="60">
        <v>0.56999999999999995</v>
      </c>
      <c r="Q63" s="60">
        <v>13.75</v>
      </c>
      <c r="R63" s="197"/>
      <c r="S63" s="197"/>
      <c r="T63" s="197"/>
      <c r="U63" s="197"/>
    </row>
    <row r="64" spans="1:21" s="12" customFormat="1" x14ac:dyDescent="0.25">
      <c r="A64" s="200" t="s">
        <v>3183</v>
      </c>
      <c r="B64" s="60">
        <v>2.91</v>
      </c>
      <c r="C64" s="60">
        <v>11.67</v>
      </c>
      <c r="D64" s="60">
        <v>14.58</v>
      </c>
      <c r="E64" s="60">
        <v>5.47</v>
      </c>
      <c r="F64" s="60">
        <v>6.55</v>
      </c>
      <c r="G64" s="60">
        <v>17.66</v>
      </c>
      <c r="H64" s="60">
        <v>11.23</v>
      </c>
      <c r="I64" s="60">
        <v>9.2100000000000009</v>
      </c>
      <c r="J64" s="60">
        <v>1.9</v>
      </c>
      <c r="K64" s="60">
        <v>331.39</v>
      </c>
      <c r="L64" s="10" t="s">
        <v>43</v>
      </c>
      <c r="M64" s="60">
        <v>55.52</v>
      </c>
      <c r="N64" s="60">
        <v>831.3</v>
      </c>
      <c r="O64" s="60">
        <v>0</v>
      </c>
      <c r="P64" s="60">
        <v>0.66</v>
      </c>
      <c r="Q64" s="60">
        <v>13.09</v>
      </c>
      <c r="R64" s="197"/>
      <c r="S64" s="197"/>
      <c r="T64" s="197"/>
      <c r="U64" s="197"/>
    </row>
    <row r="65" spans="1:21" s="12" customFormat="1" x14ac:dyDescent="0.25">
      <c r="A65" s="200" t="s">
        <v>3184</v>
      </c>
      <c r="B65" s="60">
        <v>3.61</v>
      </c>
      <c r="C65" s="60">
        <v>13.06</v>
      </c>
      <c r="D65" s="60">
        <v>16.670000000000002</v>
      </c>
      <c r="E65" s="60">
        <v>4.8499999999999996</v>
      </c>
      <c r="F65" s="60">
        <v>8.4499999999999993</v>
      </c>
      <c r="G65" s="60">
        <v>27.57</v>
      </c>
      <c r="H65" s="60">
        <v>15.04</v>
      </c>
      <c r="I65" s="60">
        <v>9.0500000000000007</v>
      </c>
      <c r="J65" s="60">
        <v>1.39</v>
      </c>
      <c r="K65" s="60">
        <v>326.47000000000003</v>
      </c>
      <c r="L65" s="10" t="s">
        <v>43</v>
      </c>
      <c r="M65" s="60">
        <v>52.23</v>
      </c>
      <c r="N65" s="60">
        <v>802.8</v>
      </c>
      <c r="O65" s="60">
        <v>0</v>
      </c>
      <c r="P65" s="60">
        <v>0.72</v>
      </c>
      <c r="Q65" s="60">
        <v>11.4</v>
      </c>
      <c r="R65" s="197"/>
      <c r="S65" s="197"/>
      <c r="T65" s="197"/>
      <c r="U65" s="197"/>
    </row>
    <row r="66" spans="1:21" s="12" customFormat="1" x14ac:dyDescent="0.25">
      <c r="A66" s="200" t="s">
        <v>3185</v>
      </c>
      <c r="B66" s="60">
        <v>3.27</v>
      </c>
      <c r="C66" s="60">
        <v>13.04</v>
      </c>
      <c r="D66" s="60">
        <v>16.3</v>
      </c>
      <c r="E66" s="60">
        <v>4.5199999999999996</v>
      </c>
      <c r="F66" s="60">
        <v>7.4</v>
      </c>
      <c r="G66" s="60">
        <v>27.57</v>
      </c>
      <c r="H66" s="60">
        <v>15.04</v>
      </c>
      <c r="I66" s="60">
        <v>8.59</v>
      </c>
      <c r="J66" s="60">
        <v>0.94</v>
      </c>
      <c r="K66" s="60">
        <v>335.99</v>
      </c>
      <c r="L66" s="10" t="s">
        <v>43</v>
      </c>
      <c r="M66" s="60">
        <v>53.77</v>
      </c>
      <c r="N66" s="60">
        <v>597.6</v>
      </c>
      <c r="O66" s="60">
        <v>0</v>
      </c>
      <c r="P66" s="60">
        <v>0.65</v>
      </c>
      <c r="Q66" s="60">
        <v>10.52</v>
      </c>
      <c r="R66" s="197"/>
      <c r="S66" s="197"/>
      <c r="T66" s="197"/>
      <c r="U66" s="197"/>
    </row>
    <row r="67" spans="1:21" s="12" customFormat="1" x14ac:dyDescent="0.25">
      <c r="A67" s="200" t="s">
        <v>3186</v>
      </c>
      <c r="B67" s="60">
        <v>2.88</v>
      </c>
      <c r="C67" s="60">
        <v>12.85</v>
      </c>
      <c r="D67" s="60">
        <v>15.73</v>
      </c>
      <c r="E67" s="60">
        <v>4.97</v>
      </c>
      <c r="F67" s="60">
        <v>3.52</v>
      </c>
      <c r="G67" s="60">
        <v>27.57</v>
      </c>
      <c r="H67" s="60">
        <v>15.04</v>
      </c>
      <c r="I67" s="60">
        <v>7.71</v>
      </c>
      <c r="J67" s="60">
        <v>0.37</v>
      </c>
      <c r="K67" s="60">
        <v>340.33</v>
      </c>
      <c r="L67" s="10" t="s">
        <v>43</v>
      </c>
      <c r="M67" s="60">
        <v>57.45</v>
      </c>
      <c r="N67" s="60">
        <v>194.2</v>
      </c>
      <c r="O67" s="60">
        <v>0</v>
      </c>
      <c r="P67" s="60">
        <v>0.65</v>
      </c>
      <c r="Q67" s="60">
        <v>10.35</v>
      </c>
      <c r="R67" s="197"/>
      <c r="S67" s="197"/>
      <c r="T67" s="197"/>
      <c r="U67" s="197"/>
    </row>
    <row r="68" spans="1:21" s="12" customFormat="1" x14ac:dyDescent="0.25">
      <c r="A68" s="200" t="s">
        <v>3187</v>
      </c>
      <c r="B68" s="60">
        <v>2.63</v>
      </c>
      <c r="C68" s="60">
        <v>12.91</v>
      </c>
      <c r="D68" s="60">
        <v>15.53</v>
      </c>
      <c r="E68" s="60">
        <v>3.94</v>
      </c>
      <c r="F68" s="60">
        <v>6.21</v>
      </c>
      <c r="G68" s="60">
        <v>27.4</v>
      </c>
      <c r="H68" s="60">
        <v>14.74</v>
      </c>
      <c r="I68" s="60">
        <v>7.84</v>
      </c>
      <c r="J68" s="60">
        <v>0.34</v>
      </c>
      <c r="K68" s="60">
        <v>344.23</v>
      </c>
      <c r="L68" s="10" t="s">
        <v>43</v>
      </c>
      <c r="M68" s="60">
        <v>64.39</v>
      </c>
      <c r="N68" s="60">
        <v>134.80000000000001</v>
      </c>
      <c r="O68" s="60">
        <v>0</v>
      </c>
      <c r="P68" s="60">
        <v>0.63</v>
      </c>
      <c r="Q68" s="60">
        <v>12.14</v>
      </c>
      <c r="R68" s="197"/>
      <c r="S68" s="197"/>
      <c r="T68" s="197"/>
      <c r="U68" s="197"/>
    </row>
    <row r="69" spans="1:21" s="12" customFormat="1" x14ac:dyDescent="0.25">
      <c r="A69" s="200" t="s">
        <v>3188</v>
      </c>
      <c r="B69" s="60">
        <v>2.2400000000000002</v>
      </c>
      <c r="C69" s="60">
        <v>13.25</v>
      </c>
      <c r="D69" s="60">
        <v>15.5</v>
      </c>
      <c r="E69" s="60">
        <v>4.49</v>
      </c>
      <c r="F69" s="60">
        <v>7.11</v>
      </c>
      <c r="G69" s="60">
        <v>27.12</v>
      </c>
      <c r="H69" s="60">
        <v>14.24</v>
      </c>
      <c r="I69" s="60">
        <v>7.78</v>
      </c>
      <c r="J69" s="60">
        <v>0.52</v>
      </c>
      <c r="K69" s="60">
        <v>331.86</v>
      </c>
      <c r="L69" s="10" t="s">
        <v>43</v>
      </c>
      <c r="M69" s="60">
        <v>63.75</v>
      </c>
      <c r="N69" s="60">
        <v>489.7</v>
      </c>
      <c r="O69" s="60">
        <v>0</v>
      </c>
      <c r="P69" s="60">
        <v>0.68</v>
      </c>
      <c r="Q69" s="60">
        <v>13.1</v>
      </c>
      <c r="R69" s="197"/>
      <c r="S69" s="197"/>
      <c r="T69" s="197"/>
      <c r="U69" s="197"/>
    </row>
    <row r="70" spans="1:21" s="12" customFormat="1" x14ac:dyDescent="0.25">
      <c r="A70" s="200" t="s">
        <v>3189</v>
      </c>
      <c r="B70" s="60">
        <v>1.87</v>
      </c>
      <c r="C70" s="60">
        <v>12.97</v>
      </c>
      <c r="D70" s="60">
        <v>14.84</v>
      </c>
      <c r="E70" s="60">
        <v>4.45</v>
      </c>
      <c r="F70" s="60">
        <v>4.68</v>
      </c>
      <c r="G70" s="60">
        <v>27.12</v>
      </c>
      <c r="H70" s="60">
        <v>14.24</v>
      </c>
      <c r="I70" s="60">
        <v>7.45</v>
      </c>
      <c r="J70" s="60">
        <v>2.17</v>
      </c>
      <c r="K70" s="60">
        <v>153.16999999999999</v>
      </c>
      <c r="L70" s="10" t="s">
        <v>43</v>
      </c>
      <c r="M70" s="60">
        <v>73.98</v>
      </c>
      <c r="N70" s="60">
        <v>312.10000000000002</v>
      </c>
      <c r="O70" s="60">
        <v>0.2</v>
      </c>
      <c r="P70" s="60">
        <v>0.65</v>
      </c>
      <c r="Q70" s="60">
        <v>11.87</v>
      </c>
      <c r="R70" s="197"/>
      <c r="S70" s="197"/>
      <c r="T70" s="197"/>
      <c r="U70" s="197"/>
    </row>
    <row r="71" spans="1:21" s="12" customFormat="1" x14ac:dyDescent="0.25">
      <c r="A71" s="200" t="s">
        <v>3190</v>
      </c>
      <c r="B71" s="60">
        <v>1.55</v>
      </c>
      <c r="C71" s="60">
        <v>12.86</v>
      </c>
      <c r="D71" s="60">
        <v>14.41</v>
      </c>
      <c r="E71" s="60">
        <v>4.1500000000000004</v>
      </c>
      <c r="F71" s="60">
        <v>9.1199999999999992</v>
      </c>
      <c r="G71" s="60">
        <v>27.12</v>
      </c>
      <c r="H71" s="60">
        <v>14.24</v>
      </c>
      <c r="I71" s="60">
        <v>7.71</v>
      </c>
      <c r="J71" s="60">
        <v>1.63</v>
      </c>
      <c r="K71" s="60">
        <v>161.18</v>
      </c>
      <c r="L71" s="10" t="s">
        <v>43</v>
      </c>
      <c r="M71" s="60">
        <v>81.040000000000006</v>
      </c>
      <c r="N71" s="60">
        <v>297.10000000000002</v>
      </c>
      <c r="O71" s="60">
        <v>0</v>
      </c>
      <c r="P71" s="60">
        <v>0.62</v>
      </c>
      <c r="Q71" s="60">
        <v>12.4</v>
      </c>
      <c r="R71" s="197"/>
      <c r="S71" s="197"/>
      <c r="T71" s="197"/>
      <c r="U71" s="197"/>
    </row>
    <row r="72" spans="1:21" s="12" customFormat="1" x14ac:dyDescent="0.25">
      <c r="A72" s="200" t="s">
        <v>3191</v>
      </c>
      <c r="B72" s="60">
        <v>1.32</v>
      </c>
      <c r="C72" s="60">
        <v>12.67</v>
      </c>
      <c r="D72" s="60">
        <v>13.99</v>
      </c>
      <c r="E72" s="60">
        <v>1.58</v>
      </c>
      <c r="F72" s="60">
        <v>16.510000000000002</v>
      </c>
      <c r="G72" s="60">
        <v>33.51</v>
      </c>
      <c r="H72" s="60">
        <v>13.13</v>
      </c>
      <c r="I72" s="60">
        <v>7.39</v>
      </c>
      <c r="J72" s="60">
        <v>1.4</v>
      </c>
      <c r="K72" s="60">
        <v>167.01</v>
      </c>
      <c r="L72" s="10" t="s">
        <v>43</v>
      </c>
      <c r="M72" s="60">
        <v>77.260000000000005</v>
      </c>
      <c r="N72" s="60">
        <v>249.6</v>
      </c>
      <c r="O72" s="60">
        <v>0</v>
      </c>
      <c r="P72" s="60">
        <v>0.62</v>
      </c>
      <c r="Q72" s="60">
        <v>12.89</v>
      </c>
      <c r="R72" s="197"/>
      <c r="S72" s="197"/>
      <c r="T72" s="197"/>
      <c r="U72" s="197"/>
    </row>
    <row r="73" spans="1:21" s="12" customFormat="1" x14ac:dyDescent="0.25">
      <c r="A73" s="200" t="s">
        <v>3192</v>
      </c>
      <c r="B73" s="60">
        <v>1.19</v>
      </c>
      <c r="C73" s="60">
        <v>12.61</v>
      </c>
      <c r="D73" s="60">
        <v>13.8</v>
      </c>
      <c r="E73" s="60">
        <v>4.0199999999999996</v>
      </c>
      <c r="F73" s="60">
        <v>13.35</v>
      </c>
      <c r="G73" s="60">
        <v>44.02</v>
      </c>
      <c r="H73" s="60">
        <v>11.21</v>
      </c>
      <c r="I73" s="60">
        <v>7.5</v>
      </c>
      <c r="J73" s="60">
        <v>1.05</v>
      </c>
      <c r="K73" s="60">
        <v>182.75</v>
      </c>
      <c r="L73" s="10" t="s">
        <v>43</v>
      </c>
      <c r="M73" s="60">
        <v>72.459999999999994</v>
      </c>
      <c r="N73" s="60">
        <v>192.7</v>
      </c>
      <c r="O73" s="60">
        <v>0</v>
      </c>
      <c r="P73" s="60">
        <v>0.65</v>
      </c>
      <c r="Q73" s="60">
        <v>13.31</v>
      </c>
      <c r="R73" s="197"/>
      <c r="S73" s="197"/>
      <c r="T73" s="197"/>
      <c r="U73" s="197"/>
    </row>
    <row r="74" spans="1:21" s="12" customFormat="1" x14ac:dyDescent="0.25">
      <c r="A74" s="200" t="s">
        <v>3193</v>
      </c>
      <c r="B74" s="60">
        <v>1.05</v>
      </c>
      <c r="C74" s="60">
        <v>12.97</v>
      </c>
      <c r="D74" s="60">
        <v>14.02</v>
      </c>
      <c r="E74" s="60">
        <v>2.33</v>
      </c>
      <c r="F74" s="60">
        <v>25.42</v>
      </c>
      <c r="G74" s="60">
        <v>44.02</v>
      </c>
      <c r="H74" s="60">
        <v>11.21</v>
      </c>
      <c r="I74" s="60">
        <v>6.75</v>
      </c>
      <c r="J74" s="60">
        <v>0.62</v>
      </c>
      <c r="K74" s="60">
        <v>195.07</v>
      </c>
      <c r="L74" s="10" t="s">
        <v>43</v>
      </c>
      <c r="M74" s="60">
        <v>70.31</v>
      </c>
      <c r="N74" s="60">
        <v>164.5</v>
      </c>
      <c r="O74" s="60">
        <v>0</v>
      </c>
      <c r="P74" s="60">
        <v>0.71</v>
      </c>
      <c r="Q74" s="60">
        <v>13.14</v>
      </c>
      <c r="R74" s="197"/>
      <c r="S74" s="197"/>
      <c r="T74" s="197"/>
      <c r="U74" s="197"/>
    </row>
    <row r="75" spans="1:21" s="12" customFormat="1" x14ac:dyDescent="0.25">
      <c r="A75" s="200" t="s">
        <v>3194</v>
      </c>
      <c r="B75" s="60">
        <v>1.03</v>
      </c>
      <c r="C75" s="60">
        <v>12.3</v>
      </c>
      <c r="D75" s="60">
        <v>13.32</v>
      </c>
      <c r="E75" s="60">
        <v>3.89</v>
      </c>
      <c r="F75" s="60">
        <v>13.49</v>
      </c>
      <c r="G75" s="60">
        <v>44.02</v>
      </c>
      <c r="H75" s="60">
        <v>11.21</v>
      </c>
      <c r="I75" s="60">
        <v>5.28</v>
      </c>
      <c r="J75" s="60">
        <v>0.21</v>
      </c>
      <c r="K75" s="60">
        <v>154.01</v>
      </c>
      <c r="L75" s="10" t="s">
        <v>43</v>
      </c>
      <c r="M75" s="60">
        <v>69.83</v>
      </c>
      <c r="N75" s="60">
        <v>163</v>
      </c>
      <c r="O75" s="60">
        <v>0</v>
      </c>
      <c r="P75" s="60">
        <v>0.73</v>
      </c>
      <c r="Q75" s="60">
        <v>11.61</v>
      </c>
      <c r="R75" s="197"/>
      <c r="S75" s="197"/>
      <c r="T75" s="197"/>
      <c r="U75" s="197"/>
    </row>
    <row r="76" spans="1:21" s="12" customFormat="1" x14ac:dyDescent="0.25">
      <c r="A76" s="200" t="s">
        <v>3195</v>
      </c>
      <c r="B76" s="60">
        <v>0.94</v>
      </c>
      <c r="C76" s="60">
        <v>12.51</v>
      </c>
      <c r="D76" s="60">
        <v>13.44</v>
      </c>
      <c r="E76" s="60">
        <v>4.72</v>
      </c>
      <c r="F76" s="60">
        <v>13.84</v>
      </c>
      <c r="G76" s="60">
        <v>44.78</v>
      </c>
      <c r="H76" s="60">
        <v>13.98</v>
      </c>
      <c r="I76" s="60">
        <v>5.9</v>
      </c>
      <c r="J76" s="60">
        <v>0.37</v>
      </c>
      <c r="K76" s="60">
        <v>311.23</v>
      </c>
      <c r="L76" s="10" t="s">
        <v>43</v>
      </c>
      <c r="M76" s="60">
        <v>66.489999999999995</v>
      </c>
      <c r="N76" s="60">
        <v>153.80000000000001</v>
      </c>
      <c r="O76" s="60">
        <v>0</v>
      </c>
      <c r="P76" s="60">
        <v>0.73</v>
      </c>
      <c r="Q76" s="60">
        <v>10.36</v>
      </c>
      <c r="R76" s="197"/>
      <c r="S76" s="197"/>
      <c r="T76" s="197"/>
      <c r="U76" s="197"/>
    </row>
    <row r="77" spans="1:21" s="12" customFormat="1" x14ac:dyDescent="0.25">
      <c r="A77" s="200" t="s">
        <v>3196</v>
      </c>
      <c r="B77" s="60">
        <v>1.29</v>
      </c>
      <c r="C77" s="60">
        <v>12.45</v>
      </c>
      <c r="D77" s="60">
        <v>13.73</v>
      </c>
      <c r="E77" s="60">
        <v>5.44</v>
      </c>
      <c r="F77" s="60">
        <v>5.98</v>
      </c>
      <c r="G77" s="60">
        <v>46.02</v>
      </c>
      <c r="H77" s="60">
        <v>18.760000000000002</v>
      </c>
      <c r="I77" s="60">
        <v>6.83</v>
      </c>
      <c r="J77" s="60">
        <v>2.11</v>
      </c>
      <c r="K77" s="60">
        <v>3.34</v>
      </c>
      <c r="L77" s="10" t="s">
        <v>43</v>
      </c>
      <c r="M77" s="60">
        <v>78.430000000000007</v>
      </c>
      <c r="N77" s="60">
        <v>66.5</v>
      </c>
      <c r="O77" s="60">
        <v>3</v>
      </c>
      <c r="P77" s="60">
        <v>0.73</v>
      </c>
      <c r="Q77" s="60">
        <v>8.44</v>
      </c>
      <c r="R77" s="197"/>
      <c r="S77" s="197"/>
      <c r="T77" s="197"/>
      <c r="U77" s="197"/>
    </row>
    <row r="78" spans="1:21" s="12" customFormat="1" x14ac:dyDescent="0.25">
      <c r="A78" s="200" t="s">
        <v>3197</v>
      </c>
      <c r="B78" s="60">
        <v>1.3</v>
      </c>
      <c r="C78" s="60">
        <v>13.49</v>
      </c>
      <c r="D78" s="60">
        <v>14.8</v>
      </c>
      <c r="E78" s="60">
        <v>4.21</v>
      </c>
      <c r="F78" s="60">
        <v>18.510000000000002</v>
      </c>
      <c r="G78" s="60">
        <v>46.02</v>
      </c>
      <c r="H78" s="60">
        <v>18.760000000000002</v>
      </c>
      <c r="I78" s="60">
        <v>7.27</v>
      </c>
      <c r="J78" s="60">
        <v>0.77</v>
      </c>
      <c r="K78" s="60">
        <v>140.94999999999999</v>
      </c>
      <c r="L78" s="10" t="s">
        <v>43</v>
      </c>
      <c r="M78" s="60">
        <v>91.66</v>
      </c>
      <c r="N78" s="60">
        <v>56.5</v>
      </c>
      <c r="O78" s="60">
        <v>0.6</v>
      </c>
      <c r="P78" s="60">
        <v>0.59</v>
      </c>
      <c r="Q78" s="60">
        <v>9.26</v>
      </c>
      <c r="R78" s="197"/>
      <c r="S78" s="197"/>
      <c r="T78" s="197"/>
      <c r="U78" s="197"/>
    </row>
    <row r="79" spans="1:21" s="12" customFormat="1" x14ac:dyDescent="0.25">
      <c r="A79" s="200" t="s">
        <v>3198</v>
      </c>
      <c r="B79" s="60">
        <v>1.46</v>
      </c>
      <c r="C79" s="60">
        <v>16.55</v>
      </c>
      <c r="D79" s="60">
        <v>18.010000000000002</v>
      </c>
      <c r="E79" s="60">
        <v>2.61</v>
      </c>
      <c r="F79" s="60">
        <v>9.81</v>
      </c>
      <c r="G79" s="60">
        <v>46.02</v>
      </c>
      <c r="H79" s="60">
        <v>18.760000000000002</v>
      </c>
      <c r="I79" s="60">
        <v>7.17</v>
      </c>
      <c r="J79" s="60">
        <v>1.1200000000000001</v>
      </c>
      <c r="K79" s="60">
        <v>207.35</v>
      </c>
      <c r="L79" s="10" t="s">
        <v>43</v>
      </c>
      <c r="M79" s="60">
        <v>97.3</v>
      </c>
      <c r="N79" s="60">
        <v>48.9</v>
      </c>
      <c r="O79" s="60">
        <v>0</v>
      </c>
      <c r="P79" s="60">
        <v>0.63</v>
      </c>
      <c r="Q79" s="60">
        <v>6.66</v>
      </c>
      <c r="R79" s="197"/>
      <c r="S79" s="197"/>
      <c r="T79" s="197"/>
      <c r="U79" s="197"/>
    </row>
    <row r="80" spans="1:21" s="12" customFormat="1" x14ac:dyDescent="0.25">
      <c r="A80" s="200" t="s">
        <v>3199</v>
      </c>
      <c r="B80" s="60">
        <v>20.95</v>
      </c>
      <c r="C80" s="60">
        <v>33.01</v>
      </c>
      <c r="D80" s="60">
        <v>53.96</v>
      </c>
      <c r="E80" s="60">
        <v>2.69</v>
      </c>
      <c r="F80" s="60">
        <v>0.73</v>
      </c>
      <c r="G80" s="60">
        <v>104.67</v>
      </c>
      <c r="H80" s="60">
        <v>19.18</v>
      </c>
      <c r="I80" s="60">
        <v>5.46</v>
      </c>
      <c r="J80" s="60">
        <v>0.2</v>
      </c>
      <c r="K80" s="60">
        <v>281.19</v>
      </c>
      <c r="L80" s="10" t="s">
        <v>43</v>
      </c>
      <c r="M80" s="60">
        <v>98.69</v>
      </c>
      <c r="N80" s="60">
        <v>33</v>
      </c>
      <c r="O80" s="60">
        <v>0</v>
      </c>
      <c r="P80" s="60">
        <v>2.3199999999999998</v>
      </c>
      <c r="Q80" s="220" t="s">
        <v>42</v>
      </c>
      <c r="R80" s="197"/>
      <c r="S80" s="197"/>
      <c r="T80" s="197"/>
      <c r="U80" s="197"/>
    </row>
    <row r="81" spans="1:26" s="12" customFormat="1" x14ac:dyDescent="0.25">
      <c r="A81" s="200" t="s">
        <v>3200</v>
      </c>
      <c r="B81" s="60">
        <v>20.97</v>
      </c>
      <c r="C81" s="60">
        <v>36.020000000000003</v>
      </c>
      <c r="D81" s="60">
        <v>56.99</v>
      </c>
      <c r="E81" s="60">
        <v>1.22</v>
      </c>
      <c r="F81" s="60">
        <v>0</v>
      </c>
      <c r="G81" s="60">
        <v>201.26</v>
      </c>
      <c r="H81" s="60">
        <v>19.899999999999999</v>
      </c>
      <c r="I81" s="60">
        <v>5.85</v>
      </c>
      <c r="J81" s="60">
        <v>0.55000000000000004</v>
      </c>
      <c r="K81" s="60">
        <v>33.090000000000003</v>
      </c>
      <c r="L81" s="10" t="s">
        <v>43</v>
      </c>
      <c r="M81" s="60">
        <v>98</v>
      </c>
      <c r="N81" s="60">
        <v>20.399999999999999</v>
      </c>
      <c r="O81" s="60">
        <v>0</v>
      </c>
      <c r="P81" s="60">
        <v>2.25</v>
      </c>
      <c r="Q81" s="220" t="s">
        <v>42</v>
      </c>
      <c r="R81" s="197"/>
      <c r="S81" s="197"/>
      <c r="T81" s="197"/>
      <c r="U81" s="197"/>
    </row>
    <row r="82" spans="1:26" s="12" customFormat="1" x14ac:dyDescent="0.25">
      <c r="A82" s="200" t="s">
        <v>3201</v>
      </c>
      <c r="B82" s="60">
        <v>31.96</v>
      </c>
      <c r="C82" s="60">
        <v>36.5</v>
      </c>
      <c r="D82" s="60">
        <v>68.45</v>
      </c>
      <c r="E82" s="60">
        <v>1.48</v>
      </c>
      <c r="F82" s="60">
        <v>0</v>
      </c>
      <c r="G82" s="60">
        <v>201.26</v>
      </c>
      <c r="H82" s="60">
        <v>19.899999999999999</v>
      </c>
      <c r="I82" s="60">
        <v>8.44</v>
      </c>
      <c r="J82" s="60">
        <v>0.56999999999999995</v>
      </c>
      <c r="K82" s="60">
        <v>252.79</v>
      </c>
      <c r="L82" s="10" t="s">
        <v>43</v>
      </c>
      <c r="M82" s="60">
        <v>98.81</v>
      </c>
      <c r="N82" s="60">
        <v>15.6</v>
      </c>
      <c r="O82" s="60">
        <v>0</v>
      </c>
      <c r="P82" s="60">
        <v>2.59</v>
      </c>
      <c r="Q82" s="220" t="s">
        <v>42</v>
      </c>
      <c r="R82" s="197"/>
      <c r="S82" s="197"/>
      <c r="T82" s="197"/>
      <c r="U82" s="197"/>
    </row>
    <row r="83" spans="1:26" s="12" customFormat="1" x14ac:dyDescent="0.25">
      <c r="A83" s="200" t="s">
        <v>3202</v>
      </c>
      <c r="B83" s="60">
        <v>27.74</v>
      </c>
      <c r="C83" s="60">
        <v>36.549999999999997</v>
      </c>
      <c r="D83" s="60">
        <v>64.28</v>
      </c>
      <c r="E83" s="60">
        <v>0.48</v>
      </c>
      <c r="F83" s="60">
        <v>0.04</v>
      </c>
      <c r="G83" s="60">
        <v>201.26</v>
      </c>
      <c r="H83" s="60">
        <v>19.899999999999999</v>
      </c>
      <c r="I83" s="60">
        <v>10.63</v>
      </c>
      <c r="J83" s="60">
        <v>0.21</v>
      </c>
      <c r="K83" s="60">
        <v>180.28</v>
      </c>
      <c r="L83" s="10" t="s">
        <v>43</v>
      </c>
      <c r="M83" s="60">
        <v>96.52</v>
      </c>
      <c r="N83" s="60">
        <v>15.9</v>
      </c>
      <c r="O83" s="60">
        <v>0</v>
      </c>
      <c r="P83" s="60">
        <v>2.82</v>
      </c>
      <c r="Q83" s="60">
        <v>6.06</v>
      </c>
      <c r="R83" s="197"/>
      <c r="S83" s="197"/>
      <c r="T83" s="197"/>
      <c r="U83" s="197"/>
    </row>
    <row r="84" spans="1:26" s="12" customFormat="1" x14ac:dyDescent="0.25">
      <c r="A84" s="200" t="s">
        <v>3203</v>
      </c>
      <c r="B84" s="60">
        <v>14.15</v>
      </c>
      <c r="C84" s="60">
        <v>21.94</v>
      </c>
      <c r="D84" s="60">
        <v>36.090000000000003</v>
      </c>
      <c r="E84" s="60">
        <v>3.68</v>
      </c>
      <c r="F84" s="60">
        <v>2.54</v>
      </c>
      <c r="G84" s="60">
        <v>169.92</v>
      </c>
      <c r="H84" s="60">
        <v>19.100000000000001</v>
      </c>
      <c r="I84" s="60">
        <v>12.47</v>
      </c>
      <c r="J84" s="60">
        <v>0.63</v>
      </c>
      <c r="K84" s="60">
        <v>201.44</v>
      </c>
      <c r="L84" s="10" t="s">
        <v>43</v>
      </c>
      <c r="M84" s="60">
        <v>85.89</v>
      </c>
      <c r="N84" s="60">
        <v>18.600000000000001</v>
      </c>
      <c r="O84" s="60">
        <v>0</v>
      </c>
      <c r="P84" s="60">
        <v>1.01</v>
      </c>
      <c r="Q84" s="60">
        <v>19.489999999999998</v>
      </c>
      <c r="R84" s="197"/>
      <c r="S84" s="197"/>
      <c r="T84" s="197"/>
      <c r="U84" s="197"/>
    </row>
    <row r="85" spans="1:26" s="12" customFormat="1" x14ac:dyDescent="0.25">
      <c r="A85" s="200" t="s">
        <v>3204</v>
      </c>
      <c r="B85" s="60">
        <v>12.11</v>
      </c>
      <c r="C85" s="60">
        <v>16.940000000000001</v>
      </c>
      <c r="D85" s="60">
        <v>29.05</v>
      </c>
      <c r="E85" s="60">
        <v>4.47</v>
      </c>
      <c r="F85" s="60">
        <v>2.84</v>
      </c>
      <c r="G85" s="60">
        <v>118.29</v>
      </c>
      <c r="H85" s="60">
        <v>17.72</v>
      </c>
      <c r="I85" s="60">
        <v>11.94</v>
      </c>
      <c r="J85" s="60">
        <v>0.31</v>
      </c>
      <c r="K85" s="60">
        <v>234.68</v>
      </c>
      <c r="L85" s="10" t="s">
        <v>43</v>
      </c>
      <c r="M85" s="60">
        <v>82.73</v>
      </c>
      <c r="N85" s="60">
        <v>17.600000000000001</v>
      </c>
      <c r="O85" s="60">
        <v>0</v>
      </c>
      <c r="P85" s="60">
        <v>0.97</v>
      </c>
      <c r="Q85" s="60">
        <v>15.86</v>
      </c>
      <c r="R85" s="197"/>
      <c r="S85" s="197"/>
      <c r="T85" s="197"/>
      <c r="U85" s="197"/>
    </row>
    <row r="86" spans="1:26" s="12" customFormat="1" x14ac:dyDescent="0.25">
      <c r="A86" s="200" t="s">
        <v>3205</v>
      </c>
      <c r="B86" s="60">
        <v>11.03</v>
      </c>
      <c r="C86" s="60">
        <v>15.74</v>
      </c>
      <c r="D86" s="60">
        <v>26.77</v>
      </c>
      <c r="E86" s="60">
        <v>4.6399999999999997</v>
      </c>
      <c r="F86" s="60">
        <v>4.3</v>
      </c>
      <c r="G86" s="60">
        <v>118.29</v>
      </c>
      <c r="H86" s="60">
        <v>17.72</v>
      </c>
      <c r="I86" s="60">
        <v>10.119999999999999</v>
      </c>
      <c r="J86" s="60">
        <v>0.25</v>
      </c>
      <c r="K86" s="60">
        <v>295.33</v>
      </c>
      <c r="L86" s="10" t="s">
        <v>43</v>
      </c>
      <c r="M86" s="60">
        <v>80.8</v>
      </c>
      <c r="N86" s="60">
        <v>16.5</v>
      </c>
      <c r="O86" s="60">
        <v>0.4</v>
      </c>
      <c r="P86" s="60">
        <v>0.95</v>
      </c>
      <c r="Q86" s="60">
        <v>15.16</v>
      </c>
      <c r="R86" s="197"/>
      <c r="S86" s="197"/>
      <c r="T86" s="197"/>
      <c r="U86" s="197"/>
    </row>
    <row r="87" spans="1:26" s="12" customFormat="1" x14ac:dyDescent="0.25">
      <c r="A87" s="200" t="s">
        <v>3206</v>
      </c>
      <c r="B87" s="60">
        <v>11.37</v>
      </c>
      <c r="C87" s="60">
        <v>16.86</v>
      </c>
      <c r="D87" s="60">
        <v>28.23</v>
      </c>
      <c r="E87" s="60">
        <v>3.94</v>
      </c>
      <c r="F87" s="60">
        <v>5.98</v>
      </c>
      <c r="G87" s="60">
        <v>118.29</v>
      </c>
      <c r="H87" s="60">
        <v>17.72</v>
      </c>
      <c r="I87" s="60">
        <v>9.0399999999999991</v>
      </c>
      <c r="J87" s="60">
        <v>0.49</v>
      </c>
      <c r="K87" s="60">
        <v>193.99</v>
      </c>
      <c r="L87" s="10" t="s">
        <v>43</v>
      </c>
      <c r="M87" s="60">
        <v>91.05</v>
      </c>
      <c r="N87" s="60">
        <v>15.8</v>
      </c>
      <c r="O87" s="60">
        <v>1</v>
      </c>
      <c r="P87" s="60">
        <v>0.81</v>
      </c>
      <c r="Q87" s="60">
        <v>14.24</v>
      </c>
      <c r="R87" s="197"/>
      <c r="S87" s="197"/>
      <c r="T87" s="197"/>
      <c r="U87" s="197"/>
    </row>
    <row r="88" spans="1:26" s="12" customFormat="1" x14ac:dyDescent="0.25">
      <c r="A88" s="200" t="s">
        <v>3207</v>
      </c>
      <c r="B88" s="60">
        <v>8.76</v>
      </c>
      <c r="C88" s="60">
        <v>15.09</v>
      </c>
      <c r="D88" s="60">
        <v>23.85</v>
      </c>
      <c r="E88" s="60">
        <v>1.79</v>
      </c>
      <c r="F88" s="60">
        <v>6.28</v>
      </c>
      <c r="G88" s="60">
        <v>81.94</v>
      </c>
      <c r="H88" s="60">
        <v>15.87</v>
      </c>
      <c r="I88" s="60">
        <v>8.7100000000000009</v>
      </c>
      <c r="J88" s="60">
        <v>0.72</v>
      </c>
      <c r="K88" s="60">
        <v>178.4</v>
      </c>
      <c r="L88" s="10" t="s">
        <v>43</v>
      </c>
      <c r="M88" s="60">
        <v>89.46</v>
      </c>
      <c r="N88" s="60">
        <v>14.9</v>
      </c>
      <c r="O88" s="60">
        <v>0.2</v>
      </c>
      <c r="P88" s="60">
        <v>0.78</v>
      </c>
      <c r="Q88" s="60">
        <v>16.62</v>
      </c>
      <c r="R88" s="197"/>
      <c r="S88" s="197"/>
      <c r="T88" s="197"/>
      <c r="U88" s="197"/>
    </row>
    <row r="89" spans="1:26" s="12" customFormat="1" x14ac:dyDescent="0.25">
      <c r="A89" s="200" t="s">
        <v>3208</v>
      </c>
      <c r="B89" s="60">
        <v>8.7799999999999994</v>
      </c>
      <c r="C89" s="60">
        <v>13.78</v>
      </c>
      <c r="D89" s="60">
        <v>22.55</v>
      </c>
      <c r="E89" s="60">
        <v>4.9400000000000004</v>
      </c>
      <c r="F89" s="60">
        <v>3.88</v>
      </c>
      <c r="G89" s="60">
        <v>22.06</v>
      </c>
      <c r="H89" s="60">
        <v>12.68</v>
      </c>
      <c r="I89" s="60">
        <v>7.62</v>
      </c>
      <c r="J89" s="60">
        <v>1.05</v>
      </c>
      <c r="K89" s="60">
        <v>173.46</v>
      </c>
      <c r="L89" s="10" t="s">
        <v>43</v>
      </c>
      <c r="M89" s="60">
        <v>90.4</v>
      </c>
      <c r="N89" s="60">
        <v>15</v>
      </c>
      <c r="O89" s="60">
        <v>0</v>
      </c>
      <c r="P89" s="60">
        <v>0.93</v>
      </c>
      <c r="Q89" s="60">
        <v>18.239999999999998</v>
      </c>
      <c r="R89" s="197"/>
      <c r="S89" s="197"/>
      <c r="T89" s="197"/>
      <c r="U89" s="197"/>
    </row>
    <row r="90" spans="1:26" s="12" customFormat="1" x14ac:dyDescent="0.25">
      <c r="A90" s="200" t="s">
        <v>3209</v>
      </c>
      <c r="B90" s="60">
        <v>8.74</v>
      </c>
      <c r="C90" s="60">
        <v>13.53</v>
      </c>
      <c r="D90" s="60">
        <v>22.27</v>
      </c>
      <c r="E90" s="60">
        <v>4.83</v>
      </c>
      <c r="F90" s="60">
        <v>4.58</v>
      </c>
      <c r="G90" s="60">
        <v>22.06</v>
      </c>
      <c r="H90" s="60">
        <v>12.68</v>
      </c>
      <c r="I90" s="60">
        <v>7.52</v>
      </c>
      <c r="J90" s="60">
        <v>0.53</v>
      </c>
      <c r="K90" s="60">
        <v>239.6</v>
      </c>
      <c r="L90" s="10" t="s">
        <v>43</v>
      </c>
      <c r="M90" s="60">
        <v>92.36</v>
      </c>
      <c r="N90" s="60">
        <v>15.4</v>
      </c>
      <c r="O90" s="60">
        <v>0</v>
      </c>
      <c r="P90" s="60">
        <v>0.87</v>
      </c>
      <c r="Q90" s="60">
        <v>16.82</v>
      </c>
      <c r="R90" s="197"/>
      <c r="S90" s="197"/>
      <c r="T90" s="197"/>
      <c r="U90" s="197"/>
    </row>
    <row r="91" spans="1:26" s="12" customFormat="1" x14ac:dyDescent="0.25">
      <c r="A91" s="200" t="s">
        <v>3210</v>
      </c>
      <c r="B91" s="60">
        <v>8.4600000000000009</v>
      </c>
      <c r="C91" s="60">
        <v>12.81</v>
      </c>
      <c r="D91" s="60">
        <v>21.27</v>
      </c>
      <c r="E91" s="60">
        <v>4.97</v>
      </c>
      <c r="F91" s="60">
        <v>4.18</v>
      </c>
      <c r="G91" s="60">
        <v>22.06</v>
      </c>
      <c r="H91" s="60">
        <v>12.68</v>
      </c>
      <c r="I91" s="60">
        <v>8.7100000000000009</v>
      </c>
      <c r="J91" s="60">
        <v>0.79</v>
      </c>
      <c r="K91" s="60">
        <v>196.55</v>
      </c>
      <c r="L91" s="10" t="s">
        <v>43</v>
      </c>
      <c r="M91" s="60">
        <v>93.06</v>
      </c>
      <c r="N91" s="60">
        <v>15</v>
      </c>
      <c r="O91" s="60">
        <v>0</v>
      </c>
      <c r="P91" s="60">
        <v>0.9</v>
      </c>
      <c r="Q91" s="60">
        <v>12.59</v>
      </c>
      <c r="R91" s="197"/>
      <c r="S91" s="197"/>
      <c r="T91" s="197"/>
      <c r="U91" s="197"/>
    </row>
    <row r="92" spans="1:26" s="12" customFormat="1" x14ac:dyDescent="0.25">
      <c r="A92" s="200" t="s">
        <v>3211</v>
      </c>
      <c r="B92" s="60">
        <v>8.0399999999999991</v>
      </c>
      <c r="C92" s="60">
        <v>12.05</v>
      </c>
      <c r="D92" s="60">
        <v>20.09</v>
      </c>
      <c r="E92" s="60">
        <v>6.04</v>
      </c>
      <c r="F92" s="60">
        <v>2.2999999999999998</v>
      </c>
      <c r="G92" s="60">
        <v>26.43</v>
      </c>
      <c r="H92" s="60">
        <v>11.36</v>
      </c>
      <c r="I92" s="60">
        <v>8.36</v>
      </c>
      <c r="J92" s="60">
        <v>0.82</v>
      </c>
      <c r="K92" s="60">
        <v>181.91</v>
      </c>
      <c r="L92" s="10" t="s">
        <v>43</v>
      </c>
      <c r="M92" s="60">
        <v>93.57</v>
      </c>
      <c r="N92" s="60">
        <v>15.2</v>
      </c>
      <c r="O92" s="60">
        <v>0</v>
      </c>
      <c r="P92" s="60">
        <v>0.87</v>
      </c>
      <c r="Q92" s="60">
        <v>13.14</v>
      </c>
      <c r="R92" s="197"/>
      <c r="S92" s="197"/>
      <c r="T92" s="197"/>
      <c r="U92" s="197"/>
    </row>
    <row r="93" spans="1:26" s="12" customFormat="1" x14ac:dyDescent="0.25">
      <c r="A93" s="200" t="s">
        <v>3212</v>
      </c>
      <c r="B93" s="60">
        <v>7.54</v>
      </c>
      <c r="C93" s="60">
        <v>11.78</v>
      </c>
      <c r="D93" s="60">
        <v>19.32</v>
      </c>
      <c r="E93" s="60">
        <v>5.88</v>
      </c>
      <c r="F93" s="60">
        <v>2.04</v>
      </c>
      <c r="G93" s="60">
        <v>33.630000000000003</v>
      </c>
      <c r="H93" s="60">
        <v>9.1</v>
      </c>
      <c r="I93" s="60">
        <v>8.3000000000000007</v>
      </c>
      <c r="J93" s="60">
        <v>1.1599999999999999</v>
      </c>
      <c r="K93" s="60">
        <v>181.55</v>
      </c>
      <c r="L93" s="10" t="s">
        <v>43</v>
      </c>
      <c r="M93" s="60">
        <v>89.79</v>
      </c>
      <c r="N93" s="60">
        <v>16.2</v>
      </c>
      <c r="O93" s="60">
        <v>0</v>
      </c>
      <c r="P93" s="60">
        <v>0.85</v>
      </c>
      <c r="Q93" s="60">
        <v>11.79</v>
      </c>
      <c r="R93" s="197"/>
      <c r="S93" s="197"/>
      <c r="T93" s="197"/>
      <c r="U93" s="197"/>
    </row>
    <row r="94" spans="1:26" s="12" customFormat="1" x14ac:dyDescent="0.25">
      <c r="A94" s="200" t="s">
        <v>3213</v>
      </c>
      <c r="B94" s="60">
        <v>7.06</v>
      </c>
      <c r="C94" s="60">
        <v>11.53</v>
      </c>
      <c r="D94" s="60">
        <v>18.59</v>
      </c>
      <c r="E94" s="60">
        <v>6.09</v>
      </c>
      <c r="F94" s="60">
        <v>1.59</v>
      </c>
      <c r="G94" s="60">
        <v>33.630000000000003</v>
      </c>
      <c r="H94" s="60">
        <v>9.1</v>
      </c>
      <c r="I94" s="60">
        <v>9.0299999999999994</v>
      </c>
      <c r="J94" s="60">
        <v>1.53</v>
      </c>
      <c r="K94" s="60">
        <v>170.34</v>
      </c>
      <c r="L94" s="10" t="s">
        <v>43</v>
      </c>
      <c r="M94" s="60">
        <v>90.13</v>
      </c>
      <c r="N94" s="60">
        <v>16</v>
      </c>
      <c r="O94" s="60">
        <v>0</v>
      </c>
      <c r="P94" s="60">
        <v>0.81</v>
      </c>
      <c r="Q94" s="60">
        <v>11.82</v>
      </c>
      <c r="R94" s="197"/>
      <c r="S94" s="197"/>
      <c r="T94" s="197"/>
      <c r="U94" s="197"/>
    </row>
    <row r="95" spans="1:26" s="12" customFormat="1" x14ac:dyDescent="0.25">
      <c r="A95" s="200" t="s">
        <v>3214</v>
      </c>
      <c r="B95" s="60">
        <v>6.68</v>
      </c>
      <c r="C95" s="60">
        <v>10.91</v>
      </c>
      <c r="D95" s="60">
        <v>17.59</v>
      </c>
      <c r="E95" s="60">
        <v>6.24</v>
      </c>
      <c r="F95" s="60">
        <v>1.76</v>
      </c>
      <c r="G95" s="60">
        <v>33.630000000000003</v>
      </c>
      <c r="H95" s="60">
        <v>9.1</v>
      </c>
      <c r="I95" s="60">
        <v>8.7200000000000006</v>
      </c>
      <c r="J95" s="60">
        <v>0.91</v>
      </c>
      <c r="K95" s="60">
        <v>184.1</v>
      </c>
      <c r="L95" s="10" t="s">
        <v>43</v>
      </c>
      <c r="M95" s="60">
        <v>86.69</v>
      </c>
      <c r="N95" s="60">
        <v>16.399999999999999</v>
      </c>
      <c r="O95" s="60">
        <v>0</v>
      </c>
      <c r="P95" s="60">
        <v>0.79</v>
      </c>
      <c r="Q95" s="60">
        <v>9.6300000000000008</v>
      </c>
      <c r="R95" s="197"/>
      <c r="S95" s="197"/>
      <c r="T95" s="197"/>
      <c r="U95" s="197"/>
    </row>
    <row r="96" spans="1:26" s="12" customFormat="1" x14ac:dyDescent="0.25">
      <c r="A96" s="200" t="s">
        <v>3215</v>
      </c>
      <c r="B96" s="60">
        <v>6.13</v>
      </c>
      <c r="C96" s="60">
        <v>10.8</v>
      </c>
      <c r="D96" s="60">
        <v>16.93</v>
      </c>
      <c r="E96" s="60">
        <v>5.68</v>
      </c>
      <c r="F96" s="60">
        <v>1.43</v>
      </c>
      <c r="G96" s="60">
        <v>21.94</v>
      </c>
      <c r="H96" s="60">
        <v>8.76</v>
      </c>
      <c r="I96" s="60">
        <v>8.65</v>
      </c>
      <c r="J96" s="60">
        <v>0.72</v>
      </c>
      <c r="K96" s="60">
        <v>183.25</v>
      </c>
      <c r="L96" s="10" t="s">
        <v>43</v>
      </c>
      <c r="M96" s="60">
        <v>86.47</v>
      </c>
      <c r="N96" s="60">
        <v>16.100000000000001</v>
      </c>
      <c r="O96" s="60">
        <v>0</v>
      </c>
      <c r="P96" s="60">
        <v>0.77</v>
      </c>
      <c r="Q96" s="60">
        <v>11.31</v>
      </c>
      <c r="R96" s="197"/>
      <c r="S96" s="197"/>
      <c r="T96" s="197"/>
      <c r="U96" s="197"/>
      <c r="Z96" s="108"/>
    </row>
    <row r="97" spans="1:33" s="12" customFormat="1" x14ac:dyDescent="0.25">
      <c r="A97" s="200" t="s">
        <v>3216</v>
      </c>
      <c r="B97" s="60">
        <v>5.8</v>
      </c>
      <c r="C97" s="60">
        <v>10.6</v>
      </c>
      <c r="D97" s="60">
        <v>16.399999999999999</v>
      </c>
      <c r="E97" s="60">
        <v>5.78</v>
      </c>
      <c r="F97" s="60">
        <v>1.97</v>
      </c>
      <c r="G97" s="60">
        <v>2.69</v>
      </c>
      <c r="H97" s="60">
        <v>8.18</v>
      </c>
      <c r="I97" s="60">
        <v>8.43</v>
      </c>
      <c r="J97" s="60">
        <v>0.79</v>
      </c>
      <c r="K97" s="60">
        <v>177.85</v>
      </c>
      <c r="L97" s="10" t="s">
        <v>43</v>
      </c>
      <c r="M97" s="60">
        <v>85.04</v>
      </c>
      <c r="N97" s="60">
        <v>16</v>
      </c>
      <c r="O97" s="60">
        <v>0</v>
      </c>
      <c r="P97" s="60">
        <v>0.73</v>
      </c>
      <c r="Q97" s="60">
        <v>12.15</v>
      </c>
      <c r="R97" s="197"/>
      <c r="S97" s="197"/>
      <c r="T97" s="197"/>
      <c r="U97" s="197"/>
    </row>
    <row r="98" spans="1:33" s="12" customFormat="1" x14ac:dyDescent="0.25">
      <c r="A98" s="200" t="s">
        <v>3217</v>
      </c>
      <c r="B98" s="60">
        <v>6.08</v>
      </c>
      <c r="C98" s="60">
        <v>10.6</v>
      </c>
      <c r="D98" s="60">
        <v>16.68</v>
      </c>
      <c r="E98" s="60">
        <v>5.17</v>
      </c>
      <c r="F98" s="60">
        <v>1.74</v>
      </c>
      <c r="G98" s="60">
        <v>2.69</v>
      </c>
      <c r="H98" s="60">
        <v>8.18</v>
      </c>
      <c r="I98" s="60">
        <v>8.3699999999999992</v>
      </c>
      <c r="J98" s="60">
        <v>0.48</v>
      </c>
      <c r="K98" s="60">
        <v>319.55</v>
      </c>
      <c r="L98" s="10" t="s">
        <v>43</v>
      </c>
      <c r="M98" s="60">
        <v>86.7</v>
      </c>
      <c r="N98" s="60">
        <v>15.6</v>
      </c>
      <c r="O98" s="60">
        <v>0</v>
      </c>
      <c r="P98" s="60">
        <v>0.74</v>
      </c>
      <c r="Q98" s="60">
        <v>12.66</v>
      </c>
      <c r="R98" s="197"/>
      <c r="S98" s="197"/>
      <c r="T98" s="197"/>
      <c r="U98" s="197"/>
    </row>
    <row r="99" spans="1:33" s="12" customFormat="1" x14ac:dyDescent="0.25">
      <c r="A99" s="200" t="s">
        <v>3218</v>
      </c>
      <c r="B99" s="60">
        <v>5.84</v>
      </c>
      <c r="C99" s="60">
        <v>10.18</v>
      </c>
      <c r="D99" s="60">
        <v>16.02</v>
      </c>
      <c r="E99" s="60">
        <v>5.05</v>
      </c>
      <c r="F99" s="60">
        <v>3.16</v>
      </c>
      <c r="G99" s="60">
        <v>2.69</v>
      </c>
      <c r="H99" s="60">
        <v>8.18</v>
      </c>
      <c r="I99" s="60">
        <v>8.09</v>
      </c>
      <c r="J99" s="60">
        <v>0.4</v>
      </c>
      <c r="K99" s="60">
        <v>231.5</v>
      </c>
      <c r="L99" s="10" t="s">
        <v>43</v>
      </c>
      <c r="M99" s="60">
        <v>85.83</v>
      </c>
      <c r="N99" s="60">
        <v>15.7</v>
      </c>
      <c r="O99" s="60">
        <v>0</v>
      </c>
      <c r="P99" s="60">
        <v>0.67</v>
      </c>
      <c r="Q99" s="60">
        <v>13.42</v>
      </c>
      <c r="R99" s="197"/>
      <c r="S99" s="197"/>
      <c r="T99" s="197"/>
      <c r="U99" s="197"/>
    </row>
    <row r="100" spans="1:33" s="12" customFormat="1" x14ac:dyDescent="0.25">
      <c r="A100" s="200" t="s">
        <v>3219</v>
      </c>
      <c r="B100" s="60">
        <v>5.52</v>
      </c>
      <c r="C100" s="60">
        <v>9.8699999999999992</v>
      </c>
      <c r="D100" s="60">
        <v>15.39</v>
      </c>
      <c r="E100" s="60">
        <v>4.49</v>
      </c>
      <c r="F100" s="60">
        <v>3.9</v>
      </c>
      <c r="G100" s="60">
        <v>8.26</v>
      </c>
      <c r="H100" s="60">
        <v>7.46</v>
      </c>
      <c r="I100" s="60">
        <v>7.41</v>
      </c>
      <c r="J100" s="60">
        <v>0.48</v>
      </c>
      <c r="K100" s="60">
        <v>166.08</v>
      </c>
      <c r="L100" s="10" t="s">
        <v>43</v>
      </c>
      <c r="M100" s="60">
        <v>86.01</v>
      </c>
      <c r="N100" s="60">
        <v>15.7</v>
      </c>
      <c r="O100" s="60">
        <v>0</v>
      </c>
      <c r="P100" s="60">
        <v>0.61</v>
      </c>
      <c r="Q100" s="60">
        <v>14.39</v>
      </c>
      <c r="R100" s="197"/>
      <c r="S100" s="197"/>
      <c r="T100" s="197"/>
      <c r="U100" s="197"/>
      <c r="AB100" s="109"/>
      <c r="AG100" s="108"/>
    </row>
    <row r="101" spans="1:33" s="12" customFormat="1" x14ac:dyDescent="0.25">
      <c r="A101" s="200" t="s">
        <v>3220</v>
      </c>
      <c r="B101" s="60">
        <v>6.01</v>
      </c>
      <c r="C101" s="60">
        <v>9.93</v>
      </c>
      <c r="D101" s="60">
        <v>15.94</v>
      </c>
      <c r="E101" s="60">
        <v>5.42</v>
      </c>
      <c r="F101" s="60">
        <v>1.47</v>
      </c>
      <c r="G101" s="60">
        <v>17.43</v>
      </c>
      <c r="H101" s="60">
        <v>6.23</v>
      </c>
      <c r="I101" s="60">
        <v>6.67</v>
      </c>
      <c r="J101" s="60">
        <v>0.54</v>
      </c>
      <c r="K101" s="60">
        <v>152.79</v>
      </c>
      <c r="L101" s="10" t="s">
        <v>43</v>
      </c>
      <c r="M101" s="60">
        <v>85.56</v>
      </c>
      <c r="N101" s="60">
        <v>15.6</v>
      </c>
      <c r="O101" s="60">
        <v>0</v>
      </c>
      <c r="P101" s="60">
        <v>0.68</v>
      </c>
      <c r="Q101" s="60">
        <v>15.67</v>
      </c>
      <c r="R101" s="197"/>
      <c r="S101" s="197"/>
      <c r="T101" s="197"/>
      <c r="U101" s="197"/>
    </row>
    <row r="102" spans="1:33" s="12" customFormat="1" x14ac:dyDescent="0.25">
      <c r="A102" s="200" t="s">
        <v>3221</v>
      </c>
      <c r="B102" s="60">
        <v>6.18</v>
      </c>
      <c r="C102" s="60">
        <v>9.4499999999999993</v>
      </c>
      <c r="D102" s="60">
        <v>15.64</v>
      </c>
      <c r="E102" s="60">
        <v>6.24</v>
      </c>
      <c r="F102" s="60">
        <v>1.59</v>
      </c>
      <c r="G102" s="60">
        <v>17.43</v>
      </c>
      <c r="H102" s="60">
        <v>6.23</v>
      </c>
      <c r="I102" s="60">
        <v>7.15</v>
      </c>
      <c r="J102" s="60">
        <v>1.76</v>
      </c>
      <c r="K102" s="60">
        <v>165.8</v>
      </c>
      <c r="L102" s="10" t="s">
        <v>43</v>
      </c>
      <c r="M102" s="60">
        <v>84.96</v>
      </c>
      <c r="N102" s="60">
        <v>15.5</v>
      </c>
      <c r="O102" s="60">
        <v>0</v>
      </c>
      <c r="P102" s="60">
        <v>0.7</v>
      </c>
      <c r="Q102" s="60">
        <v>16.57</v>
      </c>
      <c r="R102" s="197"/>
      <c r="S102" s="197"/>
      <c r="T102" s="197"/>
      <c r="U102" s="197"/>
    </row>
    <row r="103" spans="1:33" s="12" customFormat="1" x14ac:dyDescent="0.25">
      <c r="A103" s="200" t="s">
        <v>3222</v>
      </c>
      <c r="B103" s="60">
        <v>6.06</v>
      </c>
      <c r="C103" s="60">
        <v>9.2200000000000006</v>
      </c>
      <c r="D103" s="60">
        <v>15.27</v>
      </c>
      <c r="E103" s="60">
        <v>6.67</v>
      </c>
      <c r="F103" s="60">
        <v>1.76</v>
      </c>
      <c r="G103" s="60">
        <v>17.43</v>
      </c>
      <c r="H103" s="60">
        <v>6.23</v>
      </c>
      <c r="I103" s="60">
        <v>8.49</v>
      </c>
      <c r="J103" s="60">
        <v>1.1399999999999999</v>
      </c>
      <c r="K103" s="60">
        <v>172.67</v>
      </c>
      <c r="L103" s="10" t="s">
        <v>43</v>
      </c>
      <c r="M103" s="60">
        <v>86.51</v>
      </c>
      <c r="N103" s="60">
        <v>15.8</v>
      </c>
      <c r="O103" s="60">
        <v>0</v>
      </c>
      <c r="P103" s="60">
        <v>0.67</v>
      </c>
      <c r="Q103" s="60">
        <v>16.63</v>
      </c>
      <c r="R103" s="197"/>
      <c r="S103" s="197"/>
      <c r="T103" s="197"/>
      <c r="U103" s="197"/>
    </row>
    <row r="104" spans="1:33" s="12" customFormat="1" x14ac:dyDescent="0.25">
      <c r="A104" s="200" t="s">
        <v>3223</v>
      </c>
      <c r="B104" s="60">
        <v>5.83</v>
      </c>
      <c r="C104" s="60">
        <v>9.18</v>
      </c>
      <c r="D104" s="60">
        <v>15.01</v>
      </c>
      <c r="E104" s="60">
        <v>2.25</v>
      </c>
      <c r="F104" s="60">
        <v>2.2400000000000002</v>
      </c>
      <c r="G104" s="60">
        <v>15.91</v>
      </c>
      <c r="H104" s="60">
        <v>5.75</v>
      </c>
      <c r="I104" s="60">
        <v>8.8699999999999992</v>
      </c>
      <c r="J104" s="60">
        <v>0.25</v>
      </c>
      <c r="K104" s="60">
        <v>130.69</v>
      </c>
      <c r="L104" s="10" t="s">
        <v>43</v>
      </c>
      <c r="M104" s="60">
        <v>88.48</v>
      </c>
      <c r="N104" s="60">
        <v>15.4</v>
      </c>
      <c r="O104" s="60">
        <v>0</v>
      </c>
      <c r="P104" s="60">
        <v>0.63</v>
      </c>
      <c r="Q104" s="60">
        <v>16.82</v>
      </c>
      <c r="R104" s="197"/>
      <c r="S104" s="197"/>
      <c r="T104" s="197"/>
      <c r="U104" s="197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8"/>
      <c r="S105" s="138"/>
      <c r="T105" s="138"/>
      <c r="U105" s="138"/>
    </row>
    <row r="106" spans="1:33" x14ac:dyDescent="0.25">
      <c r="A106" s="65" t="s">
        <v>59</v>
      </c>
      <c r="B106" s="67">
        <f>MIN(B9:B104)</f>
        <v>0.94</v>
      </c>
      <c r="C106" s="67">
        <f>MIN(C9:C104)</f>
        <v>7.24</v>
      </c>
      <c r="D106" s="67">
        <f t="shared" ref="D106:Q106" si="0">MIN(D9:D104)</f>
        <v>9.43</v>
      </c>
      <c r="E106" s="67">
        <f t="shared" si="0"/>
        <v>0.48</v>
      </c>
      <c r="F106" s="67">
        <f t="shared" si="0"/>
        <v>0</v>
      </c>
      <c r="G106" s="67">
        <f t="shared" si="0"/>
        <v>2.69</v>
      </c>
      <c r="H106" s="67">
        <f t="shared" si="0"/>
        <v>4.62</v>
      </c>
      <c r="I106" s="67">
        <f t="shared" si="0"/>
        <v>2.4300000000000002</v>
      </c>
      <c r="J106" s="67">
        <f t="shared" si="0"/>
        <v>0.16</v>
      </c>
      <c r="K106" s="67">
        <f t="shared" si="0"/>
        <v>3.34</v>
      </c>
      <c r="L106" s="67">
        <f t="shared" si="0"/>
        <v>0</v>
      </c>
      <c r="M106" s="67">
        <f t="shared" si="0"/>
        <v>52.23</v>
      </c>
      <c r="N106" s="67">
        <f t="shared" si="0"/>
        <v>14.6</v>
      </c>
      <c r="O106" s="67">
        <f t="shared" si="0"/>
        <v>0</v>
      </c>
      <c r="P106" s="67">
        <f t="shared" si="0"/>
        <v>0.33</v>
      </c>
      <c r="Q106" s="67">
        <f t="shared" si="0"/>
        <v>6.06</v>
      </c>
      <c r="R106" s="198"/>
      <c r="S106" s="198"/>
      <c r="T106" s="198"/>
      <c r="U106" s="198"/>
    </row>
    <row r="107" spans="1:33" x14ac:dyDescent="0.25">
      <c r="A107" s="65" t="s">
        <v>60</v>
      </c>
      <c r="B107" s="66">
        <f>MAX(B9:B104)</f>
        <v>31.96</v>
      </c>
      <c r="C107" s="66">
        <f t="shared" ref="C107:Q107" si="1">MAX(C9:C104)</f>
        <v>36.549999999999997</v>
      </c>
      <c r="D107" s="66">
        <f t="shared" si="1"/>
        <v>68.45</v>
      </c>
      <c r="E107" s="66">
        <f t="shared" si="1"/>
        <v>7.07</v>
      </c>
      <c r="F107" s="66">
        <f t="shared" si="1"/>
        <v>25.42</v>
      </c>
      <c r="G107" s="66">
        <f t="shared" si="1"/>
        <v>201.26</v>
      </c>
      <c r="H107" s="66">
        <f t="shared" si="1"/>
        <v>19.899999999999999</v>
      </c>
      <c r="I107" s="66">
        <f t="shared" si="1"/>
        <v>12.47</v>
      </c>
      <c r="J107" s="66">
        <f t="shared" si="1"/>
        <v>2.34</v>
      </c>
      <c r="K107" s="66">
        <f t="shared" si="1"/>
        <v>345.09</v>
      </c>
      <c r="L107" s="66">
        <f t="shared" si="1"/>
        <v>0</v>
      </c>
      <c r="M107" s="66">
        <f t="shared" si="1"/>
        <v>99.12</v>
      </c>
      <c r="N107" s="66">
        <f t="shared" si="1"/>
        <v>1090.0999999999999</v>
      </c>
      <c r="O107" s="66">
        <f t="shared" si="1"/>
        <v>3</v>
      </c>
      <c r="P107" s="66">
        <f t="shared" si="1"/>
        <v>2.82</v>
      </c>
      <c r="Q107" s="66">
        <f t="shared" si="1"/>
        <v>24.49</v>
      </c>
      <c r="R107" s="199"/>
      <c r="S107" s="199"/>
      <c r="T107" s="199"/>
      <c r="U107" s="199"/>
    </row>
    <row r="108" spans="1:33" x14ac:dyDescent="0.25">
      <c r="A108" s="65" t="s">
        <v>61</v>
      </c>
      <c r="B108" s="67">
        <f>AVERAGE(B9:B104)</f>
        <v>4.9866666666666655</v>
      </c>
      <c r="C108" s="67">
        <f t="shared" ref="C108:Q108" si="2">AVERAGE(C9:C104)</f>
        <v>11.098125000000001</v>
      </c>
      <c r="D108" s="67">
        <f t="shared" si="2"/>
        <v>16.084270833333331</v>
      </c>
      <c r="E108" s="67">
        <f t="shared" si="2"/>
        <v>4.3864583333333345</v>
      </c>
      <c r="F108" s="67">
        <f t="shared" si="2"/>
        <v>4.338958333333335</v>
      </c>
      <c r="G108" s="67">
        <f t="shared" si="2"/>
        <v>31.748541666666668</v>
      </c>
      <c r="H108" s="67">
        <f t="shared" si="2"/>
        <v>10.907499999999999</v>
      </c>
      <c r="I108" s="67">
        <f t="shared" si="2"/>
        <v>7.2225806451612868</v>
      </c>
      <c r="J108" s="67">
        <f t="shared" si="2"/>
        <v>0.93729166666666675</v>
      </c>
      <c r="K108" s="67">
        <f t="shared" si="2"/>
        <v>192.0398958333333</v>
      </c>
      <c r="L108" s="67" t="e">
        <f t="shared" si="2"/>
        <v>#DIV/0!</v>
      </c>
      <c r="M108" s="67">
        <f t="shared" si="2"/>
        <v>82.153020833333329</v>
      </c>
      <c r="N108" s="67">
        <f t="shared" si="2"/>
        <v>261.68645833333329</v>
      </c>
      <c r="O108" s="67">
        <f t="shared" si="2"/>
        <v>5.6250000000000001E-2</v>
      </c>
      <c r="P108" s="67">
        <f t="shared" si="2"/>
        <v>0.65500000000000003</v>
      </c>
      <c r="Q108" s="67">
        <f t="shared" si="2"/>
        <v>16.936451612903227</v>
      </c>
      <c r="R108" s="198"/>
      <c r="S108" s="198"/>
      <c r="T108" s="198"/>
      <c r="U108" s="198"/>
    </row>
    <row r="109" spans="1:33" x14ac:dyDescent="0.25">
      <c r="A109" s="65" t="s">
        <v>77</v>
      </c>
      <c r="B109" s="67">
        <f>STDEV(B9:B104)</f>
        <v>5.0987285652852865</v>
      </c>
      <c r="C109" s="67">
        <f t="shared" ref="C109:Q109" si="3">STDEV(C9:C104)</f>
        <v>5.805258290187397</v>
      </c>
      <c r="D109" s="67">
        <f t="shared" si="3"/>
        <v>10.504796172254558</v>
      </c>
      <c r="E109" s="67">
        <f t="shared" si="3"/>
        <v>1.6466993968265027</v>
      </c>
      <c r="F109" s="67">
        <f t="shared" si="3"/>
        <v>3.9324534939978797</v>
      </c>
      <c r="G109" s="67">
        <f t="shared" si="3"/>
        <v>40.683912066181307</v>
      </c>
      <c r="H109" s="67">
        <f t="shared" si="3"/>
        <v>4.3511740702336539</v>
      </c>
      <c r="I109" s="67">
        <f t="shared" si="3"/>
        <v>2.236275486269736</v>
      </c>
      <c r="J109" s="67">
        <f t="shared" si="3"/>
        <v>0.51084754995815107</v>
      </c>
      <c r="K109" s="67">
        <f t="shared" si="3"/>
        <v>63.066486813016716</v>
      </c>
      <c r="L109" s="67" t="e">
        <f t="shared" si="3"/>
        <v>#DIV/0!</v>
      </c>
      <c r="M109" s="67">
        <f t="shared" si="3"/>
        <v>14.250852024005063</v>
      </c>
      <c r="N109" s="67">
        <f t="shared" si="3"/>
        <v>339.9041612974525</v>
      </c>
      <c r="O109" s="67">
        <f t="shared" si="3"/>
        <v>0.32921357649308508</v>
      </c>
      <c r="P109" s="67">
        <f t="shared" si="3"/>
        <v>0.41807831046851834</v>
      </c>
      <c r="Q109" s="67">
        <f t="shared" si="3"/>
        <v>4.4592848045109008</v>
      </c>
      <c r="R109" s="198"/>
      <c r="S109" s="198"/>
      <c r="T109" s="198"/>
      <c r="U109" s="198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COUNT(I9:I104)+3</f>
        <v>96</v>
      </c>
      <c r="J110" s="66">
        <f>COUNT(J9:J104)</f>
        <v>96</v>
      </c>
      <c r="K110" s="66">
        <f t="shared" si="4"/>
        <v>96</v>
      </c>
      <c r="L110" s="66">
        <f t="shared" si="4"/>
        <v>0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COUNT(Q9:Q104)+3</f>
        <v>96</v>
      </c>
      <c r="R110" s="199"/>
      <c r="S110" s="199"/>
      <c r="T110" s="199"/>
      <c r="U110" s="199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&lt;90%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6"/>
      <c r="S111" s="196"/>
      <c r="T111" s="196"/>
      <c r="U111" s="196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LESS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6"/>
      <c r="S112" s="196"/>
      <c r="T112" s="196"/>
      <c r="U112" s="196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218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tabSelected="1" zoomScale="85" zoomScaleNormal="85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L38" sqref="L38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227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7" t="str">
        <f>$A$9</f>
        <v>01-08-2022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3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7" t="s">
        <v>228</v>
      </c>
      <c r="C7" s="197" t="s">
        <v>229</v>
      </c>
      <c r="D7" s="197" t="s">
        <v>230</v>
      </c>
      <c r="E7" s="197" t="s">
        <v>231</v>
      </c>
      <c r="F7" s="197" t="s">
        <v>232</v>
      </c>
      <c r="G7" s="197" t="s">
        <v>233</v>
      </c>
      <c r="H7" s="197" t="s">
        <v>234</v>
      </c>
      <c r="I7" s="197" t="s">
        <v>235</v>
      </c>
      <c r="J7" s="197" t="s">
        <v>236</v>
      </c>
      <c r="K7" s="197" t="s">
        <v>237</v>
      </c>
      <c r="L7" s="197" t="s">
        <v>238</v>
      </c>
      <c r="M7" s="197" t="s">
        <v>239</v>
      </c>
      <c r="N7" s="197" t="s">
        <v>240</v>
      </c>
      <c r="O7" s="197" t="s">
        <v>241</v>
      </c>
      <c r="P7" s="197" t="s">
        <v>242</v>
      </c>
      <c r="Q7" s="197" t="s">
        <v>243</v>
      </c>
      <c r="R7" s="195"/>
      <c r="S7" s="196"/>
      <c r="T7" s="195"/>
      <c r="U7" s="195"/>
    </row>
    <row r="8" spans="1:21" s="54" customFormat="1" x14ac:dyDescent="0.25">
      <c r="A8" s="95"/>
      <c r="B8" s="13" t="s">
        <v>51</v>
      </c>
      <c r="C8" s="13" t="s">
        <v>51</v>
      </c>
      <c r="D8" s="13" t="s">
        <v>51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8" t="s">
        <v>51</v>
      </c>
      <c r="R8" s="195"/>
      <c r="S8" s="196"/>
      <c r="T8" s="195"/>
      <c r="U8" s="195"/>
    </row>
    <row r="9" spans="1:21" x14ac:dyDescent="0.25">
      <c r="A9" s="94" t="str">
        <f>'01'!$B$2</f>
        <v>01-08-2022 00:15</v>
      </c>
      <c r="B9" s="61">
        <f>'01'!B108</f>
        <v>13.105833333333329</v>
      </c>
      <c r="C9" s="61">
        <f>'01'!C108</f>
        <v>18.412500000000005</v>
      </c>
      <c r="D9" s="61">
        <f>'01'!D108</f>
        <v>31.518749999999997</v>
      </c>
      <c r="E9" s="61">
        <f>'01'!E108</f>
        <v>4.6027083333333314</v>
      </c>
      <c r="F9" s="61">
        <f>'01'!F108</f>
        <v>0.81659574468085039</v>
      </c>
      <c r="G9" s="9" t="s">
        <v>36</v>
      </c>
      <c r="H9" s="61">
        <f>'01'!H108</f>
        <v>30.582812500000014</v>
      </c>
      <c r="I9" s="61">
        <f>'01'!I108</f>
        <v>7.322916666666667</v>
      </c>
      <c r="J9" s="61">
        <f>'01'!J108</f>
        <v>0.41093750000000018</v>
      </c>
      <c r="K9" s="61">
        <f>'01'!K108</f>
        <v>253.67875000000004</v>
      </c>
      <c r="L9" s="9" t="s">
        <v>36</v>
      </c>
      <c r="M9" s="61">
        <f>'01'!M108</f>
        <v>76.266666666666623</v>
      </c>
      <c r="N9" s="61">
        <f>'01'!N108</f>
        <v>177.12604166666674</v>
      </c>
      <c r="O9" s="61">
        <f>'01'!O108</f>
        <v>0</v>
      </c>
      <c r="P9" s="201">
        <f>'01'!P108</f>
        <v>3.7450588235294124</v>
      </c>
      <c r="Q9" s="61">
        <f>'01'!Q108</f>
        <v>8.0972916666666634</v>
      </c>
      <c r="R9" s="117"/>
      <c r="S9" s="117"/>
      <c r="T9" s="117"/>
      <c r="U9" s="117"/>
    </row>
    <row r="10" spans="1:21" x14ac:dyDescent="0.25">
      <c r="A10" s="94" t="str">
        <f>'02'!$B$2</f>
        <v>02-08-2022 00:15</v>
      </c>
      <c r="B10" s="61">
        <f>'02'!B108</f>
        <v>11.249791666666667</v>
      </c>
      <c r="C10" s="61">
        <f>'02'!C108</f>
        <v>15.594791666666664</v>
      </c>
      <c r="D10" s="61">
        <f>'02'!D108</f>
        <v>26.843958333333333</v>
      </c>
      <c r="E10" s="61">
        <f>'02'!E108</f>
        <v>4.652708333333333</v>
      </c>
      <c r="F10" s="61">
        <f>'02'!F108</f>
        <v>0.34808510638297879</v>
      </c>
      <c r="G10" s="9" t="s">
        <v>36</v>
      </c>
      <c r="H10" s="61">
        <f>'02'!H108</f>
        <v>21.10958333333333</v>
      </c>
      <c r="I10" s="61">
        <f>'02'!I108</f>
        <v>5.7085416666666653</v>
      </c>
      <c r="J10" s="61">
        <f>'02'!J108</f>
        <v>0.42531250000000015</v>
      </c>
      <c r="K10" s="61">
        <f>'02'!K108</f>
        <v>258.99635416666666</v>
      </c>
      <c r="L10" s="9" t="s">
        <v>36</v>
      </c>
      <c r="M10" s="61">
        <f>'02'!M108</f>
        <v>72.297291666666652</v>
      </c>
      <c r="N10" s="61">
        <f>'02'!N108</f>
        <v>198.86979166666663</v>
      </c>
      <c r="O10" s="61">
        <f>'02'!O108</f>
        <v>0</v>
      </c>
      <c r="P10" s="201">
        <f>'02'!P108</f>
        <v>3.6086458333333322</v>
      </c>
      <c r="Q10" s="61">
        <f>'02'!Q108</f>
        <v>7.4609375</v>
      </c>
      <c r="R10" s="117"/>
      <c r="S10" s="117"/>
      <c r="T10" s="117"/>
      <c r="U10" s="117"/>
    </row>
    <row r="11" spans="1:21" x14ac:dyDescent="0.25">
      <c r="A11" s="94" t="str">
        <f>'03'!$B$2</f>
        <v>03-08-2022 00:15</v>
      </c>
      <c r="B11" s="61">
        <f>'03'!B108</f>
        <v>12.588645833333338</v>
      </c>
      <c r="C11" s="61">
        <f>'03'!C108</f>
        <v>14.606770833333334</v>
      </c>
      <c r="D11" s="61">
        <f>'03'!D108</f>
        <v>27.196041666666655</v>
      </c>
      <c r="E11" s="61">
        <f>'03'!E108</f>
        <v>4.965729166666665</v>
      </c>
      <c r="F11" s="61">
        <f>'03'!F108</f>
        <v>0.89706521739130485</v>
      </c>
      <c r="G11" s="9" t="s">
        <v>36</v>
      </c>
      <c r="H11" s="61">
        <f>'03'!H108</f>
        <v>30.948125000000019</v>
      </c>
      <c r="I11" s="61">
        <f>'03'!I108</f>
        <v>5.8821874999999997</v>
      </c>
      <c r="J11" s="61">
        <f>'03'!J108</f>
        <v>0.63145833333333357</v>
      </c>
      <c r="K11" s="61">
        <f>'03'!K108</f>
        <v>190.6073958333333</v>
      </c>
      <c r="L11" s="9" t="s">
        <v>36</v>
      </c>
      <c r="M11" s="61">
        <f>'03'!M108</f>
        <v>76.913124999999994</v>
      </c>
      <c r="N11" s="61">
        <f>'03'!N108</f>
        <v>206.31666666666663</v>
      </c>
      <c r="O11" s="61">
        <f>'03'!O108</f>
        <v>3.9583333333333338E-2</v>
      </c>
      <c r="P11" s="201">
        <f>'03'!P108</f>
        <v>3.6214583333333317</v>
      </c>
      <c r="Q11" s="61">
        <f>'03'!Q108</f>
        <v>14.109687500000007</v>
      </c>
      <c r="R11" s="117"/>
      <c r="S11" s="117"/>
      <c r="T11" s="117"/>
      <c r="U11" s="117"/>
    </row>
    <row r="12" spans="1:21" x14ac:dyDescent="0.25">
      <c r="A12" s="94" t="str">
        <f>'04'!$B$2</f>
        <v>04-08-2022 00:15</v>
      </c>
      <c r="B12" s="61">
        <f>'04'!B108</f>
        <v>7.3102083333333328</v>
      </c>
      <c r="C12" s="61">
        <f>'04'!C108</f>
        <v>11.74739583333333</v>
      </c>
      <c r="D12" s="61">
        <f>'04'!D108</f>
        <v>19.057291666666668</v>
      </c>
      <c r="E12" s="61">
        <f>'04'!E108</f>
        <v>5.5753125000000017</v>
      </c>
      <c r="F12" s="61">
        <f>'04'!F108</f>
        <v>0.27782608695652172</v>
      </c>
      <c r="G12" s="10" t="s">
        <v>43</v>
      </c>
      <c r="H12" s="61">
        <f>'04'!H108</f>
        <v>18.085312500000004</v>
      </c>
      <c r="I12" s="61">
        <f>'04'!I108</f>
        <v>4.8851041666666664</v>
      </c>
      <c r="J12" s="61">
        <f>'04'!J108</f>
        <v>0.73635416666666653</v>
      </c>
      <c r="K12" s="61">
        <f>'04'!K108</f>
        <v>122.04291666666673</v>
      </c>
      <c r="L12" s="10" t="s">
        <v>43</v>
      </c>
      <c r="M12" s="61">
        <f>'04'!M108</f>
        <v>82.816145833333337</v>
      </c>
      <c r="N12" s="61">
        <f>'04'!N108</f>
        <v>150.53958333333333</v>
      </c>
      <c r="O12" s="61">
        <f>'04'!O108</f>
        <v>0</v>
      </c>
      <c r="P12" s="201">
        <f>'04'!P108</f>
        <v>3.5283333333333324</v>
      </c>
      <c r="Q12" s="61">
        <f>'04'!Q108</f>
        <v>13.415208333333327</v>
      </c>
      <c r="R12" s="117"/>
      <c r="S12" s="117"/>
      <c r="T12" s="117"/>
      <c r="U12" s="117"/>
    </row>
    <row r="13" spans="1:21" x14ac:dyDescent="0.25">
      <c r="A13" s="94" t="str">
        <f>'05'!$B$2</f>
        <v>05-08-2022 00:15</v>
      </c>
      <c r="B13" s="61">
        <f>'05'!B108</f>
        <v>5.035729166666667</v>
      </c>
      <c r="C13" s="61">
        <f>'05'!C108</f>
        <v>10.6928125</v>
      </c>
      <c r="D13" s="61">
        <f>'05'!D108</f>
        <v>15.729999999999999</v>
      </c>
      <c r="E13" s="61">
        <f>'05'!E108</f>
        <v>6.5158333333333305</v>
      </c>
      <c r="F13" s="61">
        <f>'05'!F108</f>
        <v>0.46197916666666689</v>
      </c>
      <c r="G13" s="10" t="s">
        <v>43</v>
      </c>
      <c r="H13" s="61">
        <f>'05'!H108</f>
        <v>10.508645833333322</v>
      </c>
      <c r="I13" s="61">
        <f>'05'!I108</f>
        <v>5.4097916666666643</v>
      </c>
      <c r="J13" s="61">
        <f>'05'!J108</f>
        <v>0.57958333333333323</v>
      </c>
      <c r="K13" s="61">
        <f>'05'!K108</f>
        <v>179.29802083333331</v>
      </c>
      <c r="L13" s="61">
        <f>'05'!L108</f>
        <v>42.484714285714304</v>
      </c>
      <c r="M13" s="61">
        <f>'05'!M108</f>
        <v>79.517604166666672</v>
      </c>
      <c r="N13" s="61">
        <f>'05'!N108</f>
        <v>246.62812500000004</v>
      </c>
      <c r="O13" s="61">
        <f>'05'!O108</f>
        <v>2.7083333333333334E-2</v>
      </c>
      <c r="P13" s="201">
        <f>'05'!P108</f>
        <v>3.4583333333333308</v>
      </c>
      <c r="Q13" s="61">
        <f>'05'!Q108</f>
        <v>11.047812500000001</v>
      </c>
      <c r="R13" s="117"/>
      <c r="S13" s="117"/>
      <c r="T13" s="117"/>
      <c r="U13" s="117"/>
    </row>
    <row r="14" spans="1:21" x14ac:dyDescent="0.25">
      <c r="A14" s="94" t="str">
        <f>'06'!$B$2</f>
        <v>06-08-2022 00:15</v>
      </c>
      <c r="B14" s="61">
        <f>'06'!B108</f>
        <v>4.1424999999999992</v>
      </c>
      <c r="C14" s="61">
        <f>'06'!C108</f>
        <v>12.346770833333332</v>
      </c>
      <c r="D14" s="61">
        <f>'06'!D108</f>
        <v>16.488749999999996</v>
      </c>
      <c r="E14" s="61">
        <f>'06'!E108</f>
        <v>5.1984374999999998</v>
      </c>
      <c r="F14" s="61">
        <f>'06'!F108</f>
        <v>0.56989583333333327</v>
      </c>
      <c r="G14" s="10" t="s">
        <v>43</v>
      </c>
      <c r="H14" s="61">
        <f>'06'!H108</f>
        <v>10.272187500000003</v>
      </c>
      <c r="I14" s="61">
        <f>'06'!I108</f>
        <v>5.3820833333333331</v>
      </c>
      <c r="J14" s="61">
        <f>'06'!J108</f>
        <v>0.6060416666666667</v>
      </c>
      <c r="K14" s="61">
        <f>'06'!K108</f>
        <v>196.42333333333337</v>
      </c>
      <c r="L14" s="61">
        <f>'06'!L108</f>
        <v>41.561875000000008</v>
      </c>
      <c r="M14" s="61">
        <f>'06'!M108</f>
        <v>81.441249999999926</v>
      </c>
      <c r="N14" s="61">
        <f>'06'!N108</f>
        <v>178.50625000000005</v>
      </c>
      <c r="O14" s="61">
        <f>'06'!O108</f>
        <v>0.26458333333333328</v>
      </c>
      <c r="P14" s="201">
        <f>'06'!P108</f>
        <v>3.4531249999999987</v>
      </c>
      <c r="Q14" s="61">
        <f>'06'!Q108</f>
        <v>7.8555208333333368</v>
      </c>
      <c r="R14" s="117"/>
      <c r="S14" s="117"/>
      <c r="T14" s="117"/>
      <c r="U14" s="117"/>
    </row>
    <row r="15" spans="1:21" x14ac:dyDescent="0.25">
      <c r="A15" s="94" t="str">
        <f>'07'!$B$2</f>
        <v>07-08-2022 00:15</v>
      </c>
      <c r="B15" s="61">
        <f>'07'!B108</f>
        <v>8.9979166666666668</v>
      </c>
      <c r="C15" s="61">
        <f>'07'!C108</f>
        <v>14.561145833333335</v>
      </c>
      <c r="D15" s="61">
        <f>'07'!D108</f>
        <v>23.55854166666666</v>
      </c>
      <c r="E15" s="61">
        <f>'07'!E108</f>
        <v>6.6090624999999994</v>
      </c>
      <c r="F15" s="61">
        <f>'07'!F108</f>
        <v>0.46916666666666657</v>
      </c>
      <c r="G15" s="10" t="s">
        <v>43</v>
      </c>
      <c r="H15" s="61">
        <f>'07'!H108</f>
        <v>21.449895833333333</v>
      </c>
      <c r="I15" s="61">
        <f>'07'!I108</f>
        <v>6.4019791666666679</v>
      </c>
      <c r="J15" s="61">
        <f>'07'!J108</f>
        <v>0.88947916666666671</v>
      </c>
      <c r="K15" s="61">
        <f>'07'!K108</f>
        <v>251.54604166666664</v>
      </c>
      <c r="L15" s="61">
        <f>'07'!L108</f>
        <v>41.332395833333337</v>
      </c>
      <c r="M15" s="61">
        <f>'07'!M108</f>
        <v>85.375833333333233</v>
      </c>
      <c r="N15" s="61">
        <f>'07'!N108</f>
        <v>188.55208333333329</v>
      </c>
      <c r="O15" s="61">
        <f>'07'!O108</f>
        <v>0.40624999999999994</v>
      </c>
      <c r="P15" s="201">
        <f>'07'!P108</f>
        <v>3.702604166666664</v>
      </c>
      <c r="Q15" s="61">
        <f>'07'!Q108</f>
        <v>10.689583333333339</v>
      </c>
      <c r="R15" s="117"/>
      <c r="S15" s="117"/>
      <c r="T15" s="117"/>
      <c r="U15" s="117"/>
    </row>
    <row r="16" spans="1:21" x14ac:dyDescent="0.25">
      <c r="A16" s="94" t="str">
        <f>'08'!$B$2</f>
        <v>08-08-2022 00:15</v>
      </c>
      <c r="B16" s="61">
        <f>'08'!B108</f>
        <v>16.09395833333333</v>
      </c>
      <c r="C16" s="61">
        <f>'08'!C108</f>
        <v>12.061250000000001</v>
      </c>
      <c r="D16" s="61">
        <f>'08'!D108</f>
        <v>28.154270833333324</v>
      </c>
      <c r="E16" s="61">
        <f>'08'!E108</f>
        <v>6.5618750000000006</v>
      </c>
      <c r="F16" s="61">
        <f>'08'!F108</f>
        <v>0.35729166666666656</v>
      </c>
      <c r="G16" s="10" t="s">
        <v>43</v>
      </c>
      <c r="H16" s="61">
        <f>'08'!H108</f>
        <v>12.576979166666669</v>
      </c>
      <c r="I16" s="61">
        <f>'08'!I108</f>
        <v>6.4287499999999982</v>
      </c>
      <c r="J16" s="61">
        <f>'08'!J108</f>
        <v>0.80947916666666619</v>
      </c>
      <c r="K16" s="61">
        <f>'08'!K108</f>
        <v>138.27864583333331</v>
      </c>
      <c r="L16" s="61">
        <f>'08'!L108</f>
        <v>40.501458333333325</v>
      </c>
      <c r="M16" s="61">
        <f>'08'!M108</f>
        <v>89.810833333333292</v>
      </c>
      <c r="N16" s="61">
        <f>'08'!N108</f>
        <v>177.28854166666659</v>
      </c>
      <c r="O16" s="61">
        <f>'08'!O108</f>
        <v>4.1666666666666678E-2</v>
      </c>
      <c r="P16" s="201">
        <f>'08'!P108</f>
        <v>3.7551041666666678</v>
      </c>
      <c r="Q16" s="61">
        <f>'08'!Q108</f>
        <v>12.337708333333333</v>
      </c>
      <c r="R16" s="117"/>
      <c r="S16" s="117"/>
      <c r="T16" s="117"/>
      <c r="U16" s="117"/>
    </row>
    <row r="17" spans="1:21" x14ac:dyDescent="0.25">
      <c r="A17" s="94" t="str">
        <f>'09'!$B$2</f>
        <v>09-08-2022 00:15</v>
      </c>
      <c r="B17" s="61">
        <f>'09'!B108</f>
        <v>18.97927083333332</v>
      </c>
      <c r="C17" s="61">
        <f>'09'!C108</f>
        <v>12.61572916666667</v>
      </c>
      <c r="D17" s="61">
        <f>'09'!D108</f>
        <v>31.594479166666659</v>
      </c>
      <c r="E17" s="61">
        <f>'09'!E108</f>
        <v>6.3507291666666648</v>
      </c>
      <c r="F17" s="61">
        <f>'09'!F108</f>
        <v>0.31489583333333343</v>
      </c>
      <c r="G17" s="10" t="s">
        <v>43</v>
      </c>
      <c r="H17" s="61">
        <f>'09'!H108</f>
        <v>15.207083333333335</v>
      </c>
      <c r="I17" s="61">
        <f>'09'!I108</f>
        <v>8.0103125000000031</v>
      </c>
      <c r="J17" s="61">
        <f>'09'!J108</f>
        <v>0.49979166666666686</v>
      </c>
      <c r="K17" s="61">
        <f>'09'!K108</f>
        <v>209.29583333333335</v>
      </c>
      <c r="L17" s="61">
        <f>'09'!L108</f>
        <v>35.66541666666668</v>
      </c>
      <c r="M17" s="61">
        <f>'09'!M108</f>
        <v>97.290312499999857</v>
      </c>
      <c r="N17" s="61">
        <f>'09'!N108</f>
        <v>91.380208333333442</v>
      </c>
      <c r="O17" s="61">
        <f>'09'!O108</f>
        <v>1.1687500000000004</v>
      </c>
      <c r="P17" s="201">
        <f>'09'!P108</f>
        <v>3.9411458333333322</v>
      </c>
      <c r="Q17" s="61">
        <f>'09'!Q108</f>
        <v>12.953437500000005</v>
      </c>
      <c r="R17" s="117"/>
      <c r="S17" s="117"/>
      <c r="T17" s="117"/>
      <c r="U17" s="117"/>
    </row>
    <row r="18" spans="1:21" x14ac:dyDescent="0.25">
      <c r="A18" s="94" t="str">
        <f>'10'!$B$2</f>
        <v>10-08-2022 00:15</v>
      </c>
      <c r="B18" s="61">
        <f>'10'!B108</f>
        <v>2.6548958333333337</v>
      </c>
      <c r="C18" s="61">
        <f>'10'!C108</f>
        <v>9.5377083333333363</v>
      </c>
      <c r="D18" s="61">
        <f>'10'!D108</f>
        <v>12.191562500000009</v>
      </c>
      <c r="E18" s="61">
        <f>'10'!E108</f>
        <v>4.105104166666667</v>
      </c>
      <c r="F18" s="61">
        <f>'10'!F108</f>
        <v>0.53864583333333316</v>
      </c>
      <c r="G18" s="10" t="s">
        <v>43</v>
      </c>
      <c r="H18" s="61">
        <f>'10'!H108</f>
        <v>3.504270833333333</v>
      </c>
      <c r="I18" s="61">
        <f>'10'!I108</f>
        <v>4.706458333333333</v>
      </c>
      <c r="J18" s="61">
        <f>'10'!J108</f>
        <v>0.50177083333333317</v>
      </c>
      <c r="K18" s="61">
        <f>'10'!K108</f>
        <v>172.65760416666669</v>
      </c>
      <c r="L18" s="61">
        <f>'10'!L108</f>
        <v>35.832604166666663</v>
      </c>
      <c r="M18" s="61">
        <f>'10'!M108</f>
        <v>95.193437499999959</v>
      </c>
      <c r="N18" s="61">
        <f>'10'!N108</f>
        <v>57.158333333333324</v>
      </c>
      <c r="O18" s="61">
        <f>'10'!O108</f>
        <v>0.16458333333333322</v>
      </c>
      <c r="P18" s="201">
        <f>'10'!P108</f>
        <v>3.4116666666666675</v>
      </c>
      <c r="Q18" s="61">
        <f>'10'!Q108</f>
        <v>3.7479166666666681</v>
      </c>
      <c r="R18" s="117"/>
      <c r="S18" s="117"/>
      <c r="T18" s="117"/>
      <c r="U18" s="117"/>
    </row>
    <row r="19" spans="1:21" x14ac:dyDescent="0.25">
      <c r="A19" s="94" t="str">
        <f>'11'!$B$2</f>
        <v>11-08-2022 00:15</v>
      </c>
      <c r="B19" s="61">
        <f>'11'!B108</f>
        <v>9.032</v>
      </c>
      <c r="C19" s="61">
        <f>'11'!C108</f>
        <v>8.4738541666666656</v>
      </c>
      <c r="D19" s="61">
        <f>'11'!D108</f>
        <v>17.411770833333332</v>
      </c>
      <c r="E19" s="61">
        <f>'11'!E108</f>
        <v>4.7481318681318694</v>
      </c>
      <c r="F19" s="61">
        <f>'11'!F108</f>
        <v>0.61705263157894741</v>
      </c>
      <c r="G19" s="10" t="s">
        <v>43</v>
      </c>
      <c r="H19" s="61">
        <f>'11'!H108</f>
        <v>3.2981250000000024</v>
      </c>
      <c r="I19" s="61">
        <f>'11'!I108</f>
        <v>11.453750000000001</v>
      </c>
      <c r="J19" s="61">
        <f>'11'!J108</f>
        <v>0.36270833333333324</v>
      </c>
      <c r="K19" s="61">
        <f>'11'!K108</f>
        <v>205.50979166666662</v>
      </c>
      <c r="L19" s="61">
        <f>'11'!L108</f>
        <v>38.940645161290334</v>
      </c>
      <c r="M19" s="61">
        <f>'11'!M108</f>
        <v>93.856666666666641</v>
      </c>
      <c r="N19" s="61">
        <f>'11'!N108</f>
        <v>109.90520833333329</v>
      </c>
      <c r="O19" s="61">
        <f>'11'!O108</f>
        <v>9.7916666666666666E-2</v>
      </c>
      <c r="P19" s="201">
        <f>'11'!P108</f>
        <v>3.402708333333333</v>
      </c>
      <c r="Q19" s="61">
        <f>'11'!Q108</f>
        <v>4.4680208333333322</v>
      </c>
      <c r="R19" s="117"/>
      <c r="S19" s="117"/>
      <c r="T19" s="117"/>
      <c r="U19" s="117"/>
    </row>
    <row r="20" spans="1:21" x14ac:dyDescent="0.25">
      <c r="A20" s="94" t="str">
        <f>'12'!$B$2</f>
        <v>12-08-2022 00:15</v>
      </c>
      <c r="B20" s="61">
        <f>'12'!B108</f>
        <v>3.8481250000000014</v>
      </c>
      <c r="C20" s="61">
        <f>'12'!C108</f>
        <v>10.585729166666669</v>
      </c>
      <c r="D20" s="61">
        <f>'12'!D108</f>
        <v>14.434062500000001</v>
      </c>
      <c r="E20" s="61">
        <f>'12'!E108</f>
        <v>3.82178947368421</v>
      </c>
      <c r="F20" s="61">
        <f>'12'!F108</f>
        <v>0.92156250000000017</v>
      </c>
      <c r="G20" s="10" t="s">
        <v>43</v>
      </c>
      <c r="H20" s="61">
        <f>'12'!H108</f>
        <v>6.3996874999999998</v>
      </c>
      <c r="I20" s="61">
        <f>'12'!I108</f>
        <v>5.0005208333333346</v>
      </c>
      <c r="J20" s="61">
        <f>'12'!J108</f>
        <v>0.17229166666666676</v>
      </c>
      <c r="K20" s="61">
        <f>'12'!K108</f>
        <v>181.80812499999999</v>
      </c>
      <c r="L20" s="61">
        <f>'12'!L108</f>
        <v>34.359166666666667</v>
      </c>
      <c r="M20" s="61">
        <f>'12'!M108</f>
        <v>83.482291666666654</v>
      </c>
      <c r="N20" s="61">
        <f>'12'!N108</f>
        <v>201.10937499999989</v>
      </c>
      <c r="O20" s="61">
        <f>'12'!O108</f>
        <v>3.3333333333333333E-2</v>
      </c>
      <c r="P20" s="201">
        <f>'12'!P108</f>
        <v>3.4794791666666676</v>
      </c>
      <c r="Q20" s="61">
        <f>'12'!Q108</f>
        <v>9.2528124999999992</v>
      </c>
      <c r="R20" s="117"/>
      <c r="S20" s="117"/>
      <c r="T20" s="117"/>
      <c r="U20" s="117"/>
    </row>
    <row r="21" spans="1:21" s="89" customFormat="1" x14ac:dyDescent="0.25">
      <c r="A21" s="94" t="str">
        <f>'13'!$B$2</f>
        <v>13-08-2022 00:15</v>
      </c>
      <c r="B21" s="91">
        <f>'13'!B108</f>
        <v>7.8236458333333339</v>
      </c>
      <c r="C21" s="91">
        <f>'13'!C108</f>
        <v>10.726041666666665</v>
      </c>
      <c r="D21" s="91">
        <f>'13'!D108</f>
        <v>18.549166666666661</v>
      </c>
      <c r="E21" s="91">
        <f>'13'!E108</f>
        <v>4.9730208333333321</v>
      </c>
      <c r="F21" s="91">
        <f>'13'!F108</f>
        <v>0.35843750000000013</v>
      </c>
      <c r="G21" s="10" t="s">
        <v>43</v>
      </c>
      <c r="H21" s="91">
        <f>'13'!H108</f>
        <v>8.2426041666666645</v>
      </c>
      <c r="I21" s="91">
        <f>'13'!I108</f>
        <v>4.8786458333333327</v>
      </c>
      <c r="J21" s="91">
        <f>'13'!J108</f>
        <v>0.15916666666666668</v>
      </c>
      <c r="K21" s="91">
        <f>'13'!K108</f>
        <v>148.3175</v>
      </c>
      <c r="L21" s="91">
        <f>'13'!L108</f>
        <v>33.738333333333344</v>
      </c>
      <c r="M21" s="91">
        <f>'13'!M108</f>
        <v>95.184791666666527</v>
      </c>
      <c r="N21" s="91">
        <f>'13'!N108</f>
        <v>68.136458333333323</v>
      </c>
      <c r="O21" s="91">
        <f>'13'!O108</f>
        <v>0.28333333333333327</v>
      </c>
      <c r="P21" s="202">
        <f>'13'!P108</f>
        <v>3.6595833333333334</v>
      </c>
      <c r="Q21" s="91">
        <f>'13'!Q108</f>
        <v>11.327916666666667</v>
      </c>
      <c r="R21" s="204"/>
      <c r="S21" s="204"/>
      <c r="T21" s="204"/>
      <c r="U21" s="204"/>
    </row>
    <row r="22" spans="1:21" s="89" customFormat="1" x14ac:dyDescent="0.25">
      <c r="A22" s="94" t="str">
        <f>'14'!$B$2</f>
        <v>14-08-2022 00:15</v>
      </c>
      <c r="B22" s="90">
        <f>'14'!B108</f>
        <v>8.2105208333333302</v>
      </c>
      <c r="C22" s="90">
        <f>'14'!C108</f>
        <v>13.6153125</v>
      </c>
      <c r="D22" s="90">
        <f>'14'!D108</f>
        <v>21.82520833333334</v>
      </c>
      <c r="E22" s="90">
        <f>'14'!E108</f>
        <v>4.6791666666666663</v>
      </c>
      <c r="F22" s="90">
        <f>'14'!F108</f>
        <v>0.28147368421052632</v>
      </c>
      <c r="G22" s="10" t="s">
        <v>43</v>
      </c>
      <c r="H22" s="9" t="s">
        <v>36</v>
      </c>
      <c r="I22" s="90">
        <f>'14'!I108</f>
        <v>5.1124999999999998</v>
      </c>
      <c r="J22" s="90">
        <f>'14'!J108</f>
        <v>0.26385416666666667</v>
      </c>
      <c r="K22" s="90">
        <f>'14'!K108</f>
        <v>188.52270833333327</v>
      </c>
      <c r="L22" s="90">
        <f>'14'!L108</f>
        <v>30.916666666666668</v>
      </c>
      <c r="M22" s="90">
        <f>'14'!M108</f>
        <v>98.054583333333298</v>
      </c>
      <c r="N22" s="90">
        <f>'14'!N108</f>
        <v>54.634374999999977</v>
      </c>
      <c r="O22" s="90">
        <f>'14'!O108</f>
        <v>0.28958333333333336</v>
      </c>
      <c r="P22" s="203">
        <f>'14'!P108</f>
        <v>3.7096874999999989</v>
      </c>
      <c r="Q22" s="90">
        <f>'14'!Q108</f>
        <v>8.737187500000001</v>
      </c>
      <c r="R22" s="205"/>
      <c r="S22" s="205"/>
      <c r="T22" s="205"/>
      <c r="U22" s="205"/>
    </row>
    <row r="23" spans="1:21" x14ac:dyDescent="0.25">
      <c r="A23" s="94" t="str">
        <f>'15'!$B$2</f>
        <v>15-08-2022 00:15</v>
      </c>
      <c r="B23" s="61">
        <f>'15'!B108</f>
        <v>1.7873958333333333</v>
      </c>
      <c r="C23" s="61">
        <f>'15'!C108</f>
        <v>12.184062499999998</v>
      </c>
      <c r="D23" s="61">
        <f>'15'!D108</f>
        <v>13.971354166666666</v>
      </c>
      <c r="E23" s="61">
        <f>'15'!E108</f>
        <v>2.8488541666666669</v>
      </c>
      <c r="F23" s="61">
        <f>'15'!F108</f>
        <v>0.8153125</v>
      </c>
      <c r="G23" s="10" t="s">
        <v>43</v>
      </c>
      <c r="H23" s="61">
        <f>'15'!H108</f>
        <v>2.9472916666666671</v>
      </c>
      <c r="I23" s="61">
        <f>'15'!I108</f>
        <v>3.3591666666666682</v>
      </c>
      <c r="J23" s="61">
        <f>'15'!J108</f>
        <v>0.6462500000000001</v>
      </c>
      <c r="K23" s="61">
        <f>'15'!K108</f>
        <v>151.98218749999998</v>
      </c>
      <c r="L23" s="61">
        <f>'15'!L108</f>
        <v>35.025729166666672</v>
      </c>
      <c r="M23" s="61">
        <f>'15'!M108</f>
        <v>95.949687500000039</v>
      </c>
      <c r="N23" s="61">
        <f>'15'!N108</f>
        <v>51.083333333333371</v>
      </c>
      <c r="O23" s="61">
        <f>'15'!O108</f>
        <v>0.4479166666666668</v>
      </c>
      <c r="P23" s="201">
        <f>'15'!P108</f>
        <v>3.6054166666666667</v>
      </c>
      <c r="Q23" s="61">
        <f>'15'!Q108</f>
        <v>3.8905208333333339</v>
      </c>
      <c r="R23" s="117"/>
      <c r="S23" s="117"/>
      <c r="T23" s="117"/>
      <c r="U23" s="117"/>
    </row>
    <row r="24" spans="1:21" x14ac:dyDescent="0.25">
      <c r="A24" s="94" t="str">
        <f>'16'!$B$2</f>
        <v>16-08-2022 00:15</v>
      </c>
      <c r="B24" s="61">
        <f>'16'!B108</f>
        <v>5.4137499999999994</v>
      </c>
      <c r="C24" s="61">
        <f>'16'!C108</f>
        <v>10.414895833333334</v>
      </c>
      <c r="D24" s="61">
        <f>'16'!D108</f>
        <v>15.828333333333331</v>
      </c>
      <c r="E24" s="61">
        <f>'16'!E108</f>
        <v>4.685208333333331</v>
      </c>
      <c r="F24" s="61">
        <f>'16'!F108</f>
        <v>0.45789473684210513</v>
      </c>
      <c r="G24" s="10" t="s">
        <v>43</v>
      </c>
      <c r="H24" s="61">
        <f>'16'!H108</f>
        <v>6.8343750000000005</v>
      </c>
      <c r="I24" s="61">
        <f>'16'!I108</f>
        <v>3.7524999999999999</v>
      </c>
      <c r="J24" s="61">
        <f>'16'!J108</f>
        <v>0.50739583333333305</v>
      </c>
      <c r="K24" s="61">
        <f>'16'!K108</f>
        <v>193.2540625</v>
      </c>
      <c r="L24" s="61">
        <f>'16'!L108</f>
        <v>43.736170212765963</v>
      </c>
      <c r="M24" s="61">
        <f>'16'!M108</f>
        <v>79.789791666666645</v>
      </c>
      <c r="N24" s="61">
        <f>'16'!N108</f>
        <v>246.20937500000011</v>
      </c>
      <c r="O24" s="61">
        <f>'16'!O108</f>
        <v>0</v>
      </c>
      <c r="P24" s="201">
        <f>'16'!P108</f>
        <v>3.5301041666666655</v>
      </c>
      <c r="Q24" s="61">
        <f>'16'!Q108</f>
        <v>5.2388541666666635</v>
      </c>
      <c r="R24" s="117"/>
      <c r="S24" s="117"/>
      <c r="T24" s="117"/>
      <c r="U24" s="117"/>
    </row>
    <row r="25" spans="1:21" x14ac:dyDescent="0.25">
      <c r="A25" s="94" t="str">
        <f>'17'!$B$2</f>
        <v>17-08-2022 00:15</v>
      </c>
      <c r="B25" s="61">
        <f>'17'!B108</f>
        <v>10.726354166666672</v>
      </c>
      <c r="C25" s="61">
        <f>'17'!C108</f>
        <v>12.766250000000005</v>
      </c>
      <c r="D25" s="61">
        <f>'17'!D108</f>
        <v>23.493020833333333</v>
      </c>
      <c r="E25" s="61">
        <f>'17'!E108</f>
        <v>6.3223958333333341</v>
      </c>
      <c r="F25" s="61">
        <f>'17'!F108</f>
        <v>0.49378947368421033</v>
      </c>
      <c r="G25" s="100">
        <f>'17'!$G$108</f>
        <v>18.303999999999998</v>
      </c>
      <c r="H25" s="61">
        <f>'17'!H108</f>
        <v>12.250937499999999</v>
      </c>
      <c r="I25" s="61">
        <f>'17'!I108</f>
        <v>5.2584285714285715</v>
      </c>
      <c r="J25" s="61">
        <f>'17'!J108</f>
        <v>0.1557291666666667</v>
      </c>
      <c r="K25" s="61">
        <f>'17'!K108</f>
        <v>189.39708333333326</v>
      </c>
      <c r="L25" s="61">
        <f>'17'!L108</f>
        <v>43.777758620689667</v>
      </c>
      <c r="M25" s="61">
        <f>'17'!M108</f>
        <v>77.473229166666698</v>
      </c>
      <c r="N25" s="61">
        <f>'17'!N108</f>
        <v>268.42499999999984</v>
      </c>
      <c r="O25" s="61">
        <f>'17'!O108</f>
        <v>0</v>
      </c>
      <c r="P25" s="201">
        <f>'17'!P108</f>
        <v>3.7723958333333347</v>
      </c>
      <c r="Q25" s="61">
        <f>'17'!Q108</f>
        <v>286.49541666666664</v>
      </c>
      <c r="R25" s="117"/>
      <c r="S25" s="117"/>
      <c r="T25" s="117"/>
      <c r="U25" s="117"/>
    </row>
    <row r="26" spans="1:21" x14ac:dyDescent="0.25">
      <c r="A26" s="94" t="str">
        <f>'18'!$B$2</f>
        <v>18-08-2022 00:15</v>
      </c>
      <c r="B26" s="61">
        <f>'18'!B108</f>
        <v>6.4029166666666653</v>
      </c>
      <c r="C26" s="61">
        <f>'18'!C108</f>
        <v>13.259166666666658</v>
      </c>
      <c r="D26" s="61">
        <f>'18'!D108</f>
        <v>19.661562499999999</v>
      </c>
      <c r="E26" s="61">
        <f>'18'!E108</f>
        <v>4.076249999999999</v>
      </c>
      <c r="F26" s="61">
        <f>'18'!F108</f>
        <v>0.66572916666666682</v>
      </c>
      <c r="G26" s="99">
        <f>'18'!$G$108</f>
        <v>12.081500000000002</v>
      </c>
      <c r="H26" s="61">
        <f>'18'!H108</f>
        <v>15.54016393442623</v>
      </c>
      <c r="I26" s="61">
        <f>'18'!I108</f>
        <v>5.5510869565217398</v>
      </c>
      <c r="J26" s="61">
        <f>'18'!J108</f>
        <v>0.36052631578947375</v>
      </c>
      <c r="K26" s="61">
        <f>'18'!K108</f>
        <v>204.97562499999995</v>
      </c>
      <c r="L26" s="61">
        <f>'18'!L108</f>
        <v>41.802187500000009</v>
      </c>
      <c r="M26" s="61">
        <f>'18'!M108</f>
        <v>73.522916666666646</v>
      </c>
      <c r="N26" s="61">
        <f>'18'!N108</f>
        <v>255.26979166666672</v>
      </c>
      <c r="O26" s="61">
        <f>'18'!O108</f>
        <v>0</v>
      </c>
      <c r="P26" s="201">
        <f>'18'!P108</f>
        <v>3.7193750000000008</v>
      </c>
      <c r="Q26" s="61">
        <f>'18'!Q108</f>
        <v>84.402395833333316</v>
      </c>
      <c r="R26" s="117"/>
      <c r="S26" s="117"/>
      <c r="T26" s="117"/>
      <c r="U26" s="117"/>
    </row>
    <row r="27" spans="1:21" x14ac:dyDescent="0.25">
      <c r="A27" s="94" t="str">
        <f>'19'!$B$2</f>
        <v>19-08-2022 00:15</v>
      </c>
      <c r="B27" s="61">
        <f>'19'!B108</f>
        <v>8.592291666666668</v>
      </c>
      <c r="C27" s="61">
        <f>'19'!C108</f>
        <v>11.329791666666663</v>
      </c>
      <c r="D27" s="61">
        <f>'19'!D108</f>
        <v>19.922291666666666</v>
      </c>
      <c r="E27" s="61">
        <f>'19'!E108</f>
        <v>5.4286458333333334</v>
      </c>
      <c r="F27" s="61">
        <f>'19'!F108</f>
        <v>0.23645833333333333</v>
      </c>
      <c r="G27" s="61">
        <f>'19'!G108</f>
        <v>0.43549019607843159</v>
      </c>
      <c r="H27" s="61">
        <f>'19'!H108</f>
        <v>118.93416666666666</v>
      </c>
      <c r="I27" s="9" t="s">
        <v>36</v>
      </c>
      <c r="J27" s="61">
        <f>'19'!J108</f>
        <v>0.51822916666666663</v>
      </c>
      <c r="K27" s="61">
        <f>'19'!K108</f>
        <v>245.59052083333333</v>
      </c>
      <c r="L27" s="61">
        <f>'19'!L108</f>
        <v>38.987187500000012</v>
      </c>
      <c r="M27" s="61">
        <f>'19'!M108</f>
        <v>85.173229166666658</v>
      </c>
      <c r="N27" s="61">
        <f>'19'!N108</f>
        <v>148.16979166666667</v>
      </c>
      <c r="O27" s="61">
        <f>'19'!O108</f>
        <v>9.583333333333334E-2</v>
      </c>
      <c r="P27" s="201">
        <f>'19'!P108</f>
        <v>3.8576041666666665</v>
      </c>
      <c r="Q27" s="61">
        <f>'19'!Q108</f>
        <v>17.774479166666666</v>
      </c>
      <c r="R27" s="117"/>
      <c r="S27" s="117"/>
      <c r="T27" s="117"/>
      <c r="U27" s="117"/>
    </row>
    <row r="28" spans="1:21" x14ac:dyDescent="0.25">
      <c r="A28" s="94" t="str">
        <f>'20'!$B$2</f>
        <v>20-08-2022 00:15</v>
      </c>
      <c r="B28" s="61">
        <f>'20'!B108</f>
        <v>5.7945833333333345</v>
      </c>
      <c r="C28" s="61">
        <f>'20'!C108</f>
        <v>13.344166666666659</v>
      </c>
      <c r="D28" s="61">
        <f>'20'!D108</f>
        <v>19.138958333333331</v>
      </c>
      <c r="E28" s="61">
        <f>'20'!E108</f>
        <v>4.1702083333333322</v>
      </c>
      <c r="F28" s="61">
        <f>'20'!F108</f>
        <v>0.60833333333333317</v>
      </c>
      <c r="G28" s="10" t="s">
        <v>43</v>
      </c>
      <c r="H28" s="61">
        <f>'20'!H108</f>
        <v>75.511979166666634</v>
      </c>
      <c r="I28" s="61">
        <f>'20'!I108</f>
        <v>3.8698076923076936</v>
      </c>
      <c r="J28" s="61">
        <f>'20'!J108</f>
        <v>0.45916666666666672</v>
      </c>
      <c r="K28" s="61">
        <f>'20'!K108</f>
        <v>192.0065625</v>
      </c>
      <c r="L28" s="61">
        <f>'20'!L108</f>
        <v>32.443541666666661</v>
      </c>
      <c r="M28" s="61">
        <f>'20'!M108</f>
        <v>85.340208333333337</v>
      </c>
      <c r="N28" s="61">
        <f>'20'!N108</f>
        <v>136.66875000000005</v>
      </c>
      <c r="O28" s="61">
        <f>'20'!O108</f>
        <v>2.0833333333333332E-2</v>
      </c>
      <c r="P28" s="201">
        <f>'20'!P108</f>
        <v>3.7757291666666668</v>
      </c>
      <c r="Q28" s="61">
        <f>'20'!Q108</f>
        <v>8.6032291666666652</v>
      </c>
      <c r="R28" s="117"/>
      <c r="S28" s="117"/>
      <c r="T28" s="117"/>
      <c r="U28" s="117"/>
    </row>
    <row r="29" spans="1:21" x14ac:dyDescent="0.25">
      <c r="A29" s="94" t="str">
        <f>'21'!$B$2</f>
        <v>21-08-2022 00:15</v>
      </c>
      <c r="B29" s="61">
        <f>'21'!B108</f>
        <v>1.4179166666666665</v>
      </c>
      <c r="C29" s="61">
        <f>'21'!C108</f>
        <v>9.9164583333333347</v>
      </c>
      <c r="D29" s="61">
        <f>'21'!D108</f>
        <v>11.334895833333333</v>
      </c>
      <c r="E29" s="61">
        <f>'21'!E108</f>
        <v>3.1057291666666669</v>
      </c>
      <c r="F29" s="61">
        <f>'21'!F108</f>
        <v>0.7991666666666668</v>
      </c>
      <c r="G29" s="61">
        <f>'21'!G108</f>
        <v>33.71076923076923</v>
      </c>
      <c r="H29" s="61">
        <f>'21'!H108</f>
        <v>57.152580645161279</v>
      </c>
      <c r="I29" s="61">
        <f>'21'!I108</f>
        <v>2.846562500000001</v>
      </c>
      <c r="J29" s="61">
        <f>'21'!J108</f>
        <v>0.17281249999999995</v>
      </c>
      <c r="K29" s="61">
        <f>'21'!K108</f>
        <v>188.89843750000003</v>
      </c>
      <c r="L29" s="61">
        <f>'21'!L108</f>
        <v>33.40239583333333</v>
      </c>
      <c r="M29" s="61">
        <f>'21'!M108</f>
        <v>86.946666666666673</v>
      </c>
      <c r="N29" s="61">
        <f>'21'!N108</f>
        <v>98.920833333333363</v>
      </c>
      <c r="O29" s="61">
        <f>'21'!O108</f>
        <v>4.3750000000000004E-2</v>
      </c>
      <c r="P29" s="201">
        <f>'21'!P108</f>
        <v>3.6063541666666676</v>
      </c>
      <c r="Q29" s="61">
        <f>'21'!Q108</f>
        <v>29.635937500000001</v>
      </c>
      <c r="R29" s="117"/>
      <c r="S29" s="117"/>
      <c r="T29" s="117"/>
      <c r="U29" s="117"/>
    </row>
    <row r="30" spans="1:21" x14ac:dyDescent="0.25">
      <c r="A30" s="94" t="str">
        <f>'22'!$B$2</f>
        <v>22-08-2022 00:15</v>
      </c>
      <c r="B30" s="61">
        <f>'22'!B108</f>
        <v>2.3727083333333323</v>
      </c>
      <c r="C30" s="61">
        <f>'22'!C108</f>
        <v>8.9486458333333339</v>
      </c>
      <c r="D30" s="61">
        <f>'22'!D108</f>
        <v>11.321354166666671</v>
      </c>
      <c r="E30" s="61">
        <f>'22'!E108</f>
        <v>4.2378124999999978</v>
      </c>
      <c r="F30" s="61">
        <f>'22'!F108</f>
        <v>0.55354166666666671</v>
      </c>
      <c r="G30" s="61">
        <f>'22'!G108</f>
        <v>30.480000000000004</v>
      </c>
      <c r="H30" s="61">
        <f>'22'!H108</f>
        <v>101.03802083333341</v>
      </c>
      <c r="I30" s="61">
        <f>'22'!I108</f>
        <v>4.6965957446808515</v>
      </c>
      <c r="J30" s="61">
        <f>'22'!J108</f>
        <v>0.38552083333333331</v>
      </c>
      <c r="K30" s="61">
        <f>'22'!K108</f>
        <v>187.8130208333333</v>
      </c>
      <c r="L30" s="61">
        <f>'22'!L108</f>
        <v>38.481666666666683</v>
      </c>
      <c r="M30" s="61">
        <f>'22'!M108</f>
        <v>80.052395833333335</v>
      </c>
      <c r="N30" s="61">
        <f>'22'!N108</f>
        <v>225.5802083333333</v>
      </c>
      <c r="O30" s="61">
        <f>'22'!O108</f>
        <v>4.1666666666666666E-3</v>
      </c>
      <c r="P30" s="201">
        <f>'22'!P108</f>
        <v>3.6385416666666646</v>
      </c>
      <c r="Q30" s="61">
        <f>'22'!Q108</f>
        <v>51.238229166666684</v>
      </c>
      <c r="R30" s="117"/>
      <c r="S30" s="117"/>
      <c r="T30" s="117"/>
      <c r="U30" s="117"/>
    </row>
    <row r="31" spans="1:21" x14ac:dyDescent="0.25">
      <c r="A31" s="94" t="str">
        <f>'23'!$B$2</f>
        <v>23-08-2022 00:15</v>
      </c>
      <c r="B31" s="61">
        <f>'23'!B108</f>
        <v>6.9848958333333337</v>
      </c>
      <c r="C31" s="61">
        <f>'23'!C108</f>
        <v>11.238333333333332</v>
      </c>
      <c r="D31" s="61">
        <f>'23'!D108</f>
        <v>18.2228125</v>
      </c>
      <c r="E31" s="61">
        <f>'23'!E108</f>
        <v>4.4728125000000007</v>
      </c>
      <c r="F31" s="61">
        <f>'23'!F108</f>
        <v>0.38218749999999985</v>
      </c>
      <c r="G31" s="61">
        <f>'23'!G108</f>
        <v>54.74347826086958</v>
      </c>
      <c r="H31" s="61">
        <f>'23'!H108</f>
        <v>91.942065217391331</v>
      </c>
      <c r="I31" s="61">
        <f>'23'!I108</f>
        <v>6.727083333333332</v>
      </c>
      <c r="J31" s="61">
        <f>'23'!J108</f>
        <v>0.3249999999999999</v>
      </c>
      <c r="K31" s="61">
        <f>'23'!K108</f>
        <v>196.82427083333326</v>
      </c>
      <c r="L31" s="61">
        <f>'23'!L108</f>
        <v>36.428333333333306</v>
      </c>
      <c r="M31" s="61">
        <f>'23'!M108</f>
        <v>77.569895833333348</v>
      </c>
      <c r="N31" s="61">
        <f>'23'!N108</f>
        <v>226.4270833333334</v>
      </c>
      <c r="O31" s="61">
        <f>'23'!O108</f>
        <v>0</v>
      </c>
      <c r="P31" s="201">
        <f>'23'!P108</f>
        <v>3.5947916666666653</v>
      </c>
      <c r="Q31" s="61">
        <f>'23'!Q108</f>
        <v>56.483052631578957</v>
      </c>
      <c r="R31" s="117"/>
      <c r="S31" s="206"/>
      <c r="T31" s="117"/>
      <c r="U31" s="117"/>
    </row>
    <row r="32" spans="1:21" x14ac:dyDescent="0.25">
      <c r="A32" s="94" t="str">
        <f>'24'!$B$2</f>
        <v>24-08-2022 00:15</v>
      </c>
      <c r="B32" s="61">
        <f>'24'!B108</f>
        <v>8.7768749999999986</v>
      </c>
      <c r="C32" s="61">
        <f>'24'!C108</f>
        <v>12.939166666666663</v>
      </c>
      <c r="D32" s="61">
        <f>'24'!D108</f>
        <v>21.716041666666655</v>
      </c>
      <c r="E32" s="61">
        <f>'24'!E108</f>
        <v>13.645425531914892</v>
      </c>
      <c r="F32" s="61">
        <f>'24'!F108</f>
        <v>0.59774193548387111</v>
      </c>
      <c r="G32" s="61">
        <f>'24'!G108</f>
        <v>51.504444444444431</v>
      </c>
      <c r="H32" s="61">
        <f>'24'!H108</f>
        <v>22.608043478260864</v>
      </c>
      <c r="I32" s="61">
        <f>'24'!I108</f>
        <v>91.856833333333327</v>
      </c>
      <c r="J32" s="61">
        <f>'24'!J108</f>
        <v>0.52760416666666676</v>
      </c>
      <c r="K32" s="61">
        <f>'24'!K108</f>
        <v>210.39041666666677</v>
      </c>
      <c r="L32" s="61">
        <f>'24'!L108</f>
        <v>34.25</v>
      </c>
      <c r="M32" s="61">
        <f>'24'!M108</f>
        <v>81.560208333333335</v>
      </c>
      <c r="N32" s="61">
        <f>'24'!N108</f>
        <v>142.0708333333333</v>
      </c>
      <c r="O32" s="61">
        <f>'24'!O108</f>
        <v>8.9583333333333334E-2</v>
      </c>
      <c r="P32" s="201">
        <f>'24'!P108</f>
        <v>4.1129166666666661</v>
      </c>
      <c r="Q32" s="61">
        <f>'24'!Q108</f>
        <v>44.388125000000002</v>
      </c>
      <c r="R32" s="117"/>
      <c r="S32" s="117"/>
      <c r="T32" s="117"/>
      <c r="U32" s="117"/>
    </row>
    <row r="33" spans="1:21" x14ac:dyDescent="0.25">
      <c r="A33" s="94" t="str">
        <f>'25'!$B$2</f>
        <v>25-08-2022 00:15</v>
      </c>
      <c r="B33" s="61">
        <f>'25'!B108</f>
        <v>4.5411458333333332</v>
      </c>
      <c r="C33" s="61">
        <f>'25'!C108</f>
        <v>10.249791666666667</v>
      </c>
      <c r="D33" s="61">
        <f>'25'!D108</f>
        <v>14.789895833333331</v>
      </c>
      <c r="E33" s="61">
        <f>'25'!E108</f>
        <v>6.5379166666666677</v>
      </c>
      <c r="F33" s="61">
        <f>'25'!F108</f>
        <v>0.38895833333333335</v>
      </c>
      <c r="G33" s="61">
        <f>'25'!G108</f>
        <v>22.211518987341766</v>
      </c>
      <c r="H33" s="61">
        <f>'25'!H108</f>
        <v>12.692083333333329</v>
      </c>
      <c r="I33" s="61">
        <f>'25'!I108</f>
        <v>40.560625000000009</v>
      </c>
      <c r="J33" s="61">
        <f>'25'!J108</f>
        <v>0.63364583333333335</v>
      </c>
      <c r="K33" s="61">
        <f>'25'!K108</f>
        <v>186.4772916666667</v>
      </c>
      <c r="L33" s="61">
        <f>'25'!L108</f>
        <v>33.438068181818181</v>
      </c>
      <c r="M33" s="61">
        <f>'25'!M108</f>
        <v>85.996979166666662</v>
      </c>
      <c r="N33" s="61">
        <f>'25'!N108</f>
        <v>231.7791666666665</v>
      </c>
      <c r="O33" s="61">
        <f>'25'!O108</f>
        <v>0.28333333333333327</v>
      </c>
      <c r="P33" s="201">
        <f>'25'!P108</f>
        <v>0.69114583333333357</v>
      </c>
      <c r="Q33" s="61">
        <f>'25'!Q108</f>
        <v>25.37163043478261</v>
      </c>
      <c r="R33" s="117"/>
      <c r="S33" s="206"/>
      <c r="T33" s="117"/>
      <c r="U33" s="117"/>
    </row>
    <row r="34" spans="1:21" x14ac:dyDescent="0.25">
      <c r="A34" s="94" t="str">
        <f>'26'!$B$2</f>
        <v>26-08-2022 00:15</v>
      </c>
      <c r="B34" s="61">
        <f>'26'!B108</f>
        <v>8.0997916666666665</v>
      </c>
      <c r="C34" s="61">
        <f>'26'!C108</f>
        <v>12.401770833333337</v>
      </c>
      <c r="D34" s="61">
        <f>'26'!D108</f>
        <v>20.501874999999995</v>
      </c>
      <c r="E34" s="61">
        <f>'26'!E108</f>
        <v>5.784583333333333</v>
      </c>
      <c r="F34" s="61">
        <f>'26'!F108</f>
        <v>0.34413043478260869</v>
      </c>
      <c r="G34" s="61">
        <f>'26'!G108</f>
        <v>32.913124999999972</v>
      </c>
      <c r="H34" s="61">
        <f>'26'!H108</f>
        <v>18.010104166666668</v>
      </c>
      <c r="I34" s="61">
        <f>'26'!I108</f>
        <v>11.454482758620687</v>
      </c>
      <c r="J34" s="61">
        <f>'26'!J108</f>
        <v>0.33239583333333322</v>
      </c>
      <c r="K34" s="61">
        <f>'26'!K108</f>
        <v>255.86541666666676</v>
      </c>
      <c r="L34" s="61">
        <f>'26'!L108</f>
        <v>37.754235294117635</v>
      </c>
      <c r="M34" s="61">
        <f>'26'!M108</f>
        <v>75.361041666666665</v>
      </c>
      <c r="N34" s="61">
        <f>'26'!N108</f>
        <v>263.60520833333345</v>
      </c>
      <c r="O34" s="61">
        <f>'26'!O108</f>
        <v>0</v>
      </c>
      <c r="P34" s="201">
        <f>'26'!P108</f>
        <v>0.82562499999999994</v>
      </c>
      <c r="Q34" s="61">
        <f>'26'!Q108</f>
        <v>17.808541666666674</v>
      </c>
      <c r="R34" s="117"/>
      <c r="S34" s="117"/>
      <c r="T34" s="117"/>
      <c r="U34" s="117"/>
    </row>
    <row r="35" spans="1:21" x14ac:dyDescent="0.25">
      <c r="A35" s="94" t="str">
        <f>'27'!$B$2</f>
        <v>27-08-2022 00:15</v>
      </c>
      <c r="B35" s="61">
        <f>'27'!B108</f>
        <v>6.1242708333333313</v>
      </c>
      <c r="C35" s="61">
        <f>'27'!C108</f>
        <v>13.826979166666666</v>
      </c>
      <c r="D35" s="61">
        <f>'27'!D108</f>
        <v>19.951562499999991</v>
      </c>
      <c r="E35" s="61">
        <f>'27'!E108</f>
        <v>5.0547916666666675</v>
      </c>
      <c r="F35" s="61">
        <f>'27'!F108</f>
        <v>0.4669565217391306</v>
      </c>
      <c r="G35" s="61">
        <f>'27'!G108</f>
        <v>33.212625000000017</v>
      </c>
      <c r="H35" s="61">
        <f>'27'!H108</f>
        <v>26.559895833333353</v>
      </c>
      <c r="I35" s="9" t="s">
        <v>36</v>
      </c>
      <c r="J35" s="61">
        <f>'27'!J108</f>
        <v>0.29250000000000009</v>
      </c>
      <c r="K35" s="61">
        <f>'27'!K108</f>
        <v>267.68958333333325</v>
      </c>
      <c r="L35" s="61">
        <f>'27'!L108</f>
        <v>37.268157894736852</v>
      </c>
      <c r="M35" s="61">
        <f>'27'!M108</f>
        <v>72.269062499999976</v>
      </c>
      <c r="N35" s="61">
        <f>'27'!N108</f>
        <v>248.31250000000003</v>
      </c>
      <c r="O35" s="61">
        <f>'27'!O108</f>
        <v>0</v>
      </c>
      <c r="P35" s="201">
        <f>'27'!P108</f>
        <v>0.79604166666666665</v>
      </c>
      <c r="Q35" s="61">
        <f>'27'!Q108</f>
        <v>13.362812499999997</v>
      </c>
      <c r="R35" s="117"/>
      <c r="S35" s="117"/>
      <c r="T35" s="117"/>
      <c r="U35" s="117"/>
    </row>
    <row r="36" spans="1:21" x14ac:dyDescent="0.25">
      <c r="A36" s="94" t="str">
        <f>'28'!$B$2</f>
        <v>28-08-2022 00:15</v>
      </c>
      <c r="B36" s="61">
        <f>'28'!B108</f>
        <v>8.1043749999999992</v>
      </c>
      <c r="C36" s="61">
        <f>'28'!C108</f>
        <v>14.758750000000006</v>
      </c>
      <c r="D36" s="61">
        <f>'28'!D108</f>
        <v>22.86364583333334</v>
      </c>
      <c r="E36" s="61">
        <f>'28'!E108</f>
        <v>5.7549999999999999</v>
      </c>
      <c r="F36" s="61">
        <f>'28'!F108</f>
        <v>0.39573033707865168</v>
      </c>
      <c r="G36" s="61">
        <f>'28'!G108</f>
        <v>33.013541666666669</v>
      </c>
      <c r="H36" s="61">
        <f>'28'!H108</f>
        <v>21.122604166666651</v>
      </c>
      <c r="I36" s="9" t="s">
        <v>36</v>
      </c>
      <c r="J36" s="61">
        <f>'28'!J108</f>
        <v>0.57500000000000007</v>
      </c>
      <c r="K36" s="61">
        <f>'28'!K108</f>
        <v>253.19864583333325</v>
      </c>
      <c r="L36" s="10" t="s">
        <v>43</v>
      </c>
      <c r="M36" s="61">
        <f>'28'!M108</f>
        <v>80.504479166666627</v>
      </c>
      <c r="N36" s="61">
        <f>'28'!N108</f>
        <v>178.76770833333327</v>
      </c>
      <c r="O36" s="61">
        <f>'28'!O108</f>
        <v>0.40208333333333335</v>
      </c>
      <c r="P36" s="201">
        <f>'28'!P108</f>
        <v>0.87927083333333333</v>
      </c>
      <c r="Q36" s="61">
        <f>'28'!Q108</f>
        <v>16.485937500000002</v>
      </c>
      <c r="R36" s="117"/>
      <c r="S36" s="117"/>
      <c r="T36" s="117"/>
      <c r="U36" s="117"/>
    </row>
    <row r="37" spans="1:21" s="54" customFormat="1" x14ac:dyDescent="0.25">
      <c r="A37" s="94" t="str">
        <f>'29'!$B$2</f>
        <v>29-08-2022 00:15</v>
      </c>
      <c r="B37" s="61">
        <f>'29'!B108</f>
        <v>4.3902083333333346</v>
      </c>
      <c r="C37" s="61">
        <f>'29'!C108</f>
        <v>15.462499999999999</v>
      </c>
      <c r="D37" s="61">
        <f>'29'!D108</f>
        <v>19.853124999999995</v>
      </c>
      <c r="E37" s="61">
        <f>'29'!E108</f>
        <v>4.9517708333333319</v>
      </c>
      <c r="F37" s="61">
        <f>'29'!F108</f>
        <v>6.5960638297872336</v>
      </c>
      <c r="G37" s="61">
        <f>'29'!G108</f>
        <v>17.92166666666667</v>
      </c>
      <c r="H37" s="61">
        <f>'29'!H108</f>
        <v>8.9578124999999975</v>
      </c>
      <c r="I37" s="61">
        <f>'29'!I108</f>
        <v>9.1719230769230773</v>
      </c>
      <c r="J37" s="61">
        <f>'29'!J108</f>
        <v>1.0731250000000001</v>
      </c>
      <c r="K37" s="61">
        <f>'29'!K108</f>
        <v>132.98364583333336</v>
      </c>
      <c r="L37" s="61">
        <f>'29'!L108</f>
        <v>43.7112121212121</v>
      </c>
      <c r="M37" s="61">
        <f>'29'!M108</f>
        <v>81.000729166666659</v>
      </c>
      <c r="N37" s="61">
        <f>'29'!N108</f>
        <v>211.7010416666667</v>
      </c>
      <c r="O37" s="61">
        <f>'29'!O108</f>
        <v>8.3333333333333332E-3</v>
      </c>
      <c r="P37" s="201">
        <f>'29'!P108</f>
        <v>0.72645833333333343</v>
      </c>
      <c r="Q37" s="61">
        <f>'29'!Q108</f>
        <v>43.020937500000009</v>
      </c>
      <c r="R37" s="117"/>
      <c r="S37" s="117"/>
      <c r="T37" s="117"/>
      <c r="U37" s="117"/>
    </row>
    <row r="38" spans="1:21" s="54" customFormat="1" x14ac:dyDescent="0.25">
      <c r="A38" s="94" t="str">
        <f>'30'!$B$2</f>
        <v>30-08-2022 00:15</v>
      </c>
      <c r="B38" s="61">
        <f>'30'!B108</f>
        <v>3.9338541666666682</v>
      </c>
      <c r="C38" s="61">
        <f>'30'!C108</f>
        <v>11.40104166666667</v>
      </c>
      <c r="D38" s="61">
        <f>'30'!D108</f>
        <v>15.334895833333333</v>
      </c>
      <c r="E38" s="61">
        <f>'30'!E108</f>
        <v>4.9022916666666676</v>
      </c>
      <c r="F38" s="61">
        <f>'30'!F108</f>
        <v>7.8123958333333334</v>
      </c>
      <c r="G38" s="61">
        <f>'30'!G108</f>
        <v>19.409479166666674</v>
      </c>
      <c r="H38" s="61">
        <f>'30'!H108</f>
        <v>12.420937499999999</v>
      </c>
      <c r="I38" s="61">
        <f>'30'!I108</f>
        <v>7.219594594594593</v>
      </c>
      <c r="J38" s="61">
        <f>'30'!J108</f>
        <v>1.0598958333333333</v>
      </c>
      <c r="K38" s="61">
        <f>'30'!K108</f>
        <v>207.54791666666665</v>
      </c>
      <c r="L38" s="10" t="s">
        <v>43</v>
      </c>
      <c r="M38" s="61">
        <f>'30'!M108</f>
        <v>79.712291666666687</v>
      </c>
      <c r="N38" s="61">
        <f>'30'!N108</f>
        <v>252.8458333333333</v>
      </c>
      <c r="O38" s="61">
        <f>'30'!O108</f>
        <v>6.6666666666666666E-2</v>
      </c>
      <c r="P38" s="201">
        <f>'30'!P108</f>
        <v>0.59927083333333342</v>
      </c>
      <c r="Q38" s="61">
        <f>'30'!Q108</f>
        <v>24.875208333333337</v>
      </c>
      <c r="R38" s="117"/>
      <c r="S38" s="117"/>
      <c r="T38" s="117"/>
      <c r="U38" s="117"/>
    </row>
    <row r="39" spans="1:21" s="54" customFormat="1" x14ac:dyDescent="0.25">
      <c r="A39" s="94" t="str">
        <f>'31'!$B$2</f>
        <v>31-08-2022 00:15</v>
      </c>
      <c r="B39" s="117">
        <f>'31'!B108</f>
        <v>4.9866666666666655</v>
      </c>
      <c r="C39" s="117">
        <f>'31'!C108</f>
        <v>11.098125000000001</v>
      </c>
      <c r="D39" s="117">
        <f>'31'!D108</f>
        <v>16.084270833333331</v>
      </c>
      <c r="E39" s="117">
        <f>'31'!E108</f>
        <v>4.3864583333333345</v>
      </c>
      <c r="F39" s="117">
        <f>'31'!F108</f>
        <v>4.338958333333335</v>
      </c>
      <c r="G39" s="117">
        <f>'31'!G108</f>
        <v>31.748541666666668</v>
      </c>
      <c r="H39" s="117">
        <f>'31'!H108</f>
        <v>10.907499999999999</v>
      </c>
      <c r="I39" s="117">
        <f>'31'!I108</f>
        <v>7.2225806451612868</v>
      </c>
      <c r="J39" s="117">
        <f>'31'!J108</f>
        <v>0.93729166666666675</v>
      </c>
      <c r="K39" s="117">
        <f>'31'!K108</f>
        <v>192.0398958333333</v>
      </c>
      <c r="L39" s="117" t="e">
        <f>'31'!L108</f>
        <v>#DIV/0!</v>
      </c>
      <c r="M39" s="117">
        <f>'31'!M108</f>
        <v>82.153020833333329</v>
      </c>
      <c r="N39" s="117">
        <f>'31'!N108</f>
        <v>261.68645833333329</v>
      </c>
      <c r="O39" s="117">
        <f>'31'!O108</f>
        <v>5.6250000000000001E-2</v>
      </c>
      <c r="P39" s="117">
        <f>'31'!P108</f>
        <v>0.65500000000000003</v>
      </c>
      <c r="Q39" s="117">
        <f>'31'!Q108</f>
        <v>16.936451612903227</v>
      </c>
      <c r="R39" s="117"/>
      <c r="S39" s="117"/>
      <c r="T39" s="117"/>
      <c r="U39" s="117"/>
    </row>
    <row r="40" spans="1:21" s="54" customFormat="1" x14ac:dyDescent="0.25">
      <c r="A40" s="94" t="s">
        <v>59</v>
      </c>
      <c r="B40" s="16">
        <f t="shared" ref="B40:Q40" si="0">MIN(B9:B38)</f>
        <v>1.4179166666666665</v>
      </c>
      <c r="C40" s="16">
        <f t="shared" si="0"/>
        <v>8.4738541666666656</v>
      </c>
      <c r="D40" s="16">
        <f t="shared" si="0"/>
        <v>11.321354166666671</v>
      </c>
      <c r="E40" s="16">
        <f t="shared" si="0"/>
        <v>2.8488541666666669</v>
      </c>
      <c r="F40" s="16">
        <f t="shared" si="0"/>
        <v>0.23645833333333333</v>
      </c>
      <c r="G40" s="16">
        <f t="shared" si="0"/>
        <v>0.43549019607843159</v>
      </c>
      <c r="H40" s="16">
        <f t="shared" si="0"/>
        <v>2.9472916666666671</v>
      </c>
      <c r="I40" s="16">
        <f t="shared" si="0"/>
        <v>2.846562500000001</v>
      </c>
      <c r="J40" s="16">
        <f t="shared" si="0"/>
        <v>0.1557291666666667</v>
      </c>
      <c r="K40" s="16">
        <f t="shared" si="0"/>
        <v>122.04291666666673</v>
      </c>
      <c r="L40" s="16">
        <f t="shared" si="0"/>
        <v>30.916666666666668</v>
      </c>
      <c r="M40" s="16">
        <f t="shared" si="0"/>
        <v>72.269062499999976</v>
      </c>
      <c r="N40" s="16">
        <f t="shared" si="0"/>
        <v>51.083333333333371</v>
      </c>
      <c r="O40" s="16">
        <f t="shared" si="0"/>
        <v>0</v>
      </c>
      <c r="P40" s="16">
        <f t="shared" si="0"/>
        <v>0.59927083333333342</v>
      </c>
      <c r="Q40" s="16">
        <f t="shared" si="0"/>
        <v>3.7479166666666681</v>
      </c>
      <c r="R40" s="16"/>
      <c r="S40" s="16"/>
      <c r="T40" s="16"/>
      <c r="U40" s="16"/>
    </row>
    <row r="41" spans="1:21" s="54" customFormat="1" x14ac:dyDescent="0.25">
      <c r="A41" s="94" t="s">
        <v>60</v>
      </c>
      <c r="B41" s="16">
        <f t="shared" ref="B41:Q41" si="1">MAX(B9:B38)</f>
        <v>18.97927083333332</v>
      </c>
      <c r="C41" s="16">
        <f t="shared" si="1"/>
        <v>18.412500000000005</v>
      </c>
      <c r="D41" s="16">
        <f t="shared" si="1"/>
        <v>31.594479166666659</v>
      </c>
      <c r="E41" s="16">
        <f t="shared" si="1"/>
        <v>13.645425531914892</v>
      </c>
      <c r="F41" s="16">
        <f t="shared" si="1"/>
        <v>7.8123958333333334</v>
      </c>
      <c r="G41" s="16">
        <f t="shared" si="1"/>
        <v>54.74347826086958</v>
      </c>
      <c r="H41" s="16">
        <f t="shared" si="1"/>
        <v>118.93416666666666</v>
      </c>
      <c r="I41" s="16">
        <f t="shared" si="1"/>
        <v>91.856833333333327</v>
      </c>
      <c r="J41" s="16">
        <f t="shared" si="1"/>
        <v>1.0731250000000001</v>
      </c>
      <c r="K41" s="16">
        <f t="shared" si="1"/>
        <v>267.68958333333325</v>
      </c>
      <c r="L41" s="16">
        <f t="shared" si="1"/>
        <v>43.777758620689667</v>
      </c>
      <c r="M41" s="16">
        <f t="shared" si="1"/>
        <v>98.054583333333298</v>
      </c>
      <c r="N41" s="16">
        <f t="shared" si="1"/>
        <v>268.42499999999984</v>
      </c>
      <c r="O41" s="16">
        <f t="shared" si="1"/>
        <v>1.1687500000000004</v>
      </c>
      <c r="P41" s="16">
        <f t="shared" si="1"/>
        <v>4.1129166666666661</v>
      </c>
      <c r="Q41" s="16">
        <f t="shared" si="1"/>
        <v>286.49541666666664</v>
      </c>
      <c r="R41" s="16"/>
      <c r="S41" s="16"/>
      <c r="T41" s="16"/>
      <c r="U41" s="16"/>
    </row>
    <row r="42" spans="1:21" s="54" customFormat="1" x14ac:dyDescent="0.25">
      <c r="A42" s="94" t="s">
        <v>61</v>
      </c>
      <c r="B42" s="16">
        <f t="shared" ref="B42:Q42" si="2">AVERAGE(B9:B38)</f>
        <v>7.4178791666666646</v>
      </c>
      <c r="C42" s="16">
        <f t="shared" si="2"/>
        <v>12.333986111111111</v>
      </c>
      <c r="D42" s="16">
        <f t="shared" si="2"/>
        <v>19.748649305555553</v>
      </c>
      <c r="E42" s="16">
        <f t="shared" si="2"/>
        <v>5.3113101735688106</v>
      </c>
      <c r="F42" s="16">
        <f t="shared" si="2"/>
        <v>0.96147880246440898</v>
      </c>
      <c r="G42" s="16">
        <f t="shared" si="2"/>
        <v>27.687818355346419</v>
      </c>
      <c r="H42" s="16">
        <f t="shared" si="2"/>
        <v>27.47270255546804</v>
      </c>
      <c r="I42" s="16">
        <f t="shared" si="2"/>
        <v>10.478082662780638</v>
      </c>
      <c r="J42" s="16">
        <f t="shared" si="2"/>
        <v>0.50243421052631565</v>
      </c>
      <c r="K42" s="16">
        <f t="shared" si="2"/>
        <v>198.72925694444444</v>
      </c>
      <c r="L42" s="16">
        <f t="shared" si="2"/>
        <v>37.743330004403269</v>
      </c>
      <c r="M42" s="16">
        <f t="shared" si="2"/>
        <v>83.524121527777737</v>
      </c>
      <c r="N42" s="16">
        <f t="shared" si="2"/>
        <v>176.39958333333331</v>
      </c>
      <c r="O42" s="16">
        <f t="shared" si="2"/>
        <v>0.14263888888888893</v>
      </c>
      <c r="P42" s="16">
        <f t="shared" si="2"/>
        <v>3.0735991830065363</v>
      </c>
      <c r="Q42" s="16">
        <f t="shared" si="2"/>
        <v>28.819211657767603</v>
      </c>
      <c r="R42" s="16"/>
      <c r="S42" s="16"/>
      <c r="T42" s="16"/>
      <c r="U42" s="16"/>
    </row>
    <row r="43" spans="1:21" s="54" customFormat="1" x14ac:dyDescent="0.25">
      <c r="A43" s="94" t="s">
        <v>77</v>
      </c>
      <c r="B43" s="16">
        <f t="shared" ref="B43:Q43" si="3">STDEV(B9:B38)</f>
        <v>4.101468141413795</v>
      </c>
      <c r="C43" s="16">
        <f t="shared" si="3"/>
        <v>2.194551270789209</v>
      </c>
      <c r="D43" s="16">
        <f t="shared" si="3"/>
        <v>5.4432328617267229</v>
      </c>
      <c r="E43" s="16">
        <f t="shared" si="3"/>
        <v>1.8588693246709334</v>
      </c>
      <c r="F43" s="16">
        <f t="shared" si="3"/>
        <v>1.714758192038139</v>
      </c>
      <c r="G43" s="16">
        <f t="shared" si="3"/>
        <v>14.993621856443033</v>
      </c>
      <c r="H43" s="16">
        <f t="shared" si="3"/>
        <v>30.811117519032635</v>
      </c>
      <c r="I43" s="16">
        <f t="shared" si="3"/>
        <v>17.691644187928933</v>
      </c>
      <c r="J43" s="16">
        <f t="shared" si="3"/>
        <v>0.24206412207939676</v>
      </c>
      <c r="K43" s="16">
        <f t="shared" si="3"/>
        <v>38.805271698286781</v>
      </c>
      <c r="L43" s="16">
        <f t="shared" si="3"/>
        <v>3.9263326893613963</v>
      </c>
      <c r="M43" s="16">
        <f t="shared" si="3"/>
        <v>7.5870244313752107</v>
      </c>
      <c r="N43" s="16">
        <f t="shared" si="3"/>
        <v>67.687115636390487</v>
      </c>
      <c r="O43" s="16">
        <f t="shared" si="3"/>
        <v>0.23948725793111941</v>
      </c>
      <c r="P43" s="16">
        <f t="shared" si="3"/>
        <v>1.1905722284316096</v>
      </c>
      <c r="Q43" s="16">
        <f t="shared" si="3"/>
        <v>52.096460614785023</v>
      </c>
      <c r="R43" s="16"/>
      <c r="S43" s="16"/>
      <c r="T43" s="16"/>
      <c r="U43" s="16"/>
    </row>
    <row r="44" spans="1:21" s="54" customFormat="1" x14ac:dyDescent="0.25">
      <c r="A44" s="94" t="s">
        <v>62</v>
      </c>
      <c r="B44" s="13">
        <f t="shared" ref="B44:Q44" si="4">COUNT(B9:B38)</f>
        <v>30</v>
      </c>
      <c r="C44" s="13">
        <f t="shared" si="4"/>
        <v>30</v>
      </c>
      <c r="D44" s="13">
        <f t="shared" si="4"/>
        <v>30</v>
      </c>
      <c r="E44" s="13">
        <f t="shared" si="4"/>
        <v>30</v>
      </c>
      <c r="F44" s="13">
        <f t="shared" si="4"/>
        <v>30</v>
      </c>
      <c r="G44" s="13">
        <f t="shared" si="4"/>
        <v>13</v>
      </c>
      <c r="H44" s="13">
        <f t="shared" si="4"/>
        <v>29</v>
      </c>
      <c r="I44" s="13">
        <f t="shared" si="4"/>
        <v>27</v>
      </c>
      <c r="J44" s="13">
        <f t="shared" si="4"/>
        <v>30</v>
      </c>
      <c r="K44" s="13">
        <f t="shared" si="4"/>
        <v>30</v>
      </c>
      <c r="L44" s="13">
        <f t="shared" si="4"/>
        <v>24</v>
      </c>
      <c r="M44" s="13">
        <f t="shared" si="4"/>
        <v>30</v>
      </c>
      <c r="N44" s="13">
        <f t="shared" si="4"/>
        <v>30</v>
      </c>
      <c r="O44" s="13">
        <f t="shared" si="4"/>
        <v>30</v>
      </c>
      <c r="P44" s="13">
        <f t="shared" si="4"/>
        <v>30</v>
      </c>
      <c r="Q44" s="13">
        <f t="shared" si="4"/>
        <v>30</v>
      </c>
      <c r="R44" s="13"/>
      <c r="S44" s="13"/>
      <c r="T44" s="13"/>
      <c r="U44" s="13"/>
    </row>
    <row r="45" spans="1:21" s="54" customFormat="1" x14ac:dyDescent="0.25">
      <c r="A45" s="94" t="s">
        <v>63</v>
      </c>
      <c r="B45" s="13" t="str">
        <f>IF(B44&gt;=28,"&gt;90%",IF(B44&lt;=28,"&lt;90%"))</f>
        <v>&gt;90%</v>
      </c>
      <c r="C45" s="13" t="str">
        <f t="shared" ref="C45:Q45" si="5">IF(C44&gt;=28,"&gt;90%",IF(C44&lt;=28,"&lt;90%"))</f>
        <v>&gt;90%</v>
      </c>
      <c r="D45" s="13" t="str">
        <f t="shared" si="5"/>
        <v>&gt;90%</v>
      </c>
      <c r="E45" s="13" t="str">
        <f t="shared" si="5"/>
        <v>&gt;90%</v>
      </c>
      <c r="F45" s="13" t="str">
        <f t="shared" si="5"/>
        <v>&gt;90%</v>
      </c>
      <c r="G45" s="13" t="str">
        <f t="shared" si="5"/>
        <v>&lt;90%</v>
      </c>
      <c r="H45" s="13" t="str">
        <f t="shared" si="5"/>
        <v>&gt;90%</v>
      </c>
      <c r="I45" s="13" t="str">
        <f t="shared" si="5"/>
        <v>&lt;90%</v>
      </c>
      <c r="J45" s="13" t="str">
        <f t="shared" si="5"/>
        <v>&gt;90%</v>
      </c>
      <c r="K45" s="13" t="str">
        <f t="shared" si="5"/>
        <v>&gt;90%</v>
      </c>
      <c r="L45" s="13" t="str">
        <f t="shared" si="5"/>
        <v>&lt;90%</v>
      </c>
      <c r="M45" s="13" t="str">
        <f t="shared" si="5"/>
        <v>&gt;90%</v>
      </c>
      <c r="N45" s="13" t="str">
        <f t="shared" si="5"/>
        <v>&gt;90%</v>
      </c>
      <c r="O45" s="13" t="str">
        <f t="shared" si="5"/>
        <v>&gt;90%</v>
      </c>
      <c r="P45" s="13" t="str">
        <f t="shared" si="5"/>
        <v>&gt;90%</v>
      </c>
      <c r="Q45" s="13" t="str">
        <f t="shared" si="5"/>
        <v>&gt;90%</v>
      </c>
      <c r="R45" s="13"/>
      <c r="S45" s="13"/>
      <c r="T45" s="13"/>
      <c r="U45" s="13"/>
    </row>
    <row r="46" spans="1:21" x14ac:dyDescent="0.25">
      <c r="A46" s="94" t="s">
        <v>5</v>
      </c>
      <c r="B46" s="13" t="str">
        <f>IF(B44&gt;=28,"OK",IF(B44&lt;=28,"LESS"))</f>
        <v>OK</v>
      </c>
      <c r="C46" s="13" t="str">
        <f t="shared" ref="C46:Q46" si="6">IF(C44&gt;=28,"OK",IF(C44&lt;=28,"LESS"))</f>
        <v>OK</v>
      </c>
      <c r="D46" s="13" t="str">
        <f t="shared" si="6"/>
        <v>OK</v>
      </c>
      <c r="E46" s="13" t="str">
        <f t="shared" si="6"/>
        <v>OK</v>
      </c>
      <c r="F46" s="13" t="str">
        <f t="shared" si="6"/>
        <v>OK</v>
      </c>
      <c r="G46" s="13" t="str">
        <f t="shared" si="6"/>
        <v>LESS</v>
      </c>
      <c r="H46" s="13" t="str">
        <f t="shared" si="6"/>
        <v>OK</v>
      </c>
      <c r="I46" s="13" t="str">
        <f t="shared" si="6"/>
        <v>LESS</v>
      </c>
      <c r="J46" s="13" t="str">
        <f t="shared" si="6"/>
        <v>OK</v>
      </c>
      <c r="K46" s="13" t="str">
        <f t="shared" si="6"/>
        <v>OK</v>
      </c>
      <c r="L46" s="13" t="str">
        <f t="shared" si="6"/>
        <v>LESS</v>
      </c>
      <c r="M46" s="13" t="str">
        <f t="shared" si="6"/>
        <v>OK</v>
      </c>
      <c r="N46" s="13" t="str">
        <f t="shared" si="6"/>
        <v>OK</v>
      </c>
      <c r="O46" s="13" t="str">
        <f t="shared" si="6"/>
        <v>OK</v>
      </c>
      <c r="P46" s="13" t="str">
        <f t="shared" si="6"/>
        <v>OK</v>
      </c>
      <c r="Q46" s="13" t="str">
        <f t="shared" si="6"/>
        <v>OK</v>
      </c>
      <c r="R46" s="13"/>
      <c r="S46" s="13"/>
      <c r="T46" s="13"/>
      <c r="U46" s="13"/>
    </row>
    <row r="47" spans="1:21" x14ac:dyDescent="0.25"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9" spans="1:16" x14ac:dyDescent="0.25">
      <c r="A49" s="94" t="s">
        <v>64</v>
      </c>
      <c r="B49" s="106" t="s">
        <v>3224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</row>
    <row r="50" spans="1:16" x14ac:dyDescent="0.25">
      <c r="A50" s="97"/>
      <c r="B50" s="54"/>
      <c r="C50" s="54"/>
      <c r="D50" s="2"/>
      <c r="E50" s="2"/>
      <c r="F50" s="2"/>
      <c r="G50" s="2"/>
      <c r="H50" s="2"/>
      <c r="I50" s="2"/>
      <c r="J50" s="54"/>
      <c r="K50" s="54"/>
      <c r="L50" s="54"/>
      <c r="M50" s="54"/>
      <c r="N50" s="54"/>
      <c r="O50" s="54"/>
      <c r="P50" s="54"/>
    </row>
    <row r="51" spans="1:16" ht="15.75" x14ac:dyDescent="0.25">
      <c r="A51" s="98" t="s">
        <v>65</v>
      </c>
      <c r="B51" s="223"/>
      <c r="C51" s="223"/>
      <c r="D51" s="223"/>
      <c r="E51" s="223"/>
      <c r="F51" s="223"/>
      <c r="G51" s="223"/>
      <c r="H51" s="223"/>
      <c r="I51" s="223"/>
      <c r="J51" s="223"/>
      <c r="K51" s="223"/>
      <c r="L51" s="223"/>
      <c r="M51" s="223"/>
      <c r="N51" s="223"/>
      <c r="O51" s="223"/>
      <c r="P51" s="223"/>
    </row>
    <row r="52" spans="1:16" x14ac:dyDescent="0.25">
      <c r="A52" s="97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</sheetData>
  <mergeCells count="1">
    <mergeCell ref="B51:P51"/>
  </mergeCells>
  <pageMargins left="0.17" right="0.17" top="0.19" bottom="0.16" header="0.17" footer="0.16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zoomScale="85" zoomScaleNormal="85" workbookViewId="0">
      <selection activeCell="D1" sqref="D1:J1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0" t="s">
        <v>9</v>
      </c>
      <c r="D1" s="224" t="s">
        <v>224</v>
      </c>
      <c r="E1" s="224"/>
      <c r="F1" s="224"/>
      <c r="G1" s="224"/>
      <c r="H1" s="224"/>
      <c r="I1" s="224"/>
      <c r="J1" s="225"/>
    </row>
    <row r="2" spans="2:24" ht="22.5" customHeight="1" thickBot="1" x14ac:dyDescent="0.3">
      <c r="B2" s="54"/>
      <c r="C2" s="110" t="s">
        <v>0</v>
      </c>
      <c r="D2" s="111" t="s">
        <v>216</v>
      </c>
      <c r="E2" s="112"/>
      <c r="F2" s="112"/>
      <c r="G2" s="113"/>
      <c r="H2" s="114"/>
      <c r="I2" s="114"/>
      <c r="J2" s="115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8" t="s">
        <v>1</v>
      </c>
      <c r="H5" s="228"/>
      <c r="I5" s="40"/>
      <c r="J5" s="40"/>
      <c r="K5" s="40"/>
      <c r="L5" s="40"/>
      <c r="M5" s="41"/>
      <c r="O5" s="68"/>
      <c r="P5" s="69"/>
      <c r="Q5" s="69"/>
      <c r="R5" s="69"/>
      <c r="S5" s="207"/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1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>
        <v>44714.53125</v>
      </c>
      <c r="C8" s="60" t="s">
        <v>1</v>
      </c>
      <c r="D8" s="60" t="s">
        <v>51</v>
      </c>
      <c r="E8" s="60">
        <v>0</v>
      </c>
      <c r="F8" s="60">
        <v>300</v>
      </c>
      <c r="G8" s="60">
        <v>0</v>
      </c>
      <c r="H8" s="61">
        <v>298.5</v>
      </c>
      <c r="I8" s="60">
        <v>0</v>
      </c>
      <c r="J8" s="61">
        <f>F8/H8</f>
        <v>1.0050251256281406</v>
      </c>
      <c r="K8" s="61">
        <f>(H8-F8)*100/F8</f>
        <v>-0.5</v>
      </c>
      <c r="L8" s="60" t="s">
        <v>67</v>
      </c>
      <c r="M8" s="78" t="s">
        <v>218</v>
      </c>
      <c r="O8" s="63">
        <v>44718.515972222223</v>
      </c>
      <c r="P8" s="64" t="s">
        <v>70</v>
      </c>
      <c r="Q8" s="64">
        <v>4946.0600000000004</v>
      </c>
      <c r="R8" s="64">
        <v>3908.82</v>
      </c>
      <c r="S8" s="77" t="s">
        <v>219</v>
      </c>
      <c r="T8" s="77">
        <v>810.73</v>
      </c>
      <c r="U8" s="86">
        <v>1.0193000000000001</v>
      </c>
      <c r="V8" s="86">
        <v>1.0146999999999999</v>
      </c>
      <c r="W8" s="60" t="s">
        <v>67</v>
      </c>
      <c r="X8" s="78" t="s">
        <v>218</v>
      </c>
    </row>
    <row r="9" spans="2:24" ht="15.75" x14ac:dyDescent="0.25">
      <c r="B9" s="63"/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/>
      <c r="I9" s="60">
        <v>0</v>
      </c>
      <c r="J9" s="61" t="e">
        <f t="shared" ref="J9:J14" si="0">F9/H9</f>
        <v>#DIV/0!</v>
      </c>
      <c r="K9" s="61">
        <f t="shared" ref="K9:K14" si="1">(H9-F9)*100/F9</f>
        <v>-100</v>
      </c>
      <c r="L9" s="60" t="s">
        <v>67</v>
      </c>
      <c r="M9" s="62"/>
      <c r="O9" s="63"/>
      <c r="P9" s="64" t="s">
        <v>70</v>
      </c>
      <c r="Q9" s="64"/>
      <c r="R9" s="64"/>
      <c r="S9" s="77" t="s">
        <v>219</v>
      </c>
      <c r="T9" s="77"/>
      <c r="U9" s="86"/>
      <c r="V9" s="86"/>
      <c r="W9" s="60" t="s">
        <v>67</v>
      </c>
      <c r="X9" s="62"/>
    </row>
    <row r="10" spans="2:24" ht="15.75" x14ac:dyDescent="0.25">
      <c r="B10" s="63"/>
      <c r="C10" s="60" t="s">
        <v>1</v>
      </c>
      <c r="D10" s="60" t="s">
        <v>51</v>
      </c>
      <c r="E10" s="60">
        <v>0</v>
      </c>
      <c r="F10" s="60">
        <v>100</v>
      </c>
      <c r="G10" s="60">
        <v>0</v>
      </c>
      <c r="H10" s="61"/>
      <c r="I10" s="60">
        <v>0</v>
      </c>
      <c r="J10" s="61" t="e">
        <f t="shared" si="0"/>
        <v>#DIV/0!</v>
      </c>
      <c r="K10" s="61">
        <f t="shared" si="1"/>
        <v>-100</v>
      </c>
      <c r="L10" s="60" t="s">
        <v>67</v>
      </c>
      <c r="M10" s="62"/>
      <c r="O10" s="63"/>
      <c r="P10" s="64" t="s">
        <v>70</v>
      </c>
      <c r="Q10" s="64"/>
      <c r="R10" s="64"/>
      <c r="S10" s="77" t="s">
        <v>219</v>
      </c>
      <c r="T10" s="77"/>
      <c r="U10" s="86"/>
      <c r="V10" s="86"/>
      <c r="W10" s="60" t="s">
        <v>67</v>
      </c>
      <c r="X10" s="62"/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100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/>
      <c r="O11" s="63"/>
      <c r="P11" s="64" t="s">
        <v>70</v>
      </c>
      <c r="Q11" s="64"/>
      <c r="R11" s="64"/>
      <c r="S11" s="77" t="s">
        <v>219</v>
      </c>
      <c r="T11" s="77"/>
      <c r="U11" s="86"/>
      <c r="V11" s="86"/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219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 t="s">
        <v>219</v>
      </c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 t="s">
        <v>219</v>
      </c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 t="s">
        <v>219</v>
      </c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 t="s">
        <v>219</v>
      </c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 t="s">
        <v>219</v>
      </c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 t="s">
        <v>219</v>
      </c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27" t="s">
        <v>25</v>
      </c>
      <c r="D21" s="227"/>
      <c r="E21" s="227"/>
      <c r="F21" s="227"/>
      <c r="G21" s="227"/>
      <c r="H21" s="227"/>
      <c r="I21" s="45">
        <f>COUNT(B8:B20)</f>
        <v>1</v>
      </c>
      <c r="J21" s="46"/>
      <c r="K21" s="46"/>
      <c r="L21" s="47"/>
      <c r="M21" s="48"/>
      <c r="O21" s="80"/>
      <c r="P21" s="229" t="s">
        <v>84</v>
      </c>
      <c r="Q21" s="229"/>
      <c r="R21" s="229"/>
      <c r="S21" s="229"/>
      <c r="T21" s="81">
        <f>COUNT(O8:O20)</f>
        <v>1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2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6" t="s">
        <v>2</v>
      </c>
      <c r="H24" s="226"/>
      <c r="I24" s="40"/>
      <c r="J24" s="51"/>
      <c r="K24" s="51"/>
      <c r="L24" s="40"/>
      <c r="M24" s="41"/>
      <c r="O24" s="68"/>
      <c r="P24" s="69"/>
      <c r="Q24" s="69"/>
      <c r="R24" s="69"/>
      <c r="S24" s="207"/>
      <c r="T24" s="69"/>
      <c r="U24" s="85"/>
      <c r="V24" s="85"/>
      <c r="W24" s="69"/>
      <c r="X24" s="70"/>
    </row>
    <row r="25" spans="2:24" s="54" customFormat="1" x14ac:dyDescent="0.25">
      <c r="B25" s="118"/>
      <c r="C25" s="119"/>
      <c r="D25" s="119"/>
      <c r="E25" s="119"/>
      <c r="F25" s="119"/>
      <c r="G25" s="120"/>
      <c r="H25" s="120"/>
      <c r="I25" s="120"/>
      <c r="J25" s="121"/>
      <c r="K25" s="121"/>
      <c r="L25" s="120"/>
      <c r="M25" s="122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1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>
        <v>44714.541666666664</v>
      </c>
      <c r="C27" s="60" t="s">
        <v>68</v>
      </c>
      <c r="D27" s="60" t="s">
        <v>51</v>
      </c>
      <c r="E27" s="60">
        <v>0</v>
      </c>
      <c r="F27" s="60">
        <v>200</v>
      </c>
      <c r="G27" s="60">
        <v>0.8</v>
      </c>
      <c r="H27" s="61">
        <v>199</v>
      </c>
      <c r="I27" s="60">
        <v>0</v>
      </c>
      <c r="J27" s="61">
        <f>F27/H27</f>
        <v>1.0050251256281406</v>
      </c>
      <c r="K27" s="61">
        <f>(H27-F27)*100/F27</f>
        <v>-0.5</v>
      </c>
      <c r="L27" s="60" t="s">
        <v>67</v>
      </c>
      <c r="M27" s="78" t="s">
        <v>215</v>
      </c>
      <c r="O27" s="63">
        <v>44718.515972222223</v>
      </c>
      <c r="P27" s="64" t="s">
        <v>71</v>
      </c>
      <c r="Q27" s="64">
        <v>5202.26</v>
      </c>
      <c r="R27" s="64">
        <v>4117.41</v>
      </c>
      <c r="S27" s="77" t="s">
        <v>220</v>
      </c>
      <c r="T27" s="77">
        <v>797.57</v>
      </c>
      <c r="U27" s="86">
        <v>1.01</v>
      </c>
      <c r="V27" s="86">
        <v>1.0143</v>
      </c>
      <c r="W27" s="60" t="s">
        <v>67</v>
      </c>
      <c r="X27" s="78" t="s">
        <v>218</v>
      </c>
    </row>
    <row r="28" spans="2:24" s="24" customFormat="1" ht="15.75" x14ac:dyDescent="0.25">
      <c r="B28" s="63"/>
      <c r="C28" s="60" t="s">
        <v>68</v>
      </c>
      <c r="D28" s="60" t="s">
        <v>51</v>
      </c>
      <c r="E28" s="60">
        <v>0</v>
      </c>
      <c r="F28" s="60">
        <v>200</v>
      </c>
      <c r="G28" s="60">
        <v>1.2</v>
      </c>
      <c r="H28" s="61"/>
      <c r="I28" s="60">
        <v>0</v>
      </c>
      <c r="J28" s="61" t="e">
        <f t="shared" ref="J28:J33" si="2">F28/H28</f>
        <v>#DIV/0!</v>
      </c>
      <c r="K28" s="61">
        <f t="shared" ref="K28:K33" si="3">(H28-F28)*100/F28</f>
        <v>-100</v>
      </c>
      <c r="L28" s="60" t="s">
        <v>67</v>
      </c>
      <c r="M28" s="62"/>
      <c r="O28" s="63"/>
      <c r="P28" s="64" t="s">
        <v>71</v>
      </c>
      <c r="Q28" s="64"/>
      <c r="R28" s="64"/>
      <c r="S28" s="77" t="s">
        <v>220</v>
      </c>
      <c r="T28" s="77"/>
      <c r="U28" s="86"/>
      <c r="V28" s="86"/>
      <c r="W28" s="60" t="s">
        <v>67</v>
      </c>
      <c r="X28" s="62"/>
    </row>
    <row r="29" spans="2:24" s="24" customFormat="1" ht="15.75" x14ac:dyDescent="0.25">
      <c r="B29" s="63"/>
      <c r="C29" s="60" t="s">
        <v>68</v>
      </c>
      <c r="D29" s="60" t="s">
        <v>51</v>
      </c>
      <c r="E29" s="60">
        <v>0</v>
      </c>
      <c r="F29" s="60">
        <v>200</v>
      </c>
      <c r="G29" s="60">
        <v>1.4</v>
      </c>
      <c r="H29" s="61"/>
      <c r="I29" s="60">
        <v>0</v>
      </c>
      <c r="J29" s="61" t="e">
        <f t="shared" si="2"/>
        <v>#DIV/0!</v>
      </c>
      <c r="K29" s="61">
        <f t="shared" si="3"/>
        <v>-100</v>
      </c>
      <c r="L29" s="60" t="s">
        <v>67</v>
      </c>
      <c r="M29" s="62"/>
      <c r="O29" s="63"/>
      <c r="P29" s="64" t="s">
        <v>71</v>
      </c>
      <c r="Q29" s="64"/>
      <c r="R29" s="64"/>
      <c r="S29" s="77" t="s">
        <v>220</v>
      </c>
      <c r="T29" s="77"/>
      <c r="U29" s="86"/>
      <c r="V29" s="86"/>
      <c r="W29" s="60" t="s">
        <v>67</v>
      </c>
      <c r="X29" s="62"/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>
        <v>1</v>
      </c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/>
      <c r="O30" s="63"/>
      <c r="P30" s="64" t="s">
        <v>71</v>
      </c>
      <c r="Q30" s="64"/>
      <c r="R30" s="64"/>
      <c r="S30" s="77" t="s">
        <v>220</v>
      </c>
      <c r="T30" s="77"/>
      <c r="U30" s="86"/>
      <c r="V30" s="86"/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>
        <v>1.2</v>
      </c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 t="s">
        <v>220</v>
      </c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>
        <v>1</v>
      </c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 t="s">
        <v>220</v>
      </c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 t="s">
        <v>220</v>
      </c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 t="s">
        <v>220</v>
      </c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 t="s">
        <v>220</v>
      </c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 t="s">
        <v>220</v>
      </c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 t="s">
        <v>220</v>
      </c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29" t="s">
        <v>85</v>
      </c>
      <c r="Q40" s="229"/>
      <c r="R40" s="229"/>
      <c r="S40" s="229"/>
      <c r="T40" s="81">
        <f>COUNT(O27:O39)</f>
        <v>1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27" t="s">
        <v>26</v>
      </c>
      <c r="E41" s="227"/>
      <c r="F41" s="227"/>
      <c r="G41" s="227"/>
      <c r="H41" s="227"/>
      <c r="I41" s="227"/>
      <c r="J41" s="52">
        <f>COUNT(B27:B39)</f>
        <v>1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6" t="s">
        <v>23</v>
      </c>
      <c r="H44" s="226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1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250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/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27" t="s">
        <v>27</v>
      </c>
      <c r="E61" s="227"/>
      <c r="F61" s="227"/>
      <c r="G61" s="227"/>
      <c r="H61" s="227"/>
      <c r="I61" s="227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6" t="s">
        <v>3</v>
      </c>
      <c r="H64" s="226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1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44806.625</v>
      </c>
      <c r="C67" s="60" t="s">
        <v>3</v>
      </c>
      <c r="D67" s="60" t="s">
        <v>52</v>
      </c>
      <c r="E67" s="60">
        <v>0</v>
      </c>
      <c r="F67" s="60">
        <v>5</v>
      </c>
      <c r="G67" s="60">
        <v>0</v>
      </c>
      <c r="H67" s="116">
        <v>4.99</v>
      </c>
      <c r="I67" s="60">
        <v>0</v>
      </c>
      <c r="J67" s="61">
        <f>F67/H67</f>
        <v>1.002004008016032</v>
      </c>
      <c r="K67" s="61">
        <f>(H67-F67)*100/F67</f>
        <v>-0.19999999999999574</v>
      </c>
      <c r="L67" s="60" t="s">
        <v>67</v>
      </c>
      <c r="M67" s="78" t="s">
        <v>215</v>
      </c>
    </row>
    <row r="68" spans="2:13" ht="15.75" x14ac:dyDescent="0.25">
      <c r="B68" s="63"/>
      <c r="C68" s="60" t="s">
        <v>3</v>
      </c>
      <c r="D68" s="60" t="s">
        <v>52</v>
      </c>
      <c r="E68" s="60">
        <v>0</v>
      </c>
      <c r="F68" s="60">
        <v>6</v>
      </c>
      <c r="G68" s="60">
        <v>0</v>
      </c>
      <c r="H68" s="61"/>
      <c r="I68" s="60">
        <v>0</v>
      </c>
      <c r="J68" s="61" t="e">
        <f t="shared" ref="J68:J73" si="4">F68/H68</f>
        <v>#DIV/0!</v>
      </c>
      <c r="K68" s="61">
        <f t="shared" ref="K68:K73" si="5">(H68-F68)*100/F68</f>
        <v>-100</v>
      </c>
      <c r="L68" s="60" t="s">
        <v>67</v>
      </c>
      <c r="M68" s="62"/>
    </row>
    <row r="69" spans="2:13" ht="15.75" x14ac:dyDescent="0.25">
      <c r="B69" s="63"/>
      <c r="C69" s="60" t="s">
        <v>3</v>
      </c>
      <c r="D69" s="60" t="s">
        <v>52</v>
      </c>
      <c r="E69" s="60">
        <v>0</v>
      </c>
      <c r="F69" s="60">
        <v>6</v>
      </c>
      <c r="G69" s="60">
        <v>0</v>
      </c>
      <c r="H69" s="61"/>
      <c r="I69" s="60">
        <v>0</v>
      </c>
      <c r="J69" s="61" t="e">
        <f t="shared" si="4"/>
        <v>#DIV/0!</v>
      </c>
      <c r="K69" s="61">
        <f t="shared" si="5"/>
        <v>-100</v>
      </c>
      <c r="L69" s="60" t="s">
        <v>67</v>
      </c>
      <c r="M69" s="62"/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6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/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6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6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6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6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6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6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6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6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6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6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27" t="s">
        <v>28</v>
      </c>
      <c r="E81" s="227"/>
      <c r="F81" s="227"/>
      <c r="G81" s="227"/>
      <c r="H81" s="227"/>
      <c r="I81" s="227"/>
      <c r="J81" s="52">
        <f>COUNT(B67:B79)</f>
        <v>1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6" t="s">
        <v>24</v>
      </c>
      <c r="H84" s="226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1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27" t="s">
        <v>29</v>
      </c>
      <c r="E101" s="227"/>
      <c r="F101" s="227"/>
      <c r="G101" s="227"/>
      <c r="H101" s="227"/>
      <c r="I101" s="227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8" t="s">
        <v>4</v>
      </c>
      <c r="H104" s="228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1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>
        <v>44714.489583333336</v>
      </c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>
        <v>321</v>
      </c>
      <c r="I107" s="60">
        <f>G107-E107</f>
        <v>0</v>
      </c>
      <c r="J107" s="61">
        <f>F107/H107</f>
        <v>0.99688473520249221</v>
      </c>
      <c r="K107" s="61">
        <f>(H107-F107)*100/F107</f>
        <v>0.3125</v>
      </c>
      <c r="L107" s="60" t="s">
        <v>67</v>
      </c>
      <c r="M107" s="62" t="s">
        <v>215</v>
      </c>
    </row>
    <row r="108" spans="2:13" ht="15.75" x14ac:dyDescent="0.25">
      <c r="B108" s="63"/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/>
      <c r="I108" s="60">
        <f>G108-E108</f>
        <v>0</v>
      </c>
      <c r="J108" s="61" t="e">
        <f>F108/H108</f>
        <v>#DIV/0!</v>
      </c>
      <c r="K108" s="61">
        <f>(H108-F108)*100/F108</f>
        <v>-100</v>
      </c>
      <c r="L108" s="60" t="s">
        <v>67</v>
      </c>
      <c r="M108" s="62"/>
    </row>
    <row r="109" spans="2:13" ht="15.75" x14ac:dyDescent="0.25">
      <c r="B109" s="63"/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/>
      <c r="I109" s="60">
        <f t="shared" ref="I109:I114" si="8">G109-E109</f>
        <v>0</v>
      </c>
      <c r="J109" s="61" t="e">
        <f t="shared" ref="J109:J114" si="9">F109/H109</f>
        <v>#DIV/0!</v>
      </c>
      <c r="K109" s="61">
        <f t="shared" ref="K109:K114" si="10">(H109-F109)*100/F109</f>
        <v>-100</v>
      </c>
      <c r="L109" s="60" t="s">
        <v>67</v>
      </c>
      <c r="M109" s="62"/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/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27" t="s">
        <v>69</v>
      </c>
      <c r="D119" s="227"/>
      <c r="E119" s="227"/>
      <c r="F119" s="227"/>
      <c r="G119" s="227"/>
      <c r="H119" s="227"/>
      <c r="I119" s="52">
        <f>COUNT(B107:B118)</f>
        <v>1</v>
      </c>
      <c r="J119" s="46"/>
      <c r="K119" s="46"/>
      <c r="L119" s="47"/>
      <c r="M119" s="48"/>
    </row>
  </sheetData>
  <mergeCells count="15">
    <mergeCell ref="C119:H119"/>
    <mergeCell ref="G64:H64"/>
    <mergeCell ref="D81:I81"/>
    <mergeCell ref="G84:H84"/>
    <mergeCell ref="D101:I101"/>
    <mergeCell ref="G104:H104"/>
    <mergeCell ref="D61:I61"/>
    <mergeCell ref="P21:S21"/>
    <mergeCell ref="P40:S40"/>
    <mergeCell ref="D41:I41"/>
    <mergeCell ref="D1:J1"/>
    <mergeCell ref="G44:H44"/>
    <mergeCell ref="C21:H21"/>
    <mergeCell ref="G5:H5"/>
    <mergeCell ref="G24:H24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B2" sqref="B2:C2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30" t="s">
        <v>225</v>
      </c>
      <c r="C2" s="230"/>
      <c r="D2" s="231" t="str">
        <f>'MONTHLY 31'!$B$2</f>
        <v>01-08-2022 00:15</v>
      </c>
      <c r="E2" s="231"/>
    </row>
    <row r="3" spans="1:5" x14ac:dyDescent="0.25">
      <c r="B3" s="230" t="s">
        <v>21</v>
      </c>
      <c r="C3" s="230"/>
      <c r="D3" s="231"/>
      <c r="E3" s="231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56"/>
      <c r="C8" s="56"/>
      <c r="D8" s="33">
        <f t="shared" ref="D8:D13" si="0">C8-B8</f>
        <v>0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32" t="s">
        <v>22</v>
      </c>
      <c r="C44" s="232"/>
      <c r="D44" s="20">
        <f>SUM(D11:D42)</f>
        <v>0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B2" sqref="B2:E3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33" t="s">
        <v>226</v>
      </c>
      <c r="C2" s="233"/>
      <c r="D2" s="233"/>
      <c r="E2" s="233"/>
      <c r="F2" s="234">
        <v>44713</v>
      </c>
      <c r="G2" s="235"/>
      <c r="H2" s="235"/>
    </row>
    <row r="3" spans="2:24" s="12" customFormat="1" ht="15" customHeight="1" x14ac:dyDescent="0.25">
      <c r="B3" s="233"/>
      <c r="C3" s="233"/>
      <c r="D3" s="233"/>
      <c r="E3" s="233"/>
      <c r="F3" s="235"/>
      <c r="G3" s="235"/>
      <c r="H3" s="235"/>
    </row>
    <row r="8" spans="2:24" x14ac:dyDescent="0.25">
      <c r="J8" s="14"/>
      <c r="K8" s="14"/>
      <c r="L8" s="14"/>
      <c r="U8" s="124"/>
    </row>
    <row r="9" spans="2:24" ht="15.75" x14ac:dyDescent="0.25">
      <c r="J9" s="125"/>
      <c r="K9" s="125"/>
      <c r="L9" s="14"/>
      <c r="U9" s="124"/>
    </row>
    <row r="10" spans="2:24" x14ac:dyDescent="0.25">
      <c r="U10" s="124"/>
    </row>
    <row r="11" spans="2:24" ht="15.75" thickBot="1" x14ac:dyDescent="0.3">
      <c r="U11" s="124"/>
    </row>
    <row r="12" spans="2:24" ht="15.75" customHeight="1" thickBot="1" x14ac:dyDescent="0.3">
      <c r="B12" s="236" t="s">
        <v>4</v>
      </c>
      <c r="C12" s="238" t="s">
        <v>133</v>
      </c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126"/>
      <c r="U12" s="124"/>
    </row>
    <row r="13" spans="2:24" ht="15" customHeight="1" x14ac:dyDescent="0.25">
      <c r="B13" s="237"/>
      <c r="C13" s="127" t="s">
        <v>78</v>
      </c>
      <c r="D13" s="128" t="s">
        <v>83</v>
      </c>
      <c r="E13" s="128" t="s">
        <v>134</v>
      </c>
      <c r="F13" s="128" t="s">
        <v>221</v>
      </c>
      <c r="G13" s="128" t="s">
        <v>136</v>
      </c>
      <c r="H13" s="128" t="s">
        <v>137</v>
      </c>
      <c r="I13" s="128" t="s">
        <v>138</v>
      </c>
      <c r="J13" s="128" t="s">
        <v>139</v>
      </c>
      <c r="K13" s="128" t="s">
        <v>140</v>
      </c>
      <c r="L13" s="128" t="s">
        <v>141</v>
      </c>
      <c r="M13" s="128" t="s">
        <v>142</v>
      </c>
      <c r="N13" s="128" t="s">
        <v>143</v>
      </c>
      <c r="O13" s="128" t="s">
        <v>144</v>
      </c>
      <c r="P13" s="129" t="s">
        <v>145</v>
      </c>
      <c r="Q13" s="128" t="s">
        <v>146</v>
      </c>
      <c r="R13" s="130"/>
      <c r="U13" s="124"/>
    </row>
    <row r="14" spans="2:24" ht="15" customHeight="1" x14ac:dyDescent="0.25">
      <c r="B14" s="237"/>
      <c r="C14" s="123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4">
        <v>2423398912</v>
      </c>
      <c r="L14" s="194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37"/>
      <c r="C15" s="131" t="s">
        <v>147</v>
      </c>
      <c r="D15" s="132" t="s">
        <v>148</v>
      </c>
      <c r="E15" s="132" t="s">
        <v>149</v>
      </c>
      <c r="F15" s="132" t="s">
        <v>150</v>
      </c>
      <c r="G15" s="132" t="s">
        <v>151</v>
      </c>
      <c r="H15" s="132" t="s">
        <v>152</v>
      </c>
      <c r="I15" s="132" t="s">
        <v>153</v>
      </c>
      <c r="J15" s="132" t="s">
        <v>154</v>
      </c>
      <c r="K15" s="132" t="s">
        <v>155</v>
      </c>
      <c r="L15" s="132" t="s">
        <v>156</v>
      </c>
      <c r="M15" s="132" t="s">
        <v>157</v>
      </c>
      <c r="N15" s="132" t="s">
        <v>158</v>
      </c>
      <c r="O15" s="132" t="s">
        <v>159</v>
      </c>
      <c r="P15" s="133" t="s">
        <v>160</v>
      </c>
      <c r="Q15" s="132" t="s">
        <v>161</v>
      </c>
      <c r="R15" s="134" t="s">
        <v>20</v>
      </c>
      <c r="X15" s="11"/>
    </row>
    <row r="16" spans="2:24" ht="15.75" customHeight="1" x14ac:dyDescent="0.25">
      <c r="B16" s="237"/>
      <c r="C16" s="194">
        <v>2425504512</v>
      </c>
      <c r="D16" s="194">
        <v>2513962496</v>
      </c>
      <c r="E16" s="60">
        <v>1445.7</v>
      </c>
      <c r="F16" s="60" t="s">
        <v>222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222</v>
      </c>
      <c r="L16" s="60" t="s">
        <v>223</v>
      </c>
      <c r="M16" s="60">
        <v>485</v>
      </c>
      <c r="N16" s="60" t="s">
        <v>223</v>
      </c>
      <c r="O16" s="60">
        <v>30</v>
      </c>
      <c r="P16" s="60">
        <v>49.5</v>
      </c>
      <c r="Q16" s="60">
        <v>50</v>
      </c>
      <c r="R16" s="149" t="s">
        <v>218</v>
      </c>
      <c r="X16" s="11"/>
    </row>
    <row r="17" spans="2:28" ht="15.75" customHeight="1" x14ac:dyDescent="0.25">
      <c r="B17" s="237"/>
      <c r="C17" s="137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9"/>
      <c r="Q17" s="139"/>
      <c r="R17" s="140"/>
      <c r="X17" s="11"/>
    </row>
    <row r="18" spans="2:28" ht="15.75" customHeight="1" x14ac:dyDescent="0.25">
      <c r="B18" s="237"/>
      <c r="C18" s="141" t="s">
        <v>78</v>
      </c>
      <c r="D18" s="141" t="s">
        <v>83</v>
      </c>
      <c r="E18" s="141" t="s">
        <v>134</v>
      </c>
      <c r="F18" s="141" t="s">
        <v>135</v>
      </c>
      <c r="G18" s="141" t="s">
        <v>136</v>
      </c>
      <c r="H18" s="141" t="s">
        <v>137</v>
      </c>
      <c r="I18" s="141" t="s">
        <v>138</v>
      </c>
      <c r="J18" s="141" t="s">
        <v>139</v>
      </c>
      <c r="K18" s="141" t="s">
        <v>140</v>
      </c>
      <c r="L18" s="141" t="s">
        <v>141</v>
      </c>
      <c r="M18" s="141" t="s">
        <v>142</v>
      </c>
      <c r="N18" s="141" t="s">
        <v>143</v>
      </c>
      <c r="O18" s="141" t="s">
        <v>144</v>
      </c>
      <c r="P18" s="142" t="s">
        <v>145</v>
      </c>
      <c r="Q18" s="141" t="s">
        <v>146</v>
      </c>
      <c r="R18" s="140"/>
    </row>
    <row r="19" spans="2:28" ht="15.75" x14ac:dyDescent="0.25">
      <c r="B19" s="143"/>
      <c r="C19" s="123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0"/>
    </row>
    <row r="20" spans="2:28" ht="15.75" x14ac:dyDescent="0.3">
      <c r="B20" s="143"/>
      <c r="C20" s="141" t="s">
        <v>147</v>
      </c>
      <c r="D20" s="132" t="s">
        <v>148</v>
      </c>
      <c r="E20" s="132" t="s">
        <v>149</v>
      </c>
      <c r="F20" s="132" t="s">
        <v>150</v>
      </c>
      <c r="G20" s="132" t="s">
        <v>151</v>
      </c>
      <c r="H20" s="132" t="s">
        <v>152</v>
      </c>
      <c r="I20" s="132" t="s">
        <v>153</v>
      </c>
      <c r="J20" s="132" t="s">
        <v>154</v>
      </c>
      <c r="K20" s="132" t="s">
        <v>155</v>
      </c>
      <c r="L20" s="132" t="s">
        <v>156</v>
      </c>
      <c r="M20" s="132" t="s">
        <v>157</v>
      </c>
      <c r="N20" s="132" t="s">
        <v>158</v>
      </c>
      <c r="O20" s="132" t="s">
        <v>159</v>
      </c>
      <c r="P20" s="133" t="s">
        <v>160</v>
      </c>
      <c r="Q20" s="132" t="s">
        <v>161</v>
      </c>
      <c r="R20" s="144" t="s">
        <v>20</v>
      </c>
    </row>
    <row r="21" spans="2:28" ht="16.5" thickBot="1" x14ac:dyDescent="0.3">
      <c r="B21" s="145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5"/>
      <c r="R21" s="146"/>
      <c r="S21" s="147"/>
    </row>
    <row r="22" spans="2:28" x14ac:dyDescent="0.25">
      <c r="J22" s="14"/>
    </row>
    <row r="23" spans="2:28" s="148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40" t="s">
        <v>2</v>
      </c>
      <c r="C25" s="242" t="s">
        <v>133</v>
      </c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3"/>
      <c r="P25" s="243"/>
      <c r="Q25" s="243"/>
      <c r="R25" s="244"/>
      <c r="S25" s="187"/>
      <c r="T25" s="188"/>
    </row>
    <row r="26" spans="2:28" ht="15" customHeight="1" x14ac:dyDescent="0.3">
      <c r="B26" s="240"/>
      <c r="C26" s="189" t="s">
        <v>78</v>
      </c>
      <c r="D26" s="178" t="s">
        <v>87</v>
      </c>
      <c r="E26" s="178" t="s">
        <v>86</v>
      </c>
      <c r="F26" s="178" t="s">
        <v>121</v>
      </c>
      <c r="G26" s="178" t="s">
        <v>122</v>
      </c>
      <c r="H26" s="178" t="s">
        <v>123</v>
      </c>
      <c r="I26" s="178" t="s">
        <v>124</v>
      </c>
      <c r="J26" s="178" t="s">
        <v>125</v>
      </c>
      <c r="K26" s="178" t="s">
        <v>126</v>
      </c>
      <c r="L26" s="178" t="s">
        <v>127</v>
      </c>
      <c r="M26" s="178" t="s">
        <v>128</v>
      </c>
      <c r="N26" s="178" t="s">
        <v>129</v>
      </c>
      <c r="O26" s="178" t="s">
        <v>130</v>
      </c>
      <c r="P26" s="178" t="s">
        <v>131</v>
      </c>
      <c r="Q26" s="178" t="s">
        <v>132</v>
      </c>
      <c r="R26" s="178" t="s">
        <v>213</v>
      </c>
      <c r="S26" s="178" t="s">
        <v>214</v>
      </c>
      <c r="T26" s="169" t="s">
        <v>20</v>
      </c>
      <c r="Z26" s="148"/>
      <c r="AA26" s="148"/>
      <c r="AB26" s="148"/>
    </row>
    <row r="27" spans="2:28" ht="15.75" customHeight="1" x14ac:dyDescent="0.25">
      <c r="B27" s="240"/>
      <c r="C27" s="123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6"/>
    </row>
    <row r="28" spans="2:28" ht="15" customHeight="1" x14ac:dyDescent="0.25">
      <c r="B28" s="240"/>
      <c r="C28" s="190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2"/>
      <c r="T28" s="192"/>
    </row>
    <row r="29" spans="2:28" ht="15.75" customHeight="1" x14ac:dyDescent="0.3">
      <c r="B29" s="241"/>
      <c r="C29" s="193" t="s">
        <v>78</v>
      </c>
      <c r="D29" s="183" t="s">
        <v>87</v>
      </c>
      <c r="E29" s="183" t="s">
        <v>86</v>
      </c>
      <c r="F29" s="183" t="s">
        <v>121</v>
      </c>
      <c r="G29" s="183" t="s">
        <v>122</v>
      </c>
      <c r="H29" s="183" t="s">
        <v>123</v>
      </c>
      <c r="I29" s="183" t="s">
        <v>124</v>
      </c>
      <c r="J29" s="183" t="s">
        <v>125</v>
      </c>
      <c r="K29" s="183" t="s">
        <v>126</v>
      </c>
      <c r="L29" s="183" t="s">
        <v>127</v>
      </c>
      <c r="M29" s="183" t="s">
        <v>128</v>
      </c>
      <c r="N29" s="183" t="s">
        <v>129</v>
      </c>
      <c r="O29" s="183" t="s">
        <v>130</v>
      </c>
      <c r="P29" s="183" t="s">
        <v>131</v>
      </c>
      <c r="Q29" s="183" t="s">
        <v>132</v>
      </c>
      <c r="R29" s="183" t="s">
        <v>213</v>
      </c>
      <c r="S29" s="183" t="s">
        <v>214</v>
      </c>
      <c r="T29" s="174" t="s">
        <v>20</v>
      </c>
    </row>
    <row r="30" spans="2:28" x14ac:dyDescent="0.25">
      <c r="B30" s="175"/>
      <c r="C30" s="123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6"/>
    </row>
    <row r="31" spans="2:28" x14ac:dyDescent="0.25">
      <c r="C31" s="150"/>
    </row>
    <row r="32" spans="2:28" x14ac:dyDescent="0.25">
      <c r="C32" s="150"/>
    </row>
    <row r="33" spans="2:25" ht="15" customHeight="1" x14ac:dyDescent="0.25">
      <c r="C33" s="150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48" t="s">
        <v>3</v>
      </c>
      <c r="C36" s="250" t="s">
        <v>133</v>
      </c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1"/>
    </row>
    <row r="37" spans="2:25" ht="15.75" customHeight="1" x14ac:dyDescent="0.25">
      <c r="B37" s="249"/>
      <c r="C37" s="151" t="s">
        <v>78</v>
      </c>
      <c r="D37" s="141" t="s">
        <v>87</v>
      </c>
      <c r="E37" s="141" t="s">
        <v>86</v>
      </c>
      <c r="F37" s="141" t="s">
        <v>88</v>
      </c>
      <c r="G37" s="141" t="s">
        <v>89</v>
      </c>
      <c r="H37" s="141" t="s">
        <v>90</v>
      </c>
      <c r="I37" s="141" t="s">
        <v>91</v>
      </c>
      <c r="J37" s="141" t="s">
        <v>92</v>
      </c>
      <c r="K37" s="141" t="s">
        <v>93</v>
      </c>
      <c r="L37" s="141" t="s">
        <v>94</v>
      </c>
      <c r="M37" s="141" t="s">
        <v>95</v>
      </c>
      <c r="N37" s="141" t="s">
        <v>96</v>
      </c>
      <c r="O37" s="152" t="s">
        <v>97</v>
      </c>
    </row>
    <row r="38" spans="2:25" x14ac:dyDescent="0.25">
      <c r="B38" s="249"/>
      <c r="C38" s="123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8"/>
      <c r="X38" s="148"/>
      <c r="Y38" s="148"/>
    </row>
    <row r="39" spans="2:25" ht="15.75" x14ac:dyDescent="0.3">
      <c r="B39" s="249"/>
      <c r="C39" s="151" t="s">
        <v>98</v>
      </c>
      <c r="D39" s="141" t="s">
        <v>99</v>
      </c>
      <c r="E39" s="141" t="s">
        <v>100</v>
      </c>
      <c r="F39" s="141" t="s">
        <v>101</v>
      </c>
      <c r="G39" s="132" t="s">
        <v>102</v>
      </c>
      <c r="H39" s="132" t="s">
        <v>103</v>
      </c>
      <c r="I39" s="132" t="s">
        <v>104</v>
      </c>
      <c r="J39" s="132" t="s">
        <v>105</v>
      </c>
      <c r="K39" s="132" t="s">
        <v>106</v>
      </c>
      <c r="L39" s="132" t="s">
        <v>107</v>
      </c>
      <c r="M39" s="132" t="s">
        <v>108</v>
      </c>
      <c r="N39" s="132" t="s">
        <v>82</v>
      </c>
      <c r="O39" s="29" t="s">
        <v>20</v>
      </c>
      <c r="W39" s="148"/>
      <c r="X39" s="148"/>
      <c r="Y39" s="148"/>
    </row>
    <row r="40" spans="2:25" x14ac:dyDescent="0.25">
      <c r="B40" s="249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6"/>
      <c r="W40" s="148"/>
      <c r="X40" s="148"/>
      <c r="Y40" s="148"/>
    </row>
    <row r="41" spans="2:25" x14ac:dyDescent="0.25">
      <c r="B41" s="153"/>
      <c r="C41" s="154"/>
      <c r="D41" s="138"/>
      <c r="E41" s="138"/>
      <c r="F41" s="138"/>
      <c r="G41" s="138"/>
      <c r="H41" s="138"/>
      <c r="I41" s="138"/>
      <c r="J41" s="155"/>
      <c r="K41" s="138"/>
      <c r="L41" s="138"/>
      <c r="M41" s="138"/>
      <c r="N41" s="138"/>
      <c r="O41" s="156"/>
    </row>
    <row r="42" spans="2:25" ht="15.75" customHeight="1" x14ac:dyDescent="0.25">
      <c r="B42" s="153"/>
      <c r="C42" s="151" t="s">
        <v>78</v>
      </c>
      <c r="D42" s="141" t="s">
        <v>87</v>
      </c>
      <c r="E42" s="141" t="s">
        <v>86</v>
      </c>
      <c r="F42" s="141" t="s">
        <v>88</v>
      </c>
      <c r="G42" s="141" t="s">
        <v>89</v>
      </c>
      <c r="H42" s="141" t="s">
        <v>90</v>
      </c>
      <c r="I42" s="141" t="s">
        <v>91</v>
      </c>
      <c r="J42" s="141" t="s">
        <v>92</v>
      </c>
      <c r="K42" s="141" t="s">
        <v>93</v>
      </c>
      <c r="L42" s="141" t="s">
        <v>94</v>
      </c>
      <c r="M42" s="141" t="s">
        <v>95</v>
      </c>
      <c r="N42" s="141" t="s">
        <v>96</v>
      </c>
      <c r="O42" s="152" t="s">
        <v>97</v>
      </c>
    </row>
    <row r="43" spans="2:25" ht="15" customHeight="1" x14ac:dyDescent="0.25">
      <c r="B43" s="153"/>
      <c r="C43" s="123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3"/>
      <c r="C44" s="151" t="s">
        <v>98</v>
      </c>
      <c r="D44" s="141" t="s">
        <v>99</v>
      </c>
      <c r="E44" s="141" t="s">
        <v>100</v>
      </c>
      <c r="F44" s="141" t="s">
        <v>101</v>
      </c>
      <c r="G44" s="132" t="s">
        <v>102</v>
      </c>
      <c r="H44" s="132" t="s">
        <v>103</v>
      </c>
      <c r="I44" s="132" t="s">
        <v>104</v>
      </c>
      <c r="J44" s="132" t="s">
        <v>105</v>
      </c>
      <c r="K44" s="132" t="s">
        <v>106</v>
      </c>
      <c r="L44" s="132" t="s">
        <v>107</v>
      </c>
      <c r="M44" s="132" t="s">
        <v>108</v>
      </c>
      <c r="N44" s="132" t="s">
        <v>82</v>
      </c>
      <c r="O44" s="29" t="s">
        <v>20</v>
      </c>
      <c r="R44" s="157"/>
    </row>
    <row r="45" spans="2:25" ht="15" customHeight="1" thickBot="1" x14ac:dyDescent="0.3">
      <c r="B45" s="158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6"/>
      <c r="R45" s="159"/>
    </row>
    <row r="46" spans="2:25" ht="15.75" customHeight="1" x14ac:dyDescent="0.25">
      <c r="J46" s="160"/>
      <c r="R46" s="161"/>
      <c r="Y46" s="148"/>
    </row>
    <row r="47" spans="2:25" ht="16.5" thickBot="1" x14ac:dyDescent="0.3">
      <c r="J47" s="160"/>
      <c r="R47" s="159"/>
    </row>
    <row r="48" spans="2:25" x14ac:dyDescent="0.25">
      <c r="B48" s="252" t="s">
        <v>1</v>
      </c>
      <c r="C48" s="162" t="s">
        <v>133</v>
      </c>
      <c r="D48" s="163"/>
      <c r="E48" s="163"/>
      <c r="F48" s="163"/>
      <c r="G48" s="163"/>
      <c r="H48" s="163"/>
      <c r="I48" s="163"/>
      <c r="J48" s="163"/>
      <c r="K48" s="163"/>
      <c r="L48" s="163"/>
      <c r="M48" s="163"/>
      <c r="N48" s="163"/>
      <c r="O48" s="163"/>
      <c r="P48" s="163"/>
      <c r="Q48" s="164"/>
      <c r="R48" s="161"/>
    </row>
    <row r="49" spans="2:20" x14ac:dyDescent="0.25">
      <c r="B49" s="253"/>
      <c r="C49" s="151" t="s">
        <v>78</v>
      </c>
      <c r="D49" s="141" t="s">
        <v>154</v>
      </c>
      <c r="E49" s="141" t="s">
        <v>163</v>
      </c>
      <c r="F49" s="141" t="s">
        <v>164</v>
      </c>
      <c r="G49" s="141" t="s">
        <v>165</v>
      </c>
      <c r="H49" s="141" t="s">
        <v>166</v>
      </c>
      <c r="I49" s="141" t="s">
        <v>167</v>
      </c>
      <c r="J49" s="141" t="s">
        <v>139</v>
      </c>
      <c r="K49" s="141" t="s">
        <v>168</v>
      </c>
      <c r="L49" s="141" t="s">
        <v>169</v>
      </c>
      <c r="M49" s="141" t="s">
        <v>170</v>
      </c>
      <c r="N49" s="141" t="s">
        <v>171</v>
      </c>
      <c r="O49" s="141" t="s">
        <v>172</v>
      </c>
      <c r="P49" s="141" t="s">
        <v>79</v>
      </c>
      <c r="Q49" s="152" t="s">
        <v>173</v>
      </c>
    </row>
    <row r="50" spans="2:20" x14ac:dyDescent="0.25">
      <c r="B50" s="253"/>
      <c r="C50" s="123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53"/>
      <c r="C51" s="151" t="s">
        <v>80</v>
      </c>
      <c r="D51" s="141" t="s">
        <v>174</v>
      </c>
      <c r="E51" s="141" t="s">
        <v>175</v>
      </c>
      <c r="F51" s="141" t="s">
        <v>176</v>
      </c>
      <c r="G51" s="141" t="s">
        <v>177</v>
      </c>
      <c r="H51" s="141" t="s">
        <v>178</v>
      </c>
      <c r="I51" s="132" t="s">
        <v>81</v>
      </c>
      <c r="J51" s="132" t="s">
        <v>179</v>
      </c>
      <c r="K51" s="132" t="s">
        <v>180</v>
      </c>
      <c r="L51" s="132" t="s">
        <v>86</v>
      </c>
      <c r="M51" s="132" t="s">
        <v>181</v>
      </c>
      <c r="N51" s="132" t="s">
        <v>160</v>
      </c>
      <c r="O51" s="132" t="s">
        <v>182</v>
      </c>
      <c r="P51" s="132" t="s">
        <v>183</v>
      </c>
      <c r="Q51" s="29" t="s">
        <v>20</v>
      </c>
    </row>
    <row r="52" spans="2:20" ht="15.75" x14ac:dyDescent="0.25">
      <c r="B52" s="253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6"/>
    </row>
    <row r="53" spans="2:20" x14ac:dyDescent="0.25">
      <c r="B53" s="153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56"/>
    </row>
    <row r="54" spans="2:20" x14ac:dyDescent="0.25">
      <c r="B54" s="153"/>
      <c r="C54" s="151" t="s">
        <v>78</v>
      </c>
      <c r="D54" s="141" t="s">
        <v>154</v>
      </c>
      <c r="E54" s="141" t="s">
        <v>163</v>
      </c>
      <c r="F54" s="141" t="s">
        <v>164</v>
      </c>
      <c r="G54" s="141" t="s">
        <v>165</v>
      </c>
      <c r="H54" s="141" t="s">
        <v>166</v>
      </c>
      <c r="I54" s="141" t="s">
        <v>167</v>
      </c>
      <c r="J54" s="141" t="s">
        <v>139</v>
      </c>
      <c r="K54" s="141" t="s">
        <v>168</v>
      </c>
      <c r="L54" s="141" t="s">
        <v>169</v>
      </c>
      <c r="M54" s="141" t="s">
        <v>170</v>
      </c>
      <c r="N54" s="141" t="s">
        <v>171</v>
      </c>
      <c r="O54" s="141" t="s">
        <v>172</v>
      </c>
      <c r="P54" s="141" t="s">
        <v>79</v>
      </c>
      <c r="Q54" s="152" t="s">
        <v>173</v>
      </c>
    </row>
    <row r="55" spans="2:20" x14ac:dyDescent="0.25">
      <c r="B55" s="153"/>
      <c r="C55" s="123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3"/>
      <c r="C56" s="151" t="s">
        <v>80</v>
      </c>
      <c r="D56" s="141" t="s">
        <v>174</v>
      </c>
      <c r="E56" s="141" t="s">
        <v>175</v>
      </c>
      <c r="F56" s="141" t="s">
        <v>176</v>
      </c>
      <c r="G56" s="141" t="s">
        <v>177</v>
      </c>
      <c r="H56" s="141" t="s">
        <v>178</v>
      </c>
      <c r="I56" s="132" t="s">
        <v>81</v>
      </c>
      <c r="J56" s="132" t="s">
        <v>179</v>
      </c>
      <c r="K56" s="132" t="s">
        <v>180</v>
      </c>
      <c r="L56" s="132" t="s">
        <v>86</v>
      </c>
      <c r="M56" s="132" t="s">
        <v>181</v>
      </c>
      <c r="N56" s="132" t="s">
        <v>160</v>
      </c>
      <c r="O56" s="132" t="s">
        <v>182</v>
      </c>
      <c r="P56" s="132" t="s">
        <v>183</v>
      </c>
      <c r="Q56" s="29" t="s">
        <v>20</v>
      </c>
    </row>
    <row r="57" spans="2:20" ht="16.5" thickBot="1" x14ac:dyDescent="0.3">
      <c r="B57" s="145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6"/>
    </row>
    <row r="61" spans="2:20" x14ac:dyDescent="0.25">
      <c r="B61" s="240" t="s">
        <v>184</v>
      </c>
      <c r="C61" s="242" t="s">
        <v>133</v>
      </c>
      <c r="D61" s="243"/>
      <c r="E61" s="243"/>
      <c r="F61" s="243"/>
      <c r="G61" s="243"/>
      <c r="H61" s="243"/>
      <c r="I61" s="243"/>
      <c r="J61" s="243"/>
      <c r="K61" s="243"/>
      <c r="L61" s="243"/>
      <c r="M61" s="243"/>
      <c r="N61" s="243"/>
      <c r="O61" s="243"/>
      <c r="P61" s="243"/>
      <c r="Q61" s="243"/>
      <c r="R61" s="244"/>
      <c r="S61" s="165"/>
      <c r="T61" s="166"/>
    </row>
    <row r="62" spans="2:20" ht="15.75" x14ac:dyDescent="0.3">
      <c r="B62" s="240"/>
      <c r="C62" s="167" t="s">
        <v>78</v>
      </c>
      <c r="D62" s="167" t="s">
        <v>185</v>
      </c>
      <c r="E62" s="167" t="s">
        <v>186</v>
      </c>
      <c r="F62" s="167" t="s">
        <v>187</v>
      </c>
      <c r="G62" s="167" t="s">
        <v>188</v>
      </c>
      <c r="H62" s="167" t="s">
        <v>189</v>
      </c>
      <c r="I62" s="167" t="s">
        <v>190</v>
      </c>
      <c r="J62" s="167" t="s">
        <v>191</v>
      </c>
      <c r="K62" s="167" t="s">
        <v>192</v>
      </c>
      <c r="L62" s="167" t="s">
        <v>193</v>
      </c>
      <c r="M62" s="167" t="s">
        <v>194</v>
      </c>
      <c r="N62" s="167" t="s">
        <v>195</v>
      </c>
      <c r="O62" s="167" t="s">
        <v>196</v>
      </c>
      <c r="P62" s="167" t="s">
        <v>197</v>
      </c>
      <c r="Q62" s="167" t="s">
        <v>198</v>
      </c>
      <c r="R62" s="167" t="s">
        <v>199</v>
      </c>
      <c r="S62" s="168" t="s">
        <v>200</v>
      </c>
      <c r="T62" s="169" t="s">
        <v>20</v>
      </c>
    </row>
    <row r="63" spans="2:20" ht="15.75" x14ac:dyDescent="0.25">
      <c r="B63" s="254"/>
      <c r="C63" s="123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6"/>
    </row>
    <row r="64" spans="2:20" x14ac:dyDescent="0.25">
      <c r="B64" s="254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1"/>
      <c r="T64" s="171"/>
    </row>
    <row r="65" spans="2:20" ht="15.75" x14ac:dyDescent="0.3">
      <c r="B65" s="241"/>
      <c r="C65" s="172" t="s">
        <v>78</v>
      </c>
      <c r="D65" s="172" t="s">
        <v>185</v>
      </c>
      <c r="E65" s="172" t="s">
        <v>186</v>
      </c>
      <c r="F65" s="172" t="s">
        <v>187</v>
      </c>
      <c r="G65" s="172" t="s">
        <v>188</v>
      </c>
      <c r="H65" s="172" t="s">
        <v>189</v>
      </c>
      <c r="I65" s="172" t="s">
        <v>190</v>
      </c>
      <c r="J65" s="172" t="s">
        <v>191</v>
      </c>
      <c r="K65" s="172" t="s">
        <v>192</v>
      </c>
      <c r="L65" s="172" t="s">
        <v>193</v>
      </c>
      <c r="M65" s="172" t="s">
        <v>194</v>
      </c>
      <c r="N65" s="172" t="s">
        <v>195</v>
      </c>
      <c r="O65" s="172" t="s">
        <v>196</v>
      </c>
      <c r="P65" s="172" t="s">
        <v>197</v>
      </c>
      <c r="Q65" s="172" t="s">
        <v>198</v>
      </c>
      <c r="R65" s="172" t="s">
        <v>199</v>
      </c>
      <c r="S65" s="173" t="s">
        <v>200</v>
      </c>
      <c r="T65" s="174" t="s">
        <v>20</v>
      </c>
    </row>
    <row r="66" spans="2:20" ht="15.75" x14ac:dyDescent="0.25">
      <c r="B66" s="175"/>
      <c r="C66" s="123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6"/>
    </row>
    <row r="69" spans="2:20" x14ac:dyDescent="0.25">
      <c r="B69" s="240" t="s">
        <v>201</v>
      </c>
      <c r="C69" s="242" t="s">
        <v>133</v>
      </c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44"/>
      <c r="S69" s="165"/>
      <c r="T69" s="166"/>
    </row>
    <row r="70" spans="2:20" ht="15.75" x14ac:dyDescent="0.3">
      <c r="B70" s="240"/>
      <c r="C70" s="172" t="s">
        <v>78</v>
      </c>
      <c r="D70" s="172" t="s">
        <v>185</v>
      </c>
      <c r="E70" s="172" t="s">
        <v>186</v>
      </c>
      <c r="F70" s="172" t="s">
        <v>187</v>
      </c>
      <c r="G70" s="172" t="s">
        <v>188</v>
      </c>
      <c r="H70" s="172" t="s">
        <v>189</v>
      </c>
      <c r="I70" s="172" t="s">
        <v>190</v>
      </c>
      <c r="J70" s="172" t="s">
        <v>191</v>
      </c>
      <c r="K70" s="172" t="s">
        <v>192</v>
      </c>
      <c r="L70" s="172" t="s">
        <v>193</v>
      </c>
      <c r="M70" s="172" t="s">
        <v>194</v>
      </c>
      <c r="N70" s="172" t="s">
        <v>195</v>
      </c>
      <c r="O70" s="172" t="s">
        <v>196</v>
      </c>
      <c r="P70" s="172" t="s">
        <v>197</v>
      </c>
      <c r="Q70" s="172" t="s">
        <v>198</v>
      </c>
      <c r="R70" s="172" t="s">
        <v>199</v>
      </c>
      <c r="S70" s="173" t="s">
        <v>200</v>
      </c>
      <c r="T70" s="174" t="s">
        <v>20</v>
      </c>
    </row>
    <row r="71" spans="2:20" ht="15.75" x14ac:dyDescent="0.25">
      <c r="B71" s="240"/>
      <c r="C71" s="123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6"/>
    </row>
    <row r="72" spans="2:20" x14ac:dyDescent="0.25">
      <c r="B72" s="254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0"/>
      <c r="N72" s="170"/>
      <c r="O72" s="170"/>
      <c r="P72" s="170"/>
      <c r="Q72" s="170"/>
      <c r="R72" s="170"/>
      <c r="S72" s="171"/>
      <c r="T72" s="171"/>
    </row>
    <row r="73" spans="2:20" ht="15.75" x14ac:dyDescent="0.3">
      <c r="B73" s="241"/>
      <c r="C73" s="172" t="s">
        <v>78</v>
      </c>
      <c r="D73" s="172" t="s">
        <v>185</v>
      </c>
      <c r="E73" s="172" t="s">
        <v>186</v>
      </c>
      <c r="F73" s="172" t="s">
        <v>187</v>
      </c>
      <c r="G73" s="172" t="s">
        <v>188</v>
      </c>
      <c r="H73" s="172" t="s">
        <v>189</v>
      </c>
      <c r="I73" s="172" t="s">
        <v>190</v>
      </c>
      <c r="J73" s="172" t="s">
        <v>191</v>
      </c>
      <c r="K73" s="172" t="s">
        <v>192</v>
      </c>
      <c r="L73" s="172" t="s">
        <v>193</v>
      </c>
      <c r="M73" s="172" t="s">
        <v>194</v>
      </c>
      <c r="N73" s="172" t="s">
        <v>195</v>
      </c>
      <c r="O73" s="172" t="s">
        <v>196</v>
      </c>
      <c r="P73" s="172" t="s">
        <v>197</v>
      </c>
      <c r="Q73" s="172" t="s">
        <v>198</v>
      </c>
      <c r="R73" s="172" t="s">
        <v>199</v>
      </c>
      <c r="S73" s="173" t="s">
        <v>200</v>
      </c>
      <c r="T73" s="174" t="s">
        <v>20</v>
      </c>
    </row>
    <row r="74" spans="2:20" ht="15.75" x14ac:dyDescent="0.25">
      <c r="B74" s="175"/>
      <c r="C74" s="123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6"/>
    </row>
    <row r="77" spans="2:20" x14ac:dyDescent="0.25">
      <c r="B77" s="245" t="s">
        <v>24</v>
      </c>
      <c r="C77" s="244" t="s">
        <v>133</v>
      </c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7"/>
      <c r="Q77" s="247"/>
      <c r="R77" s="176"/>
      <c r="S77" s="176"/>
      <c r="T77" s="177"/>
    </row>
    <row r="78" spans="2:20" x14ac:dyDescent="0.25">
      <c r="B78" s="246"/>
      <c r="C78" s="178" t="s">
        <v>78</v>
      </c>
      <c r="D78" s="178" t="s">
        <v>202</v>
      </c>
      <c r="E78" s="178" t="s">
        <v>203</v>
      </c>
      <c r="F78" s="178" t="s">
        <v>109</v>
      </c>
      <c r="G78" s="178" t="s">
        <v>110</v>
      </c>
      <c r="H78" s="179" t="s">
        <v>111</v>
      </c>
      <c r="I78" s="179" t="s">
        <v>112</v>
      </c>
      <c r="J78" s="179" t="s">
        <v>113</v>
      </c>
      <c r="K78" s="179" t="s">
        <v>114</v>
      </c>
      <c r="L78" s="179" t="s">
        <v>87</v>
      </c>
      <c r="M78" s="178" t="s">
        <v>115</v>
      </c>
      <c r="N78" s="179" t="s">
        <v>204</v>
      </c>
      <c r="O78" s="179" t="s">
        <v>203</v>
      </c>
      <c r="P78" s="179" t="s">
        <v>116</v>
      </c>
      <c r="Q78" s="179" t="s">
        <v>205</v>
      </c>
      <c r="R78" s="179" t="s">
        <v>203</v>
      </c>
      <c r="S78" s="179" t="s">
        <v>206</v>
      </c>
      <c r="T78" s="172" t="s">
        <v>203</v>
      </c>
    </row>
    <row r="79" spans="2:20" x14ac:dyDescent="0.25">
      <c r="B79" s="246"/>
      <c r="C79" s="123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46"/>
      <c r="C80" s="172" t="s">
        <v>117</v>
      </c>
      <c r="D80" s="172" t="s">
        <v>118</v>
      </c>
      <c r="E80" s="172" t="s">
        <v>207</v>
      </c>
      <c r="F80" s="172" t="s">
        <v>203</v>
      </c>
      <c r="G80" s="172" t="s">
        <v>116</v>
      </c>
      <c r="H80" s="172" t="s">
        <v>208</v>
      </c>
      <c r="I80" s="172" t="s">
        <v>203</v>
      </c>
      <c r="J80" s="172" t="s">
        <v>119</v>
      </c>
      <c r="K80" s="172" t="s">
        <v>120</v>
      </c>
      <c r="L80" s="172" t="s">
        <v>209</v>
      </c>
      <c r="M80" s="172" t="s">
        <v>203</v>
      </c>
      <c r="N80" s="172" t="s">
        <v>210</v>
      </c>
      <c r="O80" s="173" t="s">
        <v>203</v>
      </c>
      <c r="P80" s="173" t="s">
        <v>211</v>
      </c>
      <c r="Q80" s="173" t="s">
        <v>203</v>
      </c>
      <c r="R80" s="173" t="s">
        <v>212</v>
      </c>
      <c r="S80" s="173" t="s">
        <v>203</v>
      </c>
      <c r="T80" s="174" t="s">
        <v>20</v>
      </c>
    </row>
    <row r="81" spans="2:20" ht="15.75" x14ac:dyDescent="0.25">
      <c r="B81" s="246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6" t="s">
        <v>162</v>
      </c>
    </row>
    <row r="82" spans="2:20" x14ac:dyDescent="0.25">
      <c r="B82" s="246"/>
      <c r="C82" s="180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0"/>
      <c r="Q82" s="170"/>
      <c r="R82" s="181"/>
      <c r="S82" s="171"/>
      <c r="T82" s="182"/>
    </row>
    <row r="83" spans="2:20" x14ac:dyDescent="0.25">
      <c r="B83" s="246"/>
      <c r="C83" s="183" t="s">
        <v>78</v>
      </c>
      <c r="D83" s="183" t="s">
        <v>202</v>
      </c>
      <c r="E83" s="183" t="s">
        <v>203</v>
      </c>
      <c r="F83" s="183" t="s">
        <v>109</v>
      </c>
      <c r="G83" s="183" t="s">
        <v>110</v>
      </c>
      <c r="H83" s="172" t="s">
        <v>111</v>
      </c>
      <c r="I83" s="172" t="s">
        <v>112</v>
      </c>
      <c r="J83" s="172" t="s">
        <v>113</v>
      </c>
      <c r="K83" s="172" t="s">
        <v>114</v>
      </c>
      <c r="L83" s="172" t="s">
        <v>87</v>
      </c>
      <c r="M83" s="183" t="s">
        <v>115</v>
      </c>
      <c r="N83" s="172" t="s">
        <v>204</v>
      </c>
      <c r="O83" s="172" t="s">
        <v>203</v>
      </c>
      <c r="P83" s="172" t="s">
        <v>116</v>
      </c>
      <c r="Q83" s="172" t="s">
        <v>205</v>
      </c>
      <c r="R83" s="172" t="s">
        <v>203</v>
      </c>
      <c r="S83" s="172" t="s">
        <v>206</v>
      </c>
      <c r="T83" s="172" t="s">
        <v>203</v>
      </c>
    </row>
    <row r="84" spans="2:20" x14ac:dyDescent="0.25">
      <c r="B84" s="184"/>
      <c r="C84" s="123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4"/>
      <c r="C85" s="172" t="s">
        <v>117</v>
      </c>
      <c r="D85" s="172" t="s">
        <v>118</v>
      </c>
      <c r="E85" s="172" t="s">
        <v>207</v>
      </c>
      <c r="F85" s="172" t="s">
        <v>203</v>
      </c>
      <c r="G85" s="172" t="s">
        <v>116</v>
      </c>
      <c r="H85" s="172" t="s">
        <v>208</v>
      </c>
      <c r="I85" s="172" t="s">
        <v>203</v>
      </c>
      <c r="J85" s="172" t="s">
        <v>119</v>
      </c>
      <c r="K85" s="172" t="s">
        <v>120</v>
      </c>
      <c r="L85" s="172" t="s">
        <v>209</v>
      </c>
      <c r="M85" s="172" t="s">
        <v>203</v>
      </c>
      <c r="N85" s="172" t="s">
        <v>210</v>
      </c>
      <c r="O85" s="173" t="s">
        <v>203</v>
      </c>
      <c r="P85" s="173" t="s">
        <v>211</v>
      </c>
      <c r="Q85" s="173" t="s">
        <v>203</v>
      </c>
      <c r="R85" s="173" t="s">
        <v>212</v>
      </c>
      <c r="S85" s="173" t="s">
        <v>203</v>
      </c>
      <c r="T85" s="169" t="s">
        <v>20</v>
      </c>
    </row>
    <row r="86" spans="2:20" ht="15.75" x14ac:dyDescent="0.25">
      <c r="B86" s="185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6"/>
    </row>
  </sheetData>
  <mergeCells count="15"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  <mergeCell ref="B2:E3"/>
    <mergeCell ref="F2:H3"/>
    <mergeCell ref="B12:B18"/>
    <mergeCell ref="C12:Q12"/>
    <mergeCell ref="B25:B29"/>
    <mergeCell ref="C25:R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2024-08-30T15:30:01Z</dcterms:modified>
</cp:coreProperties>
</file>