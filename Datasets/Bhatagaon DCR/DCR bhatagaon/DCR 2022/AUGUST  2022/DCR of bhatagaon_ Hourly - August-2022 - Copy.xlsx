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31" sheetId="42" r:id="rId33"/>
    <sheet name="MONTHLY 30" sheetId="39" r:id="rId34"/>
  </sheets>
  <definedNames/>
  <calcPr calcId="144525"/>
</workbook>
</file>

<file path=xl/calcChain.xml><?xml version="1.0" encoding="utf-8"?>
<calcChain xmlns="http://schemas.openxmlformats.org/spreadsheetml/2006/main">
  <c r="B2" i="16" l="1"/>
</calcChain>
</file>

<file path=xl/sharedStrings.xml><?xml version="1.0" encoding="utf-8"?>
<sst xmlns="http://schemas.openxmlformats.org/spreadsheetml/2006/main" count="3869" uniqueCount="806">
  <si>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</si>
  <si>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</si>
  <si>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</si>
  <si>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</si>
  <si>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</si>
  <si>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</si>
  <si>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</si>
  <si>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</si>
  <si>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</si>
  <si>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</si>
  <si>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</si>
  <si>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</si>
  <si>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</si>
  <si>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</si>
  <si>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</si>
  <si>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</si>
  <si>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</si>
  <si>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</si>
  <si>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</si>
  <si>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</si>
  <si>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</si>
  <si>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</si>
  <si>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</si>
  <si>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</si>
  <si>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</si>
  <si>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</si>
  <si>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</si>
  <si>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</si>
  <si>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</si>
  <si>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</si>
  <si>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</si>
  <si>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</si>
  <si>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</si>
  <si>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</si>
  <si>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</si>
  <si>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</si>
  <si>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</si>
  <si>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</si>
  <si>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</si>
  <si>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</si>
  <si>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</si>
  <si>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</si>
  <si>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</si>
  <si>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</si>
  <si>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</si>
  <si>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</si>
  <si>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</si>
  <si>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</si>
  <si>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</si>
  <si>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</si>
  <si>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</si>
  <si>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</si>
  <si>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</si>
  <si>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</si>
  <si>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</si>
  <si>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</si>
  <si>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</si>
  <si>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</si>
  <si>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</si>
  <si>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</si>
  <si>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RAIPUR</t>
  </si>
  <si>
    <t>01-08-2022 01:00</t>
  </si>
  <si>
    <t>01-08-2022 02:00</t>
  </si>
  <si>
    <t>01-08-2022 03:00</t>
  </si>
  <si>
    <t>01-08-2022 04:00</t>
  </si>
  <si>
    <t>01-08-2022 05:00</t>
  </si>
  <si>
    <t>01-08-2022 06:00</t>
  </si>
  <si>
    <t>01-08-2022 07:00</t>
  </si>
  <si>
    <t>01-08-2022 08:00</t>
  </si>
  <si>
    <t>01-08-2022 09:00</t>
  </si>
  <si>
    <t>01-08-2022 10:00</t>
  </si>
  <si>
    <t>01-08-2022 11:00</t>
  </si>
  <si>
    <t>01-08-2022 12:00</t>
  </si>
  <si>
    <t>01-08-2022 13:00</t>
  </si>
  <si>
    <t>01-08-2022 14:00</t>
  </si>
  <si>
    <t>01-08-2022 15:00</t>
  </si>
  <si>
    <t>01-08-2022 16:00</t>
  </si>
  <si>
    <t>01-08-2022 17:00</t>
  </si>
  <si>
    <t>01-08-2022 18:00</t>
  </si>
  <si>
    <t>01-08-2022 19:00</t>
  </si>
  <si>
    <t>01-08-2022 20:00</t>
  </si>
  <si>
    <t>01-08-2022 21:00</t>
  </si>
  <si>
    <t>01-08-2022 22:00</t>
  </si>
  <si>
    <t>01-08-2022 23:00</t>
  </si>
  <si>
    <t>01-08-2022 24:00</t>
  </si>
  <si>
    <t>02-08-2022 01:00</t>
  </si>
  <si>
    <t>02-08-2022 02:00</t>
  </si>
  <si>
    <t>02-08-2022 03:00</t>
  </si>
  <si>
    <t>02-08-2022 04:00</t>
  </si>
  <si>
    <t>02-08-2022 05:00</t>
  </si>
  <si>
    <t>02-08-2022 06:00</t>
  </si>
  <si>
    <t>02-08-2022 07:00</t>
  </si>
  <si>
    <t>02-08-2022 08:00</t>
  </si>
  <si>
    <t>02-08-2022 09:00</t>
  </si>
  <si>
    <t>02-08-2022 10:00</t>
  </si>
  <si>
    <t>02-08-2022 11:00</t>
  </si>
  <si>
    <t>02-08-2022 12:00</t>
  </si>
  <si>
    <t>02-08-2022 13:00</t>
  </si>
  <si>
    <t>02-08-2022 14:00</t>
  </si>
  <si>
    <t>02-08-2022 15:00</t>
  </si>
  <si>
    <t>02-08-2022 16:00</t>
  </si>
  <si>
    <t>02-08-2022 17:00</t>
  </si>
  <si>
    <t>02-08-2022 18:00</t>
  </si>
  <si>
    <t>02-08-2022 19:00</t>
  </si>
  <si>
    <t>02-08-2022 20:00</t>
  </si>
  <si>
    <t>02-08-2022 21:00</t>
  </si>
  <si>
    <t>02-08-2022 22:00</t>
  </si>
  <si>
    <t>02-08-2022 23:00</t>
  </si>
  <si>
    <t>02-08-2022 24:00</t>
  </si>
  <si>
    <t>03-08-2022 01:00</t>
  </si>
  <si>
    <t>03-08-2022 02:00</t>
  </si>
  <si>
    <t>03-08-2022 03:00</t>
  </si>
  <si>
    <t>03-08-2022 04:00</t>
  </si>
  <si>
    <t>03-08-2022 05:00</t>
  </si>
  <si>
    <t>03-08-2022 06:00</t>
  </si>
  <si>
    <t>03-08-2022 07:00</t>
  </si>
  <si>
    <t>03-08-2022 08:00</t>
  </si>
  <si>
    <t>03-08-2022 09:00</t>
  </si>
  <si>
    <t>03-08-2022 10:00</t>
  </si>
  <si>
    <t>03-08-2022 11:00</t>
  </si>
  <si>
    <t>03-08-2022 12:00</t>
  </si>
  <si>
    <t>03-08-2022 13:00</t>
  </si>
  <si>
    <t>03-08-2022 14:00</t>
  </si>
  <si>
    <t>03-08-2022 15:00</t>
  </si>
  <si>
    <t>03-08-2022 16:00</t>
  </si>
  <si>
    <t>03-08-2022 17:00</t>
  </si>
  <si>
    <t>03-08-2022 18:00</t>
  </si>
  <si>
    <t>03-08-2022 19:00</t>
  </si>
  <si>
    <t>03-08-2022 20:00</t>
  </si>
  <si>
    <t>03-08-2022 21:00</t>
  </si>
  <si>
    <t>03-08-2022 22:00</t>
  </si>
  <si>
    <t>03-08-2022 23:00</t>
  </si>
  <si>
    <t>03-08-2022 24:00</t>
  </si>
  <si>
    <t>04-08-2022 01:00</t>
  </si>
  <si>
    <t>04-08-2022 02:00</t>
  </si>
  <si>
    <t>04-08-2022 03:00</t>
  </si>
  <si>
    <t>04-08-2022 04:00</t>
  </si>
  <si>
    <t>04-08-2022 05:00</t>
  </si>
  <si>
    <t>04-08-2022 06:00</t>
  </si>
  <si>
    <t>04-08-2022 07:00</t>
  </si>
  <si>
    <t>04-08-2022 08:00</t>
  </si>
  <si>
    <t>04-08-2022 09:00</t>
  </si>
  <si>
    <t>04-08-2022 10:00</t>
  </si>
  <si>
    <t>04-08-2022 11:00</t>
  </si>
  <si>
    <t>04-08-2022 12:00</t>
  </si>
  <si>
    <t>04-08-2022 13:00</t>
  </si>
  <si>
    <t>04-08-2022 14:00</t>
  </si>
  <si>
    <t>04-08-2022 15:00</t>
  </si>
  <si>
    <t>04-08-2022 16:00</t>
  </si>
  <si>
    <t>04-08-2022 17:00</t>
  </si>
  <si>
    <t>04-08-2022 18:00</t>
  </si>
  <si>
    <t>04-08-2022 19:00</t>
  </si>
  <si>
    <t>04-08-2022 20:00</t>
  </si>
  <si>
    <t>04-08-2022 21:00</t>
  </si>
  <si>
    <t>04-08-2022 22:00</t>
  </si>
  <si>
    <t>04-08-2022 23:00</t>
  </si>
  <si>
    <t>04-08-2022 24:00</t>
  </si>
  <si>
    <t>05-08-2022 01:00</t>
  </si>
  <si>
    <t>05-08-2022 02:00</t>
  </si>
  <si>
    <t>05-08-2022 03:00</t>
  </si>
  <si>
    <t>05-08-2022 04:00</t>
  </si>
  <si>
    <t>05-08-2022 05:00</t>
  </si>
  <si>
    <t>05-08-2022 06:00</t>
  </si>
  <si>
    <t>05-08-2022 07:00</t>
  </si>
  <si>
    <t>05-08-2022 08:00</t>
  </si>
  <si>
    <t>05-08-2022 09:00</t>
  </si>
  <si>
    <t>05-08-2022 10:00</t>
  </si>
  <si>
    <t>05-08-2022 11:00</t>
  </si>
  <si>
    <t>05-08-2022 12:00</t>
  </si>
  <si>
    <t>05-08-2022 13:00</t>
  </si>
  <si>
    <t>05-08-2022 14:00</t>
  </si>
  <si>
    <t>05-08-2022 15:00</t>
  </si>
  <si>
    <t>05-08-2022 16:00</t>
  </si>
  <si>
    <t>05-08-2022 17:00</t>
  </si>
  <si>
    <t>05-08-2022 18:00</t>
  </si>
  <si>
    <t>05-08-2022 19:00</t>
  </si>
  <si>
    <t>05-08-2022 20:00</t>
  </si>
  <si>
    <t>05-08-2022 21:00</t>
  </si>
  <si>
    <t>05-08-2022 22:00</t>
  </si>
  <si>
    <t>05-08-2022 23:00</t>
  </si>
  <si>
    <t>05-08-2022 24:00</t>
  </si>
  <si>
    <t>06-08-2022 01:00</t>
  </si>
  <si>
    <t>06-08-2022 02:00</t>
  </si>
  <si>
    <t>06-08-2022 03:00</t>
  </si>
  <si>
    <t>06-08-2022 04:00</t>
  </si>
  <si>
    <t>06-08-2022 05:00</t>
  </si>
  <si>
    <t>06-08-2022 06:00</t>
  </si>
  <si>
    <t>06-08-2022 07:00</t>
  </si>
  <si>
    <t>06-08-2022 08:00</t>
  </si>
  <si>
    <t>06-08-2022 09:00</t>
  </si>
  <si>
    <t>06-08-2022 10:00</t>
  </si>
  <si>
    <t>06-08-2022 11:00</t>
  </si>
  <si>
    <t>06-08-2022 12:00</t>
  </si>
  <si>
    <t>06-08-2022 13:00</t>
  </si>
  <si>
    <t>06-08-2022 14:00</t>
  </si>
  <si>
    <t>06-08-2022 15:00</t>
  </si>
  <si>
    <t>06-08-2022 16:00</t>
  </si>
  <si>
    <t>06-08-2022 17:00</t>
  </si>
  <si>
    <t>06-08-2022 18:00</t>
  </si>
  <si>
    <t>06-08-2022 19:00</t>
  </si>
  <si>
    <t>06-08-2022 20:00</t>
  </si>
  <si>
    <t>06-08-2022 21:00</t>
  </si>
  <si>
    <t>06-08-2022 22:00</t>
  </si>
  <si>
    <t>06-08-2022 23:00</t>
  </si>
  <si>
    <t>06-08-2022 24:00</t>
  </si>
  <si>
    <t>07-08-2022 01:00</t>
  </si>
  <si>
    <t>07-08-2022 02:00</t>
  </si>
  <si>
    <t>07-08-2022 03:00</t>
  </si>
  <si>
    <t>07-08-2022 04:00</t>
  </si>
  <si>
    <t>07-08-2022 05:00</t>
  </si>
  <si>
    <t>07-08-2022 06:00</t>
  </si>
  <si>
    <t>07-08-2022 07:00</t>
  </si>
  <si>
    <t>07-08-2022 08:00</t>
  </si>
  <si>
    <t>07-08-2022 09:00</t>
  </si>
  <si>
    <t>07-08-2022 10:00</t>
  </si>
  <si>
    <t>07-08-2022 11:00</t>
  </si>
  <si>
    <t>07-08-2022 12:00</t>
  </si>
  <si>
    <t>07-08-2022 13:00</t>
  </si>
  <si>
    <t>07-08-2022 14:00</t>
  </si>
  <si>
    <t>07-08-2022 15:00</t>
  </si>
  <si>
    <t>07-08-2022 16:00</t>
  </si>
  <si>
    <t>07-08-2022 17:00</t>
  </si>
  <si>
    <t>07-08-2022 18:00</t>
  </si>
  <si>
    <t>07-08-2022 19:00</t>
  </si>
  <si>
    <t>07-08-2022 20:00</t>
  </si>
  <si>
    <t>07-08-2022 21:00</t>
  </si>
  <si>
    <t>07-08-2022 22:00</t>
  </si>
  <si>
    <t>07-08-2022 23:00</t>
  </si>
  <si>
    <t>07-08-2022 24:00</t>
  </si>
  <si>
    <t>08-08-2022 01:00</t>
  </si>
  <si>
    <t>08-08-2022 02:00</t>
  </si>
  <si>
    <t>08-08-2022 03:00</t>
  </si>
  <si>
    <t>08-08-2022 04:00</t>
  </si>
  <si>
    <t>08-08-2022 05:00</t>
  </si>
  <si>
    <t>08-08-2022 06:00</t>
  </si>
  <si>
    <t>08-08-2022 07:00</t>
  </si>
  <si>
    <t>08-08-2022 08:00</t>
  </si>
  <si>
    <t>08-08-2022 09:00</t>
  </si>
  <si>
    <t>08-08-2022 10:00</t>
  </si>
  <si>
    <t>08-08-2022 11:00</t>
  </si>
  <si>
    <t>08-08-2022 12:00</t>
  </si>
  <si>
    <t>08-08-2022 13:00</t>
  </si>
  <si>
    <t>08-08-2022 14:00</t>
  </si>
  <si>
    <t>08-08-2022 15:00</t>
  </si>
  <si>
    <t>08-08-2022 16:00</t>
  </si>
  <si>
    <t>08-08-2022 17:00</t>
  </si>
  <si>
    <t>08-08-2022 18:00</t>
  </si>
  <si>
    <t>08-08-2022 19:00</t>
  </si>
  <si>
    <t>08-08-2022 20:00</t>
  </si>
  <si>
    <t>08-08-2022 21:00</t>
  </si>
  <si>
    <t>08-08-2022 22:00</t>
  </si>
  <si>
    <t>08-08-2022 23:00</t>
  </si>
  <si>
    <t>08-08-2022 24:00</t>
  </si>
  <si>
    <t>09-08-2022 01:00</t>
  </si>
  <si>
    <t>09-08-2022 02:00</t>
  </si>
  <si>
    <t>09-08-2022 03:00</t>
  </si>
  <si>
    <t>09-08-2022 04:00</t>
  </si>
  <si>
    <t>09-08-2022 05:00</t>
  </si>
  <si>
    <t>09-08-2022 06:00</t>
  </si>
  <si>
    <t>09-08-2022 07:00</t>
  </si>
  <si>
    <t>09-08-2022 08:00</t>
  </si>
  <si>
    <t>09-08-2022 09:00</t>
  </si>
  <si>
    <t>09-08-2022 10:00</t>
  </si>
  <si>
    <t>09-08-2022 11:00</t>
  </si>
  <si>
    <t>09-08-2022 12:00</t>
  </si>
  <si>
    <t>09-08-2022 13:00</t>
  </si>
  <si>
    <t>09-08-2022 14:00</t>
  </si>
  <si>
    <t>09-08-2022 15:00</t>
  </si>
  <si>
    <t>09-08-2022 16:00</t>
  </si>
  <si>
    <t>09-08-2022 17:00</t>
  </si>
  <si>
    <t>09-08-2022 18:00</t>
  </si>
  <si>
    <t>09-08-2022 19:00</t>
  </si>
  <si>
    <t>09-08-2022 20:00</t>
  </si>
  <si>
    <t>09-08-2022 21:00</t>
  </si>
  <si>
    <t>09-08-2022 22:00</t>
  </si>
  <si>
    <t>09-08-2022 23:00</t>
  </si>
  <si>
    <t>09-08-2022 24:00</t>
  </si>
  <si>
    <t>10-08-2022 01:00</t>
  </si>
  <si>
    <t>10-08-2022 02:00</t>
  </si>
  <si>
    <t>10-08-2022 03:00</t>
  </si>
  <si>
    <t>10-08-2022 04:00</t>
  </si>
  <si>
    <t>10-08-2022 05:00</t>
  </si>
  <si>
    <t>10-08-2022 06:00</t>
  </si>
  <si>
    <t>10-08-2022 07:00</t>
  </si>
  <si>
    <t>10-08-2022 08:00</t>
  </si>
  <si>
    <t>10-08-2022 09:00</t>
  </si>
  <si>
    <t>10-08-2022 10:00</t>
  </si>
  <si>
    <t>10-08-2022 11:00</t>
  </si>
  <si>
    <t>10-08-2022 12:00</t>
  </si>
  <si>
    <t>10-08-2022 13:00</t>
  </si>
  <si>
    <t>10-08-2022 14:00</t>
  </si>
  <si>
    <t>10-08-2022 15:00</t>
  </si>
  <si>
    <t>10-08-2022 16:00</t>
  </si>
  <si>
    <t>10-08-2022 17:00</t>
  </si>
  <si>
    <t>10-08-2022 18:00</t>
  </si>
  <si>
    <t>10-08-2022 19:00</t>
  </si>
  <si>
    <t>10-08-2022 20:00</t>
  </si>
  <si>
    <t>10-08-2022 21:00</t>
  </si>
  <si>
    <t>10-08-2022 22:00</t>
  </si>
  <si>
    <t>10-08-2022 23:00</t>
  </si>
  <si>
    <t>10-08-2022 24:00</t>
  </si>
  <si>
    <t>11-08-2022 01:00</t>
  </si>
  <si>
    <t>11-08-2022 02:00</t>
  </si>
  <si>
    <t>11-08-2022 03:00</t>
  </si>
  <si>
    <t>11-08-2022 04:00</t>
  </si>
  <si>
    <t>11-08-2022 05:00</t>
  </si>
  <si>
    <t>11-08-2022 06:00</t>
  </si>
  <si>
    <t>11-08-2022 07:00</t>
  </si>
  <si>
    <t>11-08-2022 08:00</t>
  </si>
  <si>
    <t>11-08-2022 09:00</t>
  </si>
  <si>
    <t>11-08-2022 10:00</t>
  </si>
  <si>
    <t>11-08-2022 11:00</t>
  </si>
  <si>
    <t>11-08-2022 12:00</t>
  </si>
  <si>
    <t>11-08-2022 13:00</t>
  </si>
  <si>
    <t>11-08-2022 14:00</t>
  </si>
  <si>
    <t>11-08-2022 15:00</t>
  </si>
  <si>
    <t>11-08-2022 16:00</t>
  </si>
  <si>
    <t>11-08-2022 17:00</t>
  </si>
  <si>
    <t>11-08-2022 18:00</t>
  </si>
  <si>
    <t>11-08-2022 19:00</t>
  </si>
  <si>
    <t>11-08-2022 20:00</t>
  </si>
  <si>
    <t>11-08-2022 21:00</t>
  </si>
  <si>
    <t>11-08-2022 22:00</t>
  </si>
  <si>
    <t>11-08-2022 23:00</t>
  </si>
  <si>
    <t>11-08-2022 24:00</t>
  </si>
  <si>
    <t>12-08-2022 01:00</t>
  </si>
  <si>
    <t>12-08-2022 02:00</t>
  </si>
  <si>
    <t>12-08-2022 03:00</t>
  </si>
  <si>
    <t>12-08-2022 04:00</t>
  </si>
  <si>
    <t>12-08-2022 05:00</t>
  </si>
  <si>
    <t>12-08-2022 06:00</t>
  </si>
  <si>
    <t>12-08-2022 07:00</t>
  </si>
  <si>
    <t>12-08-2022 08:00</t>
  </si>
  <si>
    <t>12-08-2022 09:00</t>
  </si>
  <si>
    <t>12-08-2022 10:00</t>
  </si>
  <si>
    <t>12-08-2022 11:00</t>
  </si>
  <si>
    <t>12-08-2022 12:00</t>
  </si>
  <si>
    <t>12-08-2022 13:00</t>
  </si>
  <si>
    <t>12-08-2022 14:00</t>
  </si>
  <si>
    <t>12-08-2022 15:00</t>
  </si>
  <si>
    <t>12-08-2022 16:00</t>
  </si>
  <si>
    <t>12-08-2022 17:00</t>
  </si>
  <si>
    <t>12-08-2022 18:00</t>
  </si>
  <si>
    <t>12-08-2022 19:00</t>
  </si>
  <si>
    <t>12-08-2022 20:00</t>
  </si>
  <si>
    <t>12-08-2022 21:00</t>
  </si>
  <si>
    <t>12-08-2022 22:00</t>
  </si>
  <si>
    <t>12-08-2022 23:00</t>
  </si>
  <si>
    <t>12-08-2022 24:00</t>
  </si>
  <si>
    <t>13-08-2022 01:00</t>
  </si>
  <si>
    <t>13-08-2022 02:00</t>
  </si>
  <si>
    <t>13-08-2022 03:00</t>
  </si>
  <si>
    <t>13-08-2022 04:00</t>
  </si>
  <si>
    <t>13-08-2022 05:00</t>
  </si>
  <si>
    <t>13-08-2022 06:00</t>
  </si>
  <si>
    <t>13-08-2022 07:00</t>
  </si>
  <si>
    <t>13-08-2022 08:00</t>
  </si>
  <si>
    <t>13-08-2022 09:00</t>
  </si>
  <si>
    <t>13-08-2022 10:00</t>
  </si>
  <si>
    <t>13-08-2022 11:00</t>
  </si>
  <si>
    <t>13-08-2022 12:00</t>
  </si>
  <si>
    <t>13-08-2022 13:00</t>
  </si>
  <si>
    <t>13-08-2022 14:00</t>
  </si>
  <si>
    <t>13-08-2022 15:00</t>
  </si>
  <si>
    <t>13-08-2022 16:00</t>
  </si>
  <si>
    <t>13-08-2022 17:00</t>
  </si>
  <si>
    <t>13-08-2022 18:00</t>
  </si>
  <si>
    <t>13-08-2022 19:00</t>
  </si>
  <si>
    <t>13-08-2022 20:00</t>
  </si>
  <si>
    <t>13-08-2022 21:00</t>
  </si>
  <si>
    <t>13-08-2022 22:00</t>
  </si>
  <si>
    <t>13-08-2022 23:00</t>
  </si>
  <si>
    <t>13-08-2022 24:00</t>
  </si>
  <si>
    <t>14-08-2022 01:00</t>
  </si>
  <si>
    <t>14-08-2022 02:00</t>
  </si>
  <si>
    <t>14-08-2022 03:00</t>
  </si>
  <si>
    <t>14-08-2022 04:00</t>
  </si>
  <si>
    <t>14-08-2022 05:00</t>
  </si>
  <si>
    <t>14-08-2022 06:00</t>
  </si>
  <si>
    <t>14-08-2022 07:00</t>
  </si>
  <si>
    <t>14-08-2022 08:00</t>
  </si>
  <si>
    <t>14-08-2022 09:00</t>
  </si>
  <si>
    <t>14-08-2022 10:00</t>
  </si>
  <si>
    <t>14-08-2022 11:00</t>
  </si>
  <si>
    <t>14-08-2022 12:00</t>
  </si>
  <si>
    <t>14-08-2022 13:00</t>
  </si>
  <si>
    <t>14-08-2022 14:00</t>
  </si>
  <si>
    <t>14-08-2022 15:00</t>
  </si>
  <si>
    <t>14-08-2022 16:00</t>
  </si>
  <si>
    <t>14-08-2022 17:00</t>
  </si>
  <si>
    <t>14-08-2022 18:00</t>
  </si>
  <si>
    <t>14-08-2022 19:00</t>
  </si>
  <si>
    <t>14-08-2022 20:00</t>
  </si>
  <si>
    <t>14-08-2022 21:00</t>
  </si>
  <si>
    <t>14-08-2022 22:00</t>
  </si>
  <si>
    <t>14-08-2022 23:00</t>
  </si>
  <si>
    <t>14-08-2022 24:00</t>
  </si>
  <si>
    <t>15-08-2022 01:00</t>
  </si>
  <si>
    <t>15-08-2022 02:00</t>
  </si>
  <si>
    <t>15-08-2022 03:00</t>
  </si>
  <si>
    <t>15-08-2022 04:00</t>
  </si>
  <si>
    <t>15-08-2022 05:00</t>
  </si>
  <si>
    <t>15-08-2022 06:00</t>
  </si>
  <si>
    <t>15-08-2022 07:00</t>
  </si>
  <si>
    <t>15-08-2022 08:00</t>
  </si>
  <si>
    <t>15-08-2022 09:00</t>
  </si>
  <si>
    <t>15-08-2022 10:00</t>
  </si>
  <si>
    <t>15-08-2022 11:00</t>
  </si>
  <si>
    <t>15-08-2022 12:00</t>
  </si>
  <si>
    <t>15-08-2022 13:00</t>
  </si>
  <si>
    <t>15-08-2022 14:00</t>
  </si>
  <si>
    <t>15-08-2022 15:00</t>
  </si>
  <si>
    <t>15-08-2022 16:00</t>
  </si>
  <si>
    <t>15-08-2022 17:00</t>
  </si>
  <si>
    <t>15-08-2022 18:00</t>
  </si>
  <si>
    <t>15-08-2022 19:00</t>
  </si>
  <si>
    <t>15-08-2022 20:00</t>
  </si>
  <si>
    <t>15-08-2022 21:00</t>
  </si>
  <si>
    <t>15-08-2022 22:00</t>
  </si>
  <si>
    <t>15-08-2022 23:00</t>
  </si>
  <si>
    <t>15-08-2022 24:00</t>
  </si>
  <si>
    <t>16-08-2022 01:00</t>
  </si>
  <si>
    <t>16-08-2022 02:00</t>
  </si>
  <si>
    <t>16-08-2022 03:00</t>
  </si>
  <si>
    <t>16-08-2022 04:00</t>
  </si>
  <si>
    <t>16-08-2022 05:00</t>
  </si>
  <si>
    <t>16-08-2022 06:00</t>
  </si>
  <si>
    <t>16-08-2022 07:00</t>
  </si>
  <si>
    <t>16-08-2022 08:00</t>
  </si>
  <si>
    <t>16-08-2022 09:00</t>
  </si>
  <si>
    <t>16-08-2022 10:00</t>
  </si>
  <si>
    <t>16-08-2022 11:00</t>
  </si>
  <si>
    <t>16-08-2022 12:00</t>
  </si>
  <si>
    <t>16-08-2022 13:00</t>
  </si>
  <si>
    <t>16-08-2022 14:00</t>
  </si>
  <si>
    <t>16-08-2022 15:00</t>
  </si>
  <si>
    <t>16-08-2022 16:00</t>
  </si>
  <si>
    <t>16-08-2022 17:00</t>
  </si>
  <si>
    <t>16-08-2022 18:00</t>
  </si>
  <si>
    <t>16-08-2022 19:00</t>
  </si>
  <si>
    <t>16-08-2022 20:00</t>
  </si>
  <si>
    <t>16-08-2022 21:00</t>
  </si>
  <si>
    <t>16-08-2022 22:00</t>
  </si>
  <si>
    <t>16-08-2022 23:00</t>
  </si>
  <si>
    <t>16-08-2022 24:00</t>
  </si>
  <si>
    <t>17-08-2022 01:00</t>
  </si>
  <si>
    <t>17-08-2022 02:00</t>
  </si>
  <si>
    <t>17-08-2022 03:00</t>
  </si>
  <si>
    <t>17-08-2022 04:00</t>
  </si>
  <si>
    <t>17-08-2022 05:00</t>
  </si>
  <si>
    <t>17-08-2022 06:00</t>
  </si>
  <si>
    <t>17-08-2022 07:00</t>
  </si>
  <si>
    <t>17-08-2022 08:00</t>
  </si>
  <si>
    <t>17-08-2022 09:00</t>
  </si>
  <si>
    <t>17-08-2022 10:00</t>
  </si>
  <si>
    <t>17-08-2022 11:00</t>
  </si>
  <si>
    <t>17-08-2022 12:00</t>
  </si>
  <si>
    <t>17-08-2022 13:00</t>
  </si>
  <si>
    <t>17-08-2022 14:00</t>
  </si>
  <si>
    <t>17-08-2022 15:00</t>
  </si>
  <si>
    <t>17-08-2022 16:00</t>
  </si>
  <si>
    <t>17-08-2022 17:00</t>
  </si>
  <si>
    <t>17-08-2022 18:00</t>
  </si>
  <si>
    <t>17-08-2022 19:00</t>
  </si>
  <si>
    <t>17-08-2022 20:00</t>
  </si>
  <si>
    <t>17-08-2022 21:00</t>
  </si>
  <si>
    <t>17-08-2022 22:00</t>
  </si>
  <si>
    <t>17-08-2022 23:00</t>
  </si>
  <si>
    <t>17-08-2022 24:00</t>
  </si>
  <si>
    <t>18-08-2022 01:00</t>
  </si>
  <si>
    <t>18-08-2022 02:00</t>
  </si>
  <si>
    <t>18-08-2022 03:00</t>
  </si>
  <si>
    <t>18-08-2022 04:00</t>
  </si>
  <si>
    <t>18-08-2022 05:00</t>
  </si>
  <si>
    <t>18-08-2022 06:00</t>
  </si>
  <si>
    <t>18-08-2022 07:00</t>
  </si>
  <si>
    <t>18-08-2022 08:00</t>
  </si>
  <si>
    <t>18-08-2022 09:00</t>
  </si>
  <si>
    <t>18-08-2022 10:00</t>
  </si>
  <si>
    <t>18-08-2022 11:00</t>
  </si>
  <si>
    <t>18-08-2022 12:00</t>
  </si>
  <si>
    <t>18-08-2022 13:00</t>
  </si>
  <si>
    <t>18-08-2022 14:00</t>
  </si>
  <si>
    <t>18-08-2022 15:00</t>
  </si>
  <si>
    <t>18-08-2022 16:00</t>
  </si>
  <si>
    <t>18-08-2022 17:00</t>
  </si>
  <si>
    <t>18-08-2022 18:00</t>
  </si>
  <si>
    <t>18-08-2022 19:00</t>
  </si>
  <si>
    <t>18-08-2022 20:00</t>
  </si>
  <si>
    <t>18-08-2022 21:00</t>
  </si>
  <si>
    <t>18-08-2022 22:00</t>
  </si>
  <si>
    <t>18-08-2022 23:00</t>
  </si>
  <si>
    <t>18-08-2022 24:00</t>
  </si>
  <si>
    <t>19-08-2022 01:00</t>
  </si>
  <si>
    <t>19-08-2022 02:00</t>
  </si>
  <si>
    <t>19-08-2022 03:00</t>
  </si>
  <si>
    <t>19-08-2022 04:00</t>
  </si>
  <si>
    <t>19-08-2022 05:00</t>
  </si>
  <si>
    <t>19-08-2022 06:00</t>
  </si>
  <si>
    <t>19-08-2022 07:00</t>
  </si>
  <si>
    <t>19-08-2022 08:00</t>
  </si>
  <si>
    <t>19-08-2022 09:00</t>
  </si>
  <si>
    <t>19-08-2022 10:00</t>
  </si>
  <si>
    <t>19-08-2022 11:00</t>
  </si>
  <si>
    <t>19-08-2022 12:00</t>
  </si>
  <si>
    <t>19-08-2022 13:00</t>
  </si>
  <si>
    <t>19-08-2022 14:00</t>
  </si>
  <si>
    <t>19-08-2022 15:00</t>
  </si>
  <si>
    <t>19-08-2022 16:00</t>
  </si>
  <si>
    <t>19-08-2022 17:00</t>
  </si>
  <si>
    <t>19-08-2022 18:00</t>
  </si>
  <si>
    <t>19-08-2022 19:00</t>
  </si>
  <si>
    <t>19-08-2022 20:00</t>
  </si>
  <si>
    <t>19-08-2022 21:00</t>
  </si>
  <si>
    <t>19-08-2022 22:00</t>
  </si>
  <si>
    <t>19-08-2022 23:00</t>
  </si>
  <si>
    <t>19-08-2022 24:00</t>
  </si>
  <si>
    <t>20-08-2022 01:00</t>
  </si>
  <si>
    <t>20-08-2022 02:00</t>
  </si>
  <si>
    <t>20-08-2022 03:00</t>
  </si>
  <si>
    <t>20-08-2022 04:00</t>
  </si>
  <si>
    <t>20-08-2022 05:00</t>
  </si>
  <si>
    <t>20-08-2022 06:00</t>
  </si>
  <si>
    <t>20-08-2022 07:00</t>
  </si>
  <si>
    <t>20-08-2022 08:00</t>
  </si>
  <si>
    <t>20-08-2022 09:00</t>
  </si>
  <si>
    <t>20-08-2022 10:00</t>
  </si>
  <si>
    <t>20-08-2022 11:00</t>
  </si>
  <si>
    <t>20-08-2022 12:00</t>
  </si>
  <si>
    <t>20-08-2022 13:00</t>
  </si>
  <si>
    <t>20-08-2022 14:00</t>
  </si>
  <si>
    <t>20-08-2022 15:00</t>
  </si>
  <si>
    <t>20-08-2022 16:00</t>
  </si>
  <si>
    <t>20-08-2022 17:00</t>
  </si>
  <si>
    <t>20-08-2022 18:00</t>
  </si>
  <si>
    <t>20-08-2022 19:00</t>
  </si>
  <si>
    <t>20-08-2022 20:00</t>
  </si>
  <si>
    <t>20-08-2022 21:00</t>
  </si>
  <si>
    <t>20-08-2022 22:00</t>
  </si>
  <si>
    <t>20-08-2022 23:00</t>
  </si>
  <si>
    <t>20-08-2022 24:00</t>
  </si>
  <si>
    <t>21-08-2022 01:00</t>
  </si>
  <si>
    <t>21-08-2022 02:00</t>
  </si>
  <si>
    <t>21-08-2022 03:00</t>
  </si>
  <si>
    <t>21-08-2022 04:00</t>
  </si>
  <si>
    <t>21-08-2022 05:00</t>
  </si>
  <si>
    <t>21-08-2022 06:00</t>
  </si>
  <si>
    <t>21-08-2022 07:00</t>
  </si>
  <si>
    <t>21-08-2022 08:00</t>
  </si>
  <si>
    <t>21-08-2022 09:00</t>
  </si>
  <si>
    <t>21-08-2022 10:00</t>
  </si>
  <si>
    <t>21-08-2022 11:00</t>
  </si>
  <si>
    <t>21-08-2022 12:00</t>
  </si>
  <si>
    <t>21-08-2022 13:00</t>
  </si>
  <si>
    <t>21-08-2022 14:00</t>
  </si>
  <si>
    <t>21-08-2022 15:00</t>
  </si>
  <si>
    <t>21-08-2022 16:00</t>
  </si>
  <si>
    <t>21-08-2022 17:00</t>
  </si>
  <si>
    <t>21-08-2022 18:00</t>
  </si>
  <si>
    <t>21-08-2022 19:00</t>
  </si>
  <si>
    <t>21-08-2022 20:00</t>
  </si>
  <si>
    <t>21-08-2022 21:00</t>
  </si>
  <si>
    <t>21-08-2022 22:00</t>
  </si>
  <si>
    <t>21-08-2022 23:00</t>
  </si>
  <si>
    <t>21-08-2022 24:00</t>
  </si>
  <si>
    <t>SUROJIT</t>
  </si>
  <si>
    <t>22-08-2022 01:00</t>
  </si>
  <si>
    <t>22-08-2022 02:00</t>
  </si>
  <si>
    <t>22-08-2022 03:00</t>
  </si>
  <si>
    <t>22-08-2022 04:00</t>
  </si>
  <si>
    <t>22-08-2022 05:00</t>
  </si>
  <si>
    <t>22-08-2022 06:00</t>
  </si>
  <si>
    <t>22-08-2022 07:00</t>
  </si>
  <si>
    <t>22-08-2022 08:00</t>
  </si>
  <si>
    <t>22-08-2022 09:00</t>
  </si>
  <si>
    <t>22-08-2022 10:00</t>
  </si>
  <si>
    <t>22-08-2022 11:00</t>
  </si>
  <si>
    <t>22-08-2022 12:00</t>
  </si>
  <si>
    <t>22-08-2022 13:00</t>
  </si>
  <si>
    <t>22-08-2022 14:00</t>
  </si>
  <si>
    <t>22-08-2022 15:00</t>
  </si>
  <si>
    <t>22-08-2022 16:00</t>
  </si>
  <si>
    <t>22-08-2022 17:00</t>
  </si>
  <si>
    <t>22-08-2022 18:00</t>
  </si>
  <si>
    <t>22-08-2022 19:00</t>
  </si>
  <si>
    <t>22-08-2022 20:00</t>
  </si>
  <si>
    <t>22-08-2022 21:00</t>
  </si>
  <si>
    <t>22-08-2022 22:00</t>
  </si>
  <si>
    <t>22-08-2022 23:00</t>
  </si>
  <si>
    <t>22-08-2022 24:00</t>
  </si>
  <si>
    <t>23-08-2022 01:00</t>
  </si>
  <si>
    <t>23-08-2022 02:00</t>
  </si>
  <si>
    <t>23-08-2022 03:00</t>
  </si>
  <si>
    <t>23-08-2022 04:00</t>
  </si>
  <si>
    <t>23-08-2022 05:00</t>
  </si>
  <si>
    <t>23-08-2022 06:00</t>
  </si>
  <si>
    <t>23-08-2022 07:00</t>
  </si>
  <si>
    <t>23-08-2022 08:00</t>
  </si>
  <si>
    <t>23-08-2022 09:00</t>
  </si>
  <si>
    <t>23-08-2022 10:00</t>
  </si>
  <si>
    <t>23-08-2022 11:00</t>
  </si>
  <si>
    <t>23-08-2022 12:00</t>
  </si>
  <si>
    <t>23-08-2022 13:00</t>
  </si>
  <si>
    <t>23-08-2022 14:00</t>
  </si>
  <si>
    <t>23-08-2022 15:00</t>
  </si>
  <si>
    <t>23-08-2022 16:00</t>
  </si>
  <si>
    <t>23-08-2022 17:00</t>
  </si>
  <si>
    <t>23-08-2022 18:00</t>
  </si>
  <si>
    <t>23-08-2022 19:00</t>
  </si>
  <si>
    <t>23-08-2022 20:00</t>
  </si>
  <si>
    <t>23-08-2022 21:00</t>
  </si>
  <si>
    <t>23-08-2022 22:00</t>
  </si>
  <si>
    <t>23-08-2022 23:00</t>
  </si>
  <si>
    <t>23-08-2022 24:00</t>
  </si>
  <si>
    <t>24-08-2022 01:00</t>
  </si>
  <si>
    <t>24-08-2022 02:00</t>
  </si>
  <si>
    <t>24-08-2022 03:00</t>
  </si>
  <si>
    <t>24-08-2022 04:00</t>
  </si>
  <si>
    <t>24-08-2022 05:00</t>
  </si>
  <si>
    <t>24-08-2022 06:00</t>
  </si>
  <si>
    <t>24-08-2022 07:00</t>
  </si>
  <si>
    <t>24-08-2022 08:00</t>
  </si>
  <si>
    <t>24-08-2022 09:00</t>
  </si>
  <si>
    <t>24-08-2022 10:00</t>
  </si>
  <si>
    <t>24-08-2022 11:00</t>
  </si>
  <si>
    <t>24-08-2022 12:00</t>
  </si>
  <si>
    <t>24-08-2022 13:00</t>
  </si>
  <si>
    <t>24-08-2022 14:00</t>
  </si>
  <si>
    <t>24-08-2022 15:00</t>
  </si>
  <si>
    <t>24-08-2022 16:00</t>
  </si>
  <si>
    <t>24-08-2022 17:00</t>
  </si>
  <si>
    <t>24-08-2022 18:00</t>
  </si>
  <si>
    <t>24-08-2022 19:00</t>
  </si>
  <si>
    <t>24-08-2022 20:00</t>
  </si>
  <si>
    <t>24-08-2022 21:00</t>
  </si>
  <si>
    <t>24-08-2022 22:00</t>
  </si>
  <si>
    <t>24-08-2022 23:00</t>
  </si>
  <si>
    <t>24-08-2022 24:00</t>
  </si>
  <si>
    <t>25-08-2022 01:00</t>
  </si>
  <si>
    <t>25-08-2022 02:00</t>
  </si>
  <si>
    <t>25-08-2022 03:00</t>
  </si>
  <si>
    <t>25-08-2022 04:00</t>
  </si>
  <si>
    <t>25-08-2022 05:00</t>
  </si>
  <si>
    <t>25-08-2022 06:00</t>
  </si>
  <si>
    <t>25-08-2022 07:00</t>
  </si>
  <si>
    <t>25-08-2022 08:00</t>
  </si>
  <si>
    <t>25-08-2022 09:00</t>
  </si>
  <si>
    <t>25-08-2022 10:00</t>
  </si>
  <si>
    <t>25-08-2022 11:00</t>
  </si>
  <si>
    <t>25-08-2022 12:00</t>
  </si>
  <si>
    <t>25-08-2022 13:00</t>
  </si>
  <si>
    <t>25-08-2022 14:00</t>
  </si>
  <si>
    <t>25-08-2022 15:00</t>
  </si>
  <si>
    <t>25-08-2022 16:00</t>
  </si>
  <si>
    <t>25-08-2022 17:00</t>
  </si>
  <si>
    <t>25-08-2022 18:00</t>
  </si>
  <si>
    <t>25-08-2022 19:00</t>
  </si>
  <si>
    <t>25-08-2022 20:00</t>
  </si>
  <si>
    <t>25-08-2022 21:00</t>
  </si>
  <si>
    <t>25-08-2022 22:00</t>
  </si>
  <si>
    <t>25-08-2022 23:00</t>
  </si>
  <si>
    <t>25-08-2022 24:00</t>
  </si>
  <si>
    <t>26-08-2022 01:00</t>
  </si>
  <si>
    <t>26-08-2022 02:00</t>
  </si>
  <si>
    <t>26-08-2022 03:00</t>
  </si>
  <si>
    <t>26-08-2022 04:00</t>
  </si>
  <si>
    <t>26-08-2022 05:00</t>
  </si>
  <si>
    <t>26-08-2022 06:00</t>
  </si>
  <si>
    <t>26-08-2022 07:00</t>
  </si>
  <si>
    <t>26-08-2022 08:00</t>
  </si>
  <si>
    <t>26-08-2022 09:00</t>
  </si>
  <si>
    <t>26-08-2022 10:00</t>
  </si>
  <si>
    <t>26-08-2022 11:00</t>
  </si>
  <si>
    <t>26-08-2022 12:00</t>
  </si>
  <si>
    <t>26-08-2022 13:00</t>
  </si>
  <si>
    <t>26-08-2022 14:00</t>
  </si>
  <si>
    <t>26-08-2022 15:00</t>
  </si>
  <si>
    <t>26-08-2022 16:00</t>
  </si>
  <si>
    <t>26-08-2022 17:00</t>
  </si>
  <si>
    <t>26-08-2022 18:00</t>
  </si>
  <si>
    <t>26-08-2022 19:00</t>
  </si>
  <si>
    <t>26-08-2022 20:00</t>
  </si>
  <si>
    <t>26-08-2022 21:00</t>
  </si>
  <si>
    <t>26-08-2022 22:00</t>
  </si>
  <si>
    <t>26-08-2022 23:00</t>
  </si>
  <si>
    <t>26-08-2022 24:00</t>
  </si>
  <si>
    <t>27-08-2022 01:00</t>
  </si>
  <si>
    <t>27-08-2022 02:00</t>
  </si>
  <si>
    <t>27-08-2022 03:00</t>
  </si>
  <si>
    <t>27-08-2022 04:00</t>
  </si>
  <si>
    <t>27-08-2022 05:00</t>
  </si>
  <si>
    <t>27-08-2022 06:00</t>
  </si>
  <si>
    <t>27-08-2022 07:00</t>
  </si>
  <si>
    <t>27-08-2022 08:00</t>
  </si>
  <si>
    <t>27-08-2022 09:00</t>
  </si>
  <si>
    <t>27-08-2022 10:00</t>
  </si>
  <si>
    <t>27-08-2022 11:00</t>
  </si>
  <si>
    <t>27-08-2022 12:00</t>
  </si>
  <si>
    <t>27-08-2022 13:00</t>
  </si>
  <si>
    <t>27-08-2022 14:00</t>
  </si>
  <si>
    <t>27-08-2022 15:00</t>
  </si>
  <si>
    <t>27-08-2022 16:00</t>
  </si>
  <si>
    <t>27-08-2022 17:00</t>
  </si>
  <si>
    <t>27-08-2022 18:00</t>
  </si>
  <si>
    <t>27-08-2022 19:00</t>
  </si>
  <si>
    <t>27-08-2022 20:00</t>
  </si>
  <si>
    <t>27-08-2022 21:00</t>
  </si>
  <si>
    <t>27-08-2022 22:00</t>
  </si>
  <si>
    <t>27-08-2022 23:00</t>
  </si>
  <si>
    <t>27-08-2022 24:00</t>
  </si>
  <si>
    <t>28-08-2022 01:00</t>
  </si>
  <si>
    <t>28-08-2022 02:00</t>
  </si>
  <si>
    <t>28-08-2022 03:00</t>
  </si>
  <si>
    <t>28-08-2022 04:00</t>
  </si>
  <si>
    <t>28-08-2022 05:00</t>
  </si>
  <si>
    <t>28-08-2022 06:00</t>
  </si>
  <si>
    <t>28-08-2022 07:00</t>
  </si>
  <si>
    <t>28-08-2022 08:00</t>
  </si>
  <si>
    <t>28-08-2022 09:00</t>
  </si>
  <si>
    <t>28-08-2022 10:00</t>
  </si>
  <si>
    <t>28-08-2022 11:00</t>
  </si>
  <si>
    <t>28-08-2022 12:00</t>
  </si>
  <si>
    <t>28-08-2022 13:00</t>
  </si>
  <si>
    <t>28-08-2022 14:00</t>
  </si>
  <si>
    <t>28-08-2022 15:00</t>
  </si>
  <si>
    <t>28-08-2022 16:00</t>
  </si>
  <si>
    <t>28-08-2022 17:00</t>
  </si>
  <si>
    <t>28-08-2022 18:00</t>
  </si>
  <si>
    <t>28-08-2022 19:00</t>
  </si>
  <si>
    <t>28-08-2022 20:00</t>
  </si>
  <si>
    <t>28-08-2022 21:00</t>
  </si>
  <si>
    <t>28-08-2022 22:00</t>
  </si>
  <si>
    <t>28-08-2022 23:00</t>
  </si>
  <si>
    <t>28-08-2022 24:00</t>
  </si>
  <si>
    <t>29-08-2022 01:00</t>
  </si>
  <si>
    <t>29-08-2022 02:00</t>
  </si>
  <si>
    <t>29-08-2022 03:00</t>
  </si>
  <si>
    <t>29-08-2022 04:00</t>
  </si>
  <si>
    <t>29-08-2022 05:00</t>
  </si>
  <si>
    <t>29-08-2022 06:00</t>
  </si>
  <si>
    <t>29-08-2022 07:00</t>
  </si>
  <si>
    <t>29-08-2022 08:00</t>
  </si>
  <si>
    <t>29-08-2022 09:00</t>
  </si>
  <si>
    <t>29-08-2022 10:00</t>
  </si>
  <si>
    <t>29-08-2022 11:00</t>
  </si>
  <si>
    <t>29-08-2022 12:00</t>
  </si>
  <si>
    <t>29-08-2022 13:00</t>
  </si>
  <si>
    <t>29-08-2022 14:00</t>
  </si>
  <si>
    <t>29-08-2022 15:00</t>
  </si>
  <si>
    <t>29-08-2022 16:00</t>
  </si>
  <si>
    <t>29-08-2022 17:00</t>
  </si>
  <si>
    <t>29-08-2022 18:00</t>
  </si>
  <si>
    <t>29-08-2022 19:00</t>
  </si>
  <si>
    <t>29-08-2022 20:00</t>
  </si>
  <si>
    <t>29-08-2022 21:00</t>
  </si>
  <si>
    <t>29-08-2022 22:00</t>
  </si>
  <si>
    <t>29-08-2022 23:00</t>
  </si>
  <si>
    <t>29-08-2022 24:00</t>
  </si>
  <si>
    <t>30-08-2022 01:00</t>
  </si>
  <si>
    <t>30-08-2022 02:00</t>
  </si>
  <si>
    <t>30-08-2022 03:00</t>
  </si>
  <si>
    <t>30-08-2022 04:00</t>
  </si>
  <si>
    <t>30-08-2022 05:00</t>
  </si>
  <si>
    <t>30-08-2022 06:00</t>
  </si>
  <si>
    <t>30-08-2022 07:00</t>
  </si>
  <si>
    <t>30-08-2022 08:00</t>
  </si>
  <si>
    <t>30-08-2022 09:00</t>
  </si>
  <si>
    <t>30-08-2022 10:00</t>
  </si>
  <si>
    <t>30-08-2022 11:00</t>
  </si>
  <si>
    <t>30-08-2022 12:00</t>
  </si>
  <si>
    <t>30-08-2022 13:00</t>
  </si>
  <si>
    <t>30-08-2022 14:00</t>
  </si>
  <si>
    <t>30-08-2022 15:00</t>
  </si>
  <si>
    <t>30-08-2022 16:00</t>
  </si>
  <si>
    <t>30-08-2022 17:00</t>
  </si>
  <si>
    <t>30-08-2022 18:00</t>
  </si>
  <si>
    <t>30-08-2022 19:00</t>
  </si>
  <si>
    <t>30-08-2022 20:00</t>
  </si>
  <si>
    <t>30-08-2022 21:00</t>
  </si>
  <si>
    <t>30-08-2022 22:00</t>
  </si>
  <si>
    <t>30-08-2022 23:00</t>
  </si>
  <si>
    <t>30-08-2022 24:00</t>
  </si>
  <si>
    <t>31-08-2022 01:00</t>
  </si>
  <si>
    <t>31-08-2022 02:00</t>
  </si>
  <si>
    <t>31-08-2022 03:00</t>
  </si>
  <si>
    <t>31-08-2022 04:00</t>
  </si>
  <si>
    <t>31-08-2022 05:00</t>
  </si>
  <si>
    <t>31-08-2022 06:00</t>
  </si>
  <si>
    <t>31-08-2022 07:00</t>
  </si>
  <si>
    <t>31-08-2022 08:00</t>
  </si>
  <si>
    <t>31-08-2022 09:00</t>
  </si>
  <si>
    <t>31-08-2022 10:00</t>
  </si>
  <si>
    <t>31-08-2022 11:00</t>
  </si>
  <si>
    <t>31-08-2022 12:00</t>
  </si>
  <si>
    <t>31-08-2022 13:00</t>
  </si>
  <si>
    <t>31-08-2022 14:00</t>
  </si>
  <si>
    <t>31-08-2022 15:00</t>
  </si>
  <si>
    <t>31-08-2022 16:00</t>
  </si>
  <si>
    <t>31-08-2022 17:00</t>
  </si>
  <si>
    <t>31-08-2022 18:00</t>
  </si>
  <si>
    <t>31-08-2022 19:00</t>
  </si>
  <si>
    <t>31-08-2022 20:00</t>
  </si>
  <si>
    <t>31-08-2022 21:00</t>
  </si>
  <si>
    <t>31-08-2022 22:00</t>
  </si>
  <si>
    <t>31-08-2022 23:00</t>
  </si>
  <si>
    <t>31-08-2022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</si>
</sst>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8" fillId="7" borderId="1" xfId="0" applyFont="1" applyFill="1" applyBorder="1" applyAlignment="1">
      <alignment horizontal="center"/>
    </xf>
    <xf numFmtId="49" fontId="0" fillId="0" borderId="0" xfId="0" applyNumberFormat="1"/>
    <xf numFmtId="0" fontId="10" fillId="8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26" Type="http://schemas.openxmlformats.org/officeDocument/2006/relationships/worksheet" Target="worksheets/sheet24.xml" /><Relationship Id="rId35" Type="http://schemas.openxmlformats.org/officeDocument/2006/relationships/sharedStrings" Target="sharedStrings.xml" /><Relationship Id="rId17" Type="http://schemas.openxmlformats.org/officeDocument/2006/relationships/worksheet" Target="worksheets/sheet15.xml" /><Relationship Id="rId8" Type="http://schemas.openxmlformats.org/officeDocument/2006/relationships/worksheet" Target="worksheets/sheet6.xml" /><Relationship Id="rId29" Type="http://schemas.openxmlformats.org/officeDocument/2006/relationships/worksheet" Target="worksheets/sheet27.xml" /><Relationship Id="rId36" Type="http://schemas.openxmlformats.org/officeDocument/2006/relationships/calcChain" Target="calcChain.xml" /><Relationship Id="rId11" Type="http://schemas.openxmlformats.org/officeDocument/2006/relationships/worksheet" Target="worksheets/sheet9.xml" /><Relationship Id="rId32" Type="http://schemas.openxmlformats.org/officeDocument/2006/relationships/worksheet" Target="worksheets/sheet30.xml" /><Relationship Id="rId10" Type="http://schemas.openxmlformats.org/officeDocument/2006/relationships/worksheet" Target="worksheets/sheet8.xml" /><Relationship Id="rId16" Type="http://schemas.openxmlformats.org/officeDocument/2006/relationships/worksheet" Target="worksheets/sheet14.xml" /><Relationship Id="rId31" Type="http://schemas.openxmlformats.org/officeDocument/2006/relationships/worksheet" Target="worksheets/sheet29.xml" /><Relationship Id="rId23" Type="http://schemas.openxmlformats.org/officeDocument/2006/relationships/worksheet" Target="worksheets/sheet21.xml" /><Relationship Id="rId13" Type="http://schemas.openxmlformats.org/officeDocument/2006/relationships/worksheet" Target="worksheets/sheet11.xml" /><Relationship Id="rId7" Type="http://schemas.openxmlformats.org/officeDocument/2006/relationships/worksheet" Target="worksheets/sheet5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0" Type="http://schemas.openxmlformats.org/officeDocument/2006/relationships/worksheet" Target="worksheets/sheet28.xml" /><Relationship Id="rId15" Type="http://schemas.openxmlformats.org/officeDocument/2006/relationships/worksheet" Target="worksheets/sheet13.xml" /><Relationship Id="rId20" Type="http://schemas.openxmlformats.org/officeDocument/2006/relationships/worksheet" Target="worksheets/sheet18.xml" /><Relationship Id="rId24" Type="http://schemas.openxmlformats.org/officeDocument/2006/relationships/worksheet" Target="worksheets/sheet22.xml" /><Relationship Id="rId28" Type="http://schemas.openxmlformats.org/officeDocument/2006/relationships/worksheet" Target="worksheets/sheet26.xml" /><Relationship Id="rId21" Type="http://schemas.openxmlformats.org/officeDocument/2006/relationships/worksheet" Target="worksheets/sheet19.xml" /><Relationship Id="rId34" Type="http://schemas.openxmlformats.org/officeDocument/2006/relationships/worksheet" Target="worksheets/sheet32.xml" /><Relationship Id="rId14" Type="http://schemas.openxmlformats.org/officeDocument/2006/relationships/worksheet" Target="worksheets/sheet12.xml" /><Relationship Id="rId3" Type="http://schemas.openxmlformats.org/officeDocument/2006/relationships/worksheet" Target="worksheets/sheet1.xml" /><Relationship Id="rId27" Type="http://schemas.openxmlformats.org/officeDocument/2006/relationships/worksheet" Target="worksheets/sheet25.xml" /><Relationship Id="rId19" Type="http://schemas.openxmlformats.org/officeDocument/2006/relationships/worksheet" Target="worksheets/sheet17.xml" /><Relationship Id="rId25" Type="http://schemas.openxmlformats.org/officeDocument/2006/relationships/worksheet" Target="worksheets/sheet23.xml" /><Relationship Id="rId33" Type="http://schemas.openxmlformats.org/officeDocument/2006/relationships/worksheet" Target="worksheets/sheet31.xml" /><Relationship Id="rId9" Type="http://schemas.openxmlformats.org/officeDocument/2006/relationships/worksheet" Target="worksheets/sheet7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18" Type="http://schemas.openxmlformats.org/officeDocument/2006/relationships/worksheet" Target="worksheets/sheet16.xml" /><Relationship Id="rId4" Type="http://schemas.openxmlformats.org/officeDocument/2006/relationships/worksheet" Target="worksheets/sheet2.xml" /><Relationship Id="rId22" Type="http://schemas.openxmlformats.org/officeDocument/2006/relationships/worksheet" Target="worksheets/sheet2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9d2b4db-310e-4fb3-858d-4461b880cefe}">
  <sheetPr codeName=""/>
  <dimension ref="A1:U119"/>
  <sheetViews>
    <sheetView zoomScale="85" zoomScaleNormal="85" workbookViewId="0" topLeftCell="A1">
      <pane xSplit="2" ySplit="8" topLeftCell="C27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M38" sqref="M38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61</v>
      </c>
      <c r="B9" s="51">
        <v>28.92</v>
      </c>
      <c r="C9" s="51">
        <v>13.96</v>
      </c>
      <c r="D9" s="51">
        <v>42.61</v>
      </c>
      <c r="E9" s="51">
        <v>5.39</v>
      </c>
      <c r="F9" s="51">
        <v>0.28000000000000003</v>
      </c>
      <c r="G9" s="53" t="s">
        <v>8</v>
      </c>
      <c r="H9" s="51">
        <v>46.34</v>
      </c>
      <c r="I9" s="51">
        <v>11.32</v>
      </c>
      <c r="J9" s="51">
        <v>0.13</v>
      </c>
      <c r="K9" s="51">
        <v>314.58</v>
      </c>
      <c r="L9" s="8" t="s">
        <v>8</v>
      </c>
      <c r="M9" s="51">
        <v>92.02</v>
      </c>
      <c r="N9" s="51">
        <v>15</v>
      </c>
      <c r="O9" s="51">
        <v>0</v>
      </c>
      <c r="P9" s="51">
        <v>4.30</v>
      </c>
      <c r="Q9" s="51">
        <v>13.16</v>
      </c>
      <c r="R9" s="43"/>
      <c r="S9" s="43"/>
      <c r="T9" s="43"/>
      <c r="U9" s="43"/>
    </row>
    <row r="10" spans="1:21" s="11" customFormat="1" ht="15">
      <c r="A10" s="50" t="s">
        <v>62</v>
      </c>
      <c r="B10" s="51">
        <v>23.78</v>
      </c>
      <c r="C10" s="51">
        <v>13.5</v>
      </c>
      <c r="D10" s="51">
        <v>37.28</v>
      </c>
      <c r="E10" s="51">
        <v>5.89</v>
      </c>
      <c r="F10" s="51">
        <v>0.09</v>
      </c>
      <c r="G10" s="53" t="s">
        <v>8</v>
      </c>
      <c r="H10" s="51">
        <v>41.05</v>
      </c>
      <c r="I10" s="51">
        <v>10.57</v>
      </c>
      <c r="J10" s="51">
        <v>0.09</v>
      </c>
      <c r="K10" s="51">
        <v>278.83</v>
      </c>
      <c r="L10" s="8" t="s">
        <v>8</v>
      </c>
      <c r="M10" s="51">
        <v>96.65</v>
      </c>
      <c r="N10" s="51">
        <v>15</v>
      </c>
      <c r="O10" s="51">
        <v>0</v>
      </c>
      <c r="P10" s="51">
        <v>4.1100000000000003</v>
      </c>
      <c r="Q10" s="51">
        <v>11.47</v>
      </c>
      <c r="R10" s="43"/>
      <c r="S10" s="43"/>
      <c r="T10" s="43"/>
      <c r="U10" s="43"/>
    </row>
    <row r="11" spans="1:21" s="11" customFormat="1" ht="15">
      <c r="A11" s="50" t="s">
        <v>63</v>
      </c>
      <c r="B11" s="51">
        <v>20.41</v>
      </c>
      <c r="C11" s="51">
        <v>11.89</v>
      </c>
      <c r="D11" s="51">
        <v>32.200000000000003</v>
      </c>
      <c r="E11" s="51">
        <v>6.16</v>
      </c>
      <c r="F11" s="51">
        <v>0.08</v>
      </c>
      <c r="G11" s="53" t="s">
        <v>8</v>
      </c>
      <c r="H11" s="51">
        <v>39.53</v>
      </c>
      <c r="I11" s="51">
        <v>9.0399999999999991</v>
      </c>
      <c r="J11" s="51">
        <v>0.14000000000000001</v>
      </c>
      <c r="K11" s="51">
        <v>311.69</v>
      </c>
      <c r="L11" s="8" t="s">
        <v>8</v>
      </c>
      <c r="M11" s="51">
        <v>97.95</v>
      </c>
      <c r="N11" s="51">
        <v>15</v>
      </c>
      <c r="O11" s="51">
        <v>0</v>
      </c>
      <c r="P11" s="51">
        <v>3.98</v>
      </c>
      <c r="Q11" s="51">
        <v>8.9499999999999993</v>
      </c>
      <c r="R11" s="43"/>
      <c r="S11" s="43"/>
      <c r="T11" s="43"/>
      <c r="U11" s="43"/>
    </row>
    <row r="12" spans="1:21" s="11" customFormat="1" ht="15">
      <c r="A12" s="50" t="s">
        <v>64</v>
      </c>
      <c r="B12" s="51">
        <v>18.690000000000001</v>
      </c>
      <c r="C12" s="51">
        <v>11.25</v>
      </c>
      <c r="D12" s="51">
        <v>29.94</v>
      </c>
      <c r="E12" s="51">
        <v>6.46</v>
      </c>
      <c r="F12" s="51">
        <v>0.31</v>
      </c>
      <c r="G12" s="53" t="s">
        <v>8</v>
      </c>
      <c r="H12" s="51">
        <v>35.60</v>
      </c>
      <c r="I12" s="51">
        <v>9.0500000000000007</v>
      </c>
      <c r="J12" s="51">
        <v>0.10</v>
      </c>
      <c r="K12" s="51">
        <v>245.81</v>
      </c>
      <c r="L12" s="8" t="s">
        <v>8</v>
      </c>
      <c r="M12" s="51">
        <v>97.45</v>
      </c>
      <c r="N12" s="51">
        <v>15</v>
      </c>
      <c r="O12" s="51">
        <v>0</v>
      </c>
      <c r="P12" s="51">
        <v>3.91</v>
      </c>
      <c r="Q12" s="51">
        <v>9.1199999999999992</v>
      </c>
      <c r="R12" s="43"/>
      <c r="S12" s="43"/>
      <c r="T12" s="43"/>
      <c r="U12" s="43"/>
    </row>
    <row r="13" spans="1:21" s="11" customFormat="1" ht="15">
      <c r="A13" s="50" t="s">
        <v>65</v>
      </c>
      <c r="B13" s="51">
        <v>14.87</v>
      </c>
      <c r="C13" s="51">
        <v>11.53</v>
      </c>
      <c r="D13" s="51">
        <v>26.29</v>
      </c>
      <c r="E13" s="51">
        <v>6.28</v>
      </c>
      <c r="F13" s="51">
        <v>0.87</v>
      </c>
      <c r="G13" s="53" t="s">
        <v>8</v>
      </c>
      <c r="H13" s="51">
        <v>30.27</v>
      </c>
      <c r="I13" s="51">
        <v>8.76</v>
      </c>
      <c r="J13" s="51">
        <v>0.14000000000000001</v>
      </c>
      <c r="K13" s="51">
        <v>351.34</v>
      </c>
      <c r="L13" s="8" t="s">
        <v>8</v>
      </c>
      <c r="M13" s="51">
        <v>96.98</v>
      </c>
      <c r="N13" s="51">
        <v>15</v>
      </c>
      <c r="O13" s="51">
        <v>0</v>
      </c>
      <c r="P13" s="51">
        <v>3.75</v>
      </c>
      <c r="Q13" s="51">
        <v>8.67</v>
      </c>
      <c r="R13" s="43"/>
      <c r="S13" s="43"/>
      <c r="T13" s="43"/>
      <c r="U13" s="43"/>
    </row>
    <row r="14" spans="1:21" s="11" customFormat="1" ht="15">
      <c r="A14" s="50" t="s">
        <v>66</v>
      </c>
      <c r="B14" s="51">
        <v>15.85</v>
      </c>
      <c r="C14" s="51">
        <v>11.13</v>
      </c>
      <c r="D14" s="51">
        <v>26.86</v>
      </c>
      <c r="E14" s="51">
        <v>6.66</v>
      </c>
      <c r="F14" s="51">
        <v>0.21</v>
      </c>
      <c r="G14" s="53" t="s">
        <v>8</v>
      </c>
      <c r="H14" s="51">
        <v>29.30</v>
      </c>
      <c r="I14" s="51">
        <v>7.97</v>
      </c>
      <c r="J14" s="51">
        <v>0.13</v>
      </c>
      <c r="K14" s="51">
        <v>219.38</v>
      </c>
      <c r="L14" s="8" t="s">
        <v>8</v>
      </c>
      <c r="M14" s="51">
        <v>97.15</v>
      </c>
      <c r="N14" s="51">
        <v>28.30</v>
      </c>
      <c r="O14" s="51">
        <v>0</v>
      </c>
      <c r="P14" s="51">
        <v>3.71</v>
      </c>
      <c r="Q14" s="51">
        <v>7.89</v>
      </c>
      <c r="R14" s="43"/>
      <c r="S14" s="43"/>
      <c r="T14" s="43"/>
      <c r="U14" s="43"/>
    </row>
    <row r="15" spans="1:21" s="11" customFormat="1" ht="15">
      <c r="A15" s="50" t="s">
        <v>67</v>
      </c>
      <c r="B15" s="51">
        <v>15.53</v>
      </c>
      <c r="C15" s="51">
        <v>10.43</v>
      </c>
      <c r="D15" s="51">
        <v>25.72</v>
      </c>
      <c r="E15" s="51">
        <v>6.65</v>
      </c>
      <c r="F15" s="51">
        <v>0.13</v>
      </c>
      <c r="G15" s="53" t="s">
        <v>8</v>
      </c>
      <c r="H15" s="51">
        <v>26.72</v>
      </c>
      <c r="I15" s="51">
        <v>7.06</v>
      </c>
      <c r="J15" s="51">
        <v>0.41</v>
      </c>
      <c r="K15" s="51">
        <v>209.96</v>
      </c>
      <c r="L15" s="8" t="s">
        <v>8</v>
      </c>
      <c r="M15" s="51">
        <v>97.09</v>
      </c>
      <c r="N15" s="51">
        <v>126.90</v>
      </c>
      <c r="O15" s="51">
        <v>0</v>
      </c>
      <c r="P15" s="51">
        <v>3.64</v>
      </c>
      <c r="Q15" s="51">
        <v>7.43</v>
      </c>
      <c r="R15" s="43"/>
      <c r="S15" s="43"/>
      <c r="T15" s="43"/>
      <c r="U15" s="43"/>
    </row>
    <row r="16" spans="1:21" s="11" customFormat="1" ht="15">
      <c r="A16" s="50" t="s">
        <v>68</v>
      </c>
      <c r="B16" s="51">
        <v>14.40</v>
      </c>
      <c r="C16" s="51">
        <v>12.49</v>
      </c>
      <c r="D16" s="51">
        <v>25.63</v>
      </c>
      <c r="E16" s="51">
        <v>6.44</v>
      </c>
      <c r="F16" s="51">
        <v>0.36</v>
      </c>
      <c r="G16" s="53" t="s">
        <v>8</v>
      </c>
      <c r="H16" s="51">
        <v>25.73</v>
      </c>
      <c r="I16" s="51">
        <v>7.28</v>
      </c>
      <c r="J16" s="51">
        <v>0.15</v>
      </c>
      <c r="K16" s="51">
        <v>327.08999999999997</v>
      </c>
      <c r="L16" s="8" t="s">
        <v>8</v>
      </c>
      <c r="M16" s="51">
        <v>88.98</v>
      </c>
      <c r="N16" s="51">
        <v>284</v>
      </c>
      <c r="O16" s="51">
        <v>0</v>
      </c>
      <c r="P16" s="51">
        <v>3.56</v>
      </c>
      <c r="Q16" s="51">
        <v>8.2799999999999994</v>
      </c>
      <c r="R16" s="43"/>
      <c r="S16" s="43"/>
      <c r="T16" s="43"/>
      <c r="U16" s="43"/>
    </row>
    <row r="17" spans="1:21" s="11" customFormat="1" ht="15">
      <c r="A17" s="50" t="s">
        <v>69</v>
      </c>
      <c r="B17" s="51">
        <v>12.93</v>
      </c>
      <c r="C17" s="51">
        <v>15.15</v>
      </c>
      <c r="D17" s="51">
        <v>26.33</v>
      </c>
      <c r="E17" s="51">
        <v>6.01</v>
      </c>
      <c r="F17" s="51">
        <v>0.18</v>
      </c>
      <c r="G17" s="53" t="s">
        <v>8</v>
      </c>
      <c r="H17" s="51">
        <v>24.14</v>
      </c>
      <c r="I17" s="51">
        <v>7.03</v>
      </c>
      <c r="J17" s="51">
        <v>0.19</v>
      </c>
      <c r="K17" s="51">
        <v>352.30</v>
      </c>
      <c r="L17" s="8" t="s">
        <v>8</v>
      </c>
      <c r="M17" s="51">
        <v>79.69</v>
      </c>
      <c r="N17" s="51">
        <v>602.90</v>
      </c>
      <c r="O17" s="51">
        <v>0</v>
      </c>
      <c r="P17" s="51">
        <v>3.57</v>
      </c>
      <c r="Q17" s="51">
        <v>8.2200000000000006</v>
      </c>
      <c r="R17" s="43"/>
      <c r="S17" s="43"/>
      <c r="T17" s="43"/>
      <c r="U17" s="43"/>
    </row>
    <row r="18" spans="1:21" s="11" customFormat="1" ht="15">
      <c r="A18" s="50" t="s">
        <v>70</v>
      </c>
      <c r="B18" s="51">
        <v>9.15</v>
      </c>
      <c r="C18" s="51">
        <v>18.670000000000002</v>
      </c>
      <c r="D18" s="51">
        <v>25.06</v>
      </c>
      <c r="E18" s="51">
        <v>5.87</v>
      </c>
      <c r="F18" s="51">
        <v>0.76</v>
      </c>
      <c r="G18" s="53" t="s">
        <v>8</v>
      </c>
      <c r="H18" s="51">
        <v>29.33</v>
      </c>
      <c r="I18" s="51">
        <v>7.96</v>
      </c>
      <c r="J18" s="51">
        <v>0.16</v>
      </c>
      <c r="K18" s="51">
        <v>328.69</v>
      </c>
      <c r="L18" s="8" t="s">
        <v>8</v>
      </c>
      <c r="M18" s="51">
        <v>71.069999999999993</v>
      </c>
      <c r="N18" s="51">
        <v>602.60</v>
      </c>
      <c r="O18" s="51">
        <v>0</v>
      </c>
      <c r="P18" s="51">
        <v>3.66</v>
      </c>
      <c r="Q18" s="51">
        <v>6.24</v>
      </c>
      <c r="R18" s="43"/>
      <c r="S18" s="43"/>
      <c r="T18" s="43"/>
      <c r="U18" s="43"/>
    </row>
    <row r="19" spans="1:21" s="11" customFormat="1" ht="15">
      <c r="A19" s="50" t="s">
        <v>71</v>
      </c>
      <c r="B19" s="51">
        <v>3.56</v>
      </c>
      <c r="C19" s="51">
        <v>24.07</v>
      </c>
      <c r="D19" s="51">
        <v>25.45</v>
      </c>
      <c r="E19" s="51">
        <v>5.69</v>
      </c>
      <c r="F19" s="51">
        <v>9.19</v>
      </c>
      <c r="G19" s="53" t="s">
        <v>8</v>
      </c>
      <c r="H19" s="51">
        <v>32.340000000000003</v>
      </c>
      <c r="I19" s="51">
        <v>8.33</v>
      </c>
      <c r="J19" s="51">
        <v>0.45</v>
      </c>
      <c r="K19" s="51">
        <v>321.43</v>
      </c>
      <c r="L19" s="8" t="s">
        <v>8</v>
      </c>
      <c r="M19" s="51">
        <v>71.75</v>
      </c>
      <c r="N19" s="51">
        <v>366.10</v>
      </c>
      <c r="O19" s="51">
        <v>0</v>
      </c>
      <c r="P19" s="51">
        <v>3.69</v>
      </c>
      <c r="Q19" s="51">
        <v>5.15</v>
      </c>
      <c r="R19" s="43"/>
      <c r="S19" s="43"/>
      <c r="T19" s="43"/>
      <c r="U19" s="43"/>
    </row>
    <row r="20" spans="1:21" s="11" customFormat="1" ht="15">
      <c r="A20" s="50" t="s">
        <v>72</v>
      </c>
      <c r="B20" s="51">
        <v>7.40</v>
      </c>
      <c r="C20" s="51">
        <v>30.12</v>
      </c>
      <c r="D20" s="51">
        <v>37.520000000000003</v>
      </c>
      <c r="E20" s="51">
        <v>2.67</v>
      </c>
      <c r="F20" s="51">
        <v>3.61</v>
      </c>
      <c r="G20" s="53" t="s">
        <v>8</v>
      </c>
      <c r="H20" s="51">
        <v>33.78</v>
      </c>
      <c r="I20" s="51">
        <v>7.59</v>
      </c>
      <c r="J20" s="51">
        <v>1.48</v>
      </c>
      <c r="K20" s="51">
        <v>342.41</v>
      </c>
      <c r="L20" s="8" t="s">
        <v>8</v>
      </c>
      <c r="M20" s="51">
        <v>61.59</v>
      </c>
      <c r="N20" s="51">
        <v>496.30</v>
      </c>
      <c r="O20" s="51">
        <v>0</v>
      </c>
      <c r="P20" s="51">
        <v>3.73</v>
      </c>
      <c r="Q20" s="51">
        <v>7.92</v>
      </c>
      <c r="R20" s="43"/>
      <c r="S20" s="43"/>
      <c r="T20" s="43"/>
      <c r="U20" s="43"/>
    </row>
    <row r="21" spans="1:21" s="11" customFormat="1" ht="15">
      <c r="A21" s="50" t="s">
        <v>73</v>
      </c>
      <c r="B21" s="51">
        <v>6.03</v>
      </c>
      <c r="C21" s="51">
        <v>37.07</v>
      </c>
      <c r="D21" s="51">
        <v>41</v>
      </c>
      <c r="E21" s="51">
        <v>3.04</v>
      </c>
      <c r="F21" s="51">
        <v>2.56</v>
      </c>
      <c r="G21" s="53" t="s">
        <v>8</v>
      </c>
      <c r="H21" s="51">
        <v>39.159999999999997</v>
      </c>
      <c r="I21" s="51">
        <v>5.91</v>
      </c>
      <c r="J21" s="51">
        <v>0.95</v>
      </c>
      <c r="K21" s="51">
        <v>46.56</v>
      </c>
      <c r="L21" s="8" t="s">
        <v>8</v>
      </c>
      <c r="M21" s="51">
        <v>69.28</v>
      </c>
      <c r="N21" s="51">
        <v>455.30</v>
      </c>
      <c r="O21" s="51">
        <v>0</v>
      </c>
      <c r="P21" s="51">
        <v>3.85</v>
      </c>
      <c r="Q21" s="51">
        <v>8.1199999999999992</v>
      </c>
      <c r="R21" s="43"/>
      <c r="S21" s="43"/>
      <c r="T21" s="43"/>
      <c r="U21" s="43"/>
    </row>
    <row r="22" spans="1:21" s="11" customFormat="1" ht="15">
      <c r="A22" s="50" t="s">
        <v>74</v>
      </c>
      <c r="B22" s="51">
        <v>4.0199999999999996</v>
      </c>
      <c r="C22" s="51">
        <v>37.93</v>
      </c>
      <c r="D22" s="51">
        <v>41.52</v>
      </c>
      <c r="E22" s="51">
        <v>2.3199999999999998</v>
      </c>
      <c r="F22" s="51">
        <v>3.79</v>
      </c>
      <c r="G22" s="53" t="s">
        <v>8</v>
      </c>
      <c r="H22" s="51">
        <v>37.590000000000003</v>
      </c>
      <c r="I22" s="51">
        <v>6.45</v>
      </c>
      <c r="J22" s="51">
        <v>1.44</v>
      </c>
      <c r="K22" s="51">
        <v>356.26</v>
      </c>
      <c r="L22" s="8" t="s">
        <v>8</v>
      </c>
      <c r="M22" s="51">
        <v>63.17</v>
      </c>
      <c r="N22" s="51">
        <v>558.40</v>
      </c>
      <c r="O22" s="51">
        <v>0</v>
      </c>
      <c r="P22" s="51">
        <v>3.87</v>
      </c>
      <c r="Q22" s="51">
        <v>7.74</v>
      </c>
      <c r="R22" s="43"/>
      <c r="S22" s="43"/>
      <c r="T22" s="43"/>
      <c r="U22" s="43"/>
    </row>
    <row r="23" spans="1:21" s="11" customFormat="1" ht="15">
      <c r="A23" s="50" t="s">
        <v>75</v>
      </c>
      <c r="B23" s="51">
        <v>8.4499999999999993</v>
      </c>
      <c r="C23" s="51">
        <v>33.29</v>
      </c>
      <c r="D23" s="51">
        <v>35.86</v>
      </c>
      <c r="E23" s="51">
        <v>2.21</v>
      </c>
      <c r="F23" s="51">
        <v>1.82</v>
      </c>
      <c r="G23" s="53" t="s">
        <v>8</v>
      </c>
      <c r="H23" s="51">
        <v>33.299999999999997</v>
      </c>
      <c r="I23" s="51">
        <v>5.98</v>
      </c>
      <c r="J23" s="51">
        <v>1.43</v>
      </c>
      <c r="K23" s="51">
        <v>342.5</v>
      </c>
      <c r="L23" s="8" t="s">
        <v>8</v>
      </c>
      <c r="M23" s="51">
        <v>59.78</v>
      </c>
      <c r="N23" s="51">
        <v>417.60</v>
      </c>
      <c r="O23" s="51">
        <v>0</v>
      </c>
      <c r="P23" s="51">
        <v>3.72</v>
      </c>
      <c r="Q23" s="51">
        <v>8.14</v>
      </c>
      <c r="R23" s="43"/>
      <c r="S23" s="43"/>
      <c r="T23" s="43"/>
      <c r="U23" s="43"/>
    </row>
    <row r="24" spans="1:21" s="11" customFormat="1" ht="15">
      <c r="A24" s="50" t="s">
        <v>76</v>
      </c>
      <c r="B24" s="51">
        <v>9.52</v>
      </c>
      <c r="C24" s="51">
        <v>26.10</v>
      </c>
      <c r="D24" s="51">
        <v>35.29</v>
      </c>
      <c r="E24" s="51">
        <v>2.46</v>
      </c>
      <c r="F24" s="51">
        <v>0.62</v>
      </c>
      <c r="G24" s="53" t="s">
        <v>8</v>
      </c>
      <c r="H24" s="51">
        <v>31.95</v>
      </c>
      <c r="I24" s="51">
        <v>5.69</v>
      </c>
      <c r="J24" s="51">
        <v>1.19</v>
      </c>
      <c r="K24" s="51">
        <v>337.52</v>
      </c>
      <c r="L24" s="8" t="s">
        <v>8</v>
      </c>
      <c r="M24" s="51">
        <v>57.40</v>
      </c>
      <c r="N24" s="51">
        <v>398.20</v>
      </c>
      <c r="O24" s="51">
        <v>0</v>
      </c>
      <c r="P24" s="51">
        <v>3.64</v>
      </c>
      <c r="Q24" s="51">
        <v>8.36</v>
      </c>
      <c r="R24" s="43"/>
      <c r="S24" s="43"/>
      <c r="T24" s="43"/>
      <c r="U24" s="43"/>
    </row>
    <row r="25" spans="1:21" s="11" customFormat="1" ht="15">
      <c r="A25" s="50" t="s">
        <v>77</v>
      </c>
      <c r="B25" s="51">
        <v>7.37</v>
      </c>
      <c r="C25" s="51">
        <v>21.65</v>
      </c>
      <c r="D25" s="51">
        <v>28.04</v>
      </c>
      <c r="E25" s="51">
        <v>3.82</v>
      </c>
      <c r="F25" s="51">
        <v>0.57999999999999996</v>
      </c>
      <c r="G25" s="53" t="s">
        <v>8</v>
      </c>
      <c r="H25" s="51">
        <v>30.72</v>
      </c>
      <c r="I25" s="51">
        <v>5.13</v>
      </c>
      <c r="J25" s="51">
        <v>1</v>
      </c>
      <c r="K25" s="51">
        <v>346.24</v>
      </c>
      <c r="L25" s="8" t="s">
        <v>8</v>
      </c>
      <c r="M25" s="51">
        <v>60.35</v>
      </c>
      <c r="N25" s="51">
        <v>279.30</v>
      </c>
      <c r="O25" s="51">
        <v>0</v>
      </c>
      <c r="P25" s="51">
        <v>3.57</v>
      </c>
      <c r="Q25" s="51">
        <v>6.04</v>
      </c>
      <c r="R25" s="43"/>
      <c r="S25" s="43"/>
      <c r="T25" s="43"/>
      <c r="U25" s="43"/>
    </row>
    <row r="26" spans="1:21" s="11" customFormat="1" ht="15">
      <c r="A26" s="50" t="s">
        <v>78</v>
      </c>
      <c r="B26" s="51">
        <v>8.6199999999999992</v>
      </c>
      <c r="C26" s="51">
        <v>18.91</v>
      </c>
      <c r="D26" s="51">
        <v>26.89</v>
      </c>
      <c r="E26" s="51">
        <v>4.01</v>
      </c>
      <c r="F26" s="51">
        <v>0.42</v>
      </c>
      <c r="G26" s="53" t="s">
        <v>8</v>
      </c>
      <c r="H26" s="51">
        <v>28.38</v>
      </c>
      <c r="I26" s="51">
        <v>5.30</v>
      </c>
      <c r="J26" s="51">
        <v>0.85</v>
      </c>
      <c r="K26" s="51">
        <v>334.94</v>
      </c>
      <c r="L26" s="8" t="s">
        <v>8</v>
      </c>
      <c r="M26" s="51">
        <v>70.95</v>
      </c>
      <c r="N26" s="51">
        <v>118</v>
      </c>
      <c r="O26" s="51">
        <v>0</v>
      </c>
      <c r="P26" s="51">
        <v>3.59</v>
      </c>
      <c r="Q26" s="51">
        <v>5.57</v>
      </c>
      <c r="R26" s="43"/>
      <c r="S26" s="43"/>
      <c r="T26" s="43"/>
      <c r="U26" s="43"/>
    </row>
    <row r="27" spans="1:21" s="11" customFormat="1" ht="15">
      <c r="A27" s="50" t="s">
        <v>79</v>
      </c>
      <c r="B27" s="51">
        <v>11.79</v>
      </c>
      <c r="C27" s="51">
        <v>18.5</v>
      </c>
      <c r="D27" s="51">
        <v>30.29</v>
      </c>
      <c r="E27" s="51">
        <v>4.4000000000000004</v>
      </c>
      <c r="F27" s="51">
        <v>0.54</v>
      </c>
      <c r="G27" s="53" t="s">
        <v>8</v>
      </c>
      <c r="H27" s="51">
        <v>25.23</v>
      </c>
      <c r="I27" s="51">
        <v>5.58</v>
      </c>
      <c r="J27" s="51">
        <v>0.47</v>
      </c>
      <c r="K27" s="51">
        <v>359.36</v>
      </c>
      <c r="L27" s="8" t="s">
        <v>8</v>
      </c>
      <c r="M27" s="51">
        <v>72.58</v>
      </c>
      <c r="N27" s="51">
        <v>50.70</v>
      </c>
      <c r="O27" s="51">
        <v>0</v>
      </c>
      <c r="P27" s="51">
        <v>3.73</v>
      </c>
      <c r="Q27" s="51">
        <v>8.06</v>
      </c>
      <c r="R27" s="43"/>
      <c r="S27" s="43"/>
      <c r="T27" s="43"/>
      <c r="U27" s="43"/>
    </row>
    <row r="28" spans="1:21" s="11" customFormat="1" ht="15">
      <c r="A28" s="50" t="s">
        <v>80</v>
      </c>
      <c r="B28" s="51">
        <v>14.06</v>
      </c>
      <c r="C28" s="51">
        <v>18.54</v>
      </c>
      <c r="D28" s="51">
        <v>32.60</v>
      </c>
      <c r="E28" s="51">
        <v>4.6100000000000003</v>
      </c>
      <c r="F28" s="51">
        <v>0.33</v>
      </c>
      <c r="G28" s="53" t="s">
        <v>8</v>
      </c>
      <c r="H28" s="51">
        <v>26.92</v>
      </c>
      <c r="I28" s="51">
        <v>6.42</v>
      </c>
      <c r="J28" s="51">
        <v>0.26</v>
      </c>
      <c r="K28" s="51">
        <v>280.95</v>
      </c>
      <c r="L28" s="8" t="s">
        <v>8</v>
      </c>
      <c r="M28" s="51">
        <v>72.540000000000006</v>
      </c>
      <c r="N28" s="51">
        <v>15.10</v>
      </c>
      <c r="O28" s="51">
        <v>0</v>
      </c>
      <c r="P28" s="51">
        <v>3.86</v>
      </c>
      <c r="Q28" s="51">
        <v>8.7899999999999991</v>
      </c>
      <c r="R28" s="43"/>
      <c r="S28" s="43"/>
      <c r="T28" s="43"/>
      <c r="U28" s="43"/>
    </row>
    <row r="29" spans="1:21" s="11" customFormat="1" ht="15">
      <c r="A29" s="50" t="s">
        <v>81</v>
      </c>
      <c r="B29" s="51">
        <v>14.80</v>
      </c>
      <c r="C29" s="51">
        <v>16.54</v>
      </c>
      <c r="D29" s="51">
        <v>30.73</v>
      </c>
      <c r="E29" s="51">
        <v>5.97</v>
      </c>
      <c r="F29" s="51">
        <v>0.38</v>
      </c>
      <c r="G29" s="53" t="s">
        <v>8</v>
      </c>
      <c r="H29" s="51">
        <v>28.71</v>
      </c>
      <c r="I29" s="51">
        <v>7.09</v>
      </c>
      <c r="J29" s="51">
        <v>0.31</v>
      </c>
      <c r="K29" s="51">
        <v>326.48</v>
      </c>
      <c r="L29" s="8" t="s">
        <v>8</v>
      </c>
      <c r="M29" s="51">
        <v>74.95</v>
      </c>
      <c r="N29" s="51">
        <v>14.90</v>
      </c>
      <c r="O29" s="51">
        <v>0</v>
      </c>
      <c r="P29" s="51">
        <v>3.92</v>
      </c>
      <c r="Q29" s="51">
        <v>7.41</v>
      </c>
      <c r="R29" s="43"/>
      <c r="S29" s="43"/>
      <c r="T29" s="43"/>
      <c r="U29" s="43"/>
    </row>
    <row r="30" spans="1:21" s="11" customFormat="1" ht="15">
      <c r="A30" s="50" t="s">
        <v>82</v>
      </c>
      <c r="B30" s="51">
        <v>22.40</v>
      </c>
      <c r="C30" s="51">
        <v>17.82</v>
      </c>
      <c r="D30" s="51">
        <v>40.21</v>
      </c>
      <c r="E30" s="51">
        <v>6</v>
      </c>
      <c r="F30" s="51">
        <v>1.02</v>
      </c>
      <c r="G30" s="53" t="s">
        <v>8</v>
      </c>
      <c r="H30" s="51">
        <v>27.53</v>
      </c>
      <c r="I30" s="51">
        <v>8.3699999999999992</v>
      </c>
      <c r="J30" s="51">
        <v>0.21</v>
      </c>
      <c r="K30" s="51">
        <v>341.66</v>
      </c>
      <c r="L30" s="8" t="s">
        <v>8</v>
      </c>
      <c r="M30" s="51">
        <v>75.319999999999993</v>
      </c>
      <c r="N30" s="51">
        <v>15.20</v>
      </c>
      <c r="O30" s="51">
        <v>0</v>
      </c>
      <c r="P30" s="51">
        <v>4.1500000000000004</v>
      </c>
      <c r="Q30" s="51">
        <v>11.66</v>
      </c>
      <c r="R30" s="43"/>
      <c r="S30" s="43"/>
      <c r="T30" s="43"/>
      <c r="U30" s="43"/>
    </row>
    <row r="31" spans="1:21" s="11" customFormat="1" ht="15">
      <c r="A31" s="50" t="s">
        <v>83</v>
      </c>
      <c r="B31" s="51">
        <v>28.08</v>
      </c>
      <c r="C31" s="51">
        <v>18.57</v>
      </c>
      <c r="D31" s="51">
        <v>46.49</v>
      </c>
      <c r="E31" s="51">
        <v>6.27</v>
      </c>
      <c r="F31" s="51">
        <v>0.24</v>
      </c>
      <c r="G31" s="53" t="s">
        <v>8</v>
      </c>
      <c r="H31" s="51">
        <v>29.11</v>
      </c>
      <c r="I31" s="51">
        <v>8.91</v>
      </c>
      <c r="J31" s="51">
        <v>0.90</v>
      </c>
      <c r="K31" s="51">
        <v>107.86</v>
      </c>
      <c r="L31" s="8" t="s">
        <v>8</v>
      </c>
      <c r="M31" s="51">
        <v>76.64</v>
      </c>
      <c r="N31" s="51">
        <v>15.20</v>
      </c>
      <c r="O31" s="51">
        <v>0</v>
      </c>
      <c r="P31" s="51">
        <v>4.21</v>
      </c>
      <c r="Q31" s="51">
        <v>13.84</v>
      </c>
      <c r="R31" s="43"/>
      <c r="S31" s="43"/>
      <c r="T31" s="43"/>
      <c r="U31" s="43"/>
    </row>
    <row r="32" spans="1:21" s="11" customFormat="1" ht="15">
      <c r="A32" s="50" t="s">
        <v>84</v>
      </c>
      <c r="B32" s="51">
        <v>25.31</v>
      </c>
      <c r="C32" s="51">
        <v>17.75</v>
      </c>
      <c r="D32" s="51">
        <v>43.07</v>
      </c>
      <c r="E32" s="51">
        <v>6.5</v>
      </c>
      <c r="F32" s="51">
        <v>0.22</v>
      </c>
      <c r="G32" s="53" t="s">
        <v>8</v>
      </c>
      <c r="H32" s="51">
        <v>30.83</v>
      </c>
      <c r="I32" s="51">
        <v>9.1300000000000008</v>
      </c>
      <c r="J32" s="51">
        <v>1.38</v>
      </c>
      <c r="K32" s="51">
        <v>164.34</v>
      </c>
      <c r="L32" s="8" t="s">
        <v>8</v>
      </c>
      <c r="M32" s="51">
        <v>87.05</v>
      </c>
      <c r="N32" s="51">
        <v>15.30</v>
      </c>
      <c r="O32" s="51">
        <v>0</v>
      </c>
      <c r="P32" s="51">
        <v>4.12</v>
      </c>
      <c r="Q32" s="51">
        <v>12.71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3.5600000000000001</v>
      </c>
      <c r="C34" s="28">
        <f t="shared" si="0"/>
        <v>10.43</v>
      </c>
      <c r="D34" s="28">
        <f t="shared" si="0"/>
        <v>25.059999999999999</v>
      </c>
      <c r="E34" s="28">
        <f t="shared" si="0"/>
        <v>2.21</v>
      </c>
      <c r="F34" s="28">
        <f t="shared" si="0"/>
        <v>0.080000000000000002</v>
      </c>
      <c r="G34" s="28">
        <f t="shared" si="0"/>
        <v>0</v>
      </c>
      <c r="H34" s="28">
        <f>MIN(H9:H32)</f>
        <v>24.140000000000001</v>
      </c>
      <c r="I34" s="28">
        <f t="shared" si="0"/>
        <v>5.1299999999999999</v>
      </c>
      <c r="J34" s="28">
        <f t="shared" si="0"/>
        <v>0.089999999999999997</v>
      </c>
      <c r="K34" s="28">
        <f t="shared" si="0"/>
        <v>46.560000000000002</v>
      </c>
      <c r="L34" s="28">
        <f t="shared" si="0"/>
        <v>0</v>
      </c>
      <c r="M34" s="28">
        <f t="shared" si="0"/>
        <v>57.399999999999999</v>
      </c>
      <c r="N34" s="28">
        <f t="shared" si="0"/>
        <v>14.9</v>
      </c>
      <c r="O34" s="28">
        <f t="shared" si="0"/>
        <v>0</v>
      </c>
      <c r="P34" s="28">
        <f t="shared" si="0"/>
        <v>3.5600000000000001</v>
      </c>
      <c r="Q34" s="28">
        <f t="shared" si="0"/>
        <v>5.1500000000000004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28.920000000000002</v>
      </c>
      <c r="C35" s="29">
        <f t="shared" si="1"/>
        <v>37.93</v>
      </c>
      <c r="D35" s="29">
        <f t="shared" si="1"/>
        <v>46.490000000000002</v>
      </c>
      <c r="E35" s="29">
        <f t="shared" si="1"/>
        <v>6.6600000000000001</v>
      </c>
      <c r="F35" s="29">
        <f t="shared" si="1"/>
        <v>9.1899999999999995</v>
      </c>
      <c r="G35" s="29">
        <f>MAX(G9:G32)</f>
        <v>0</v>
      </c>
      <c r="H35" s="29">
        <f>MAX(H9:H32)</f>
        <v>46.340000000000003</v>
      </c>
      <c r="I35" s="29">
        <f t="shared" si="1"/>
        <v>11.32</v>
      </c>
      <c r="J35" s="29">
        <f t="shared" si="1"/>
        <v>1.48</v>
      </c>
      <c r="K35" s="29">
        <f t="shared" si="1"/>
        <v>359.36000000000001</v>
      </c>
      <c r="L35" s="29">
        <f t="shared" si="1"/>
        <v>0</v>
      </c>
      <c r="M35" s="29">
        <f t="shared" si="1"/>
        <v>97.950000000000003</v>
      </c>
      <c r="N35" s="29">
        <f t="shared" si="1"/>
        <v>602.89999999999998</v>
      </c>
      <c r="O35" s="29">
        <f t="shared" si="1"/>
        <v>0</v>
      </c>
      <c r="P35" s="29">
        <f t="shared" si="1"/>
        <v>4.2999999999999998</v>
      </c>
      <c r="Q35" s="29">
        <f t="shared" si="1"/>
        <v>13.84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14.414166666666667</v>
      </c>
      <c r="C36" s="28">
        <f t="shared" si="2"/>
        <v>19.452500000000004</v>
      </c>
      <c r="D36" s="28">
        <f t="shared" si="2"/>
        <v>33.036666666666669</v>
      </c>
      <c r="E36" s="28">
        <f t="shared" si="2"/>
        <v>5.0741666666666658</v>
      </c>
      <c r="F36" s="28">
        <f t="shared" si="2"/>
        <v>1.1912499999999997</v>
      </c>
      <c r="G36" s="28" t="e">
        <f t="shared" si="2"/>
        <v>#DIV/0!</v>
      </c>
      <c r="H36" s="28">
        <f>AVERAGE(H9:H32)</f>
        <v>31.815000000000001</v>
      </c>
      <c r="I36" s="28">
        <f t="shared" si="2"/>
        <v>7.580000000000001</v>
      </c>
      <c r="J36" s="28">
        <f t="shared" si="2"/>
        <v>0.58166666666666667</v>
      </c>
      <c r="K36" s="28">
        <f t="shared" si="2"/>
        <v>289.50749999999999</v>
      </c>
      <c r="L36" s="28" t="e">
        <f t="shared" si="2"/>
        <v>#DIV/0!</v>
      </c>
      <c r="M36" s="28">
        <f t="shared" si="2"/>
        <v>78.68249999999999</v>
      </c>
      <c r="N36" s="28">
        <f t="shared" si="2"/>
        <v>205.63750000000002</v>
      </c>
      <c r="O36" s="28">
        <f t="shared" si="2"/>
        <v>0</v>
      </c>
      <c r="P36" s="28">
        <f t="shared" si="2"/>
        <v>3.8266666666666667</v>
      </c>
      <c r="Q36" s="28">
        <f t="shared" si="2"/>
        <v>8.7058333333333326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7.3728915433596978</v>
      </c>
      <c r="C37" s="28">
        <f t="shared" si="3" ref="C37:Q37">STDEV(C9:C32)</f>
        <v>8.1170059001215851</v>
      </c>
      <c r="D37" s="28">
        <f t="shared" si="3"/>
        <v>6.7746975974010875</v>
      </c>
      <c r="E37" s="28">
        <f t="shared" si="3"/>
        <v>1.5479240422513381</v>
      </c>
      <c r="F37" s="28">
        <f t="shared" si="3"/>
        <v>1.9999506787396797</v>
      </c>
      <c r="G37" s="28" t="e">
        <f t="shared" si="3"/>
        <v>#DIV/0!</v>
      </c>
      <c r="H37" s="28">
        <f>STDEV(H9:H32)</f>
        <v>5.5839778559421491</v>
      </c>
      <c r="I37" s="28">
        <f t="shared" si="3"/>
        <v>1.6407129945346277</v>
      </c>
      <c r="J37" s="28">
        <f t="shared" si="3"/>
        <v>0.50729175780435443</v>
      </c>
      <c r="K37" s="28">
        <f t="shared" si="3"/>
        <v>83.535746331839448</v>
      </c>
      <c r="L37" s="28" t="e">
        <f t="shared" si="3"/>
        <v>#DIV/0!</v>
      </c>
      <c r="M37" s="28">
        <f t="shared" si="3"/>
        <v>13.915329754408106</v>
      </c>
      <c r="N37" s="28">
        <f t="shared" si="3"/>
        <v>222.48318317005049</v>
      </c>
      <c r="O37" s="28">
        <f t="shared" si="3"/>
        <v>0</v>
      </c>
      <c r="P37" s="28">
        <f t="shared" si="3"/>
        <v>0.21959778779804937</v>
      </c>
      <c r="Q37" s="28">
        <f t="shared" si="3"/>
        <v>2.2997597543083139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7b316b-f529-4882-94bc-eed33e0f3dff}">
  <sheetPr codeName=""/>
  <dimension ref="A1:U119"/>
  <sheetViews>
    <sheetView zoomScale="85" zoomScaleNormal="85" workbookViewId="0" topLeftCell="A1">
      <pane xSplit="2" ySplit="8" topLeftCell="C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L38" sqref="L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2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85</v>
      </c>
      <c r="B9" s="51">
        <v>20.69</v>
      </c>
      <c r="C9" s="51">
        <v>14.76</v>
      </c>
      <c r="D9" s="51">
        <v>35.450000000000003</v>
      </c>
      <c r="E9" s="51">
        <v>5.73</v>
      </c>
      <c r="F9" s="51">
        <v>1.41</v>
      </c>
      <c r="G9" s="53" t="s">
        <v>8</v>
      </c>
      <c r="H9" s="51">
        <v>29.26</v>
      </c>
      <c r="I9" s="51">
        <v>8.73</v>
      </c>
      <c r="J9" s="51">
        <v>0.66</v>
      </c>
      <c r="K9" s="51">
        <v>177.55</v>
      </c>
      <c r="L9" s="8" t="s">
        <v>8</v>
      </c>
      <c r="M9" s="51">
        <v>88.82</v>
      </c>
      <c r="N9" s="51">
        <v>15.10</v>
      </c>
      <c r="O9" s="51">
        <v>0</v>
      </c>
      <c r="P9" s="51">
        <v>3.96</v>
      </c>
      <c r="Q9" s="51">
        <v>9.81</v>
      </c>
      <c r="R9" s="43"/>
      <c r="S9" s="43"/>
      <c r="T9" s="43"/>
      <c r="U9" s="43"/>
    </row>
    <row r="10" spans="1:21" s="11" customFormat="1" ht="15">
      <c r="A10" s="50" t="s">
        <v>86</v>
      </c>
      <c r="B10" s="51">
        <v>16</v>
      </c>
      <c r="C10" s="51">
        <v>13.25</v>
      </c>
      <c r="D10" s="51">
        <v>29.25</v>
      </c>
      <c r="E10" s="51">
        <v>5.70</v>
      </c>
      <c r="F10" s="51">
        <v>0.070000000000000007</v>
      </c>
      <c r="G10" s="53" t="s">
        <v>8</v>
      </c>
      <c r="H10" s="51">
        <v>24.96</v>
      </c>
      <c r="I10" s="51">
        <v>7.89</v>
      </c>
      <c r="J10" s="51">
        <v>0.25</v>
      </c>
      <c r="K10" s="51">
        <v>213.86</v>
      </c>
      <c r="L10" s="8" t="s">
        <v>8</v>
      </c>
      <c r="M10" s="51">
        <v>90.77</v>
      </c>
      <c r="N10" s="51">
        <v>15</v>
      </c>
      <c r="O10" s="51">
        <v>0</v>
      </c>
      <c r="P10" s="51">
        <v>3.81</v>
      </c>
      <c r="Q10" s="51">
        <v>8.68</v>
      </c>
      <c r="R10" s="43"/>
      <c r="S10" s="43"/>
      <c r="T10" s="43"/>
      <c r="U10" s="43"/>
    </row>
    <row r="11" spans="1:21" s="11" customFormat="1" ht="15">
      <c r="A11" s="50" t="s">
        <v>87</v>
      </c>
      <c r="B11" s="51">
        <v>9.5399999999999991</v>
      </c>
      <c r="C11" s="51">
        <v>12.54</v>
      </c>
      <c r="D11" s="51">
        <v>22.04</v>
      </c>
      <c r="E11" s="51">
        <v>5.54</v>
      </c>
      <c r="F11" s="51">
        <v>0.33</v>
      </c>
      <c r="G11" s="53" t="s">
        <v>8</v>
      </c>
      <c r="H11" s="51">
        <v>23.08</v>
      </c>
      <c r="I11" s="51">
        <v>6.89</v>
      </c>
      <c r="J11" s="51">
        <v>1.43</v>
      </c>
      <c r="K11" s="51">
        <v>194.42</v>
      </c>
      <c r="L11" s="8" t="s">
        <v>8</v>
      </c>
      <c r="M11" s="51">
        <v>93.99</v>
      </c>
      <c r="N11" s="51">
        <v>14.90</v>
      </c>
      <c r="O11" s="51">
        <v>0</v>
      </c>
      <c r="P11" s="51">
        <v>3.60</v>
      </c>
      <c r="Q11" s="51">
        <v>7.39</v>
      </c>
      <c r="R11" s="43"/>
      <c r="S11" s="43"/>
      <c r="T11" s="43"/>
      <c r="U11" s="43"/>
    </row>
    <row r="12" spans="1:21" s="11" customFormat="1" ht="15">
      <c r="A12" s="50" t="s">
        <v>88</v>
      </c>
      <c r="B12" s="51">
        <v>6.11</v>
      </c>
      <c r="C12" s="51">
        <v>11.88</v>
      </c>
      <c r="D12" s="51">
        <v>17.989999999999998</v>
      </c>
      <c r="E12" s="51">
        <v>5.62</v>
      </c>
      <c r="F12" s="51">
        <v>0.77</v>
      </c>
      <c r="G12" s="53" t="s">
        <v>8</v>
      </c>
      <c r="H12" s="51">
        <v>19.61</v>
      </c>
      <c r="I12" s="51">
        <v>5.99</v>
      </c>
      <c r="J12" s="51">
        <v>0.41</v>
      </c>
      <c r="K12" s="51">
        <v>188.58</v>
      </c>
      <c r="L12" s="8" t="s">
        <v>8</v>
      </c>
      <c r="M12" s="51">
        <v>94.72</v>
      </c>
      <c r="N12" s="51">
        <v>14.90</v>
      </c>
      <c r="O12" s="51">
        <v>0</v>
      </c>
      <c r="P12" s="51">
        <v>3.48</v>
      </c>
      <c r="Q12" s="51">
        <v>5.22</v>
      </c>
      <c r="R12" s="43"/>
      <c r="S12" s="43"/>
      <c r="T12" s="43"/>
      <c r="U12" s="43"/>
    </row>
    <row r="13" spans="1:21" s="11" customFormat="1" ht="15">
      <c r="A13" s="50" t="s">
        <v>89</v>
      </c>
      <c r="B13" s="51">
        <v>5.71</v>
      </c>
      <c r="C13" s="51">
        <v>10.36</v>
      </c>
      <c r="D13" s="51">
        <v>16.059999999999999</v>
      </c>
      <c r="E13" s="51">
        <v>5.98</v>
      </c>
      <c r="F13" s="51">
        <v>0.5</v>
      </c>
      <c r="G13" s="53" t="s">
        <v>8</v>
      </c>
      <c r="H13" s="51">
        <v>16.690000000000001</v>
      </c>
      <c r="I13" s="51">
        <v>5.44</v>
      </c>
      <c r="J13" s="51">
        <v>0.11</v>
      </c>
      <c r="K13" s="51">
        <v>248.55</v>
      </c>
      <c r="L13" s="8" t="s">
        <v>8</v>
      </c>
      <c r="M13" s="51">
        <v>93.02</v>
      </c>
      <c r="N13" s="51">
        <v>15</v>
      </c>
      <c r="O13" s="51">
        <v>0</v>
      </c>
      <c r="P13" s="51">
        <v>3.43</v>
      </c>
      <c r="Q13" s="51">
        <v>4.9000000000000004</v>
      </c>
      <c r="R13" s="43"/>
      <c r="S13" s="43"/>
      <c r="T13" s="43"/>
      <c r="U13" s="43"/>
    </row>
    <row r="14" spans="1:21" s="11" customFormat="1" ht="15">
      <c r="A14" s="50" t="s">
        <v>90</v>
      </c>
      <c r="B14" s="51">
        <v>4.97</v>
      </c>
      <c r="C14" s="51">
        <v>10.66</v>
      </c>
      <c r="D14" s="51">
        <v>15.18</v>
      </c>
      <c r="E14" s="51">
        <v>6.25</v>
      </c>
      <c r="F14" s="51">
        <v>0.78</v>
      </c>
      <c r="G14" s="53" t="s">
        <v>8</v>
      </c>
      <c r="H14" s="51">
        <v>16.27</v>
      </c>
      <c r="I14" s="51">
        <v>5.36</v>
      </c>
      <c r="J14" s="51">
        <v>0.25</v>
      </c>
      <c r="K14" s="51">
        <v>241.77</v>
      </c>
      <c r="L14" s="8" t="s">
        <v>8</v>
      </c>
      <c r="M14" s="51">
        <v>91.18</v>
      </c>
      <c r="N14" s="51">
        <v>30.40</v>
      </c>
      <c r="O14" s="51">
        <v>0</v>
      </c>
      <c r="P14" s="51">
        <v>3.35</v>
      </c>
      <c r="Q14" s="51">
        <v>5.43</v>
      </c>
      <c r="R14" s="43"/>
      <c r="S14" s="43"/>
      <c r="T14" s="43"/>
      <c r="U14" s="43"/>
    </row>
    <row r="15" spans="1:21" s="11" customFormat="1" ht="15">
      <c r="A15" s="50" t="s">
        <v>91</v>
      </c>
      <c r="B15" s="51">
        <v>4.55</v>
      </c>
      <c r="C15" s="51">
        <v>11.37</v>
      </c>
      <c r="D15" s="51">
        <v>15.91</v>
      </c>
      <c r="E15" s="51">
        <v>5.23</v>
      </c>
      <c r="F15" s="51">
        <v>0.15</v>
      </c>
      <c r="G15" s="53" t="s">
        <v>8</v>
      </c>
      <c r="H15" s="51">
        <v>16.87</v>
      </c>
      <c r="I15" s="51">
        <v>4.87</v>
      </c>
      <c r="J15" s="51">
        <v>0.10</v>
      </c>
      <c r="K15" s="51">
        <v>340.98</v>
      </c>
      <c r="L15" s="8" t="s">
        <v>8</v>
      </c>
      <c r="M15" s="51">
        <v>90.24</v>
      </c>
      <c r="N15" s="51">
        <v>144.69999999999999</v>
      </c>
      <c r="O15" s="51">
        <v>0</v>
      </c>
      <c r="P15" s="51">
        <v>3.30</v>
      </c>
      <c r="Q15" s="51">
        <v>4.99</v>
      </c>
      <c r="R15" s="43"/>
      <c r="S15" s="43"/>
      <c r="T15" s="43"/>
      <c r="U15" s="43"/>
    </row>
    <row r="16" spans="1:21" s="11" customFormat="1" ht="15">
      <c r="A16" s="50" t="s">
        <v>92</v>
      </c>
      <c r="B16" s="51">
        <v>6.63</v>
      </c>
      <c r="C16" s="51">
        <v>11.63</v>
      </c>
      <c r="D16" s="51">
        <v>18.260000000000002</v>
      </c>
      <c r="E16" s="51">
        <v>5.79</v>
      </c>
      <c r="F16" s="51">
        <v>0.16</v>
      </c>
      <c r="G16" s="53" t="s">
        <v>8</v>
      </c>
      <c r="H16" s="51">
        <v>15.41</v>
      </c>
      <c r="I16" s="51">
        <v>4.92</v>
      </c>
      <c r="J16" s="51">
        <v>0.28999999999999998</v>
      </c>
      <c r="K16" s="51">
        <v>318.38</v>
      </c>
      <c r="L16" s="8" t="s">
        <v>8</v>
      </c>
      <c r="M16" s="51">
        <v>85.83</v>
      </c>
      <c r="N16" s="51">
        <v>296.60000000000002</v>
      </c>
      <c r="O16" s="51">
        <v>0</v>
      </c>
      <c r="P16" s="51">
        <v>3.33</v>
      </c>
      <c r="Q16" s="51">
        <v>4.71</v>
      </c>
      <c r="R16" s="43"/>
      <c r="S16" s="43"/>
      <c r="T16" s="43"/>
      <c r="U16" s="43"/>
    </row>
    <row r="17" spans="1:21" s="11" customFormat="1" ht="15">
      <c r="A17" s="50" t="s">
        <v>93</v>
      </c>
      <c r="B17" s="51">
        <v>8.31</v>
      </c>
      <c r="C17" s="51">
        <v>13.68</v>
      </c>
      <c r="D17" s="51">
        <v>21.99</v>
      </c>
      <c r="E17" s="51">
        <v>4.5999999999999996</v>
      </c>
      <c r="F17" s="51">
        <v>0.44</v>
      </c>
      <c r="G17" s="53" t="s">
        <v>8</v>
      </c>
      <c r="H17" s="51">
        <v>18.63</v>
      </c>
      <c r="I17" s="51">
        <v>5.27</v>
      </c>
      <c r="J17" s="51">
        <v>0.27</v>
      </c>
      <c r="K17" s="51">
        <v>322.02999999999997</v>
      </c>
      <c r="L17" s="8" t="s">
        <v>8</v>
      </c>
      <c r="M17" s="51">
        <v>78.569999999999993</v>
      </c>
      <c r="N17" s="51">
        <v>306.60000000000002</v>
      </c>
      <c r="O17" s="51">
        <v>0</v>
      </c>
      <c r="P17" s="51">
        <v>3.40</v>
      </c>
      <c r="Q17" s="51">
        <v>6.92</v>
      </c>
      <c r="R17" s="43"/>
      <c r="S17" s="43"/>
      <c r="T17" s="43"/>
      <c r="U17" s="43"/>
    </row>
    <row r="18" spans="1:21" s="11" customFormat="1" ht="15">
      <c r="A18" s="50" t="s">
        <v>94</v>
      </c>
      <c r="B18" s="51">
        <v>8.06</v>
      </c>
      <c r="C18" s="51">
        <v>17.02</v>
      </c>
      <c r="D18" s="51">
        <v>24.33</v>
      </c>
      <c r="E18" s="51">
        <v>4.72</v>
      </c>
      <c r="F18" s="51">
        <v>0.57999999999999996</v>
      </c>
      <c r="G18" s="53" t="s">
        <v>8</v>
      </c>
      <c r="H18" s="51">
        <v>21.30</v>
      </c>
      <c r="I18" s="51">
        <v>5.41</v>
      </c>
      <c r="J18" s="51">
        <v>0.43</v>
      </c>
      <c r="K18" s="51">
        <v>329.09</v>
      </c>
      <c r="L18" s="8" t="s">
        <v>8</v>
      </c>
      <c r="M18" s="51">
        <v>78.98</v>
      </c>
      <c r="N18" s="51">
        <v>400.20</v>
      </c>
      <c r="O18" s="51">
        <v>0</v>
      </c>
      <c r="P18" s="51">
        <v>3.47</v>
      </c>
      <c r="Q18" s="51">
        <v>7.12</v>
      </c>
      <c r="R18" s="43"/>
      <c r="S18" s="43"/>
      <c r="T18" s="43"/>
      <c r="U18" s="43"/>
    </row>
    <row r="19" spans="1:21" s="11" customFormat="1" ht="15">
      <c r="A19" s="50" t="s">
        <v>95</v>
      </c>
      <c r="B19" s="51">
        <v>7.51</v>
      </c>
      <c r="C19" s="51">
        <v>17.82</v>
      </c>
      <c r="D19" s="51">
        <v>25.20</v>
      </c>
      <c r="E19" s="51">
        <v>4.47</v>
      </c>
      <c r="F19" s="51">
        <v>1.1399999999999999</v>
      </c>
      <c r="G19" s="53" t="s">
        <v>8</v>
      </c>
      <c r="H19" s="51">
        <v>22.74</v>
      </c>
      <c r="I19" s="51">
        <v>5.62</v>
      </c>
      <c r="J19" s="51">
        <v>0.98</v>
      </c>
      <c r="K19" s="51">
        <v>347.19</v>
      </c>
      <c r="L19" s="8" t="s">
        <v>8</v>
      </c>
      <c r="M19" s="51">
        <v>66.290000000000006</v>
      </c>
      <c r="N19" s="51">
        <v>650.29999999999995</v>
      </c>
      <c r="O19" s="51">
        <v>0</v>
      </c>
      <c r="P19" s="51">
        <v>3.54</v>
      </c>
      <c r="Q19" s="51">
        <v>6.65</v>
      </c>
      <c r="R19" s="43"/>
      <c r="S19" s="43"/>
      <c r="T19" s="43"/>
      <c r="U19" s="43"/>
    </row>
    <row r="20" spans="1:21" s="11" customFormat="1" ht="15">
      <c r="A20" s="50" t="s">
        <v>96</v>
      </c>
      <c r="B20" s="51">
        <v>7.65</v>
      </c>
      <c r="C20" s="51">
        <v>18.87</v>
      </c>
      <c r="D20" s="51">
        <v>26.03</v>
      </c>
      <c r="E20" s="51">
        <v>4.6399999999999997</v>
      </c>
      <c r="F20" s="51">
        <v>0.70</v>
      </c>
      <c r="G20" s="53" t="s">
        <v>8</v>
      </c>
      <c r="H20" s="51">
        <v>22.12</v>
      </c>
      <c r="I20" s="51">
        <v>5.81</v>
      </c>
      <c r="J20" s="51">
        <v>1.06</v>
      </c>
      <c r="K20" s="51">
        <v>340.84</v>
      </c>
      <c r="L20" s="8" t="s">
        <v>8</v>
      </c>
      <c r="M20" s="51">
        <v>58.5</v>
      </c>
      <c r="N20" s="51">
        <v>694.70</v>
      </c>
      <c r="O20" s="51">
        <v>0</v>
      </c>
      <c r="P20" s="51">
        <v>3.57</v>
      </c>
      <c r="Q20" s="51">
        <v>6.19</v>
      </c>
      <c r="R20" s="43"/>
      <c r="S20" s="43"/>
      <c r="T20" s="43"/>
      <c r="U20" s="43"/>
    </row>
    <row r="21" spans="1:21" s="11" customFormat="1" ht="15">
      <c r="A21" s="50" t="s">
        <v>97</v>
      </c>
      <c r="B21" s="51">
        <v>5.97</v>
      </c>
      <c r="C21" s="51">
        <v>19.80</v>
      </c>
      <c r="D21" s="51">
        <v>25.06</v>
      </c>
      <c r="E21" s="51">
        <v>4.8499999999999996</v>
      </c>
      <c r="F21" s="51">
        <v>1.02</v>
      </c>
      <c r="G21" s="53" t="s">
        <v>8</v>
      </c>
      <c r="H21" s="51">
        <v>20.100000000000001</v>
      </c>
      <c r="I21" s="51">
        <v>5.74</v>
      </c>
      <c r="J21" s="51">
        <v>0.77</v>
      </c>
      <c r="K21" s="51">
        <v>319.93</v>
      </c>
      <c r="L21" s="8" t="s">
        <v>8</v>
      </c>
      <c r="M21" s="51">
        <v>54.24</v>
      </c>
      <c r="N21" s="51">
        <v>695.80</v>
      </c>
      <c r="O21" s="51">
        <v>0</v>
      </c>
      <c r="P21" s="51">
        <v>3.56</v>
      </c>
      <c r="Q21" s="51">
        <v>7.03</v>
      </c>
      <c r="R21" s="43"/>
      <c r="S21" s="43"/>
      <c r="T21" s="43"/>
      <c r="U21" s="43"/>
    </row>
    <row r="22" spans="1:21" s="11" customFormat="1" ht="15">
      <c r="A22" s="50" t="s">
        <v>98</v>
      </c>
      <c r="B22" s="51">
        <v>4.3499999999999996</v>
      </c>
      <c r="C22" s="51">
        <v>20.04</v>
      </c>
      <c r="D22" s="51">
        <v>24.29</v>
      </c>
      <c r="E22" s="51">
        <v>4.16</v>
      </c>
      <c r="F22" s="51">
        <v>0.95</v>
      </c>
      <c r="G22" s="53" t="s">
        <v>8</v>
      </c>
      <c r="H22" s="51">
        <v>22.07</v>
      </c>
      <c r="I22" s="51">
        <v>5.37</v>
      </c>
      <c r="J22" s="51">
        <v>0.73</v>
      </c>
      <c r="K22" s="51">
        <v>319.16000000000003</v>
      </c>
      <c r="L22" s="8" t="s">
        <v>8</v>
      </c>
      <c r="M22" s="51">
        <v>52.59</v>
      </c>
      <c r="N22" s="51">
        <v>695.10</v>
      </c>
      <c r="O22" s="51">
        <v>0</v>
      </c>
      <c r="P22" s="51">
        <v>3.54</v>
      </c>
      <c r="Q22" s="51">
        <v>7.11</v>
      </c>
      <c r="R22" s="43"/>
      <c r="S22" s="43"/>
      <c r="T22" s="43"/>
      <c r="U22" s="43"/>
    </row>
    <row r="23" spans="1:21" s="11" customFormat="1" ht="15">
      <c r="A23" s="50" t="s">
        <v>99</v>
      </c>
      <c r="B23" s="51">
        <v>3.25</v>
      </c>
      <c r="C23" s="51">
        <v>19.38</v>
      </c>
      <c r="D23" s="51">
        <v>22.63</v>
      </c>
      <c r="E23" s="51">
        <v>4.1500000000000004</v>
      </c>
      <c r="F23" s="51">
        <v>0.89</v>
      </c>
      <c r="G23" s="53" t="s">
        <v>8</v>
      </c>
      <c r="H23" s="51">
        <v>21.89</v>
      </c>
      <c r="I23" s="51">
        <v>4.91</v>
      </c>
      <c r="J23" s="51">
        <v>1.42</v>
      </c>
      <c r="K23" s="51">
        <v>318.39999999999998</v>
      </c>
      <c r="L23" s="8" t="s">
        <v>8</v>
      </c>
      <c r="M23" s="51">
        <v>51.40</v>
      </c>
      <c r="N23" s="51">
        <v>610.79999999999995</v>
      </c>
      <c r="O23" s="51">
        <v>0</v>
      </c>
      <c r="P23" s="51">
        <v>3.47</v>
      </c>
      <c r="Q23" s="51">
        <v>5.22</v>
      </c>
      <c r="R23" s="43"/>
      <c r="S23" s="43"/>
      <c r="T23" s="43"/>
      <c r="U23" s="43"/>
    </row>
    <row r="24" spans="1:21" s="11" customFormat="1" ht="15">
      <c r="A24" s="50" t="s">
        <v>100</v>
      </c>
      <c r="B24" s="51">
        <v>4.66</v>
      </c>
      <c r="C24" s="51">
        <v>17.98</v>
      </c>
      <c r="D24" s="51">
        <v>22.01</v>
      </c>
      <c r="E24" s="51">
        <v>4.4400000000000004</v>
      </c>
      <c r="F24" s="51">
        <v>0.86</v>
      </c>
      <c r="G24" s="53" t="s">
        <v>8</v>
      </c>
      <c r="H24" s="51">
        <v>24.49</v>
      </c>
      <c r="I24" s="51">
        <v>4.59</v>
      </c>
      <c r="J24" s="51">
        <v>1.35</v>
      </c>
      <c r="K24" s="51">
        <v>328.01</v>
      </c>
      <c r="L24" s="8" t="s">
        <v>8</v>
      </c>
      <c r="M24" s="51">
        <v>54.23</v>
      </c>
      <c r="N24" s="51">
        <v>424.30</v>
      </c>
      <c r="O24" s="51">
        <v>0</v>
      </c>
      <c r="P24" s="51">
        <v>3.45</v>
      </c>
      <c r="Q24" s="51">
        <v>5.26</v>
      </c>
      <c r="R24" s="43"/>
      <c r="S24" s="43"/>
      <c r="T24" s="43"/>
      <c r="U24" s="43"/>
    </row>
    <row r="25" spans="1:21" s="11" customFormat="1" ht="15">
      <c r="A25" s="50" t="s">
        <v>101</v>
      </c>
      <c r="B25" s="51">
        <v>4.78</v>
      </c>
      <c r="C25" s="51">
        <v>17.5</v>
      </c>
      <c r="D25" s="51">
        <v>22.16</v>
      </c>
      <c r="E25" s="51">
        <v>4.93</v>
      </c>
      <c r="F25" s="51">
        <v>1.49</v>
      </c>
      <c r="G25" s="53" t="s">
        <v>8</v>
      </c>
      <c r="H25" s="51">
        <v>24.38</v>
      </c>
      <c r="I25" s="51">
        <v>4.43</v>
      </c>
      <c r="J25" s="51">
        <v>1.02</v>
      </c>
      <c r="K25" s="51">
        <v>333.16</v>
      </c>
      <c r="L25" s="8" t="s">
        <v>8</v>
      </c>
      <c r="M25" s="51">
        <v>56.73</v>
      </c>
      <c r="N25" s="51">
        <v>349.5</v>
      </c>
      <c r="O25" s="51">
        <v>0</v>
      </c>
      <c r="P25" s="51">
        <v>3.44</v>
      </c>
      <c r="Q25" s="51">
        <v>6.27</v>
      </c>
      <c r="R25" s="43"/>
      <c r="S25" s="43"/>
      <c r="T25" s="43"/>
      <c r="U25" s="43"/>
    </row>
    <row r="26" spans="1:21" s="11" customFormat="1" ht="15">
      <c r="A26" s="50" t="s">
        <v>102</v>
      </c>
      <c r="B26" s="51">
        <v>8.2899999999999991</v>
      </c>
      <c r="C26" s="51">
        <v>18.59</v>
      </c>
      <c r="D26" s="51">
        <v>26.28</v>
      </c>
      <c r="E26" s="51">
        <v>4.8499999999999996</v>
      </c>
      <c r="F26" s="51">
        <v>0.44</v>
      </c>
      <c r="G26" s="53" t="s">
        <v>8</v>
      </c>
      <c r="H26" s="51">
        <v>23.23</v>
      </c>
      <c r="I26" s="51">
        <v>4.29</v>
      </c>
      <c r="J26" s="51">
        <v>0.70</v>
      </c>
      <c r="K26" s="51">
        <v>335.11</v>
      </c>
      <c r="L26" s="8" t="s">
        <v>8</v>
      </c>
      <c r="M26" s="51">
        <v>59.31</v>
      </c>
      <c r="N26" s="51">
        <v>152.5</v>
      </c>
      <c r="O26" s="51">
        <v>0</v>
      </c>
      <c r="P26" s="51">
        <v>3.5</v>
      </c>
      <c r="Q26" s="51">
        <v>6.51</v>
      </c>
      <c r="R26" s="43"/>
      <c r="S26" s="43"/>
      <c r="T26" s="43"/>
      <c r="U26" s="43"/>
    </row>
    <row r="27" spans="1:21" s="11" customFormat="1" ht="15">
      <c r="A27" s="50" t="s">
        <v>103</v>
      </c>
      <c r="B27" s="51">
        <v>12.03</v>
      </c>
      <c r="C27" s="51">
        <v>18.12</v>
      </c>
      <c r="D27" s="51">
        <v>30.05</v>
      </c>
      <c r="E27" s="51">
        <v>4.91</v>
      </c>
      <c r="F27" s="51">
        <v>0.30</v>
      </c>
      <c r="G27" s="53" t="s">
        <v>8</v>
      </c>
      <c r="H27" s="51">
        <v>22.48</v>
      </c>
      <c r="I27" s="51">
        <v>4.71</v>
      </c>
      <c r="J27" s="51">
        <v>0.54</v>
      </c>
      <c r="K27" s="51">
        <v>316.47000000000003</v>
      </c>
      <c r="L27" s="8" t="s">
        <v>8</v>
      </c>
      <c r="M27" s="51">
        <v>66.680000000000007</v>
      </c>
      <c r="N27" s="51">
        <v>44.40</v>
      </c>
      <c r="O27" s="51">
        <v>0</v>
      </c>
      <c r="P27" s="51">
        <v>3.59</v>
      </c>
      <c r="Q27" s="51">
        <v>6.82</v>
      </c>
      <c r="R27" s="43"/>
      <c r="S27" s="43"/>
      <c r="T27" s="43"/>
      <c r="U27" s="43"/>
    </row>
    <row r="28" spans="1:21" s="11" customFormat="1" ht="15">
      <c r="A28" s="50" t="s">
        <v>104</v>
      </c>
      <c r="B28" s="51">
        <v>19.66</v>
      </c>
      <c r="C28" s="51">
        <v>18.989999999999998</v>
      </c>
      <c r="D28" s="51">
        <v>38.65</v>
      </c>
      <c r="E28" s="51">
        <v>5.01</v>
      </c>
      <c r="F28" s="51">
        <v>0.24</v>
      </c>
      <c r="G28" s="53" t="s">
        <v>8</v>
      </c>
      <c r="H28" s="51">
        <v>22.29</v>
      </c>
      <c r="I28" s="51">
        <v>5.38</v>
      </c>
      <c r="J28" s="51">
        <v>0.52</v>
      </c>
      <c r="K28" s="51">
        <v>326.14</v>
      </c>
      <c r="L28" s="8" t="s">
        <v>8</v>
      </c>
      <c r="M28" s="51">
        <v>69.040000000000006</v>
      </c>
      <c r="N28" s="51">
        <v>15</v>
      </c>
      <c r="O28" s="51">
        <v>0</v>
      </c>
      <c r="P28" s="51">
        <v>3.85</v>
      </c>
      <c r="Q28" s="51">
        <v>11.03</v>
      </c>
      <c r="R28" s="43"/>
      <c r="S28" s="43"/>
      <c r="T28" s="43"/>
      <c r="U28" s="43"/>
    </row>
    <row r="29" spans="1:21" s="11" customFormat="1" ht="15">
      <c r="A29" s="50" t="s">
        <v>105</v>
      </c>
      <c r="B29" s="51">
        <v>25.24</v>
      </c>
      <c r="C29" s="51">
        <v>19.37</v>
      </c>
      <c r="D29" s="51">
        <v>44.30</v>
      </c>
      <c r="E29" s="51">
        <v>4.74</v>
      </c>
      <c r="F29" s="51">
        <v>0.36</v>
      </c>
      <c r="G29" s="53" t="s">
        <v>8</v>
      </c>
      <c r="H29" s="51">
        <v>22.78</v>
      </c>
      <c r="I29" s="51">
        <v>6.43</v>
      </c>
      <c r="J29" s="51">
        <v>0.45</v>
      </c>
      <c r="K29" s="51">
        <v>346.55</v>
      </c>
      <c r="L29" s="8" t="s">
        <v>8</v>
      </c>
      <c r="M29" s="51">
        <v>69.80</v>
      </c>
      <c r="N29" s="51">
        <v>15.10</v>
      </c>
      <c r="O29" s="51">
        <v>0</v>
      </c>
      <c r="P29" s="51">
        <v>4.07</v>
      </c>
      <c r="Q29" s="51">
        <v>12.79</v>
      </c>
      <c r="R29" s="43"/>
      <c r="S29" s="43"/>
      <c r="T29" s="43"/>
      <c r="U29" s="43"/>
    </row>
    <row r="30" spans="1:21" s="11" customFormat="1" ht="15">
      <c r="A30" s="50" t="s">
        <v>106</v>
      </c>
      <c r="B30" s="51">
        <v>28.77</v>
      </c>
      <c r="C30" s="51">
        <v>18.77</v>
      </c>
      <c r="D30" s="51">
        <v>46.34</v>
      </c>
      <c r="E30" s="51">
        <v>4.80</v>
      </c>
      <c r="F30" s="51">
        <v>0.21</v>
      </c>
      <c r="G30" s="53" t="s">
        <v>8</v>
      </c>
      <c r="H30" s="51">
        <v>22.45</v>
      </c>
      <c r="I30" s="51">
        <v>7.27</v>
      </c>
      <c r="J30" s="51">
        <v>0.28999999999999998</v>
      </c>
      <c r="K30" s="51">
        <v>349.29</v>
      </c>
      <c r="L30" s="8" t="s">
        <v>8</v>
      </c>
      <c r="M30" s="51">
        <v>77.42</v>
      </c>
      <c r="N30" s="51">
        <v>15.10</v>
      </c>
      <c r="O30" s="51">
        <v>0</v>
      </c>
      <c r="P30" s="51">
        <v>4.1900000000000004</v>
      </c>
      <c r="Q30" s="51">
        <v>12.87</v>
      </c>
      <c r="R30" s="43"/>
      <c r="S30" s="43"/>
      <c r="T30" s="43"/>
      <c r="U30" s="43"/>
    </row>
    <row r="31" spans="1:21" s="11" customFormat="1" ht="15">
      <c r="A31" s="50" t="s">
        <v>107</v>
      </c>
      <c r="B31" s="51">
        <v>32.630000000000003</v>
      </c>
      <c r="C31" s="51">
        <v>17.149999999999999</v>
      </c>
      <c r="D31" s="51">
        <v>48.83</v>
      </c>
      <c r="E31" s="51">
        <v>5.22</v>
      </c>
      <c r="F31" s="51">
        <v>0.21</v>
      </c>
      <c r="G31" s="53" t="s">
        <v>8</v>
      </c>
      <c r="H31" s="51">
        <v>25</v>
      </c>
      <c r="I31" s="51">
        <v>7.89</v>
      </c>
      <c r="J31" s="51">
        <v>0.19</v>
      </c>
      <c r="K31" s="51">
        <v>278.16000000000003</v>
      </c>
      <c r="L31" s="8" t="s">
        <v>8</v>
      </c>
      <c r="M31" s="51">
        <v>75.260000000000005</v>
      </c>
      <c r="N31" s="51">
        <v>15.10</v>
      </c>
      <c r="O31" s="51">
        <v>0</v>
      </c>
      <c r="P31" s="51">
        <v>4.24</v>
      </c>
      <c r="Q31" s="51">
        <v>14.07</v>
      </c>
      <c r="R31" s="43"/>
      <c r="S31" s="43"/>
      <c r="T31" s="43"/>
      <c r="U31" s="43"/>
    </row>
    <row r="32" spans="1:21" s="11" customFormat="1" ht="15">
      <c r="A32" s="50" t="s">
        <v>108</v>
      </c>
      <c r="B32" s="51">
        <v>38.700000000000003</v>
      </c>
      <c r="C32" s="51">
        <v>16.29</v>
      </c>
      <c r="D32" s="51">
        <v>54.61</v>
      </c>
      <c r="E32" s="51">
        <v>5.14</v>
      </c>
      <c r="F32" s="51">
        <v>0.24</v>
      </c>
      <c r="G32" s="53" t="s">
        <v>8</v>
      </c>
      <c r="H32" s="51">
        <v>30.56</v>
      </c>
      <c r="I32" s="51">
        <v>7.98</v>
      </c>
      <c r="J32" s="51">
        <v>0.11</v>
      </c>
      <c r="K32" s="51">
        <v>317.14999999999998</v>
      </c>
      <c r="L32" s="8" t="s">
        <v>8</v>
      </c>
      <c r="M32" s="51">
        <v>80.53</v>
      </c>
      <c r="N32" s="51">
        <v>15.20</v>
      </c>
      <c r="O32" s="51">
        <v>0</v>
      </c>
      <c r="P32" s="51">
        <v>4.26</v>
      </c>
      <c r="Q32" s="51">
        <v>17.59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3.25</v>
      </c>
      <c r="C34" s="28">
        <f t="shared" si="0"/>
        <v>10.359999999999999</v>
      </c>
      <c r="D34" s="28">
        <f t="shared" si="0"/>
        <v>15.18</v>
      </c>
      <c r="E34" s="28">
        <f t="shared" si="0"/>
        <v>4.1500000000000004</v>
      </c>
      <c r="F34" s="28">
        <f t="shared" si="0"/>
        <v>0.070000000000000007</v>
      </c>
      <c r="G34" s="28">
        <f t="shared" si="0"/>
        <v>0</v>
      </c>
      <c r="H34" s="28">
        <f t="shared" si="0"/>
        <v>15.41</v>
      </c>
      <c r="I34" s="28">
        <f t="shared" si="0"/>
        <v>4.29</v>
      </c>
      <c r="J34" s="28">
        <f t="shared" si="0"/>
        <v>0.10000000000000001</v>
      </c>
      <c r="K34" s="28">
        <f t="shared" si="0"/>
        <v>177.55000000000001</v>
      </c>
      <c r="L34" s="28">
        <f t="shared" si="0"/>
        <v>0</v>
      </c>
      <c r="M34" s="28">
        <f t="shared" si="0"/>
        <v>51.399999999999999</v>
      </c>
      <c r="N34" s="28">
        <f t="shared" si="0"/>
        <v>14.9</v>
      </c>
      <c r="O34" s="28">
        <f t="shared" si="0"/>
        <v>0</v>
      </c>
      <c r="P34" s="28">
        <f t="shared" si="0"/>
        <v>3.2999999999999998</v>
      </c>
      <c r="Q34" s="28">
        <f t="shared" si="0"/>
        <v>4.71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38.700000000000003</v>
      </c>
      <c r="C35" s="29">
        <f t="shared" si="1"/>
        <v>20.039999999999999</v>
      </c>
      <c r="D35" s="29">
        <f t="shared" si="1"/>
        <v>54.609999999999999</v>
      </c>
      <c r="E35" s="29">
        <f t="shared" si="1"/>
        <v>6.25</v>
      </c>
      <c r="F35" s="29">
        <f t="shared" si="1"/>
        <v>1.49</v>
      </c>
      <c r="G35" s="29">
        <f t="shared" si="1"/>
        <v>0</v>
      </c>
      <c r="H35" s="29">
        <f t="shared" si="1"/>
        <v>30.559999999999999</v>
      </c>
      <c r="I35" s="29">
        <f t="shared" si="1"/>
        <v>8.7300000000000004</v>
      </c>
      <c r="J35" s="29">
        <f t="shared" si="1"/>
        <v>1.4299999999999999</v>
      </c>
      <c r="K35" s="29">
        <f t="shared" si="1"/>
        <v>349.29000000000002</v>
      </c>
      <c r="L35" s="29">
        <f t="shared" si="1"/>
        <v>0</v>
      </c>
      <c r="M35" s="29">
        <f t="shared" si="1"/>
        <v>94.719999999999999</v>
      </c>
      <c r="N35" s="29">
        <f t="shared" si="1"/>
        <v>695.79999999999995</v>
      </c>
      <c r="O35" s="29">
        <f t="shared" si="1"/>
        <v>0</v>
      </c>
      <c r="P35" s="29">
        <f t="shared" si="1"/>
        <v>4.2599999999999998</v>
      </c>
      <c r="Q35" s="29">
        <f t="shared" si="1"/>
        <v>17.59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12.2525</v>
      </c>
      <c r="C36" s="28">
        <f t="shared" si="2"/>
        <v>16.075833333333332</v>
      </c>
      <c r="D36" s="28">
        <f t="shared" si="2"/>
        <v>28.037500000000005</v>
      </c>
      <c r="E36" s="28">
        <f t="shared" si="2"/>
        <v>5.0612499999999985</v>
      </c>
      <c r="F36" s="28">
        <f t="shared" si="2"/>
        <v>0.59333333333333338</v>
      </c>
      <c r="G36" s="28" t="e">
        <f t="shared" si="2"/>
        <v>#DIV/0!</v>
      </c>
      <c r="H36" s="28">
        <f t="shared" si="2"/>
        <v>22.027500000000003</v>
      </c>
      <c r="I36" s="28">
        <f t="shared" si="2"/>
        <v>5.8829166666666666</v>
      </c>
      <c r="J36" s="28">
        <f t="shared" si="2"/>
        <v>0.59708333333333319</v>
      </c>
      <c r="K36" s="28">
        <f t="shared" si="2"/>
        <v>297.94874999999996</v>
      </c>
      <c r="L36" s="28" t="e">
        <f t="shared" si="2"/>
        <v>#DIV/0!</v>
      </c>
      <c r="M36" s="28">
        <f t="shared" si="2"/>
        <v>74.089166666666671</v>
      </c>
      <c r="N36" s="28">
        <f t="shared" si="2"/>
        <v>235.26250000000002</v>
      </c>
      <c r="O36" s="28">
        <f t="shared" si="2"/>
        <v>0</v>
      </c>
      <c r="P36" s="28">
        <f t="shared" si="2"/>
        <v>3.6416666666666671</v>
      </c>
      <c r="Q36" s="28">
        <f t="shared" si="2"/>
        <v>7.9408333333333339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10.037287547158737</v>
      </c>
      <c r="C37" s="28">
        <f t="shared" si="3" ref="C37:Q37">STDEV(C9:C32)</f>
        <v>3.2682569701889244</v>
      </c>
      <c r="D37" s="28">
        <f t="shared" si="3"/>
        <v>11.009590384513968</v>
      </c>
      <c r="E37" s="28">
        <f t="shared" si="3"/>
        <v>0.56848626230963828</v>
      </c>
      <c r="F37" s="28">
        <f t="shared" si="3"/>
        <v>0.40556634225612759</v>
      </c>
      <c r="G37" s="28" t="e">
        <f t="shared" si="3"/>
        <v>#DIV/0!</v>
      </c>
      <c r="H37" s="28">
        <f t="shared" si="3"/>
        <v>3.6826021636408122</v>
      </c>
      <c r="I37" s="28">
        <f t="shared" si="3"/>
        <v>1.252557311599183</v>
      </c>
      <c r="J37" s="28">
        <f t="shared" si="3"/>
        <v>0.42000496028816947</v>
      </c>
      <c r="K37" s="28">
        <f t="shared" si="3"/>
        <v>55.04853442052616</v>
      </c>
      <c r="L37" s="28" t="e">
        <f t="shared" si="3"/>
        <v>#DIV/0!</v>
      </c>
      <c r="M37" s="28">
        <f t="shared" si="3"/>
        <v>14.966379980146955</v>
      </c>
      <c r="N37" s="28">
        <f t="shared" si="3"/>
        <v>264.67220713225794</v>
      </c>
      <c r="O37" s="28">
        <f t="shared" si="3"/>
        <v>0</v>
      </c>
      <c r="P37" s="28">
        <f t="shared" si="3"/>
        <v>0.29629108288489125</v>
      </c>
      <c r="Q37" s="28">
        <f t="shared" si="3"/>
        <v>3.3823247943526566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COUNT(G9:G32)+24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345195-f30e-4bf9-89d4-393128b38358}">
  <sheetPr codeName=""/>
  <dimension ref="A1:U119"/>
  <sheetViews>
    <sheetView zoomScale="85" zoomScaleNormal="85" workbookViewId="0" topLeftCell="A1">
      <pane xSplit="2" ySplit="8" topLeftCell="C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M38" sqref="M38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109</v>
      </c>
      <c r="B9" s="51">
        <v>36.06</v>
      </c>
      <c r="C9" s="51">
        <v>15.63</v>
      </c>
      <c r="D9" s="51">
        <v>51.69</v>
      </c>
      <c r="E9" s="51">
        <v>6.61</v>
      </c>
      <c r="F9" s="51">
        <v>0.14000000000000001</v>
      </c>
      <c r="G9" s="53" t="s">
        <v>8</v>
      </c>
      <c r="H9" s="51">
        <v>29.64</v>
      </c>
      <c r="I9" s="51">
        <v>7.90</v>
      </c>
      <c r="J9" s="51">
        <v>0.10</v>
      </c>
      <c r="K9" s="51">
        <v>359.22</v>
      </c>
      <c r="L9" s="8" t="s">
        <v>8</v>
      </c>
      <c r="M9" s="51">
        <v>78.45</v>
      </c>
      <c r="N9" s="51">
        <v>15.20</v>
      </c>
      <c r="O9" s="51">
        <v>0</v>
      </c>
      <c r="P9" s="51">
        <v>4.1500000000000004</v>
      </c>
      <c r="Q9" s="51">
        <v>16.690000000000001</v>
      </c>
      <c r="R9" s="43"/>
      <c r="S9" s="43"/>
      <c r="T9" s="43"/>
      <c r="U9" s="43"/>
    </row>
    <row r="10" spans="1:21" s="11" customFormat="1" ht="15">
      <c r="A10" s="50" t="s">
        <v>110</v>
      </c>
      <c r="B10" s="51">
        <v>32.61</v>
      </c>
      <c r="C10" s="51">
        <v>13.87</v>
      </c>
      <c r="D10" s="51">
        <v>46.48</v>
      </c>
      <c r="E10" s="51">
        <v>6.75</v>
      </c>
      <c r="F10" s="51">
        <v>0.33</v>
      </c>
      <c r="G10" s="53" t="s">
        <v>8</v>
      </c>
      <c r="H10" s="51">
        <v>27.88</v>
      </c>
      <c r="I10" s="51">
        <v>6.88</v>
      </c>
      <c r="J10" s="51">
        <v>0.32</v>
      </c>
      <c r="K10" s="51">
        <v>340.52</v>
      </c>
      <c r="L10" s="8" t="s">
        <v>8</v>
      </c>
      <c r="M10" s="51">
        <v>80.38</v>
      </c>
      <c r="N10" s="51">
        <v>15.30</v>
      </c>
      <c r="O10" s="51">
        <v>0</v>
      </c>
      <c r="P10" s="51">
        <v>3.99</v>
      </c>
      <c r="Q10" s="51">
        <v>14.08</v>
      </c>
      <c r="R10" s="43"/>
      <c r="S10" s="43"/>
      <c r="T10" s="43"/>
      <c r="U10" s="43"/>
    </row>
    <row r="11" spans="1:21" s="11" customFormat="1" ht="15">
      <c r="A11" s="50" t="s">
        <v>111</v>
      </c>
      <c r="B11" s="51">
        <v>28.34</v>
      </c>
      <c r="C11" s="51">
        <v>13.48</v>
      </c>
      <c r="D11" s="51">
        <v>40.94</v>
      </c>
      <c r="E11" s="51">
        <v>7.05</v>
      </c>
      <c r="F11" s="51">
        <v>0.31</v>
      </c>
      <c r="G11" s="53" t="s">
        <v>8</v>
      </c>
      <c r="H11" s="51">
        <v>27.17</v>
      </c>
      <c r="I11" s="51">
        <v>7.17</v>
      </c>
      <c r="J11" s="51">
        <v>0.67</v>
      </c>
      <c r="K11" s="51">
        <v>349.23</v>
      </c>
      <c r="L11" s="8" t="s">
        <v>8</v>
      </c>
      <c r="M11" s="51">
        <v>79.14</v>
      </c>
      <c r="N11" s="51">
        <v>15.10</v>
      </c>
      <c r="O11" s="51">
        <v>0</v>
      </c>
      <c r="P11" s="51">
        <v>3.90</v>
      </c>
      <c r="Q11" s="51">
        <v>12.90</v>
      </c>
      <c r="R11" s="43"/>
      <c r="S11" s="43"/>
      <c r="T11" s="43"/>
      <c r="U11" s="43"/>
    </row>
    <row r="12" spans="1:21" s="11" customFormat="1" ht="15">
      <c r="A12" s="50" t="s">
        <v>112</v>
      </c>
      <c r="B12" s="51">
        <v>22.46</v>
      </c>
      <c r="C12" s="51">
        <v>13.84</v>
      </c>
      <c r="D12" s="51">
        <v>35.74</v>
      </c>
      <c r="E12" s="51">
        <v>6.94</v>
      </c>
      <c r="F12" s="51">
        <v>0.27</v>
      </c>
      <c r="G12" s="53" t="s">
        <v>8</v>
      </c>
      <c r="H12" s="51">
        <v>28.77</v>
      </c>
      <c r="I12" s="51">
        <v>7.18</v>
      </c>
      <c r="J12" s="51">
        <v>0.72</v>
      </c>
      <c r="K12" s="51">
        <v>353.06</v>
      </c>
      <c r="L12" s="8" t="s">
        <v>8</v>
      </c>
      <c r="M12" s="51">
        <v>80.599999999999994</v>
      </c>
      <c r="N12" s="51">
        <v>15.40</v>
      </c>
      <c r="O12" s="51">
        <v>0</v>
      </c>
      <c r="P12" s="51">
        <v>3.78</v>
      </c>
      <c r="Q12" s="51">
        <v>12.48</v>
      </c>
      <c r="R12" s="43"/>
      <c r="S12" s="43"/>
      <c r="T12" s="43"/>
      <c r="U12" s="43"/>
    </row>
    <row r="13" spans="1:21" s="11" customFormat="1" ht="15">
      <c r="A13" s="50" t="s">
        <v>113</v>
      </c>
      <c r="B13" s="51">
        <v>18.48</v>
      </c>
      <c r="C13" s="51">
        <v>13.75</v>
      </c>
      <c r="D13" s="51">
        <v>32.24</v>
      </c>
      <c r="E13" s="51">
        <v>6.53</v>
      </c>
      <c r="F13" s="51">
        <v>0.18</v>
      </c>
      <c r="G13" s="53" t="s">
        <v>8</v>
      </c>
      <c r="H13" s="51">
        <v>43.82</v>
      </c>
      <c r="I13" s="51">
        <v>8.1300000000000008</v>
      </c>
      <c r="J13" s="51">
        <v>0.23</v>
      </c>
      <c r="K13" s="51">
        <v>348.08</v>
      </c>
      <c r="L13" s="8" t="s">
        <v>8</v>
      </c>
      <c r="M13" s="51">
        <v>84.84</v>
      </c>
      <c r="N13" s="51">
        <v>15.20</v>
      </c>
      <c r="O13" s="51">
        <v>0</v>
      </c>
      <c r="P13" s="51">
        <v>3.83</v>
      </c>
      <c r="Q13" s="51">
        <v>11.04</v>
      </c>
      <c r="R13" s="43"/>
      <c r="S13" s="43"/>
      <c r="T13" s="43"/>
      <c r="U13" s="43"/>
    </row>
    <row r="14" spans="1:21" s="11" customFormat="1" ht="15">
      <c r="A14" s="50" t="s">
        <v>114</v>
      </c>
      <c r="B14" s="51">
        <v>19.190000000000001</v>
      </c>
      <c r="C14" s="51">
        <v>12.32</v>
      </c>
      <c r="D14" s="51">
        <v>31.28</v>
      </c>
      <c r="E14" s="51">
        <v>7.28</v>
      </c>
      <c r="F14" s="51">
        <v>0.12</v>
      </c>
      <c r="G14" s="53" t="s">
        <v>8</v>
      </c>
      <c r="H14" s="51">
        <v>64.11</v>
      </c>
      <c r="I14" s="51">
        <v>8.1999999999999993</v>
      </c>
      <c r="J14" s="51">
        <v>0.30</v>
      </c>
      <c r="K14" s="51">
        <v>197.68</v>
      </c>
      <c r="L14" s="8" t="s">
        <v>8</v>
      </c>
      <c r="M14" s="51">
        <v>84.45</v>
      </c>
      <c r="N14" s="51">
        <v>28.40</v>
      </c>
      <c r="O14" s="51">
        <v>0</v>
      </c>
      <c r="P14" s="51">
        <v>3.83</v>
      </c>
      <c r="Q14" s="51">
        <v>9.67</v>
      </c>
      <c r="R14" s="43"/>
      <c r="S14" s="43"/>
      <c r="T14" s="43"/>
      <c r="U14" s="43"/>
    </row>
    <row r="15" spans="1:21" s="11" customFormat="1" ht="15">
      <c r="A15" s="50" t="s">
        <v>115</v>
      </c>
      <c r="B15" s="51">
        <v>19.88</v>
      </c>
      <c r="C15" s="51">
        <v>12.33</v>
      </c>
      <c r="D15" s="51">
        <v>32.130000000000003</v>
      </c>
      <c r="E15" s="51">
        <v>7.39</v>
      </c>
      <c r="F15" s="51">
        <v>0.20</v>
      </c>
      <c r="G15" s="53" t="s">
        <v>8</v>
      </c>
      <c r="H15" s="51">
        <v>60.58</v>
      </c>
      <c r="I15" s="51">
        <v>8.44</v>
      </c>
      <c r="J15" s="51">
        <v>0.18</v>
      </c>
      <c r="K15" s="51">
        <v>244.11</v>
      </c>
      <c r="L15" s="8" t="s">
        <v>8</v>
      </c>
      <c r="M15" s="51">
        <v>85.32</v>
      </c>
      <c r="N15" s="51">
        <v>125.70</v>
      </c>
      <c r="O15" s="51">
        <v>0</v>
      </c>
      <c r="P15" s="51">
        <v>3.77</v>
      </c>
      <c r="Q15" s="51">
        <v>11.49</v>
      </c>
      <c r="R15" s="43"/>
      <c r="S15" s="43"/>
      <c r="T15" s="43"/>
      <c r="U15" s="43"/>
    </row>
    <row r="16" spans="1:21" s="11" customFormat="1" ht="15">
      <c r="A16" s="50" t="s">
        <v>116</v>
      </c>
      <c r="B16" s="51">
        <v>19.079999999999998</v>
      </c>
      <c r="C16" s="51">
        <v>13.49</v>
      </c>
      <c r="D16" s="51">
        <v>31.72</v>
      </c>
      <c r="E16" s="51">
        <v>6.57</v>
      </c>
      <c r="F16" s="51">
        <v>0.20</v>
      </c>
      <c r="G16" s="53" t="s">
        <v>8</v>
      </c>
      <c r="H16" s="51">
        <v>50.60</v>
      </c>
      <c r="I16" s="51">
        <v>8.5399999999999991</v>
      </c>
      <c r="J16" s="51">
        <v>0.53</v>
      </c>
      <c r="K16" s="51">
        <v>213.94</v>
      </c>
      <c r="L16" s="8" t="s">
        <v>8</v>
      </c>
      <c r="M16" s="51">
        <v>80.709999999999994</v>
      </c>
      <c r="N16" s="51">
        <v>383.20</v>
      </c>
      <c r="O16" s="51">
        <v>0</v>
      </c>
      <c r="P16" s="51">
        <v>3.74</v>
      </c>
      <c r="Q16" s="51">
        <v>11.24</v>
      </c>
      <c r="R16" s="43"/>
      <c r="S16" s="43"/>
      <c r="T16" s="43"/>
      <c r="U16" s="43"/>
    </row>
    <row r="17" spans="1:21" s="11" customFormat="1" ht="15">
      <c r="A17" s="50" t="s">
        <v>117</v>
      </c>
      <c r="B17" s="51">
        <v>14.94</v>
      </c>
      <c r="C17" s="51">
        <v>15.09</v>
      </c>
      <c r="D17" s="51">
        <v>29.08</v>
      </c>
      <c r="E17" s="51">
        <v>5.95</v>
      </c>
      <c r="F17" s="51">
        <v>0.19</v>
      </c>
      <c r="G17" s="53" t="s">
        <v>8</v>
      </c>
      <c r="H17" s="51">
        <v>49.79</v>
      </c>
      <c r="I17" s="51">
        <v>8.3699999999999992</v>
      </c>
      <c r="J17" s="51">
        <v>0.59</v>
      </c>
      <c r="K17" s="51">
        <v>196.83</v>
      </c>
      <c r="L17" s="8" t="s">
        <v>8</v>
      </c>
      <c r="M17" s="51">
        <v>70.89</v>
      </c>
      <c r="N17" s="51">
        <v>487.30</v>
      </c>
      <c r="O17" s="51">
        <v>0</v>
      </c>
      <c r="P17" s="51">
        <v>3.68</v>
      </c>
      <c r="Q17" s="51">
        <v>9.26</v>
      </c>
      <c r="R17" s="43"/>
      <c r="S17" s="43"/>
      <c r="T17" s="43"/>
      <c r="U17" s="43"/>
    </row>
    <row r="18" spans="1:21" s="11" customFormat="1" ht="15">
      <c r="A18" s="50" t="s">
        <v>118</v>
      </c>
      <c r="B18" s="51">
        <v>11.19</v>
      </c>
      <c r="C18" s="51">
        <v>15.61</v>
      </c>
      <c r="D18" s="51">
        <v>26.33</v>
      </c>
      <c r="E18" s="51">
        <v>6.01</v>
      </c>
      <c r="F18" s="51">
        <v>0.49</v>
      </c>
      <c r="G18" s="53" t="s">
        <v>8</v>
      </c>
      <c r="H18" s="51">
        <v>47.53</v>
      </c>
      <c r="I18" s="51">
        <v>8.07</v>
      </c>
      <c r="J18" s="51">
        <v>1.0900000000000001</v>
      </c>
      <c r="K18" s="51">
        <v>118.07</v>
      </c>
      <c r="L18" s="8" t="s">
        <v>8</v>
      </c>
      <c r="M18" s="51">
        <v>71.010000000000005</v>
      </c>
      <c r="N18" s="51">
        <v>636.10</v>
      </c>
      <c r="O18" s="51">
        <v>0</v>
      </c>
      <c r="P18" s="51">
        <v>3.63</v>
      </c>
      <c r="Q18" s="51">
        <v>7.74</v>
      </c>
      <c r="R18" s="43"/>
      <c r="S18" s="43"/>
      <c r="T18" s="43"/>
      <c r="U18" s="43"/>
    </row>
    <row r="19" spans="1:21" s="11" customFormat="1" ht="15">
      <c r="A19" s="50" t="s">
        <v>119</v>
      </c>
      <c r="B19" s="51">
        <v>6.97</v>
      </c>
      <c r="C19" s="51">
        <v>16.38</v>
      </c>
      <c r="D19" s="51">
        <v>22.80</v>
      </c>
      <c r="E19" s="51">
        <v>5.87</v>
      </c>
      <c r="F19" s="51">
        <v>0.96</v>
      </c>
      <c r="G19" s="53" t="s">
        <v>8</v>
      </c>
      <c r="H19" s="51">
        <v>39.869999999999997</v>
      </c>
      <c r="I19" s="51">
        <v>7.80</v>
      </c>
      <c r="J19" s="51">
        <v>1.55</v>
      </c>
      <c r="K19" s="51">
        <v>116.16</v>
      </c>
      <c r="L19" s="8" t="s">
        <v>8</v>
      </c>
      <c r="M19" s="51">
        <v>67.14</v>
      </c>
      <c r="N19" s="51">
        <v>776.90</v>
      </c>
      <c r="O19" s="51">
        <v>0</v>
      </c>
      <c r="P19" s="51">
        <v>3.53</v>
      </c>
      <c r="Q19" s="51">
        <v>8.43</v>
      </c>
      <c r="R19" s="43"/>
      <c r="S19" s="43"/>
      <c r="T19" s="43"/>
      <c r="U19" s="43"/>
    </row>
    <row r="20" spans="1:21" s="11" customFormat="1" ht="15">
      <c r="A20" s="50" t="s">
        <v>120</v>
      </c>
      <c r="B20" s="51">
        <v>2.93</v>
      </c>
      <c r="C20" s="51">
        <v>15.86</v>
      </c>
      <c r="D20" s="51">
        <v>18.78</v>
      </c>
      <c r="E20" s="51">
        <v>5.44</v>
      </c>
      <c r="F20" s="51">
        <v>0.94</v>
      </c>
      <c r="G20" s="53" t="s">
        <v>8</v>
      </c>
      <c r="H20" s="51">
        <v>32.53</v>
      </c>
      <c r="I20" s="51">
        <v>6.64</v>
      </c>
      <c r="J20" s="51">
        <v>1.79</v>
      </c>
      <c r="K20" s="51">
        <v>100.97</v>
      </c>
      <c r="L20" s="8" t="s">
        <v>8</v>
      </c>
      <c r="M20" s="51">
        <v>65.41</v>
      </c>
      <c r="N20" s="51">
        <v>951.60</v>
      </c>
      <c r="O20" s="51">
        <v>0</v>
      </c>
      <c r="P20" s="51">
        <v>3.42</v>
      </c>
      <c r="Q20" s="51">
        <v>7.11</v>
      </c>
      <c r="R20" s="43"/>
      <c r="S20" s="43"/>
      <c r="T20" s="43"/>
      <c r="U20" s="43"/>
    </row>
    <row r="21" spans="1:21" s="11" customFormat="1" ht="15">
      <c r="A21" s="50" t="s">
        <v>121</v>
      </c>
      <c r="B21" s="51">
        <v>2.69</v>
      </c>
      <c r="C21" s="51">
        <v>16.84</v>
      </c>
      <c r="D21" s="51">
        <v>19.53</v>
      </c>
      <c r="E21" s="51">
        <v>5.53</v>
      </c>
      <c r="F21" s="51">
        <v>1.1100000000000001</v>
      </c>
      <c r="G21" s="53" t="s">
        <v>8</v>
      </c>
      <c r="H21" s="51">
        <v>29.89</v>
      </c>
      <c r="I21" s="51">
        <v>5.46</v>
      </c>
      <c r="J21" s="51">
        <v>1.43</v>
      </c>
      <c r="K21" s="51">
        <v>355.13</v>
      </c>
      <c r="L21" s="8" t="s">
        <v>8</v>
      </c>
      <c r="M21" s="51">
        <v>62.69</v>
      </c>
      <c r="N21" s="51">
        <v>763.10</v>
      </c>
      <c r="O21" s="51">
        <v>0</v>
      </c>
      <c r="P21" s="51">
        <v>3.38</v>
      </c>
      <c r="Q21" s="51">
        <v>5</v>
      </c>
      <c r="R21" s="43"/>
      <c r="S21" s="43"/>
      <c r="T21" s="43"/>
      <c r="U21" s="43"/>
    </row>
    <row r="22" spans="1:21" s="11" customFormat="1" ht="15">
      <c r="A22" s="50" t="s">
        <v>122</v>
      </c>
      <c r="B22" s="51">
        <v>2.70</v>
      </c>
      <c r="C22" s="51">
        <v>17.21</v>
      </c>
      <c r="D22" s="51">
        <v>19.91</v>
      </c>
      <c r="E22" s="51">
        <v>5.34</v>
      </c>
      <c r="F22" s="51">
        <v>4.43</v>
      </c>
      <c r="G22" s="53" t="s">
        <v>8</v>
      </c>
      <c r="H22" s="51">
        <v>31.70</v>
      </c>
      <c r="I22" s="51">
        <v>5.20</v>
      </c>
      <c r="J22" s="51">
        <v>1.1100000000000001</v>
      </c>
      <c r="K22" s="51">
        <v>108.09</v>
      </c>
      <c r="L22" s="8" t="s">
        <v>8</v>
      </c>
      <c r="M22" s="51">
        <v>61.80</v>
      </c>
      <c r="N22" s="51">
        <v>658.70</v>
      </c>
      <c r="O22" s="51">
        <v>0</v>
      </c>
      <c r="P22" s="51">
        <v>3.39</v>
      </c>
      <c r="Q22" s="51">
        <v>5.63</v>
      </c>
      <c r="R22" s="43"/>
      <c r="S22" s="43"/>
      <c r="T22" s="43"/>
      <c r="U22" s="43"/>
    </row>
    <row r="23" spans="1:21" s="11" customFormat="1" ht="15">
      <c r="A23" s="50" t="s">
        <v>123</v>
      </c>
      <c r="B23" s="51">
        <v>1.06</v>
      </c>
      <c r="C23" s="51">
        <v>13.85</v>
      </c>
      <c r="D23" s="51">
        <v>14.30</v>
      </c>
      <c r="E23" s="51">
        <v>5.14</v>
      </c>
      <c r="F23" s="51">
        <v>4.83</v>
      </c>
      <c r="G23" s="53" t="s">
        <v>8</v>
      </c>
      <c r="H23" s="51">
        <v>30.92</v>
      </c>
      <c r="I23" s="51">
        <v>5.0599999999999996</v>
      </c>
      <c r="J23" s="51">
        <v>1.71</v>
      </c>
      <c r="K23" s="51">
        <v>138.16</v>
      </c>
      <c r="L23" s="8" t="s">
        <v>8</v>
      </c>
      <c r="M23" s="51">
        <v>60.18</v>
      </c>
      <c r="N23" s="51">
        <v>722.60</v>
      </c>
      <c r="O23" s="51">
        <v>0</v>
      </c>
      <c r="P23" s="51">
        <v>3.28</v>
      </c>
      <c r="Q23" s="51">
        <v>5.78</v>
      </c>
      <c r="R23" s="43"/>
      <c r="S23" s="43"/>
      <c r="T23" s="43"/>
      <c r="U23" s="43"/>
    </row>
    <row r="24" spans="1:21" s="11" customFormat="1" ht="15">
      <c r="A24" s="50" t="s">
        <v>124</v>
      </c>
      <c r="B24" s="51">
        <v>0.77</v>
      </c>
      <c r="C24" s="51">
        <v>13.59</v>
      </c>
      <c r="D24" s="51">
        <v>14.37</v>
      </c>
      <c r="E24" s="51">
        <v>3.04</v>
      </c>
      <c r="F24" s="51">
        <v>2.97</v>
      </c>
      <c r="G24" s="53" t="s">
        <v>8</v>
      </c>
      <c r="H24" s="51">
        <v>28.64</v>
      </c>
      <c r="I24" s="51">
        <v>3.07</v>
      </c>
      <c r="J24" s="51">
        <v>1.64</v>
      </c>
      <c r="K24" s="51">
        <v>123.30</v>
      </c>
      <c r="L24" s="8" t="s">
        <v>8</v>
      </c>
      <c r="M24" s="51">
        <v>57.99</v>
      </c>
      <c r="N24" s="51">
        <v>437.5</v>
      </c>
      <c r="O24" s="51">
        <v>0</v>
      </c>
      <c r="P24" s="51">
        <v>3.25</v>
      </c>
      <c r="Q24" s="51">
        <v>6.57</v>
      </c>
      <c r="R24" s="43"/>
      <c r="S24" s="43"/>
      <c r="T24" s="43"/>
      <c r="U24" s="43"/>
    </row>
    <row r="25" spans="1:21" s="11" customFormat="1" ht="15">
      <c r="A25" s="50" t="s">
        <v>125</v>
      </c>
      <c r="B25" s="51">
        <v>1.36</v>
      </c>
      <c r="C25" s="51">
        <v>19.170000000000002</v>
      </c>
      <c r="D25" s="51">
        <v>20.53</v>
      </c>
      <c r="E25" s="51">
        <v>2.97</v>
      </c>
      <c r="F25" s="51">
        <v>9.19</v>
      </c>
      <c r="G25" s="53" t="s">
        <v>8</v>
      </c>
      <c r="H25" s="51">
        <v>27.26</v>
      </c>
      <c r="I25" s="51">
        <v>2.79</v>
      </c>
      <c r="J25" s="51">
        <v>0.83</v>
      </c>
      <c r="K25" s="51">
        <v>348.29</v>
      </c>
      <c r="L25" s="8" t="s">
        <v>8</v>
      </c>
      <c r="M25" s="51">
        <v>69.42</v>
      </c>
      <c r="N25" s="51">
        <v>157.5</v>
      </c>
      <c r="O25" s="51">
        <v>0</v>
      </c>
      <c r="P25" s="51">
        <v>3.25</v>
      </c>
      <c r="Q25" s="51">
        <v>10.210000000000001</v>
      </c>
      <c r="R25" s="43"/>
      <c r="S25" s="43"/>
      <c r="T25" s="43"/>
      <c r="U25" s="43"/>
    </row>
    <row r="26" spans="1:21" s="11" customFormat="1" ht="15">
      <c r="A26" s="50" t="s">
        <v>126</v>
      </c>
      <c r="B26" s="51">
        <v>10.46</v>
      </c>
      <c r="C26" s="51">
        <v>34.79</v>
      </c>
      <c r="D26" s="51">
        <v>45.25</v>
      </c>
      <c r="E26" s="51">
        <v>2.44</v>
      </c>
      <c r="F26" s="51">
        <v>2.62</v>
      </c>
      <c r="G26" s="53" t="s">
        <v>8</v>
      </c>
      <c r="H26" s="51">
        <v>24.95</v>
      </c>
      <c r="I26" s="51">
        <v>3.13</v>
      </c>
      <c r="J26" s="51">
        <v>1.58</v>
      </c>
      <c r="K26" s="51">
        <v>334.82</v>
      </c>
      <c r="L26" s="8" t="s">
        <v>8</v>
      </c>
      <c r="M26" s="51">
        <v>98.33</v>
      </c>
      <c r="N26" s="51">
        <v>35.60</v>
      </c>
      <c r="O26" s="51">
        <v>3</v>
      </c>
      <c r="P26" s="51">
        <v>3.45</v>
      </c>
      <c r="Q26" s="51">
        <v>25.97</v>
      </c>
      <c r="R26" s="43"/>
      <c r="S26" s="43"/>
      <c r="T26" s="43"/>
      <c r="U26" s="43"/>
    </row>
    <row r="27" spans="1:21" s="11" customFormat="1" ht="15">
      <c r="A27" s="50" t="s">
        <v>127</v>
      </c>
      <c r="B27" s="51">
        <v>8.39</v>
      </c>
      <c r="C27" s="51">
        <v>23.56</v>
      </c>
      <c r="D27" s="51">
        <v>31.49</v>
      </c>
      <c r="E27" s="51">
        <v>3.37</v>
      </c>
      <c r="F27" s="51">
        <v>0.42</v>
      </c>
      <c r="G27" s="53" t="s">
        <v>8</v>
      </c>
      <c r="H27" s="51">
        <v>21.81</v>
      </c>
      <c r="I27" s="51">
        <v>3.74</v>
      </c>
      <c r="J27" s="51">
        <v>1.59</v>
      </c>
      <c r="K27" s="51">
        <v>359.20</v>
      </c>
      <c r="L27" s="8" t="s">
        <v>8</v>
      </c>
      <c r="M27" s="51">
        <v>97.43</v>
      </c>
      <c r="N27" s="51">
        <v>19.600000000000001</v>
      </c>
      <c r="O27" s="51">
        <v>0</v>
      </c>
      <c r="P27" s="51">
        <v>3.56</v>
      </c>
      <c r="Q27" s="51">
        <v>28.12</v>
      </c>
      <c r="R27" s="43"/>
      <c r="S27" s="43"/>
      <c r="T27" s="43"/>
      <c r="U27" s="43"/>
    </row>
    <row r="28" spans="1:21" s="11" customFormat="1" ht="15">
      <c r="A28" s="50" t="s">
        <v>128</v>
      </c>
      <c r="B28" s="51">
        <v>9.51</v>
      </c>
      <c r="C28" s="51">
        <v>15.98</v>
      </c>
      <c r="D28" s="51">
        <v>24.69</v>
      </c>
      <c r="E28" s="51">
        <v>4.57</v>
      </c>
      <c r="F28" s="51">
        <v>0.06</v>
      </c>
      <c r="G28" s="53" t="s">
        <v>8</v>
      </c>
      <c r="H28" s="51">
        <v>19.41</v>
      </c>
      <c r="I28" s="51">
        <v>4.7699999999999996</v>
      </c>
      <c r="J28" s="51">
        <v>2.14</v>
      </c>
      <c r="K28" s="51">
        <v>98.73</v>
      </c>
      <c r="L28" s="8" t="s">
        <v>8</v>
      </c>
      <c r="M28" s="51">
        <v>86.79</v>
      </c>
      <c r="N28" s="51">
        <v>16.80</v>
      </c>
      <c r="O28" s="51">
        <v>0</v>
      </c>
      <c r="P28" s="51">
        <v>3.62</v>
      </c>
      <c r="Q28" s="51">
        <v>30.99</v>
      </c>
      <c r="R28" s="43"/>
      <c r="S28" s="43"/>
      <c r="T28" s="43"/>
      <c r="U28" s="43"/>
    </row>
    <row r="29" spans="1:21" s="11" customFormat="1" ht="15">
      <c r="A29" s="50" t="s">
        <v>129</v>
      </c>
      <c r="B29" s="51">
        <v>10.40</v>
      </c>
      <c r="C29" s="51">
        <v>11.84</v>
      </c>
      <c r="D29" s="51">
        <v>22.24</v>
      </c>
      <c r="E29" s="51">
        <v>4.53</v>
      </c>
      <c r="F29" s="51">
        <v>0.37</v>
      </c>
      <c r="G29" s="53" t="s">
        <v>8</v>
      </c>
      <c r="H29" s="51">
        <v>15.90</v>
      </c>
      <c r="I29" s="51">
        <v>4.88</v>
      </c>
      <c r="J29" s="51">
        <v>1.45</v>
      </c>
      <c r="K29" s="51">
        <v>359.42</v>
      </c>
      <c r="L29" s="8" t="s">
        <v>8</v>
      </c>
      <c r="M29" s="51">
        <v>94.71</v>
      </c>
      <c r="N29" s="51">
        <v>16.70</v>
      </c>
      <c r="O29" s="51">
        <v>0.20</v>
      </c>
      <c r="P29" s="51">
        <v>3.72</v>
      </c>
      <c r="Q29" s="51">
        <v>30.48</v>
      </c>
      <c r="R29" s="43"/>
      <c r="S29" s="43"/>
      <c r="T29" s="43"/>
      <c r="U29" s="43"/>
    </row>
    <row r="30" spans="1:21" s="11" customFormat="1" ht="15">
      <c r="A30" s="50" t="s">
        <v>130</v>
      </c>
      <c r="B30" s="51">
        <v>14.06</v>
      </c>
      <c r="C30" s="51">
        <v>13.86</v>
      </c>
      <c r="D30" s="51">
        <v>27.93</v>
      </c>
      <c r="E30" s="51">
        <v>4.59</v>
      </c>
      <c r="F30" s="51">
        <v>0.10</v>
      </c>
      <c r="G30" s="53" t="s">
        <v>8</v>
      </c>
      <c r="H30" s="51">
        <v>15.55</v>
      </c>
      <c r="I30" s="51">
        <v>5.59</v>
      </c>
      <c r="J30" s="51">
        <v>0.51</v>
      </c>
      <c r="K30" s="51">
        <v>194.82</v>
      </c>
      <c r="L30" s="8" t="s">
        <v>8</v>
      </c>
      <c r="M30" s="51">
        <v>91.77</v>
      </c>
      <c r="N30" s="51">
        <v>15</v>
      </c>
      <c r="O30" s="51">
        <v>0</v>
      </c>
      <c r="P30" s="51">
        <v>3.84</v>
      </c>
      <c r="Q30" s="51">
        <v>27.76</v>
      </c>
      <c r="R30" s="43"/>
      <c r="S30" s="43"/>
      <c r="T30" s="43"/>
      <c r="U30" s="43"/>
    </row>
    <row r="31" spans="1:21" s="11" customFormat="1" ht="15">
      <c r="A31" s="50" t="s">
        <v>131</v>
      </c>
      <c r="B31" s="51">
        <v>14.25</v>
      </c>
      <c r="C31" s="51">
        <v>13.64</v>
      </c>
      <c r="D31" s="51">
        <v>27.67</v>
      </c>
      <c r="E31" s="51">
        <v>4.84</v>
      </c>
      <c r="F31" s="51">
        <v>0.53</v>
      </c>
      <c r="G31" s="53" t="s">
        <v>8</v>
      </c>
      <c r="H31" s="51">
        <v>20.94</v>
      </c>
      <c r="I31" s="51">
        <v>5.81</v>
      </c>
      <c r="J31" s="51">
        <v>0.36</v>
      </c>
      <c r="K31" s="51">
        <v>262.08999999999997</v>
      </c>
      <c r="L31" s="8" t="s">
        <v>8</v>
      </c>
      <c r="M31" s="51">
        <v>93.79</v>
      </c>
      <c r="N31" s="51">
        <v>15.40</v>
      </c>
      <c r="O31" s="51">
        <v>0</v>
      </c>
      <c r="P31" s="51">
        <v>3.83</v>
      </c>
      <c r="Q31" s="51">
        <v>25.40</v>
      </c>
      <c r="R31" s="43"/>
      <c r="S31" s="43"/>
      <c r="T31" s="43"/>
      <c r="U31" s="43"/>
    </row>
    <row r="32" spans="1:21" s="11" customFormat="1" ht="15">
      <c r="A32" s="50" t="s">
        <v>132</v>
      </c>
      <c r="B32" s="51">
        <v>13.94</v>
      </c>
      <c r="C32" s="51">
        <v>9.74</v>
      </c>
      <c r="D32" s="51">
        <v>23.67</v>
      </c>
      <c r="E32" s="51">
        <v>5.26</v>
      </c>
      <c r="F32" s="51">
        <v>1.39</v>
      </c>
      <c r="G32" s="53" t="s">
        <v>8</v>
      </c>
      <c r="H32" s="51">
        <v>19.29</v>
      </c>
      <c r="I32" s="51">
        <v>4.84</v>
      </c>
      <c r="J32" s="51">
        <v>0.32</v>
      </c>
      <c r="K32" s="51">
        <v>310.89</v>
      </c>
      <c r="L32" s="8" t="s">
        <v>8</v>
      </c>
      <c r="M32" s="51">
        <v>91.73</v>
      </c>
      <c r="N32" s="51">
        <v>15.70</v>
      </c>
      <c r="O32" s="51">
        <v>0</v>
      </c>
      <c r="P32" s="51">
        <v>3.78</v>
      </c>
      <c r="Q32" s="51">
        <v>24.18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0.77000000000000002</v>
      </c>
      <c r="C34" s="28">
        <f t="shared" si="0"/>
        <v>9.7400000000000002</v>
      </c>
      <c r="D34" s="28">
        <f t="shared" si="0"/>
        <v>14.300000000000001</v>
      </c>
      <c r="E34" s="28">
        <f t="shared" si="0"/>
        <v>2.4399999999999999</v>
      </c>
      <c r="F34" s="28">
        <f t="shared" si="0"/>
        <v>0.059999999999999998</v>
      </c>
      <c r="G34" s="28">
        <f t="shared" si="0"/>
        <v>0</v>
      </c>
      <c r="H34" s="28">
        <f t="shared" si="0"/>
        <v>15.550000000000001</v>
      </c>
      <c r="I34" s="28">
        <f t="shared" si="0"/>
        <v>2.79</v>
      </c>
      <c r="J34" s="28">
        <f t="shared" si="0"/>
        <v>0.10000000000000001</v>
      </c>
      <c r="K34" s="28">
        <f t="shared" si="0"/>
        <v>98.730000000000004</v>
      </c>
      <c r="L34" s="28">
        <f t="shared" si="0"/>
        <v>0</v>
      </c>
      <c r="M34" s="28">
        <f t="shared" si="0"/>
        <v>57.990000000000002</v>
      </c>
      <c r="N34" s="28">
        <f t="shared" si="0"/>
        <v>15</v>
      </c>
      <c r="O34" s="28">
        <f t="shared" si="0"/>
        <v>0</v>
      </c>
      <c r="P34" s="28">
        <f t="shared" si="0"/>
        <v>3.25</v>
      </c>
      <c r="Q34" s="28">
        <f t="shared" si="0"/>
        <v>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36.060000000000002</v>
      </c>
      <c r="C35" s="29">
        <f t="shared" si="1"/>
        <v>34.789999999999999</v>
      </c>
      <c r="D35" s="29">
        <f t="shared" si="1"/>
        <v>51.689999999999998</v>
      </c>
      <c r="E35" s="29">
        <f t="shared" si="1"/>
        <v>7.3899999999999997</v>
      </c>
      <c r="F35" s="29">
        <f t="shared" si="1"/>
        <v>9.1899999999999995</v>
      </c>
      <c r="G35" s="29">
        <f t="shared" si="1"/>
        <v>0</v>
      </c>
      <c r="H35" s="29">
        <f t="shared" si="1"/>
        <v>64.109999999999999</v>
      </c>
      <c r="I35" s="29">
        <f t="shared" si="1"/>
        <v>8.5399999999999991</v>
      </c>
      <c r="J35" s="29">
        <f t="shared" si="1"/>
        <v>2.1400000000000001</v>
      </c>
      <c r="K35" s="29">
        <f t="shared" si="1"/>
        <v>359.42000000000002</v>
      </c>
      <c r="L35" s="29">
        <f t="shared" si="1"/>
        <v>0</v>
      </c>
      <c r="M35" s="29">
        <f t="shared" si="1"/>
        <v>98.329999999999998</v>
      </c>
      <c r="N35" s="29">
        <f t="shared" si="1"/>
        <v>951.60000000000002</v>
      </c>
      <c r="O35" s="29">
        <f t="shared" si="1"/>
        <v>3</v>
      </c>
      <c r="P35" s="29">
        <f t="shared" si="1"/>
        <v>4.1500000000000004</v>
      </c>
      <c r="Q35" s="29">
        <f t="shared" si="1"/>
        <v>30.989999999999998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13.404999999999999</v>
      </c>
      <c r="C36" s="28">
        <f t="shared" si="2"/>
        <v>15.655000000000003</v>
      </c>
      <c r="D36" s="28">
        <f t="shared" si="2"/>
        <v>28.782916666666665</v>
      </c>
      <c r="E36" s="28">
        <f t="shared" si="2"/>
        <v>5.4170833333333341</v>
      </c>
      <c r="F36" s="28">
        <f t="shared" si="2"/>
        <v>1.3479166666666667</v>
      </c>
      <c r="G36" s="28" t="e">
        <f t="shared" si="2"/>
        <v>#DIV/0!</v>
      </c>
      <c r="H36" s="28">
        <f t="shared" si="2"/>
        <v>32.856249999999996</v>
      </c>
      <c r="I36" s="28">
        <f t="shared" si="2"/>
        <v>6.1524999999999999</v>
      </c>
      <c r="J36" s="28">
        <f t="shared" si="2"/>
        <v>0.94750000000000012</v>
      </c>
      <c r="K36" s="28">
        <f t="shared" si="2"/>
        <v>247.11708333333331</v>
      </c>
      <c r="L36" s="28" t="e">
        <f t="shared" si="2"/>
        <v>#DIV/0!</v>
      </c>
      <c r="M36" s="28">
        <f t="shared" si="2"/>
        <v>78.95708333333333</v>
      </c>
      <c r="N36" s="28">
        <f t="shared" si="2"/>
        <v>264.15000000000003</v>
      </c>
      <c r="O36" s="28">
        <f t="shared" si="2"/>
        <v>0.13333333333333333</v>
      </c>
      <c r="P36" s="28">
        <f t="shared" si="2"/>
        <v>3.6500000000000004</v>
      </c>
      <c r="Q36" s="28">
        <f t="shared" si="2"/>
        <v>14.925833333333332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9.8353064097623832</v>
      </c>
      <c r="C37" s="28">
        <f t="shared" si="3" ref="C37:Q37">STDEV(C9:C32)</f>
        <v>4.898362636814368</v>
      </c>
      <c r="D37" s="28">
        <f t="shared" si="3"/>
        <v>9.847086295676144</v>
      </c>
      <c r="E37" s="28">
        <f t="shared" si="3"/>
        <v>1.4186842623472924</v>
      </c>
      <c r="F37" s="28">
        <f t="shared" si="3"/>
        <v>2.1444346151936129</v>
      </c>
      <c r="G37" s="28" t="e">
        <f t="shared" si="3"/>
        <v>#DIV/0!</v>
      </c>
      <c r="H37" s="28">
        <f t="shared" si="3"/>
        <v>13.444452811960923</v>
      </c>
      <c r="I37" s="28">
        <f t="shared" si="3"/>
        <v>1.8683502371599536</v>
      </c>
      <c r="J37" s="28">
        <f t="shared" si="3"/>
        <v>0.62243735497603714</v>
      </c>
      <c r="K37" s="28">
        <f t="shared" si="3"/>
        <v>103.15140625731834</v>
      </c>
      <c r="L37" s="28" t="e">
        <f t="shared" si="3"/>
        <v>#DIV/0!</v>
      </c>
      <c r="M37" s="28">
        <f t="shared" si="3"/>
        <v>12.476575784128483</v>
      </c>
      <c r="N37" s="28">
        <f t="shared" si="3"/>
        <v>322.94149557654782</v>
      </c>
      <c r="O37" s="28">
        <f t="shared" si="3"/>
        <v>0.61195813061286175</v>
      </c>
      <c r="P37" s="28">
        <f t="shared" si="3"/>
        <v>0.24115663320574551</v>
      </c>
      <c r="Q37" s="28">
        <f t="shared" si="3"/>
        <v>8.8115570931474476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>COUNT(D9:D32)</f>
        <v>24</v>
      </c>
      <c r="E38" s="32">
        <f>COUNT(E9:E32)</f>
        <v>24</v>
      </c>
      <c r="F38" s="32">
        <f>COUNT(F9:F32)</f>
        <v>24</v>
      </c>
      <c r="G38" s="32">
        <f>COUNT(G9:G32)+24</f>
        <v>24</v>
      </c>
      <c r="H38" s="32">
        <f t="shared" si="4"/>
        <v>24</v>
      </c>
      <c r="I38" s="32">
        <f>COUNT(I9:I32)</f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20d66da-3ad4-4445-a470-111247b25e4b}">
  <sheetPr codeName=""/>
  <dimension ref="A1:U119"/>
  <sheetViews>
    <sheetView tabSelected="1" zoomScale="85" zoomScaleNormal="85" workbookViewId="0" topLeftCell="A1">
      <pane xSplit="2" ySplit="8" topLeftCell="C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5.1428571428571" style="26" customWidth="1"/>
    <col min="2" max="2" width="9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39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133</v>
      </c>
      <c r="B9" s="51">
        <v>13.56</v>
      </c>
      <c r="C9" s="51">
        <v>10.53</v>
      </c>
      <c r="D9" s="51">
        <v>22.43</v>
      </c>
      <c r="E9" s="51">
        <v>6</v>
      </c>
      <c r="F9" s="51">
        <v>0.21</v>
      </c>
      <c r="G9" s="53" t="s">
        <v>8</v>
      </c>
      <c r="H9" s="51">
        <v>20.52</v>
      </c>
      <c r="I9" s="51">
        <v>5.59</v>
      </c>
      <c r="J9" s="51">
        <v>0.27</v>
      </c>
      <c r="K9" s="51">
        <v>308.66000000000003</v>
      </c>
      <c r="L9" s="8" t="s">
        <v>8</v>
      </c>
      <c r="M9" s="51">
        <v>93.82</v>
      </c>
      <c r="N9" s="51">
        <v>15.80</v>
      </c>
      <c r="O9" s="51">
        <v>0</v>
      </c>
      <c r="P9" s="51">
        <v>3.74</v>
      </c>
      <c r="Q9" s="51">
        <v>22.97</v>
      </c>
      <c r="R9" s="43"/>
      <c r="S9" s="43"/>
      <c r="T9" s="43"/>
      <c r="U9" s="43"/>
    </row>
    <row r="10" spans="1:21" s="11" customFormat="1" ht="15">
      <c r="A10" s="50" t="s">
        <v>134</v>
      </c>
      <c r="B10" s="51">
        <v>10.84</v>
      </c>
      <c r="C10" s="51">
        <v>11.34</v>
      </c>
      <c r="D10" s="51">
        <v>21.76</v>
      </c>
      <c r="E10" s="51">
        <v>5.74</v>
      </c>
      <c r="F10" s="51">
        <v>0.33</v>
      </c>
      <c r="G10" s="53" t="s">
        <v>8</v>
      </c>
      <c r="H10" s="51">
        <v>19.13</v>
      </c>
      <c r="I10" s="51">
        <v>5.87</v>
      </c>
      <c r="J10" s="51">
        <v>1.05</v>
      </c>
      <c r="K10" s="51">
        <v>344.06</v>
      </c>
      <c r="L10" s="8" t="s">
        <v>8</v>
      </c>
      <c r="M10" s="51">
        <v>93.36</v>
      </c>
      <c r="N10" s="51">
        <v>16</v>
      </c>
      <c r="O10" s="51">
        <v>0</v>
      </c>
      <c r="P10" s="51">
        <v>3.69</v>
      </c>
      <c r="Q10" s="51">
        <v>19.86</v>
      </c>
      <c r="R10" s="43"/>
      <c r="S10" s="43"/>
      <c r="T10" s="43"/>
      <c r="U10" s="43"/>
    </row>
    <row r="11" spans="1:21" s="11" customFormat="1" ht="15">
      <c r="A11" s="50" t="s">
        <v>135</v>
      </c>
      <c r="B11" s="51">
        <v>7.75</v>
      </c>
      <c r="C11" s="51">
        <v>9.99</v>
      </c>
      <c r="D11" s="51">
        <v>17.739999999999998</v>
      </c>
      <c r="E11" s="51">
        <v>6.22</v>
      </c>
      <c r="F11" s="51">
        <v>0.32</v>
      </c>
      <c r="G11" s="53" t="s">
        <v>8</v>
      </c>
      <c r="H11" s="51">
        <v>17.329999999999998</v>
      </c>
      <c r="I11" s="51">
        <v>5.88</v>
      </c>
      <c r="J11" s="51">
        <v>1.19</v>
      </c>
      <c r="K11" s="51">
        <v>348.40</v>
      </c>
      <c r="L11" s="8" t="s">
        <v>8</v>
      </c>
      <c r="M11" s="51">
        <v>91.97</v>
      </c>
      <c r="N11" s="51">
        <v>15.20</v>
      </c>
      <c r="O11" s="51">
        <v>0</v>
      </c>
      <c r="P11" s="51">
        <v>3.61</v>
      </c>
      <c r="Q11" s="51">
        <v>18.420000000000002</v>
      </c>
      <c r="R11" s="43"/>
      <c r="S11" s="43"/>
      <c r="T11" s="43"/>
      <c r="U11" s="43"/>
    </row>
    <row r="12" spans="1:21" s="11" customFormat="1" ht="15">
      <c r="A12" s="50" t="s">
        <v>136</v>
      </c>
      <c r="B12" s="51">
        <v>6.65</v>
      </c>
      <c r="C12" s="51">
        <v>7.86</v>
      </c>
      <c r="D12" s="51">
        <v>14.52</v>
      </c>
      <c r="E12" s="51">
        <v>6.58</v>
      </c>
      <c r="F12" s="51">
        <v>0.12</v>
      </c>
      <c r="G12" s="53" t="s">
        <v>8</v>
      </c>
      <c r="H12" s="51">
        <v>16.93</v>
      </c>
      <c r="I12" s="51">
        <v>4.45</v>
      </c>
      <c r="J12" s="51">
        <v>0.24</v>
      </c>
      <c r="K12" s="51">
        <v>344.32</v>
      </c>
      <c r="L12" s="8" t="s">
        <v>8</v>
      </c>
      <c r="M12" s="51">
        <v>94.82</v>
      </c>
      <c r="N12" s="51">
        <v>15</v>
      </c>
      <c r="O12" s="51">
        <v>0</v>
      </c>
      <c r="P12" s="51">
        <v>3.52</v>
      </c>
      <c r="Q12" s="51">
        <v>18.399999999999999</v>
      </c>
      <c r="R12" s="43"/>
      <c r="S12" s="43"/>
      <c r="T12" s="43"/>
      <c r="U12" s="43"/>
    </row>
    <row r="13" spans="1:21" s="11" customFormat="1" ht="15">
      <c r="A13" s="50" t="s">
        <v>137</v>
      </c>
      <c r="B13" s="51">
        <v>6.42</v>
      </c>
      <c r="C13" s="51">
        <v>8.5299999999999994</v>
      </c>
      <c r="D13" s="51">
        <v>13.97</v>
      </c>
      <c r="E13" s="51">
        <v>7.37</v>
      </c>
      <c r="F13" s="51">
        <v>0.31</v>
      </c>
      <c r="G13" s="53" t="s">
        <v>8</v>
      </c>
      <c r="H13" s="51">
        <v>15.34</v>
      </c>
      <c r="I13" s="51">
        <v>5.01</v>
      </c>
      <c r="J13" s="51">
        <v>0.38</v>
      </c>
      <c r="K13" s="51">
        <v>276.58</v>
      </c>
      <c r="L13" s="8" t="s">
        <v>8</v>
      </c>
      <c r="M13" s="51">
        <v>93.68</v>
      </c>
      <c r="N13" s="51">
        <v>15</v>
      </c>
      <c r="O13" s="51">
        <v>0</v>
      </c>
      <c r="P13" s="51">
        <v>3.47</v>
      </c>
      <c r="Q13" s="51">
        <v>18.05</v>
      </c>
      <c r="R13" s="43"/>
      <c r="S13" s="43"/>
      <c r="T13" s="43"/>
      <c r="U13" s="43"/>
    </row>
    <row r="14" spans="1:21" s="11" customFormat="1" ht="15">
      <c r="A14" s="50" t="s">
        <v>138</v>
      </c>
      <c r="B14" s="51">
        <v>5.09</v>
      </c>
      <c r="C14" s="51">
        <v>8.51</v>
      </c>
      <c r="D14" s="51">
        <v>13.60</v>
      </c>
      <c r="E14" s="51">
        <v>7.22</v>
      </c>
      <c r="F14" s="51">
        <v>0.13</v>
      </c>
      <c r="G14" s="53" t="s">
        <v>8</v>
      </c>
      <c r="H14" s="51">
        <v>13.37</v>
      </c>
      <c r="I14" s="51">
        <v>4.8499999999999996</v>
      </c>
      <c r="J14" s="51">
        <v>0.19</v>
      </c>
      <c r="K14" s="51">
        <v>279.81</v>
      </c>
      <c r="L14" s="8" t="s">
        <v>8</v>
      </c>
      <c r="M14" s="51">
        <v>96.5</v>
      </c>
      <c r="N14" s="51">
        <v>21</v>
      </c>
      <c r="O14" s="51">
        <v>0</v>
      </c>
      <c r="P14" s="51">
        <v>3.40</v>
      </c>
      <c r="Q14" s="51">
        <v>14.59</v>
      </c>
      <c r="R14" s="43"/>
      <c r="S14" s="43"/>
      <c r="T14" s="43"/>
      <c r="U14" s="43"/>
    </row>
    <row r="15" spans="1:21" s="11" customFormat="1" ht="15">
      <c r="A15" s="50" t="s">
        <v>139</v>
      </c>
      <c r="B15" s="51">
        <v>5.49</v>
      </c>
      <c r="C15" s="51">
        <v>7.60</v>
      </c>
      <c r="D15" s="51">
        <v>12.94</v>
      </c>
      <c r="E15" s="51">
        <v>7.62</v>
      </c>
      <c r="F15" s="51">
        <v>0.20</v>
      </c>
      <c r="G15" s="53" t="s">
        <v>8</v>
      </c>
      <c r="H15" s="51">
        <v>11.26</v>
      </c>
      <c r="I15" s="51">
        <v>3.66</v>
      </c>
      <c r="J15" s="51">
        <v>0.26</v>
      </c>
      <c r="K15" s="51">
        <v>252.05</v>
      </c>
      <c r="L15" s="8" t="s">
        <v>8</v>
      </c>
      <c r="M15" s="51">
        <v>93.72</v>
      </c>
      <c r="N15" s="51">
        <v>104.90</v>
      </c>
      <c r="O15" s="51">
        <v>0</v>
      </c>
      <c r="P15" s="51">
        <v>3.38</v>
      </c>
      <c r="Q15" s="51">
        <v>14.09</v>
      </c>
      <c r="R15" s="43"/>
      <c r="S15" s="43"/>
      <c r="T15" s="43"/>
      <c r="U15" s="43"/>
    </row>
    <row r="16" spans="1:21" s="11" customFormat="1" ht="15">
      <c r="A16" s="50" t="s">
        <v>140</v>
      </c>
      <c r="B16" s="51">
        <v>9.17</v>
      </c>
      <c r="C16" s="51">
        <v>9.98</v>
      </c>
      <c r="D16" s="51">
        <v>19.149999999999999</v>
      </c>
      <c r="E16" s="51">
        <v>7.96</v>
      </c>
      <c r="F16" s="51">
        <v>0.36</v>
      </c>
      <c r="G16" s="53" t="s">
        <v>8</v>
      </c>
      <c r="H16" s="51">
        <v>13.39</v>
      </c>
      <c r="I16" s="51">
        <v>4.54</v>
      </c>
      <c r="J16" s="51">
        <v>0.56999999999999995</v>
      </c>
      <c r="K16" s="51">
        <v>340.70</v>
      </c>
      <c r="L16" s="8" t="s">
        <v>8</v>
      </c>
      <c r="M16" s="51">
        <v>88.23</v>
      </c>
      <c r="N16" s="51">
        <v>275.30</v>
      </c>
      <c r="O16" s="51">
        <v>0</v>
      </c>
      <c r="P16" s="51">
        <v>3.43</v>
      </c>
      <c r="Q16" s="51">
        <v>14.95</v>
      </c>
      <c r="R16" s="43"/>
      <c r="S16" s="43"/>
      <c r="T16" s="43"/>
      <c r="U16" s="43"/>
    </row>
    <row r="17" spans="1:21" s="11" customFormat="1" ht="15">
      <c r="A17" s="50" t="s">
        <v>141</v>
      </c>
      <c r="B17" s="51">
        <v>9.69</v>
      </c>
      <c r="C17" s="51">
        <v>12.20</v>
      </c>
      <c r="D17" s="51">
        <v>21.51</v>
      </c>
      <c r="E17" s="51">
        <v>7.84</v>
      </c>
      <c r="F17" s="51">
        <v>0.66</v>
      </c>
      <c r="G17" s="53" t="s">
        <v>8</v>
      </c>
      <c r="H17" s="51">
        <v>19.98</v>
      </c>
      <c r="I17" s="51">
        <v>5.19</v>
      </c>
      <c r="J17" s="51">
        <v>1.22</v>
      </c>
      <c r="K17" s="51">
        <v>97.19</v>
      </c>
      <c r="L17" s="8" t="s">
        <v>8</v>
      </c>
      <c r="M17" s="51">
        <v>81.180000000000007</v>
      </c>
      <c r="N17" s="51">
        <v>451.80</v>
      </c>
      <c r="O17" s="51">
        <v>0</v>
      </c>
      <c r="P17" s="51">
        <v>3.44</v>
      </c>
      <c r="Q17" s="51">
        <v>14.71</v>
      </c>
      <c r="R17" s="43"/>
      <c r="S17" s="43"/>
      <c r="T17" s="43"/>
      <c r="U17" s="43"/>
    </row>
    <row r="18" spans="1:21" s="11" customFormat="1" ht="15">
      <c r="A18" s="50" t="s">
        <v>142</v>
      </c>
      <c r="B18" s="51">
        <v>6.82</v>
      </c>
      <c r="C18" s="51">
        <v>12.68</v>
      </c>
      <c r="D18" s="51">
        <v>19.5</v>
      </c>
      <c r="E18" s="51">
        <v>7.56</v>
      </c>
      <c r="F18" s="51">
        <v>0.34</v>
      </c>
      <c r="G18" s="53" t="s">
        <v>8</v>
      </c>
      <c r="H18" s="51">
        <v>19.91</v>
      </c>
      <c r="I18" s="51">
        <v>5.17</v>
      </c>
      <c r="J18" s="51">
        <v>1.1599999999999999</v>
      </c>
      <c r="K18" s="51">
        <v>95.86</v>
      </c>
      <c r="L18" s="8" t="s">
        <v>8</v>
      </c>
      <c r="M18" s="51">
        <v>79.67</v>
      </c>
      <c r="N18" s="51">
        <v>537</v>
      </c>
      <c r="O18" s="51">
        <v>0</v>
      </c>
      <c r="P18" s="51">
        <v>3.41</v>
      </c>
      <c r="Q18" s="51">
        <v>13.40</v>
      </c>
      <c r="R18" s="43"/>
      <c r="S18" s="43"/>
      <c r="T18" s="43"/>
      <c r="U18" s="43"/>
    </row>
    <row r="19" spans="1:21" s="11" customFormat="1" ht="15">
      <c r="A19" s="50" t="s">
        <v>143</v>
      </c>
      <c r="B19" s="51">
        <v>5.63</v>
      </c>
      <c r="C19" s="51">
        <v>11.83</v>
      </c>
      <c r="D19" s="51">
        <v>17.46</v>
      </c>
      <c r="E19" s="51">
        <v>7.74</v>
      </c>
      <c r="F19" s="51">
        <v>0.45</v>
      </c>
      <c r="G19" s="53" t="s">
        <v>8</v>
      </c>
      <c r="H19" s="51">
        <v>22.49</v>
      </c>
      <c r="I19" s="51">
        <v>4.97</v>
      </c>
      <c r="J19" s="51">
        <v>1.03</v>
      </c>
      <c r="K19" s="51">
        <v>83.81</v>
      </c>
      <c r="L19" s="8" t="s">
        <v>8</v>
      </c>
      <c r="M19" s="51">
        <v>78.95</v>
      </c>
      <c r="N19" s="51">
        <v>411.60</v>
      </c>
      <c r="O19" s="51">
        <v>0</v>
      </c>
      <c r="P19" s="51">
        <v>3.42</v>
      </c>
      <c r="Q19" s="51">
        <v>13.48</v>
      </c>
      <c r="R19" s="43"/>
      <c r="S19" s="43"/>
      <c r="T19" s="43"/>
      <c r="U19" s="43"/>
    </row>
    <row r="20" spans="1:21" s="11" customFormat="1" ht="15">
      <c r="A20" s="50" t="s">
        <v>144</v>
      </c>
      <c r="B20" s="51">
        <v>5.15</v>
      </c>
      <c r="C20" s="51">
        <v>12.43</v>
      </c>
      <c r="D20" s="51">
        <v>16.71</v>
      </c>
      <c r="E20" s="51">
        <v>7.54</v>
      </c>
      <c r="F20" s="51">
        <v>0.66</v>
      </c>
      <c r="G20" s="53" t="s">
        <v>8</v>
      </c>
      <c r="H20" s="51">
        <v>27.02</v>
      </c>
      <c r="I20" s="51">
        <v>5.0999999999999996</v>
      </c>
      <c r="J20" s="51">
        <v>1.54</v>
      </c>
      <c r="K20" s="51">
        <v>98.53</v>
      </c>
      <c r="L20" s="8" t="s">
        <v>8</v>
      </c>
      <c r="M20" s="51">
        <v>80.56</v>
      </c>
      <c r="N20" s="51">
        <v>761.20</v>
      </c>
      <c r="O20" s="51">
        <v>0</v>
      </c>
      <c r="P20" s="51">
        <v>3.45</v>
      </c>
      <c r="Q20" s="51">
        <v>12.96</v>
      </c>
      <c r="R20" s="43"/>
      <c r="S20" s="43"/>
      <c r="T20" s="43"/>
      <c r="U20" s="43"/>
    </row>
    <row r="21" spans="1:21" s="11" customFormat="1" ht="15">
      <c r="A21" s="50" t="s">
        <v>145</v>
      </c>
      <c r="B21" s="51">
        <v>3.12</v>
      </c>
      <c r="C21" s="51">
        <v>12.18</v>
      </c>
      <c r="D21" s="51">
        <v>15.30</v>
      </c>
      <c r="E21" s="51">
        <v>5.20</v>
      </c>
      <c r="F21" s="51">
        <v>0.87</v>
      </c>
      <c r="G21" s="53" t="s">
        <v>8</v>
      </c>
      <c r="H21" s="51">
        <v>25.49</v>
      </c>
      <c r="I21" s="51">
        <v>4.93</v>
      </c>
      <c r="J21" s="51">
        <v>1.73</v>
      </c>
      <c r="K21" s="51">
        <v>100.85</v>
      </c>
      <c r="L21" s="8" t="s">
        <v>8</v>
      </c>
      <c r="M21" s="51">
        <v>73.89</v>
      </c>
      <c r="N21" s="51">
        <v>685.40</v>
      </c>
      <c r="O21" s="51">
        <v>0</v>
      </c>
      <c r="P21" s="51">
        <v>3.42</v>
      </c>
      <c r="Q21" s="51">
        <v>10.85</v>
      </c>
      <c r="R21" s="43"/>
      <c r="S21" s="43"/>
      <c r="T21" s="43"/>
      <c r="U21" s="43"/>
    </row>
    <row r="22" spans="1:21" s="11" customFormat="1" ht="15">
      <c r="A22" s="50" t="s">
        <v>146</v>
      </c>
      <c r="B22" s="51">
        <v>3.74</v>
      </c>
      <c r="C22" s="51">
        <v>12.69</v>
      </c>
      <c r="D22" s="51">
        <v>16.43</v>
      </c>
      <c r="E22" s="51">
        <v>5.13</v>
      </c>
      <c r="F22" s="51">
        <v>0.56000000000000005</v>
      </c>
      <c r="G22" s="53" t="s">
        <v>8</v>
      </c>
      <c r="H22" s="51">
        <v>20.72</v>
      </c>
      <c r="I22" s="51">
        <v>4.43</v>
      </c>
      <c r="J22" s="51">
        <v>1.07</v>
      </c>
      <c r="K22" s="51">
        <v>81.680000000000007</v>
      </c>
      <c r="L22" s="8" t="s">
        <v>8</v>
      </c>
      <c r="M22" s="51">
        <v>78.5</v>
      </c>
      <c r="N22" s="51">
        <v>239.10</v>
      </c>
      <c r="O22" s="51">
        <v>0</v>
      </c>
      <c r="P22" s="51">
        <v>3.40</v>
      </c>
      <c r="Q22" s="51">
        <v>10.91</v>
      </c>
      <c r="R22" s="43"/>
      <c r="S22" s="43"/>
      <c r="T22" s="43"/>
      <c r="U22" s="43"/>
    </row>
    <row r="23" spans="1:21" s="11" customFormat="1" ht="15">
      <c r="A23" s="50" t="s">
        <v>147</v>
      </c>
      <c r="B23" s="51">
        <v>5.14</v>
      </c>
      <c r="C23" s="51">
        <v>13.08</v>
      </c>
      <c r="D23" s="51">
        <v>18.03</v>
      </c>
      <c r="E23" s="51">
        <v>5.49</v>
      </c>
      <c r="F23" s="51">
        <v>0.30</v>
      </c>
      <c r="G23" s="53" t="s">
        <v>8</v>
      </c>
      <c r="H23" s="51">
        <v>23.13</v>
      </c>
      <c r="I23" s="51">
        <v>4.2699999999999996</v>
      </c>
      <c r="J23" s="51">
        <v>1.65</v>
      </c>
      <c r="K23" s="51">
        <v>94.91</v>
      </c>
      <c r="L23" s="8" t="s">
        <v>8</v>
      </c>
      <c r="M23" s="51">
        <v>77.75</v>
      </c>
      <c r="N23" s="51">
        <v>291.60000000000002</v>
      </c>
      <c r="O23" s="51">
        <v>0</v>
      </c>
      <c r="P23" s="51">
        <v>3.40</v>
      </c>
      <c r="Q23" s="51">
        <v>11.27</v>
      </c>
      <c r="R23" s="43"/>
      <c r="S23" s="43"/>
      <c r="T23" s="43"/>
      <c r="U23" s="43"/>
    </row>
    <row r="24" spans="1:21" s="11" customFormat="1" ht="15">
      <c r="A24" s="50" t="s">
        <v>148</v>
      </c>
      <c r="B24" s="51">
        <v>4.53</v>
      </c>
      <c r="C24" s="51">
        <v>11.71</v>
      </c>
      <c r="D24" s="51">
        <v>16.02</v>
      </c>
      <c r="E24" s="51">
        <v>5.23</v>
      </c>
      <c r="F24" s="51">
        <v>0.96</v>
      </c>
      <c r="G24" s="53" t="s">
        <v>8</v>
      </c>
      <c r="H24" s="51">
        <v>22.63</v>
      </c>
      <c r="I24" s="51">
        <v>4.3499999999999996</v>
      </c>
      <c r="J24" s="51">
        <v>2.3199999999999998</v>
      </c>
      <c r="K24" s="51">
        <v>100.48</v>
      </c>
      <c r="L24" s="8" t="s">
        <v>8</v>
      </c>
      <c r="M24" s="51">
        <v>78.44</v>
      </c>
      <c r="N24" s="51">
        <v>182.60</v>
      </c>
      <c r="O24" s="51">
        <v>0</v>
      </c>
      <c r="P24" s="51">
        <v>3.38</v>
      </c>
      <c r="Q24" s="51">
        <v>10.84</v>
      </c>
      <c r="R24" s="43"/>
      <c r="S24" s="43"/>
      <c r="T24" s="43"/>
      <c r="U24" s="43"/>
    </row>
    <row r="25" spans="1:21" s="11" customFormat="1" ht="15">
      <c r="A25" s="50" t="s">
        <v>149</v>
      </c>
      <c r="B25" s="51">
        <v>2.39</v>
      </c>
      <c r="C25" s="51">
        <v>11.15</v>
      </c>
      <c r="D25" s="51">
        <v>13.54</v>
      </c>
      <c r="E25" s="51">
        <v>5</v>
      </c>
      <c r="F25" s="51">
        <v>0.68</v>
      </c>
      <c r="G25" s="53" t="s">
        <v>8</v>
      </c>
      <c r="H25" s="51">
        <v>22.56</v>
      </c>
      <c r="I25" s="51">
        <v>3.94</v>
      </c>
      <c r="J25" s="51">
        <v>1.66</v>
      </c>
      <c r="K25" s="51">
        <v>98.52</v>
      </c>
      <c r="L25" s="8" t="s">
        <v>8</v>
      </c>
      <c r="M25" s="51">
        <v>80.87</v>
      </c>
      <c r="N25" s="51">
        <v>183.30</v>
      </c>
      <c r="O25" s="51">
        <v>0</v>
      </c>
      <c r="P25" s="51">
        <v>3.32</v>
      </c>
      <c r="Q25" s="51">
        <v>8.15</v>
      </c>
      <c r="R25" s="43"/>
      <c r="S25" s="43"/>
      <c r="T25" s="43"/>
      <c r="U25" s="43"/>
    </row>
    <row r="26" spans="1:21" s="11" customFormat="1" ht="15">
      <c r="A26" s="50" t="s">
        <v>150</v>
      </c>
      <c r="B26" s="51">
        <v>2.48</v>
      </c>
      <c r="C26" s="51">
        <v>9.5500000000000007</v>
      </c>
      <c r="D26" s="51">
        <v>11.91</v>
      </c>
      <c r="E26" s="51">
        <v>5.48</v>
      </c>
      <c r="F26" s="51">
        <v>0.26</v>
      </c>
      <c r="G26" s="53" t="s">
        <v>8</v>
      </c>
      <c r="H26" s="51">
        <v>20.68</v>
      </c>
      <c r="I26" s="51">
        <v>3.45</v>
      </c>
      <c r="J26" s="51">
        <v>1.44</v>
      </c>
      <c r="K26" s="51">
        <v>99.30</v>
      </c>
      <c r="L26" s="8" t="s">
        <v>8</v>
      </c>
      <c r="M26" s="51">
        <v>79.290000000000006</v>
      </c>
      <c r="N26" s="51">
        <v>103.80</v>
      </c>
      <c r="O26" s="51">
        <v>0</v>
      </c>
      <c r="P26" s="51">
        <v>3.29</v>
      </c>
      <c r="Q26" s="51">
        <v>8.25</v>
      </c>
      <c r="R26" s="43"/>
      <c r="S26" s="43"/>
      <c r="T26" s="43"/>
      <c r="U26" s="43"/>
    </row>
    <row r="27" spans="1:21" s="11" customFormat="1" ht="15">
      <c r="A27" s="50" t="s">
        <v>151</v>
      </c>
      <c r="B27" s="51">
        <v>5.78</v>
      </c>
      <c r="C27" s="51">
        <v>10.87</v>
      </c>
      <c r="D27" s="51">
        <v>16.66</v>
      </c>
      <c r="E27" s="51">
        <v>5.35</v>
      </c>
      <c r="F27" s="51">
        <v>0.48</v>
      </c>
      <c r="G27" s="53" t="s">
        <v>8</v>
      </c>
      <c r="H27" s="51">
        <v>17.739999999999998</v>
      </c>
      <c r="I27" s="51">
        <v>4.46</v>
      </c>
      <c r="J27" s="51">
        <v>0.64</v>
      </c>
      <c r="K27" s="51">
        <v>84.26</v>
      </c>
      <c r="L27" s="8" t="s">
        <v>8</v>
      </c>
      <c r="M27" s="51">
        <v>81.010000000000005</v>
      </c>
      <c r="N27" s="51">
        <v>28</v>
      </c>
      <c r="O27" s="51">
        <v>0</v>
      </c>
      <c r="P27" s="51">
        <v>3.43</v>
      </c>
      <c r="Q27" s="51">
        <v>9.16</v>
      </c>
      <c r="R27" s="43"/>
      <c r="S27" s="43"/>
      <c r="T27" s="43"/>
      <c r="U27" s="43"/>
    </row>
    <row r="28" spans="1:21" s="11" customFormat="1" ht="15">
      <c r="A28" s="50" t="s">
        <v>152</v>
      </c>
      <c r="B28" s="51">
        <v>12.71</v>
      </c>
      <c r="C28" s="51">
        <v>14.22</v>
      </c>
      <c r="D28" s="51">
        <v>26.93</v>
      </c>
      <c r="E28" s="51">
        <v>5.51</v>
      </c>
      <c r="F28" s="51">
        <v>0.25</v>
      </c>
      <c r="G28" s="53" t="s">
        <v>8</v>
      </c>
      <c r="H28" s="51">
        <v>17.690000000000001</v>
      </c>
      <c r="I28" s="51">
        <v>5.25</v>
      </c>
      <c r="J28" s="51">
        <v>0.44</v>
      </c>
      <c r="K28" s="51">
        <v>72.569999999999993</v>
      </c>
      <c r="L28" s="8" t="s">
        <v>8</v>
      </c>
      <c r="M28" s="51">
        <v>80.77</v>
      </c>
      <c r="N28" s="51">
        <v>14.90</v>
      </c>
      <c r="O28" s="51">
        <v>0</v>
      </c>
      <c r="P28" s="51">
        <v>3.72</v>
      </c>
      <c r="Q28" s="51">
        <v>10.82</v>
      </c>
      <c r="R28" s="43"/>
      <c r="S28" s="43"/>
      <c r="T28" s="43"/>
      <c r="U28" s="43"/>
    </row>
    <row r="29" spans="1:21" s="11" customFormat="1" ht="15">
      <c r="A29" s="50" t="s">
        <v>153</v>
      </c>
      <c r="B29" s="51">
        <v>16.18</v>
      </c>
      <c r="C29" s="51">
        <v>14.68</v>
      </c>
      <c r="D29" s="51">
        <v>30.13</v>
      </c>
      <c r="E29" s="51">
        <v>4.4400000000000004</v>
      </c>
      <c r="F29" s="51">
        <v>0.03</v>
      </c>
      <c r="G29" s="53" t="s">
        <v>8</v>
      </c>
      <c r="H29" s="51">
        <v>17.55</v>
      </c>
      <c r="I29" s="51">
        <v>7</v>
      </c>
      <c r="J29" s="51">
        <v>0.55000000000000004</v>
      </c>
      <c r="K29" s="51">
        <v>104.98</v>
      </c>
      <c r="L29" s="8" t="s">
        <v>8</v>
      </c>
      <c r="M29" s="51">
        <v>81.44</v>
      </c>
      <c r="N29" s="51">
        <v>14.70</v>
      </c>
      <c r="O29" s="51">
        <v>0</v>
      </c>
      <c r="P29" s="51">
        <v>3.86</v>
      </c>
      <c r="Q29" s="51">
        <v>12.29</v>
      </c>
      <c r="R29" s="43"/>
      <c r="S29" s="43"/>
      <c r="T29" s="43"/>
      <c r="U29" s="43"/>
    </row>
    <row r="30" spans="1:21" s="11" customFormat="1" ht="15">
      <c r="A30" s="50" t="s">
        <v>154</v>
      </c>
      <c r="B30" s="51">
        <v>16.71</v>
      </c>
      <c r="C30" s="51">
        <v>30.5</v>
      </c>
      <c r="D30" s="51">
        <v>44.45</v>
      </c>
      <c r="E30" s="51">
        <v>4.9000000000000004</v>
      </c>
      <c r="F30" s="51">
        <v>0.28999999999999998</v>
      </c>
      <c r="G30" s="53" t="s">
        <v>8</v>
      </c>
      <c r="H30" s="51">
        <v>19.68</v>
      </c>
      <c r="I30" s="51">
        <v>7.46</v>
      </c>
      <c r="J30" s="51">
        <v>0.67</v>
      </c>
      <c r="K30" s="51">
        <v>80.739999999999995</v>
      </c>
      <c r="L30" s="8" t="s">
        <v>8</v>
      </c>
      <c r="M30" s="51">
        <v>82.15</v>
      </c>
      <c r="N30" s="51">
        <v>14.90</v>
      </c>
      <c r="O30" s="51">
        <v>0</v>
      </c>
      <c r="P30" s="51">
        <v>4.01</v>
      </c>
      <c r="Q30" s="51">
        <v>14.60</v>
      </c>
      <c r="R30" s="43"/>
      <c r="S30" s="43"/>
      <c r="T30" s="43"/>
      <c r="U30" s="43"/>
    </row>
    <row r="31" spans="1:21" s="11" customFormat="1" ht="15">
      <c r="A31" s="50" t="s">
        <v>155</v>
      </c>
      <c r="B31" s="51">
        <v>14.43</v>
      </c>
      <c r="C31" s="51">
        <v>30.39</v>
      </c>
      <c r="D31" s="51">
        <v>43.99</v>
      </c>
      <c r="E31" s="51">
        <v>3.69</v>
      </c>
      <c r="F31" s="51">
        <v>0.47</v>
      </c>
      <c r="G31" s="53" t="s">
        <v>8</v>
      </c>
      <c r="H31" s="51">
        <v>18.82</v>
      </c>
      <c r="I31" s="51">
        <v>7.19</v>
      </c>
      <c r="J31" s="51">
        <v>0.66</v>
      </c>
      <c r="K31" s="51">
        <v>78.77</v>
      </c>
      <c r="L31" s="8" t="s">
        <v>8</v>
      </c>
      <c r="M31" s="51">
        <v>82.72</v>
      </c>
      <c r="N31" s="51">
        <v>15</v>
      </c>
      <c r="O31" s="51">
        <v>0</v>
      </c>
      <c r="P31" s="51">
        <v>4.0599999999999996</v>
      </c>
      <c r="Q31" s="51">
        <v>16.920000000000002</v>
      </c>
      <c r="R31" s="43"/>
      <c r="S31" s="43"/>
      <c r="T31" s="43"/>
      <c r="U31" s="43"/>
    </row>
    <row r="32" spans="1:21" s="11" customFormat="1" ht="15">
      <c r="A32" s="50" t="s">
        <v>156</v>
      </c>
      <c r="B32" s="51">
        <v>13.16</v>
      </c>
      <c r="C32" s="51">
        <v>18.62</v>
      </c>
      <c r="D32" s="51">
        <v>31.78</v>
      </c>
      <c r="E32" s="51">
        <v>4.72</v>
      </c>
      <c r="F32" s="51">
        <v>0.24</v>
      </c>
      <c r="G32" s="53" t="s">
        <v>8</v>
      </c>
      <c r="H32" s="51">
        <v>16.04</v>
      </c>
      <c r="I32" s="51">
        <v>7.38</v>
      </c>
      <c r="J32" s="51">
        <v>0.72</v>
      </c>
      <c r="K32" s="51">
        <v>100.14</v>
      </c>
      <c r="L32" s="8" t="s">
        <v>8</v>
      </c>
      <c r="M32" s="51">
        <v>83.89</v>
      </c>
      <c r="N32" s="51">
        <v>15</v>
      </c>
      <c r="O32" s="51">
        <v>0</v>
      </c>
      <c r="P32" s="51">
        <v>4.04</v>
      </c>
      <c r="Q32" s="51">
        <v>15.26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2.3900000000000001</v>
      </c>
      <c r="C34" s="28">
        <f t="shared" si="0"/>
        <v>7.5999999999999996</v>
      </c>
      <c r="D34" s="28">
        <f t="shared" si="0"/>
        <v>11.91</v>
      </c>
      <c r="E34" s="28">
        <f t="shared" si="0"/>
        <v>3.6899999999999999</v>
      </c>
      <c r="F34" s="28">
        <f t="shared" si="0"/>
        <v>0.029999999999999999</v>
      </c>
      <c r="G34" s="28">
        <f t="shared" si="0"/>
        <v>0</v>
      </c>
      <c r="H34" s="28">
        <f t="shared" si="0"/>
        <v>11.26</v>
      </c>
      <c r="I34" s="28">
        <f t="shared" si="0"/>
        <v>3.4500000000000002</v>
      </c>
      <c r="J34" s="28">
        <f t="shared" si="0"/>
        <v>0.19</v>
      </c>
      <c r="K34" s="28">
        <f t="shared" si="0"/>
        <v>72.569999999999993</v>
      </c>
      <c r="L34" s="28">
        <f t="shared" si="0"/>
        <v>0</v>
      </c>
      <c r="M34" s="28">
        <f t="shared" si="0"/>
        <v>73.890000000000001</v>
      </c>
      <c r="N34" s="28">
        <f t="shared" si="0"/>
        <v>14.699999999999999</v>
      </c>
      <c r="O34" s="28">
        <f t="shared" si="0"/>
        <v>0</v>
      </c>
      <c r="P34" s="28">
        <f t="shared" si="0"/>
        <v>3.29</v>
      </c>
      <c r="Q34" s="28">
        <f t="shared" si="0"/>
        <v>8.1500000000000004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16.710000000000001</v>
      </c>
      <c r="C35" s="29">
        <f t="shared" si="1"/>
        <v>30.5</v>
      </c>
      <c r="D35" s="29">
        <f t="shared" si="1"/>
        <v>44.450000000000003</v>
      </c>
      <c r="E35" s="29">
        <f t="shared" si="1"/>
        <v>7.96</v>
      </c>
      <c r="F35" s="29">
        <f t="shared" si="1"/>
        <v>0.95999999999999996</v>
      </c>
      <c r="G35" s="29">
        <f t="shared" si="1"/>
        <v>0</v>
      </c>
      <c r="H35" s="29">
        <f t="shared" si="1"/>
        <v>27.02</v>
      </c>
      <c r="I35" s="29">
        <f t="shared" si="1"/>
        <v>7.46</v>
      </c>
      <c r="J35" s="29">
        <f t="shared" si="1"/>
        <v>2.3199999999999998</v>
      </c>
      <c r="K35" s="29">
        <f t="shared" si="1"/>
        <v>348.39999999999998</v>
      </c>
      <c r="L35" s="29">
        <f t="shared" si="1"/>
        <v>0</v>
      </c>
      <c r="M35" s="29">
        <f t="shared" si="1"/>
        <v>96.5</v>
      </c>
      <c r="N35" s="29">
        <f t="shared" si="1"/>
        <v>761.20000000000005</v>
      </c>
      <c r="O35" s="29">
        <f t="shared" si="1"/>
        <v>0</v>
      </c>
      <c r="P35" s="29">
        <f t="shared" si="1"/>
        <v>4.0599999999999996</v>
      </c>
      <c r="Q35" s="29">
        <f t="shared" si="1"/>
        <v>22.969999999999999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8.026250000000001</v>
      </c>
      <c r="C36" s="28">
        <f t="shared" si="2"/>
        <v>13.046666666666667</v>
      </c>
      <c r="D36" s="28">
        <f t="shared" si="2"/>
        <v>20.685833333333335</v>
      </c>
      <c r="E36" s="28">
        <f t="shared" si="2"/>
        <v>6.0637499999999998</v>
      </c>
      <c r="F36" s="28">
        <f t="shared" si="2"/>
        <v>0.39499999999999996</v>
      </c>
      <c r="G36" s="28" t="e">
        <f t="shared" si="2"/>
        <v>#DIV/0!</v>
      </c>
      <c r="H36" s="28">
        <f t="shared" si="2"/>
        <v>19.141666666666669</v>
      </c>
      <c r="I36" s="28">
        <f t="shared" si="2"/>
        <v>5.1829166666666664</v>
      </c>
      <c r="J36" s="28">
        <f t="shared" si="2"/>
        <v>0.9437500000000002</v>
      </c>
      <c r="K36" s="28">
        <f t="shared" si="2"/>
        <v>165.29875000000001</v>
      </c>
      <c r="L36" s="28" t="e">
        <f t="shared" si="2"/>
        <v>#DIV/0!</v>
      </c>
      <c r="M36" s="28">
        <f t="shared" si="2"/>
        <v>84.46583333333335</v>
      </c>
      <c r="N36" s="28">
        <f t="shared" si="2"/>
        <v>184.50416666666663</v>
      </c>
      <c r="O36" s="28">
        <f t="shared" si="2"/>
        <v>0</v>
      </c>
      <c r="P36" s="28">
        <f t="shared" si="2"/>
        <v>3.5537500000000009</v>
      </c>
      <c r="Q36" s="28">
        <f t="shared" si="2"/>
        <v>13.96666666666667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4.371118464470479</v>
      </c>
      <c r="C37" s="28">
        <f t="shared" si="3" ref="C37:Q37">STDEV(C9:C32)</f>
        <v>5.868114775163547</v>
      </c>
      <c r="D37" s="28">
        <f t="shared" si="3"/>
        <v>8.8861611590679264</v>
      </c>
      <c r="E37" s="28">
        <f t="shared" si="3"/>
        <v>1.2546532952590308</v>
      </c>
      <c r="F37" s="28">
        <f t="shared" si="3"/>
        <v>0.23457639897594507</v>
      </c>
      <c r="G37" s="28" t="e">
        <f t="shared" si="3"/>
        <v>#DIV/0!</v>
      </c>
      <c r="H37" s="28">
        <f t="shared" si="3"/>
        <v>3.7829798085482711</v>
      </c>
      <c r="I37" s="28">
        <f t="shared" si="3"/>
        <v>1.1260182992051799</v>
      </c>
      <c r="J37" s="28">
        <f t="shared" si="3"/>
        <v>0.57077988219018649</v>
      </c>
      <c r="K37" s="28">
        <f t="shared" si="3"/>
        <v>108.1934246299292</v>
      </c>
      <c r="L37" s="28" t="e">
        <f t="shared" si="3"/>
        <v>#DIV/0!</v>
      </c>
      <c r="M37" s="28">
        <f t="shared" si="3"/>
        <v>6.7605221799005673</v>
      </c>
      <c r="N37" s="28">
        <f t="shared" si="3"/>
        <v>228.82819163344337</v>
      </c>
      <c r="O37" s="28">
        <f t="shared" si="3"/>
        <v>0</v>
      </c>
      <c r="P37" s="28">
        <f t="shared" si="3"/>
        <v>0.2334209204140805</v>
      </c>
      <c r="Q37" s="28">
        <f t="shared" si="3"/>
        <v>3.7571828792867699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COUNT(G9:G32)+24</f>
        <v>24</v>
      </c>
      <c r="H38" s="32">
        <f>COUNT(H9:H32)</f>
        <v>24</v>
      </c>
      <c r="I38" s="32">
        <f>COUNT(I9:I32)</f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d331fb1-c87f-42e0-b522-0bed3e12e37e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39" sqref="G39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157</v>
      </c>
      <c r="B9" s="51">
        <v>11.66</v>
      </c>
      <c r="C9" s="51">
        <v>13.95</v>
      </c>
      <c r="D9" s="51">
        <v>25.61</v>
      </c>
      <c r="E9" s="51">
        <v>6.35</v>
      </c>
      <c r="F9" s="51">
        <v>0.36</v>
      </c>
      <c r="G9" s="53" t="s">
        <v>8</v>
      </c>
      <c r="H9" s="51">
        <v>16.940000000000001</v>
      </c>
      <c r="I9" s="51">
        <v>7.20</v>
      </c>
      <c r="J9" s="51">
        <v>0.27</v>
      </c>
      <c r="K9" s="51">
        <v>353.75</v>
      </c>
      <c r="L9" s="8" t="s">
        <v>8</v>
      </c>
      <c r="M9" s="51">
        <v>87.14</v>
      </c>
      <c r="N9" s="51">
        <v>15.20</v>
      </c>
      <c r="O9" s="51">
        <v>0</v>
      </c>
      <c r="P9" s="51">
        <v>3.91</v>
      </c>
      <c r="Q9" s="51">
        <v>16.54</v>
      </c>
      <c r="R9" s="43"/>
      <c r="S9" s="43"/>
      <c r="T9" s="43"/>
      <c r="U9" s="43"/>
    </row>
    <row r="10" spans="1:21" s="11" customFormat="1" ht="15">
      <c r="A10" s="50" t="s">
        <v>158</v>
      </c>
      <c r="B10" s="51">
        <v>10.91</v>
      </c>
      <c r="C10" s="51">
        <v>11.14</v>
      </c>
      <c r="D10" s="51">
        <v>22.05</v>
      </c>
      <c r="E10" s="51">
        <v>7.55</v>
      </c>
      <c r="F10" s="51">
        <v>0.49</v>
      </c>
      <c r="G10" s="53" t="s">
        <v>8</v>
      </c>
      <c r="H10" s="51">
        <v>16.940000000000001</v>
      </c>
      <c r="I10" s="51">
        <v>5.23</v>
      </c>
      <c r="J10" s="51">
        <v>0.67</v>
      </c>
      <c r="K10" s="51">
        <v>106.45</v>
      </c>
      <c r="L10" s="8" t="s">
        <v>8</v>
      </c>
      <c r="M10" s="51">
        <v>86.07</v>
      </c>
      <c r="N10" s="51">
        <v>14.80</v>
      </c>
      <c r="O10" s="51">
        <v>0</v>
      </c>
      <c r="P10" s="51">
        <v>3.87</v>
      </c>
      <c r="Q10" s="51">
        <v>16.89</v>
      </c>
      <c r="R10" s="43"/>
      <c r="S10" s="43"/>
      <c r="T10" s="43"/>
      <c r="U10" s="43"/>
    </row>
    <row r="11" spans="1:21" s="11" customFormat="1" ht="15">
      <c r="A11" s="50" t="s">
        <v>159</v>
      </c>
      <c r="B11" s="51">
        <v>9.0500000000000007</v>
      </c>
      <c r="C11" s="51">
        <v>10.99</v>
      </c>
      <c r="D11" s="51">
        <v>19.70</v>
      </c>
      <c r="E11" s="51">
        <v>7.76</v>
      </c>
      <c r="F11" s="51">
        <v>0.38</v>
      </c>
      <c r="G11" s="53" t="s">
        <v>8</v>
      </c>
      <c r="H11" s="51">
        <v>17.41</v>
      </c>
      <c r="I11" s="51">
        <v>7.12</v>
      </c>
      <c r="J11" s="51">
        <v>1.94</v>
      </c>
      <c r="K11" s="51">
        <v>171.34</v>
      </c>
      <c r="L11" s="8" t="s">
        <v>8</v>
      </c>
      <c r="M11" s="51">
        <v>87.87</v>
      </c>
      <c r="N11" s="51">
        <v>17.899999999999999</v>
      </c>
      <c r="O11" s="51">
        <v>1.80</v>
      </c>
      <c r="P11" s="51">
        <v>3.80</v>
      </c>
      <c r="Q11" s="51">
        <v>15.72</v>
      </c>
      <c r="R11" s="43"/>
      <c r="S11" s="43"/>
      <c r="T11" s="43"/>
      <c r="U11" s="43"/>
    </row>
    <row r="12" spans="1:21" s="11" customFormat="1" ht="15">
      <c r="A12" s="50" t="s">
        <v>160</v>
      </c>
      <c r="B12" s="51">
        <v>6.18</v>
      </c>
      <c r="C12" s="51">
        <v>10.51</v>
      </c>
      <c r="D12" s="51">
        <v>16.690000000000001</v>
      </c>
      <c r="E12" s="51">
        <v>7.63</v>
      </c>
      <c r="F12" s="51">
        <v>0.47</v>
      </c>
      <c r="G12" s="53" t="s">
        <v>8</v>
      </c>
      <c r="H12" s="51">
        <v>18.12</v>
      </c>
      <c r="I12" s="51">
        <v>6.91</v>
      </c>
      <c r="J12" s="51">
        <v>0.55000000000000004</v>
      </c>
      <c r="K12" s="51">
        <v>321.33999999999997</v>
      </c>
      <c r="L12" s="8" t="s">
        <v>8</v>
      </c>
      <c r="M12" s="51">
        <v>99.15</v>
      </c>
      <c r="N12" s="51">
        <v>16.30</v>
      </c>
      <c r="O12" s="51">
        <v>0.60</v>
      </c>
      <c r="P12" s="51">
        <v>3.66</v>
      </c>
      <c r="Q12" s="51">
        <v>13.61</v>
      </c>
      <c r="R12" s="43"/>
      <c r="S12" s="43"/>
      <c r="T12" s="43"/>
      <c r="U12" s="43"/>
    </row>
    <row r="13" spans="1:21" s="11" customFormat="1" ht="15">
      <c r="A13" s="50" t="s">
        <v>161</v>
      </c>
      <c r="B13" s="51">
        <v>6.37</v>
      </c>
      <c r="C13" s="51">
        <v>9.5500000000000007</v>
      </c>
      <c r="D13" s="51">
        <v>15.60</v>
      </c>
      <c r="E13" s="51">
        <v>7.27</v>
      </c>
      <c r="F13" s="51">
        <v>0.33</v>
      </c>
      <c r="G13" s="53" t="s">
        <v>8</v>
      </c>
      <c r="H13" s="51">
        <v>16.59</v>
      </c>
      <c r="I13" s="51">
        <v>5.82</v>
      </c>
      <c r="J13" s="51">
        <v>0.35</v>
      </c>
      <c r="K13" s="51">
        <v>218.43</v>
      </c>
      <c r="L13" s="8" t="s">
        <v>8</v>
      </c>
      <c r="M13" s="51">
        <v>98</v>
      </c>
      <c r="N13" s="51">
        <v>15.60</v>
      </c>
      <c r="O13" s="51">
        <v>0.20</v>
      </c>
      <c r="P13" s="51">
        <v>3.57</v>
      </c>
      <c r="Q13" s="51">
        <v>14.21</v>
      </c>
      <c r="R13" s="43"/>
      <c r="S13" s="43"/>
      <c r="T13" s="43"/>
      <c r="U13" s="43"/>
    </row>
    <row r="14" spans="1:21" s="11" customFormat="1" ht="15">
      <c r="A14" s="50" t="s">
        <v>162</v>
      </c>
      <c r="B14" s="51">
        <v>6.61</v>
      </c>
      <c r="C14" s="51">
        <v>8.98</v>
      </c>
      <c r="D14" s="51">
        <v>15.51</v>
      </c>
      <c r="E14" s="51">
        <v>7.98</v>
      </c>
      <c r="F14" s="51">
        <v>0.42</v>
      </c>
      <c r="G14" s="53" t="s">
        <v>8</v>
      </c>
      <c r="H14" s="51">
        <v>11.78</v>
      </c>
      <c r="I14" s="51">
        <v>6.45</v>
      </c>
      <c r="J14" s="51">
        <v>0.88</v>
      </c>
      <c r="K14" s="51">
        <v>182.12</v>
      </c>
      <c r="L14" s="8" t="s">
        <v>8</v>
      </c>
      <c r="M14" s="51">
        <v>97.82</v>
      </c>
      <c r="N14" s="51">
        <v>42.10</v>
      </c>
      <c r="O14" s="51">
        <v>0</v>
      </c>
      <c r="P14" s="51">
        <v>3.55</v>
      </c>
      <c r="Q14" s="51">
        <v>14.26</v>
      </c>
      <c r="R14" s="43"/>
      <c r="S14" s="43"/>
      <c r="T14" s="43"/>
      <c r="U14" s="43"/>
    </row>
    <row r="15" spans="1:21" s="11" customFormat="1" ht="15">
      <c r="A15" s="50" t="s">
        <v>163</v>
      </c>
      <c r="B15" s="51">
        <v>6.49</v>
      </c>
      <c r="C15" s="51">
        <v>9.44</v>
      </c>
      <c r="D15" s="51">
        <v>15.90</v>
      </c>
      <c r="E15" s="51">
        <v>7.84</v>
      </c>
      <c r="F15" s="51">
        <v>0.37</v>
      </c>
      <c r="G15" s="53" t="s">
        <v>8</v>
      </c>
      <c r="H15" s="51">
        <v>8.7100000000000009</v>
      </c>
      <c r="I15" s="51">
        <v>6.45</v>
      </c>
      <c r="J15" s="51">
        <v>0.87</v>
      </c>
      <c r="K15" s="51">
        <v>176.33</v>
      </c>
      <c r="L15" s="8" t="s">
        <v>8</v>
      </c>
      <c r="M15" s="51">
        <v>95.33</v>
      </c>
      <c r="N15" s="51">
        <v>228.80</v>
      </c>
      <c r="O15" s="51">
        <v>0</v>
      </c>
      <c r="P15" s="51">
        <v>3.49</v>
      </c>
      <c r="Q15" s="51">
        <v>12.69</v>
      </c>
      <c r="R15" s="43"/>
      <c r="S15" s="43"/>
      <c r="T15" s="43"/>
      <c r="U15" s="43"/>
    </row>
    <row r="16" spans="1:21" s="11" customFormat="1" ht="15">
      <c r="A16" s="50" t="s">
        <v>164</v>
      </c>
      <c r="B16" s="51">
        <v>5.97</v>
      </c>
      <c r="C16" s="51">
        <v>9.49</v>
      </c>
      <c r="D16" s="51">
        <v>15.47</v>
      </c>
      <c r="E16" s="51">
        <v>7.70</v>
      </c>
      <c r="F16" s="51">
        <v>0.47</v>
      </c>
      <c r="G16" s="53" t="s">
        <v>8</v>
      </c>
      <c r="H16" s="51">
        <v>8.02</v>
      </c>
      <c r="I16" s="51">
        <v>6.20</v>
      </c>
      <c r="J16" s="51">
        <v>1.33</v>
      </c>
      <c r="K16" s="51">
        <v>188.83</v>
      </c>
      <c r="L16" s="8" t="s">
        <v>8</v>
      </c>
      <c r="M16" s="51">
        <v>87.56</v>
      </c>
      <c r="N16" s="51">
        <v>399.60</v>
      </c>
      <c r="O16" s="51">
        <v>0</v>
      </c>
      <c r="P16" s="51">
        <v>3.42</v>
      </c>
      <c r="Q16" s="51">
        <v>12.04</v>
      </c>
      <c r="R16" s="43"/>
      <c r="S16" s="43"/>
      <c r="T16" s="43"/>
      <c r="U16" s="43"/>
    </row>
    <row r="17" spans="1:21" s="11" customFormat="1" ht="15">
      <c r="A17" s="50" t="s">
        <v>165</v>
      </c>
      <c r="B17" s="51">
        <v>6</v>
      </c>
      <c r="C17" s="51">
        <v>9.67</v>
      </c>
      <c r="D17" s="51">
        <v>15.43</v>
      </c>
      <c r="E17" s="51">
        <v>7.60</v>
      </c>
      <c r="F17" s="51">
        <v>0.39</v>
      </c>
      <c r="G17" s="53" t="s">
        <v>8</v>
      </c>
      <c r="H17" s="51">
        <v>7.58</v>
      </c>
      <c r="I17" s="51">
        <v>5.73</v>
      </c>
      <c r="J17" s="51">
        <v>0.62</v>
      </c>
      <c r="K17" s="51">
        <v>186.82</v>
      </c>
      <c r="L17" s="8" t="s">
        <v>8</v>
      </c>
      <c r="M17" s="51">
        <v>82.10</v>
      </c>
      <c r="N17" s="51">
        <v>514.90</v>
      </c>
      <c r="O17" s="51">
        <v>0</v>
      </c>
      <c r="P17" s="51">
        <v>3.39</v>
      </c>
      <c r="Q17" s="51">
        <v>12.38</v>
      </c>
      <c r="R17" s="43"/>
      <c r="S17" s="43"/>
      <c r="T17" s="43"/>
      <c r="U17" s="43"/>
    </row>
    <row r="18" spans="1:21" s="11" customFormat="1" ht="15">
      <c r="A18" s="50" t="s">
        <v>166</v>
      </c>
      <c r="B18" s="51">
        <v>5.52</v>
      </c>
      <c r="C18" s="51">
        <v>10.23</v>
      </c>
      <c r="D18" s="51">
        <v>15.19</v>
      </c>
      <c r="E18" s="51">
        <v>7.83</v>
      </c>
      <c r="F18" s="51">
        <v>0.68</v>
      </c>
      <c r="G18" s="53" t="s">
        <v>8</v>
      </c>
      <c r="H18" s="51">
        <v>6.07</v>
      </c>
      <c r="I18" s="51">
        <v>5.76</v>
      </c>
      <c r="J18" s="51">
        <v>0.38</v>
      </c>
      <c r="K18" s="51">
        <v>226.17</v>
      </c>
      <c r="L18" s="8" t="s">
        <v>8</v>
      </c>
      <c r="M18" s="51">
        <v>76.62</v>
      </c>
      <c r="N18" s="51">
        <v>630.90</v>
      </c>
      <c r="O18" s="51">
        <v>0</v>
      </c>
      <c r="P18" s="51">
        <v>3.37</v>
      </c>
      <c r="Q18" s="51">
        <v>12.29</v>
      </c>
      <c r="R18" s="43"/>
      <c r="S18" s="43"/>
      <c r="T18" s="43"/>
      <c r="U18" s="43"/>
    </row>
    <row r="19" spans="1:21" s="11" customFormat="1" ht="15">
      <c r="A19" s="50" t="s">
        <v>167</v>
      </c>
      <c r="B19" s="51">
        <v>4.54</v>
      </c>
      <c r="C19" s="51">
        <v>10.66</v>
      </c>
      <c r="D19" s="51">
        <v>14.95</v>
      </c>
      <c r="E19" s="51">
        <v>7.45</v>
      </c>
      <c r="F19" s="51">
        <v>0.66</v>
      </c>
      <c r="G19" s="53" t="s">
        <v>8</v>
      </c>
      <c r="H19" s="51">
        <v>6.17</v>
      </c>
      <c r="I19" s="51">
        <v>5.74</v>
      </c>
      <c r="J19" s="51">
        <v>1.05</v>
      </c>
      <c r="K19" s="51">
        <v>150.68</v>
      </c>
      <c r="L19" s="8" t="s">
        <v>8</v>
      </c>
      <c r="M19" s="51">
        <v>71.180000000000007</v>
      </c>
      <c r="N19" s="51">
        <v>1093.70</v>
      </c>
      <c r="O19" s="51">
        <v>0</v>
      </c>
      <c r="P19" s="51">
        <v>3.35</v>
      </c>
      <c r="Q19" s="51">
        <v>10.41</v>
      </c>
      <c r="R19" s="43"/>
      <c r="S19" s="43"/>
      <c r="T19" s="43"/>
      <c r="U19" s="43"/>
    </row>
    <row r="20" spans="1:21" s="11" customFormat="1" ht="15">
      <c r="A20" s="50" t="s">
        <v>168</v>
      </c>
      <c r="B20" s="51">
        <v>3.34</v>
      </c>
      <c r="C20" s="51">
        <v>10.47</v>
      </c>
      <c r="D20" s="51">
        <v>13.80</v>
      </c>
      <c r="E20" s="51">
        <v>6.92</v>
      </c>
      <c r="F20" s="51">
        <v>0.81</v>
      </c>
      <c r="G20" s="53" t="s">
        <v>8</v>
      </c>
      <c r="H20" s="51">
        <v>5.96</v>
      </c>
      <c r="I20" s="51">
        <v>5.49</v>
      </c>
      <c r="J20" s="51">
        <v>1.22</v>
      </c>
      <c r="K20" s="51">
        <v>268.62</v>
      </c>
      <c r="L20" s="8" t="s">
        <v>8</v>
      </c>
      <c r="M20" s="51">
        <v>67.900000000000006</v>
      </c>
      <c r="N20" s="51">
        <v>958.40</v>
      </c>
      <c r="O20" s="51">
        <v>0</v>
      </c>
      <c r="P20" s="51">
        <v>3.31</v>
      </c>
      <c r="Q20" s="51">
        <v>10.08</v>
      </c>
      <c r="R20" s="43"/>
      <c r="S20" s="43"/>
      <c r="T20" s="43"/>
      <c r="U20" s="43"/>
    </row>
    <row r="21" spans="1:21" s="11" customFormat="1" ht="15">
      <c r="A21" s="50" t="s">
        <v>169</v>
      </c>
      <c r="B21" s="51">
        <v>2.66</v>
      </c>
      <c r="C21" s="51">
        <v>10.43</v>
      </c>
      <c r="D21" s="51">
        <v>13.02</v>
      </c>
      <c r="E21" s="51">
        <v>6.81</v>
      </c>
      <c r="F21" s="51">
        <v>0.89</v>
      </c>
      <c r="G21" s="53" t="s">
        <v>8</v>
      </c>
      <c r="H21" s="51">
        <v>5.18</v>
      </c>
      <c r="I21" s="51">
        <v>5.35</v>
      </c>
      <c r="J21" s="51">
        <v>1.5</v>
      </c>
      <c r="K21" s="51">
        <v>160.30000000000001</v>
      </c>
      <c r="L21" s="8" t="s">
        <v>8</v>
      </c>
      <c r="M21" s="51">
        <v>65.599999999999994</v>
      </c>
      <c r="N21" s="51">
        <v>1006.70</v>
      </c>
      <c r="O21" s="51">
        <v>0</v>
      </c>
      <c r="P21" s="51">
        <v>3.29</v>
      </c>
      <c r="Q21" s="51">
        <v>10.24</v>
      </c>
      <c r="R21" s="43"/>
      <c r="S21" s="43"/>
      <c r="T21" s="43"/>
      <c r="U21" s="43"/>
    </row>
    <row r="22" spans="1:21" s="11" customFormat="1" ht="15">
      <c r="A22" s="50" t="s">
        <v>170</v>
      </c>
      <c r="B22" s="51">
        <v>2.21</v>
      </c>
      <c r="C22" s="51">
        <v>9.8699999999999992</v>
      </c>
      <c r="D22" s="51">
        <v>11.86</v>
      </c>
      <c r="E22" s="51">
        <v>6.45</v>
      </c>
      <c r="F22" s="51">
        <v>1.29</v>
      </c>
      <c r="G22" s="53" t="s">
        <v>8</v>
      </c>
      <c r="H22" s="51">
        <v>7.83</v>
      </c>
      <c r="I22" s="51">
        <v>5.19</v>
      </c>
      <c r="J22" s="51">
        <v>0.82</v>
      </c>
      <c r="K22" s="51">
        <v>167.48</v>
      </c>
      <c r="L22" s="8" t="s">
        <v>8</v>
      </c>
      <c r="M22" s="51">
        <v>62.43</v>
      </c>
      <c r="N22" s="51">
        <v>1023</v>
      </c>
      <c r="O22" s="51">
        <v>0</v>
      </c>
      <c r="P22" s="51">
        <v>3.27</v>
      </c>
      <c r="Q22" s="51">
        <v>9.77</v>
      </c>
      <c r="R22" s="43"/>
      <c r="S22" s="43"/>
      <c r="T22" s="43"/>
      <c r="U22" s="43"/>
    </row>
    <row r="23" spans="1:21" s="11" customFormat="1" ht="15">
      <c r="A23" s="50" t="s">
        <v>171</v>
      </c>
      <c r="B23" s="51">
        <v>2.97</v>
      </c>
      <c r="C23" s="51">
        <v>12.15</v>
      </c>
      <c r="D23" s="51">
        <v>15.13</v>
      </c>
      <c r="E23" s="51">
        <v>5.88</v>
      </c>
      <c r="F23" s="51">
        <v>0.77</v>
      </c>
      <c r="G23" s="53" t="s">
        <v>8</v>
      </c>
      <c r="H23" s="51">
        <v>7.16</v>
      </c>
      <c r="I23" s="51">
        <v>5.07</v>
      </c>
      <c r="J23" s="51">
        <v>1.62</v>
      </c>
      <c r="K23" s="51">
        <v>336.12</v>
      </c>
      <c r="L23" s="8" t="s">
        <v>8</v>
      </c>
      <c r="M23" s="51">
        <v>59.27</v>
      </c>
      <c r="N23" s="51">
        <v>870.40</v>
      </c>
      <c r="O23" s="51">
        <v>0</v>
      </c>
      <c r="P23" s="51">
        <v>3.36</v>
      </c>
      <c r="Q23" s="51">
        <v>9.09</v>
      </c>
      <c r="R23" s="43"/>
      <c r="S23" s="43"/>
      <c r="T23" s="43"/>
      <c r="U23" s="43"/>
    </row>
    <row r="24" spans="1:21" s="11" customFormat="1" ht="15">
      <c r="A24" s="50" t="s">
        <v>172</v>
      </c>
      <c r="B24" s="51">
        <v>3.98</v>
      </c>
      <c r="C24" s="51">
        <v>15.51</v>
      </c>
      <c r="D24" s="51">
        <v>19.489999999999998</v>
      </c>
      <c r="E24" s="51">
        <v>5.71</v>
      </c>
      <c r="F24" s="51">
        <v>1.08</v>
      </c>
      <c r="G24" s="53" t="s">
        <v>8</v>
      </c>
      <c r="H24" s="51">
        <v>9.99</v>
      </c>
      <c r="I24" s="51">
        <v>5.32</v>
      </c>
      <c r="J24" s="51">
        <v>1.68</v>
      </c>
      <c r="K24" s="51">
        <v>337.44</v>
      </c>
      <c r="L24" s="8" t="s">
        <v>8</v>
      </c>
      <c r="M24" s="51">
        <v>63.5</v>
      </c>
      <c r="N24" s="51">
        <v>309.60000000000002</v>
      </c>
      <c r="O24" s="51">
        <v>0</v>
      </c>
      <c r="P24" s="51">
        <v>3.44</v>
      </c>
      <c r="Q24" s="51">
        <v>10.95</v>
      </c>
      <c r="R24" s="43"/>
      <c r="S24" s="43"/>
      <c r="T24" s="43"/>
      <c r="U24" s="43"/>
    </row>
    <row r="25" spans="1:21" s="11" customFormat="1" ht="15">
      <c r="A25" s="50" t="s">
        <v>173</v>
      </c>
      <c r="B25" s="51">
        <v>3.99</v>
      </c>
      <c r="C25" s="51">
        <v>15.53</v>
      </c>
      <c r="D25" s="51">
        <v>19.52</v>
      </c>
      <c r="E25" s="51">
        <v>7.24</v>
      </c>
      <c r="F25" s="51">
        <v>1.27</v>
      </c>
      <c r="G25" s="53" t="s">
        <v>8</v>
      </c>
      <c r="H25" s="51">
        <v>16.66</v>
      </c>
      <c r="I25" s="51">
        <v>5.55</v>
      </c>
      <c r="J25" s="51">
        <v>1.1499999999999999</v>
      </c>
      <c r="K25" s="51">
        <v>126.49</v>
      </c>
      <c r="L25" s="8" t="s">
        <v>8</v>
      </c>
      <c r="M25" s="51">
        <v>71.489999999999995</v>
      </c>
      <c r="N25" s="51">
        <v>84</v>
      </c>
      <c r="O25" s="51">
        <v>0</v>
      </c>
      <c r="P25" s="51">
        <v>3.48</v>
      </c>
      <c r="Q25" s="51">
        <v>11.08</v>
      </c>
      <c r="R25" s="43"/>
      <c r="S25" s="43"/>
      <c r="T25" s="43"/>
      <c r="U25" s="43"/>
    </row>
    <row r="26" spans="1:21" s="11" customFormat="1" ht="15">
      <c r="A26" s="50" t="s">
        <v>174</v>
      </c>
      <c r="B26" s="51">
        <v>3.20</v>
      </c>
      <c r="C26" s="51">
        <v>14.51</v>
      </c>
      <c r="D26" s="51">
        <v>17.71</v>
      </c>
      <c r="E26" s="51">
        <v>7.45</v>
      </c>
      <c r="F26" s="51">
        <v>0.76</v>
      </c>
      <c r="G26" s="53" t="s">
        <v>8</v>
      </c>
      <c r="H26" s="51">
        <v>20.76</v>
      </c>
      <c r="I26" s="51">
        <v>5.81</v>
      </c>
      <c r="J26" s="51">
        <v>1.07</v>
      </c>
      <c r="K26" s="51">
        <v>198.51</v>
      </c>
      <c r="L26" s="8" t="s">
        <v>8</v>
      </c>
      <c r="M26" s="51">
        <v>80.88</v>
      </c>
      <c r="N26" s="51">
        <v>96.80</v>
      </c>
      <c r="O26" s="51">
        <v>0</v>
      </c>
      <c r="P26" s="51">
        <v>3.46</v>
      </c>
      <c r="Q26" s="51">
        <v>9.59</v>
      </c>
      <c r="R26" s="43"/>
      <c r="S26" s="43"/>
      <c r="T26" s="43"/>
      <c r="U26" s="43"/>
    </row>
    <row r="27" spans="1:21" s="11" customFormat="1" ht="15">
      <c r="A27" s="50" t="s">
        <v>175</v>
      </c>
      <c r="B27" s="51">
        <v>3.06</v>
      </c>
      <c r="C27" s="51">
        <v>12.16</v>
      </c>
      <c r="D27" s="51">
        <v>14.87</v>
      </c>
      <c r="E27" s="51">
        <v>7.31</v>
      </c>
      <c r="F27" s="51">
        <v>0.55000000000000004</v>
      </c>
      <c r="G27" s="53" t="s">
        <v>8</v>
      </c>
      <c r="H27" s="51">
        <v>19.670000000000002</v>
      </c>
      <c r="I27" s="51">
        <v>5.45</v>
      </c>
      <c r="J27" s="51">
        <v>0.93</v>
      </c>
      <c r="K27" s="51">
        <v>205.92</v>
      </c>
      <c r="L27" s="8" t="s">
        <v>8</v>
      </c>
      <c r="M27" s="51">
        <v>81.040000000000006</v>
      </c>
      <c r="N27" s="51">
        <v>41</v>
      </c>
      <c r="O27" s="51">
        <v>0</v>
      </c>
      <c r="P27" s="51">
        <v>3.41</v>
      </c>
      <c r="Q27" s="51">
        <v>8.57</v>
      </c>
      <c r="R27" s="43"/>
      <c r="S27" s="43"/>
      <c r="T27" s="43"/>
      <c r="U27" s="43"/>
    </row>
    <row r="28" spans="1:21" s="11" customFormat="1" ht="15">
      <c r="A28" s="50" t="s">
        <v>176</v>
      </c>
      <c r="B28" s="51">
        <v>3.85</v>
      </c>
      <c r="C28" s="51">
        <v>10.87</v>
      </c>
      <c r="D28" s="51">
        <v>14.67</v>
      </c>
      <c r="E28" s="51">
        <v>7.94</v>
      </c>
      <c r="F28" s="51">
        <v>0.40</v>
      </c>
      <c r="G28" s="53" t="s">
        <v>8</v>
      </c>
      <c r="H28" s="51">
        <v>15.54</v>
      </c>
      <c r="I28" s="51">
        <v>4.8899999999999997</v>
      </c>
      <c r="J28" s="51">
        <v>0.66</v>
      </c>
      <c r="K28" s="51">
        <v>173.75</v>
      </c>
      <c r="L28" s="8" t="s">
        <v>8</v>
      </c>
      <c r="M28" s="51">
        <v>83.18</v>
      </c>
      <c r="N28" s="51">
        <v>15.20</v>
      </c>
      <c r="O28" s="51">
        <v>0</v>
      </c>
      <c r="P28" s="51">
        <v>3.41</v>
      </c>
      <c r="Q28" s="51">
        <v>9.17</v>
      </c>
      <c r="R28" s="43"/>
      <c r="S28" s="43"/>
      <c r="T28" s="43"/>
      <c r="U28" s="43"/>
    </row>
    <row r="29" spans="1:21" s="11" customFormat="1" ht="15">
      <c r="A29" s="50" t="s">
        <v>177</v>
      </c>
      <c r="B29" s="51">
        <v>4.26</v>
      </c>
      <c r="C29" s="51">
        <v>10.60</v>
      </c>
      <c r="D29" s="51">
        <v>14.83</v>
      </c>
      <c r="E29" s="51">
        <v>6.62</v>
      </c>
      <c r="F29" s="51">
        <v>0.63</v>
      </c>
      <c r="G29" s="53" t="s">
        <v>8</v>
      </c>
      <c r="H29" s="51">
        <v>10.95</v>
      </c>
      <c r="I29" s="51">
        <v>5.52</v>
      </c>
      <c r="J29" s="51">
        <v>0.38</v>
      </c>
      <c r="K29" s="51">
        <v>209.92</v>
      </c>
      <c r="L29" s="8" t="s">
        <v>8</v>
      </c>
      <c r="M29" s="51">
        <v>85.82</v>
      </c>
      <c r="N29" s="51">
        <v>14.80</v>
      </c>
      <c r="O29" s="51">
        <v>0</v>
      </c>
      <c r="P29" s="51">
        <v>3.40</v>
      </c>
      <c r="Q29" s="51">
        <v>9.1199999999999992</v>
      </c>
      <c r="R29" s="43"/>
      <c r="S29" s="43"/>
      <c r="T29" s="43"/>
      <c r="U29" s="43"/>
    </row>
    <row r="30" spans="1:21" s="11" customFormat="1" ht="15">
      <c r="A30" s="50" t="s">
        <v>178</v>
      </c>
      <c r="B30" s="51">
        <v>4.25</v>
      </c>
      <c r="C30" s="51">
        <v>10.36</v>
      </c>
      <c r="D30" s="51">
        <v>14.60</v>
      </c>
      <c r="E30" s="51">
        <v>6.47</v>
      </c>
      <c r="F30" s="51">
        <v>0.48</v>
      </c>
      <c r="G30" s="53" t="s">
        <v>8</v>
      </c>
      <c r="H30" s="51">
        <v>7.87</v>
      </c>
      <c r="I30" s="51">
        <v>5.56</v>
      </c>
      <c r="J30" s="51">
        <v>0.35</v>
      </c>
      <c r="K30" s="51">
        <v>215.62</v>
      </c>
      <c r="L30" s="8" t="s">
        <v>8</v>
      </c>
      <c r="M30" s="51">
        <v>86.87</v>
      </c>
      <c r="N30" s="51">
        <v>14.90</v>
      </c>
      <c r="O30" s="51">
        <v>0</v>
      </c>
      <c r="P30" s="51">
        <v>3.40</v>
      </c>
      <c r="Q30" s="51">
        <v>7.99</v>
      </c>
      <c r="R30" s="43"/>
      <c r="S30" s="43"/>
      <c r="T30" s="43"/>
      <c r="U30" s="43"/>
    </row>
    <row r="31" spans="1:21" s="11" customFormat="1" ht="15">
      <c r="A31" s="50" t="s">
        <v>179</v>
      </c>
      <c r="B31" s="51">
        <v>4.7300000000000004</v>
      </c>
      <c r="C31" s="51">
        <v>9.9600000000000009</v>
      </c>
      <c r="D31" s="51">
        <v>14.26</v>
      </c>
      <c r="E31" s="51">
        <v>7.10</v>
      </c>
      <c r="F31" s="51">
        <v>0.25</v>
      </c>
      <c r="G31" s="53" t="s">
        <v>8</v>
      </c>
      <c r="H31" s="51">
        <v>6.31</v>
      </c>
      <c r="I31" s="51">
        <v>4.51</v>
      </c>
      <c r="J31" s="51">
        <v>0.25</v>
      </c>
      <c r="K31" s="51">
        <v>221.11</v>
      </c>
      <c r="L31" s="8" t="s">
        <v>8</v>
      </c>
      <c r="M31" s="51">
        <v>87.11</v>
      </c>
      <c r="N31" s="51">
        <v>15.10</v>
      </c>
      <c r="O31" s="51">
        <v>0</v>
      </c>
      <c r="P31" s="51">
        <v>3.38</v>
      </c>
      <c r="Q31" s="51">
        <v>8.69</v>
      </c>
      <c r="R31" s="43"/>
      <c r="S31" s="43"/>
      <c r="T31" s="43"/>
      <c r="U31" s="43"/>
    </row>
    <row r="32" spans="1:21" s="11" customFormat="1" ht="15">
      <c r="A32" s="50" t="s">
        <v>180</v>
      </c>
      <c r="B32" s="51">
        <v>6.38</v>
      </c>
      <c r="C32" s="51">
        <v>9.4700000000000006</v>
      </c>
      <c r="D32" s="51">
        <v>15.70</v>
      </c>
      <c r="E32" s="51">
        <v>7.54</v>
      </c>
      <c r="F32" s="51">
        <v>0.54</v>
      </c>
      <c r="G32" s="53" t="s">
        <v>8</v>
      </c>
      <c r="H32" s="51">
        <v>6.01</v>
      </c>
      <c r="I32" s="51">
        <v>4.47</v>
      </c>
      <c r="J32" s="51">
        <v>0.22</v>
      </c>
      <c r="K32" s="51">
        <v>300.83999999999997</v>
      </c>
      <c r="L32" s="8" t="s">
        <v>8</v>
      </c>
      <c r="M32" s="51">
        <v>87.91</v>
      </c>
      <c r="N32" s="51">
        <v>15.10</v>
      </c>
      <c r="O32" s="51">
        <v>0</v>
      </c>
      <c r="P32" s="51">
        <v>3.41</v>
      </c>
      <c r="Q32" s="51">
        <v>9.57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2.21</v>
      </c>
      <c r="C34" s="28">
        <f t="shared" si="0"/>
        <v>8.9800000000000004</v>
      </c>
      <c r="D34" s="28">
        <f t="shared" si="0"/>
        <v>11.859999999999999</v>
      </c>
      <c r="E34" s="28">
        <f t="shared" si="0"/>
        <v>5.71</v>
      </c>
      <c r="F34" s="28">
        <f t="shared" si="0"/>
        <v>0.25</v>
      </c>
      <c r="G34" s="28">
        <f t="shared" si="0"/>
        <v>0</v>
      </c>
      <c r="H34" s="28">
        <f t="shared" si="0"/>
        <v>5.1799999999999997</v>
      </c>
      <c r="I34" s="28">
        <f t="shared" si="0"/>
        <v>4.4699999999999998</v>
      </c>
      <c r="J34" s="28">
        <f t="shared" si="0"/>
        <v>0.22</v>
      </c>
      <c r="K34" s="28">
        <f t="shared" si="0"/>
        <v>106.45</v>
      </c>
      <c r="L34" s="28">
        <f t="shared" si="0"/>
        <v>0</v>
      </c>
      <c r="M34" s="28">
        <f t="shared" si="0"/>
        <v>59.270000000000003</v>
      </c>
      <c r="N34" s="28">
        <f t="shared" si="0"/>
        <v>14.800000000000001</v>
      </c>
      <c r="O34" s="28">
        <f t="shared" si="0"/>
        <v>0</v>
      </c>
      <c r="P34" s="28">
        <f t="shared" si="0"/>
        <v>3.27</v>
      </c>
      <c r="Q34" s="28">
        <f t="shared" si="0"/>
        <v>7.9900000000000002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11.66</v>
      </c>
      <c r="C35" s="29">
        <f t="shared" si="1"/>
        <v>15.529999999999999</v>
      </c>
      <c r="D35" s="29">
        <f t="shared" si="1"/>
        <v>25.609999999999999</v>
      </c>
      <c r="E35" s="29">
        <f t="shared" si="1"/>
        <v>7.9800000000000004</v>
      </c>
      <c r="F35" s="29">
        <f t="shared" si="1"/>
        <v>1.29</v>
      </c>
      <c r="G35" s="29">
        <f t="shared" si="1"/>
        <v>0</v>
      </c>
      <c r="H35" s="29">
        <f t="shared" si="1"/>
        <v>20.760000000000002</v>
      </c>
      <c r="I35" s="29">
        <f t="shared" si="1"/>
        <v>7.2000000000000002</v>
      </c>
      <c r="J35" s="29">
        <f t="shared" si="1"/>
        <v>1.9399999999999999</v>
      </c>
      <c r="K35" s="29">
        <f t="shared" si="1"/>
        <v>353.75</v>
      </c>
      <c r="L35" s="29">
        <f t="shared" si="1"/>
        <v>0</v>
      </c>
      <c r="M35" s="29">
        <f t="shared" si="1"/>
        <v>99.150000000000006</v>
      </c>
      <c r="N35" s="29">
        <f t="shared" si="1"/>
        <v>1093.7</v>
      </c>
      <c r="O35" s="29">
        <f t="shared" si="1"/>
        <v>1.8</v>
      </c>
      <c r="P35" s="29">
        <f t="shared" si="1"/>
        <v>3.9100000000000001</v>
      </c>
      <c r="Q35" s="29">
        <f t="shared" si="1"/>
        <v>16.890000000000001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5.3408333333333333</v>
      </c>
      <c r="C36" s="28">
        <f t="shared" si="2"/>
        <v>11.104166666666666</v>
      </c>
      <c r="D36" s="28">
        <f t="shared" si="2"/>
        <v>16.315000000000001</v>
      </c>
      <c r="E36" s="28">
        <f t="shared" si="2"/>
        <v>7.1833333333333327</v>
      </c>
      <c r="F36" s="28">
        <f t="shared" si="2"/>
        <v>0.61416666666666675</v>
      </c>
      <c r="G36" s="28" t="e">
        <f t="shared" si="2"/>
        <v>#DIV/0!</v>
      </c>
      <c r="H36" s="28">
        <f t="shared" si="2"/>
        <v>11.425833333333332</v>
      </c>
      <c r="I36" s="28">
        <f t="shared" si="2"/>
        <v>5.699583333333333</v>
      </c>
      <c r="J36" s="28">
        <f t="shared" si="2"/>
        <v>0.86499999999999988</v>
      </c>
      <c r="K36" s="28">
        <f t="shared" si="2"/>
        <v>216.84916666666663</v>
      </c>
      <c r="L36" s="28" t="e">
        <f t="shared" si="2"/>
        <v>#DIV/0!</v>
      </c>
      <c r="M36" s="28">
        <f t="shared" si="2"/>
        <v>81.326666666666668</v>
      </c>
      <c r="N36" s="28">
        <f t="shared" si="2"/>
        <v>310.61666666666673</v>
      </c>
      <c r="O36" s="28">
        <f t="shared" si="2"/>
        <v>0.10833333333333334</v>
      </c>
      <c r="P36" s="28">
        <f t="shared" si="2"/>
        <v>3.4750000000000001</v>
      </c>
      <c r="Q36" s="28">
        <f t="shared" si="2"/>
        <v>11.456249999999999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2.4407125058539547</v>
      </c>
      <c r="C37" s="28">
        <f t="shared" si="3" ref="C37:Q37">STDEV(C9:C32)</f>
        <v>1.9089808723542745</v>
      </c>
      <c r="D37" s="28">
        <f t="shared" si="3"/>
        <v>3.0368576436550381</v>
      </c>
      <c r="E37" s="28">
        <f t="shared" si="3"/>
        <v>0.64617043563138832</v>
      </c>
      <c r="F37" s="28">
        <f t="shared" si="3"/>
        <v>0.2860057261005779</v>
      </c>
      <c r="G37" s="28" t="e">
        <f t="shared" si="3"/>
        <v>#DIV/0!</v>
      </c>
      <c r="H37" s="28">
        <f t="shared" si="3"/>
        <v>5.2260500643758059</v>
      </c>
      <c r="I37" s="28">
        <f t="shared" si="3"/>
        <v>0.72379122119853312</v>
      </c>
      <c r="J37" s="28">
        <f t="shared" si="3"/>
        <v>0.4972882988507904</v>
      </c>
      <c r="K37" s="28">
        <f t="shared" si="3"/>
        <v>68.399390215732794</v>
      </c>
      <c r="L37" s="28" t="e">
        <f t="shared" si="3"/>
        <v>#DIV/0!</v>
      </c>
      <c r="M37" s="28">
        <f t="shared" si="3"/>
        <v>11.692844956998508</v>
      </c>
      <c r="N37" s="28">
        <f t="shared" si="3"/>
        <v>396.17854194977451</v>
      </c>
      <c r="O37" s="28">
        <f t="shared" si="3"/>
        <v>0.38211842765512261</v>
      </c>
      <c r="P37" s="28">
        <f t="shared" si="3"/>
        <v>0.172953876736721</v>
      </c>
      <c r="Q37" s="28">
        <f t="shared" si="3"/>
        <v>2.6049748600973364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d9b6b8-6775-44a5-b594-4c836c186e1a}">
  <sheetPr codeName=""/>
  <dimension ref="A1:U119"/>
  <sheetViews>
    <sheetView zoomScale="85" zoomScaleNormal="85" workbookViewId="0" topLeftCell="A1">
      <pane xSplit="2" ySplit="8" topLeftCell="C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8" sqref="Q38"/>
    </sheetView>
  </sheetViews>
  <sheetFormatPr defaultColWidth="8.85881696428571" defaultRowHeight="15"/>
  <cols>
    <col min="1" max="1" width="18.2857142857143" style="26" customWidth="1"/>
    <col min="2" max="2" width="11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39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181</v>
      </c>
      <c r="B9" s="51">
        <v>6.21</v>
      </c>
      <c r="C9" s="51">
        <v>9.2899999999999991</v>
      </c>
      <c r="D9" s="51">
        <v>15.47</v>
      </c>
      <c r="E9" s="51">
        <v>6.12</v>
      </c>
      <c r="F9" s="51">
        <v>0.32</v>
      </c>
      <c r="G9" s="53" t="s">
        <v>8</v>
      </c>
      <c r="H9" s="51">
        <v>4.95</v>
      </c>
      <c r="I9" s="51">
        <v>5.62</v>
      </c>
      <c r="J9" s="51">
        <v>0.26</v>
      </c>
      <c r="K9" s="51">
        <v>224.39</v>
      </c>
      <c r="L9" s="8" t="s">
        <v>8</v>
      </c>
      <c r="M9" s="51">
        <v>93.55</v>
      </c>
      <c r="N9" s="51">
        <v>14.90</v>
      </c>
      <c r="O9" s="51">
        <v>0</v>
      </c>
      <c r="P9" s="51">
        <v>3.40</v>
      </c>
      <c r="Q9" s="51">
        <v>8.8800000000000008</v>
      </c>
      <c r="R9" s="43"/>
      <c r="S9" s="43"/>
      <c r="T9" s="43"/>
      <c r="U9" s="43"/>
    </row>
    <row r="10" spans="1:21" s="11" customFormat="1" ht="15">
      <c r="A10" s="50" t="s">
        <v>182</v>
      </c>
      <c r="B10" s="51">
        <v>5.31</v>
      </c>
      <c r="C10" s="51">
        <v>9.1300000000000008</v>
      </c>
      <c r="D10" s="51">
        <v>14.31</v>
      </c>
      <c r="E10" s="51">
        <v>6.56</v>
      </c>
      <c r="F10" s="51">
        <v>0.17</v>
      </c>
      <c r="G10" s="53" t="s">
        <v>8</v>
      </c>
      <c r="H10" s="51">
        <v>5.0199999999999996</v>
      </c>
      <c r="I10" s="51">
        <v>5.52</v>
      </c>
      <c r="J10" s="51">
        <v>0.19</v>
      </c>
      <c r="K10" s="51">
        <v>218.62</v>
      </c>
      <c r="L10" s="8" t="s">
        <v>8</v>
      </c>
      <c r="M10" s="51">
        <v>91.89</v>
      </c>
      <c r="N10" s="51">
        <v>14.90</v>
      </c>
      <c r="O10" s="51">
        <v>0</v>
      </c>
      <c r="P10" s="51">
        <v>3.35</v>
      </c>
      <c r="Q10" s="51">
        <v>7.99</v>
      </c>
      <c r="R10" s="43"/>
      <c r="S10" s="43"/>
      <c r="T10" s="43"/>
      <c r="U10" s="43"/>
    </row>
    <row r="11" spans="1:21" s="11" customFormat="1" ht="15">
      <c r="A11" s="50" t="s">
        <v>183</v>
      </c>
      <c r="B11" s="51">
        <v>4.76</v>
      </c>
      <c r="C11" s="51">
        <v>9</v>
      </c>
      <c r="D11" s="51">
        <v>13.76</v>
      </c>
      <c r="E11" s="51">
        <v>6.59</v>
      </c>
      <c r="F11" s="51">
        <v>0.28000000000000003</v>
      </c>
      <c r="G11" s="53" t="s">
        <v>8</v>
      </c>
      <c r="H11" s="51">
        <v>4.76</v>
      </c>
      <c r="I11" s="51">
        <v>4.63</v>
      </c>
      <c r="J11" s="51">
        <v>0.14000000000000001</v>
      </c>
      <c r="K11" s="51">
        <v>231.87</v>
      </c>
      <c r="L11" s="8" t="s">
        <v>8</v>
      </c>
      <c r="M11" s="51">
        <v>91.20</v>
      </c>
      <c r="N11" s="51">
        <v>14.80</v>
      </c>
      <c r="O11" s="51">
        <v>0</v>
      </c>
      <c r="P11" s="51">
        <v>3.32</v>
      </c>
      <c r="Q11" s="51">
        <v>8.25</v>
      </c>
      <c r="R11" s="43"/>
      <c r="S11" s="43"/>
      <c r="T11" s="43"/>
      <c r="U11" s="43"/>
    </row>
    <row r="12" spans="1:21" s="11" customFormat="1" ht="15">
      <c r="A12" s="50" t="s">
        <v>184</v>
      </c>
      <c r="B12" s="51">
        <v>3.94</v>
      </c>
      <c r="C12" s="51">
        <v>8.68</v>
      </c>
      <c r="D12" s="51">
        <v>12.5</v>
      </c>
      <c r="E12" s="51">
        <v>6.22</v>
      </c>
      <c r="F12" s="51">
        <v>0.44</v>
      </c>
      <c r="G12" s="53" t="s">
        <v>8</v>
      </c>
      <c r="H12" s="51">
        <v>6.87</v>
      </c>
      <c r="I12" s="51">
        <v>4.95</v>
      </c>
      <c r="J12" s="51">
        <v>0.16</v>
      </c>
      <c r="K12" s="51">
        <v>59.23</v>
      </c>
      <c r="L12" s="8" t="s">
        <v>8</v>
      </c>
      <c r="M12" s="51">
        <v>91.44</v>
      </c>
      <c r="N12" s="51">
        <v>14.90</v>
      </c>
      <c r="O12" s="51">
        <v>0</v>
      </c>
      <c r="P12" s="51">
        <v>3.29</v>
      </c>
      <c r="Q12" s="51">
        <v>8.0399999999999991</v>
      </c>
      <c r="R12" s="43"/>
      <c r="S12" s="43"/>
      <c r="T12" s="43"/>
      <c r="U12" s="43"/>
    </row>
    <row r="13" spans="1:21" s="11" customFormat="1" ht="15">
      <c r="A13" s="50" t="s">
        <v>185</v>
      </c>
      <c r="B13" s="51">
        <v>2.87</v>
      </c>
      <c r="C13" s="51">
        <v>9.23</v>
      </c>
      <c r="D13" s="51">
        <v>11.62</v>
      </c>
      <c r="E13" s="51">
        <v>4.82</v>
      </c>
      <c r="F13" s="51">
        <v>0.46</v>
      </c>
      <c r="G13" s="53" t="s">
        <v>8</v>
      </c>
      <c r="H13" s="51">
        <v>6.34</v>
      </c>
      <c r="I13" s="51">
        <v>4.7300000000000004</v>
      </c>
      <c r="J13" s="51">
        <v>0.17</v>
      </c>
      <c r="K13" s="51">
        <v>351.85</v>
      </c>
      <c r="L13" s="8" t="s">
        <v>8</v>
      </c>
      <c r="M13" s="51">
        <v>90.16</v>
      </c>
      <c r="N13" s="51">
        <v>14.90</v>
      </c>
      <c r="O13" s="51">
        <v>0</v>
      </c>
      <c r="P13" s="51">
        <v>3.25</v>
      </c>
      <c r="Q13" s="51">
        <v>6.36</v>
      </c>
      <c r="R13" s="43"/>
      <c r="S13" s="43"/>
      <c r="T13" s="43"/>
      <c r="U13" s="43"/>
    </row>
    <row r="14" spans="1:21" s="11" customFormat="1" ht="15">
      <c r="A14" s="50" t="s">
        <v>186</v>
      </c>
      <c r="B14" s="51">
        <v>2.73</v>
      </c>
      <c r="C14" s="51">
        <v>9.35</v>
      </c>
      <c r="D14" s="51">
        <v>12.08</v>
      </c>
      <c r="E14" s="51">
        <v>6.25</v>
      </c>
      <c r="F14" s="51">
        <v>0.08</v>
      </c>
      <c r="G14" s="53" t="s">
        <v>8</v>
      </c>
      <c r="H14" s="51">
        <v>4.70</v>
      </c>
      <c r="I14" s="51">
        <v>4.34</v>
      </c>
      <c r="J14" s="51">
        <v>0.14000000000000001</v>
      </c>
      <c r="K14" s="51">
        <v>288.55</v>
      </c>
      <c r="L14" s="8" t="s">
        <v>8</v>
      </c>
      <c r="M14" s="51">
        <v>91.27</v>
      </c>
      <c r="N14" s="51">
        <v>29.20</v>
      </c>
      <c r="O14" s="51">
        <v>0</v>
      </c>
      <c r="P14" s="51">
        <v>3.26</v>
      </c>
      <c r="Q14" s="51">
        <v>6.74</v>
      </c>
      <c r="R14" s="43"/>
      <c r="S14" s="43"/>
      <c r="T14" s="43"/>
      <c r="U14" s="43"/>
    </row>
    <row r="15" spans="1:21" s="11" customFormat="1" ht="15">
      <c r="A15" s="50" t="s">
        <v>187</v>
      </c>
      <c r="B15" s="51">
        <v>3.69</v>
      </c>
      <c r="C15" s="51">
        <v>10.5</v>
      </c>
      <c r="D15" s="51">
        <v>14.19</v>
      </c>
      <c r="E15" s="51">
        <v>5.91</v>
      </c>
      <c r="F15" s="51">
        <v>0.53</v>
      </c>
      <c r="G15" s="53" t="s">
        <v>8</v>
      </c>
      <c r="H15" s="51">
        <v>3.62</v>
      </c>
      <c r="I15" s="51">
        <v>4.6100000000000003</v>
      </c>
      <c r="J15" s="51">
        <v>0.17</v>
      </c>
      <c r="K15" s="51">
        <v>326.86</v>
      </c>
      <c r="L15" s="8" t="s">
        <v>8</v>
      </c>
      <c r="M15" s="51">
        <v>90.96</v>
      </c>
      <c r="N15" s="51">
        <v>95.10</v>
      </c>
      <c r="O15" s="51">
        <v>0</v>
      </c>
      <c r="P15" s="51">
        <v>3.28</v>
      </c>
      <c r="Q15" s="51">
        <v>7.60</v>
      </c>
      <c r="R15" s="43"/>
      <c r="S15" s="43"/>
      <c r="T15" s="43"/>
      <c r="U15" s="43"/>
    </row>
    <row r="16" spans="1:21" s="11" customFormat="1" ht="15">
      <c r="A16" s="50" t="s">
        <v>188</v>
      </c>
      <c r="B16" s="51">
        <v>6.20</v>
      </c>
      <c r="C16" s="51">
        <v>12.13</v>
      </c>
      <c r="D16" s="51">
        <v>18.329999999999998</v>
      </c>
      <c r="E16" s="51">
        <v>5.66</v>
      </c>
      <c r="F16" s="51">
        <v>0.42</v>
      </c>
      <c r="G16" s="53" t="s">
        <v>8</v>
      </c>
      <c r="H16" s="51">
        <v>2.81</v>
      </c>
      <c r="I16" s="51">
        <v>5.1100000000000003</v>
      </c>
      <c r="J16" s="51">
        <v>0.53</v>
      </c>
      <c r="K16" s="51">
        <v>355.25</v>
      </c>
      <c r="L16" s="8" t="s">
        <v>8</v>
      </c>
      <c r="M16" s="51">
        <v>86.76</v>
      </c>
      <c r="N16" s="51">
        <v>203.30</v>
      </c>
      <c r="O16" s="51">
        <v>0</v>
      </c>
      <c r="P16" s="51">
        <v>3.42</v>
      </c>
      <c r="Q16" s="51">
        <v>8</v>
      </c>
      <c r="R16" s="43"/>
      <c r="S16" s="43"/>
      <c r="T16" s="43"/>
      <c r="U16" s="43"/>
    </row>
    <row r="17" spans="1:21" s="11" customFormat="1" ht="15">
      <c r="A17" s="50" t="s">
        <v>189</v>
      </c>
      <c r="B17" s="51">
        <v>7.39</v>
      </c>
      <c r="C17" s="51">
        <v>13.89</v>
      </c>
      <c r="D17" s="51">
        <v>21.29</v>
      </c>
      <c r="E17" s="51">
        <v>5.17</v>
      </c>
      <c r="F17" s="51">
        <v>0.38</v>
      </c>
      <c r="G17" s="53" t="s">
        <v>8</v>
      </c>
      <c r="H17" s="51">
        <v>9.83</v>
      </c>
      <c r="I17" s="51">
        <v>5.76</v>
      </c>
      <c r="J17" s="51">
        <v>0.56000000000000005</v>
      </c>
      <c r="K17" s="51">
        <v>349.83</v>
      </c>
      <c r="L17" s="8" t="s">
        <v>8</v>
      </c>
      <c r="M17" s="51">
        <v>80.69</v>
      </c>
      <c r="N17" s="51">
        <v>457.10</v>
      </c>
      <c r="O17" s="51">
        <v>0</v>
      </c>
      <c r="P17" s="51">
        <v>3.44</v>
      </c>
      <c r="Q17" s="51">
        <v>8.94</v>
      </c>
      <c r="R17" s="43"/>
      <c r="S17" s="43"/>
      <c r="T17" s="43"/>
      <c r="U17" s="43"/>
    </row>
    <row r="18" spans="1:21" s="11" customFormat="1" ht="15">
      <c r="A18" s="50" t="s">
        <v>190</v>
      </c>
      <c r="B18" s="51">
        <v>7.57</v>
      </c>
      <c r="C18" s="51">
        <v>15.65</v>
      </c>
      <c r="D18" s="51">
        <v>23.18</v>
      </c>
      <c r="E18" s="51">
        <v>4.7699999999999996</v>
      </c>
      <c r="F18" s="51">
        <v>0.59</v>
      </c>
      <c r="G18" s="53" t="s">
        <v>8</v>
      </c>
      <c r="H18" s="51">
        <v>14.93</v>
      </c>
      <c r="I18" s="51">
        <v>5.72</v>
      </c>
      <c r="J18" s="51">
        <v>1.25</v>
      </c>
      <c r="K18" s="51">
        <v>341.87</v>
      </c>
      <c r="L18" s="8" t="s">
        <v>8</v>
      </c>
      <c r="M18" s="51">
        <v>69.510000000000005</v>
      </c>
      <c r="N18" s="51">
        <v>623</v>
      </c>
      <c r="O18" s="51">
        <v>0</v>
      </c>
      <c r="P18" s="51">
        <v>3.48</v>
      </c>
      <c r="Q18" s="51">
        <v>10.19</v>
      </c>
      <c r="R18" s="43"/>
      <c r="S18" s="43"/>
      <c r="T18" s="43"/>
      <c r="U18" s="43"/>
    </row>
    <row r="19" spans="1:21" s="11" customFormat="1" ht="15">
      <c r="A19" s="50" t="s">
        <v>191</v>
      </c>
      <c r="B19" s="51">
        <v>7.04</v>
      </c>
      <c r="C19" s="51">
        <v>21.82</v>
      </c>
      <c r="D19" s="51">
        <v>27.09</v>
      </c>
      <c r="E19" s="51">
        <v>4.7699999999999996</v>
      </c>
      <c r="F19" s="51">
        <v>1.76</v>
      </c>
      <c r="G19" s="53" t="s">
        <v>8</v>
      </c>
      <c r="H19" s="51">
        <v>13.66</v>
      </c>
      <c r="I19" s="51">
        <v>5.54</v>
      </c>
      <c r="J19" s="51">
        <v>1.05</v>
      </c>
      <c r="K19" s="51">
        <v>337.69</v>
      </c>
      <c r="L19" s="8" t="s">
        <v>8</v>
      </c>
      <c r="M19" s="51">
        <v>61.11</v>
      </c>
      <c r="N19" s="51">
        <v>857.90</v>
      </c>
      <c r="O19" s="51">
        <v>0</v>
      </c>
      <c r="P19" s="51">
        <v>3.58</v>
      </c>
      <c r="Q19" s="51">
        <v>10.85</v>
      </c>
      <c r="R19" s="43"/>
      <c r="S19" s="43"/>
      <c r="T19" s="43"/>
      <c r="U19" s="43"/>
    </row>
    <row r="20" spans="1:21" s="11" customFormat="1" ht="15">
      <c r="A20" s="50" t="s">
        <v>192</v>
      </c>
      <c r="B20" s="51">
        <v>5.15</v>
      </c>
      <c r="C20" s="51">
        <v>24.07</v>
      </c>
      <c r="D20" s="51">
        <v>29.02</v>
      </c>
      <c r="E20" s="51">
        <v>2.79</v>
      </c>
      <c r="F20" s="51">
        <v>1.49</v>
      </c>
      <c r="G20" s="53" t="s">
        <v>8</v>
      </c>
      <c r="H20" s="51">
        <v>14.05</v>
      </c>
      <c r="I20" s="51">
        <v>5.09</v>
      </c>
      <c r="J20" s="51">
        <v>1.0900000000000001</v>
      </c>
      <c r="K20" s="51">
        <v>348.60</v>
      </c>
      <c r="L20" s="8" t="s">
        <v>8</v>
      </c>
      <c r="M20" s="51">
        <v>57.95</v>
      </c>
      <c r="N20" s="51">
        <v>903.90</v>
      </c>
      <c r="O20" s="51">
        <v>0</v>
      </c>
      <c r="P20" s="51">
        <v>3.65</v>
      </c>
      <c r="Q20" s="51">
        <v>9.98</v>
      </c>
      <c r="R20" s="43"/>
      <c r="S20" s="43"/>
      <c r="T20" s="43"/>
      <c r="U20" s="43"/>
    </row>
    <row r="21" spans="1:21" s="11" customFormat="1" ht="15">
      <c r="A21" s="50" t="s">
        <v>193</v>
      </c>
      <c r="B21" s="51">
        <v>4.08</v>
      </c>
      <c r="C21" s="51">
        <v>18.45</v>
      </c>
      <c r="D21" s="51">
        <v>22.53</v>
      </c>
      <c r="E21" s="51">
        <v>4.5999999999999996</v>
      </c>
      <c r="F21" s="51">
        <v>0.99</v>
      </c>
      <c r="G21" s="53" t="s">
        <v>8</v>
      </c>
      <c r="H21" s="51">
        <v>14.94</v>
      </c>
      <c r="I21" s="51">
        <v>5.37</v>
      </c>
      <c r="J21" s="51">
        <v>0.41</v>
      </c>
      <c r="K21" s="51">
        <v>347.34</v>
      </c>
      <c r="L21" s="8" t="s">
        <v>8</v>
      </c>
      <c r="M21" s="51">
        <v>63.01</v>
      </c>
      <c r="N21" s="51">
        <v>589.70000000000005</v>
      </c>
      <c r="O21" s="51">
        <v>0</v>
      </c>
      <c r="P21" s="51">
        <v>3.65</v>
      </c>
      <c r="Q21" s="51">
        <v>8.1300000000000008</v>
      </c>
      <c r="R21" s="43"/>
      <c r="S21" s="43"/>
      <c r="T21" s="43"/>
      <c r="U21" s="43"/>
    </row>
    <row r="22" spans="1:21" s="11" customFormat="1" ht="15">
      <c r="A22" s="50" t="s">
        <v>194</v>
      </c>
      <c r="B22" s="51">
        <v>2.78</v>
      </c>
      <c r="C22" s="51">
        <v>14.97</v>
      </c>
      <c r="D22" s="51">
        <v>17.760000000000002</v>
      </c>
      <c r="E22" s="51">
        <v>5.49</v>
      </c>
      <c r="F22" s="51">
        <v>1.08</v>
      </c>
      <c r="G22" s="53" t="s">
        <v>8</v>
      </c>
      <c r="H22" s="51">
        <v>14.85</v>
      </c>
      <c r="I22" s="51">
        <v>5.29</v>
      </c>
      <c r="J22" s="51">
        <v>0.73</v>
      </c>
      <c r="K22" s="51">
        <v>202.04</v>
      </c>
      <c r="L22" s="8" t="s">
        <v>8</v>
      </c>
      <c r="M22" s="51">
        <v>65.83</v>
      </c>
      <c r="N22" s="51">
        <v>706.20</v>
      </c>
      <c r="O22" s="51">
        <v>0</v>
      </c>
      <c r="P22" s="51">
        <v>3.62</v>
      </c>
      <c r="Q22" s="51">
        <v>8.18</v>
      </c>
      <c r="R22" s="43"/>
      <c r="S22" s="43"/>
      <c r="T22" s="43"/>
      <c r="U22" s="43"/>
    </row>
    <row r="23" spans="1:21" s="11" customFormat="1" ht="15">
      <c r="A23" s="50" t="s">
        <v>195</v>
      </c>
      <c r="B23" s="51">
        <v>1.93</v>
      </c>
      <c r="C23" s="51">
        <v>13.58</v>
      </c>
      <c r="D23" s="51">
        <v>15.51</v>
      </c>
      <c r="E23" s="51">
        <v>5.84</v>
      </c>
      <c r="F23" s="51">
        <v>1.63</v>
      </c>
      <c r="G23" s="53" t="s">
        <v>8</v>
      </c>
      <c r="H23" s="51">
        <v>15.37</v>
      </c>
      <c r="I23" s="51">
        <v>6.08</v>
      </c>
      <c r="J23" s="51">
        <v>1.55</v>
      </c>
      <c r="K23" s="51">
        <v>183.35</v>
      </c>
      <c r="L23" s="8" t="s">
        <v>8</v>
      </c>
      <c r="M23" s="51">
        <v>66.61</v>
      </c>
      <c r="N23" s="51">
        <v>541.60</v>
      </c>
      <c r="O23" s="51">
        <v>0</v>
      </c>
      <c r="P23" s="51">
        <v>3.59</v>
      </c>
      <c r="Q23" s="51">
        <v>7.71</v>
      </c>
      <c r="R23" s="43"/>
      <c r="S23" s="43"/>
      <c r="T23" s="43"/>
      <c r="U23" s="43"/>
    </row>
    <row r="24" spans="1:21" s="11" customFormat="1" ht="15">
      <c r="A24" s="50" t="s">
        <v>196</v>
      </c>
      <c r="B24" s="51">
        <v>0.82</v>
      </c>
      <c r="C24" s="51">
        <v>11.51</v>
      </c>
      <c r="D24" s="51">
        <v>12.32</v>
      </c>
      <c r="E24" s="51">
        <v>5.60</v>
      </c>
      <c r="F24" s="51">
        <v>1.47</v>
      </c>
      <c r="G24" s="53" t="s">
        <v>8</v>
      </c>
      <c r="H24" s="51">
        <v>15.61</v>
      </c>
      <c r="I24" s="51">
        <v>5.85</v>
      </c>
      <c r="J24" s="51">
        <v>1.95</v>
      </c>
      <c r="K24" s="51">
        <v>198.60</v>
      </c>
      <c r="L24" s="8" t="s">
        <v>8</v>
      </c>
      <c r="M24" s="51">
        <v>70.62</v>
      </c>
      <c r="N24" s="51">
        <v>198.80</v>
      </c>
      <c r="O24" s="51">
        <v>0</v>
      </c>
      <c r="P24" s="51">
        <v>3.5</v>
      </c>
      <c r="Q24" s="51">
        <v>6</v>
      </c>
      <c r="R24" s="43"/>
      <c r="S24" s="43"/>
      <c r="T24" s="43"/>
      <c r="U24" s="43"/>
    </row>
    <row r="25" spans="1:21" s="11" customFormat="1" ht="15">
      <c r="A25" s="50" t="s">
        <v>197</v>
      </c>
      <c r="B25" s="51">
        <v>0.53</v>
      </c>
      <c r="C25" s="51">
        <v>10.98</v>
      </c>
      <c r="D25" s="51">
        <v>11.51</v>
      </c>
      <c r="E25" s="51">
        <v>5.62</v>
      </c>
      <c r="F25" s="51">
        <v>1.04</v>
      </c>
      <c r="G25" s="53" t="s">
        <v>8</v>
      </c>
      <c r="H25" s="51">
        <v>15.57</v>
      </c>
      <c r="I25" s="51">
        <v>5.77</v>
      </c>
      <c r="J25" s="51">
        <v>1.68</v>
      </c>
      <c r="K25" s="51">
        <v>178.23</v>
      </c>
      <c r="L25" s="8" t="s">
        <v>8</v>
      </c>
      <c r="M25" s="51">
        <v>73.94</v>
      </c>
      <c r="N25" s="51">
        <v>125.5</v>
      </c>
      <c r="O25" s="51">
        <v>0</v>
      </c>
      <c r="P25" s="51">
        <v>3.45</v>
      </c>
      <c r="Q25" s="51">
        <v>6.46</v>
      </c>
      <c r="R25" s="43"/>
      <c r="S25" s="43"/>
      <c r="T25" s="43"/>
      <c r="U25" s="43"/>
    </row>
    <row r="26" spans="1:21" s="11" customFormat="1" ht="15">
      <c r="A26" s="50" t="s">
        <v>198</v>
      </c>
      <c r="B26" s="51">
        <v>1.1299999999999999</v>
      </c>
      <c r="C26" s="51">
        <v>11.48</v>
      </c>
      <c r="D26" s="51">
        <v>12.38</v>
      </c>
      <c r="E26" s="51">
        <v>6.22</v>
      </c>
      <c r="F26" s="51">
        <v>1.23</v>
      </c>
      <c r="G26" s="53" t="s">
        <v>8</v>
      </c>
      <c r="H26" s="51">
        <v>15.21</v>
      </c>
      <c r="I26" s="51">
        <v>5.67</v>
      </c>
      <c r="J26" s="51">
        <v>1.5</v>
      </c>
      <c r="K26" s="51">
        <v>165.35</v>
      </c>
      <c r="L26" s="8" t="s">
        <v>8</v>
      </c>
      <c r="M26" s="51">
        <v>76.989999999999995</v>
      </c>
      <c r="N26" s="51">
        <v>37.299999999999997</v>
      </c>
      <c r="O26" s="51">
        <v>0</v>
      </c>
      <c r="P26" s="51">
        <v>3.45</v>
      </c>
      <c r="Q26" s="51">
        <v>7.44</v>
      </c>
      <c r="R26" s="43"/>
      <c r="S26" s="43"/>
      <c r="T26" s="43"/>
      <c r="U26" s="43"/>
    </row>
    <row r="27" spans="1:21" s="11" customFormat="1" ht="15">
      <c r="A27" s="50" t="s">
        <v>199</v>
      </c>
      <c r="B27" s="51">
        <v>1.78</v>
      </c>
      <c r="C27" s="51">
        <v>11.08</v>
      </c>
      <c r="D27" s="51">
        <v>12.82</v>
      </c>
      <c r="E27" s="51">
        <v>6.46</v>
      </c>
      <c r="F27" s="51">
        <v>0.97</v>
      </c>
      <c r="G27" s="53" t="s">
        <v>8</v>
      </c>
      <c r="H27" s="51">
        <v>15.59</v>
      </c>
      <c r="I27" s="51">
        <v>5.90</v>
      </c>
      <c r="J27" s="51">
        <v>0.71</v>
      </c>
      <c r="K27" s="51">
        <v>146.47</v>
      </c>
      <c r="L27" s="8" t="s">
        <v>8</v>
      </c>
      <c r="M27" s="51">
        <v>81.33</v>
      </c>
      <c r="N27" s="51">
        <v>16.600000000000001</v>
      </c>
      <c r="O27" s="51">
        <v>0</v>
      </c>
      <c r="P27" s="51">
        <v>3.44</v>
      </c>
      <c r="Q27" s="51">
        <v>7.27</v>
      </c>
      <c r="R27" s="43"/>
      <c r="S27" s="43"/>
      <c r="T27" s="43"/>
      <c r="U27" s="43"/>
    </row>
    <row r="28" spans="1:21" s="11" customFormat="1" ht="15">
      <c r="A28" s="50" t="s">
        <v>200</v>
      </c>
      <c r="B28" s="51">
        <v>2.78</v>
      </c>
      <c r="C28" s="51">
        <v>12.43</v>
      </c>
      <c r="D28" s="51">
        <v>14.97</v>
      </c>
      <c r="E28" s="51">
        <v>6.20</v>
      </c>
      <c r="F28" s="51">
        <v>1.01</v>
      </c>
      <c r="G28" s="53" t="s">
        <v>8</v>
      </c>
      <c r="H28" s="51">
        <v>14.59</v>
      </c>
      <c r="I28" s="51">
        <v>5.98</v>
      </c>
      <c r="J28" s="51">
        <v>1.99</v>
      </c>
      <c r="K28" s="51">
        <v>352.81</v>
      </c>
      <c r="L28" s="8" t="s">
        <v>8</v>
      </c>
      <c r="M28" s="51">
        <v>99.15</v>
      </c>
      <c r="N28" s="51">
        <v>23.80</v>
      </c>
      <c r="O28" s="51">
        <v>14.60</v>
      </c>
      <c r="P28" s="51">
        <v>3.45</v>
      </c>
      <c r="Q28" s="51">
        <v>6.75</v>
      </c>
      <c r="R28" s="43"/>
      <c r="S28" s="43"/>
      <c r="T28" s="43"/>
      <c r="U28" s="43"/>
    </row>
    <row r="29" spans="1:21" s="11" customFormat="1" ht="15">
      <c r="A29" s="50" t="s">
        <v>201</v>
      </c>
      <c r="B29" s="51">
        <v>5.42</v>
      </c>
      <c r="C29" s="51">
        <v>12.25</v>
      </c>
      <c r="D29" s="51">
        <v>17.670000000000002</v>
      </c>
      <c r="E29" s="51">
        <v>6.63</v>
      </c>
      <c r="F29" s="51">
        <v>0.14000000000000001</v>
      </c>
      <c r="G29" s="53" t="s">
        <v>8</v>
      </c>
      <c r="H29" s="51">
        <v>12.02</v>
      </c>
      <c r="I29" s="51">
        <v>6.06</v>
      </c>
      <c r="J29" s="51">
        <v>0.73</v>
      </c>
      <c r="K29" s="51">
        <v>316.57</v>
      </c>
      <c r="L29" s="8" t="s">
        <v>8</v>
      </c>
      <c r="M29" s="51">
        <v>99.15</v>
      </c>
      <c r="N29" s="51">
        <v>15.90</v>
      </c>
      <c r="O29" s="51">
        <v>0.40</v>
      </c>
      <c r="P29" s="51">
        <v>3.55</v>
      </c>
      <c r="Q29" s="51">
        <v>8.8800000000000008</v>
      </c>
      <c r="R29" s="43"/>
      <c r="S29" s="43"/>
      <c r="T29" s="43"/>
      <c r="U29" s="43"/>
    </row>
    <row r="30" spans="1:21" s="11" customFormat="1" ht="15">
      <c r="A30" s="50" t="s">
        <v>202</v>
      </c>
      <c r="B30" s="51">
        <v>7.61</v>
      </c>
      <c r="C30" s="51">
        <v>13.52</v>
      </c>
      <c r="D30" s="51">
        <v>21.12</v>
      </c>
      <c r="E30" s="51">
        <v>7.41</v>
      </c>
      <c r="F30" s="51">
        <v>0.28999999999999998</v>
      </c>
      <c r="G30" s="53" t="s">
        <v>8</v>
      </c>
      <c r="H30" s="51">
        <v>11.44</v>
      </c>
      <c r="I30" s="51">
        <v>6.29</v>
      </c>
      <c r="J30" s="51">
        <v>0.99</v>
      </c>
      <c r="K30" s="51">
        <v>328.33</v>
      </c>
      <c r="L30" s="8" t="s">
        <v>8</v>
      </c>
      <c r="M30" s="51">
        <v>99.15</v>
      </c>
      <c r="N30" s="51">
        <v>15.5</v>
      </c>
      <c r="O30" s="51">
        <v>0.20</v>
      </c>
      <c r="P30" s="51">
        <v>3.60</v>
      </c>
      <c r="Q30" s="51">
        <v>9.99</v>
      </c>
      <c r="R30" s="43"/>
      <c r="S30" s="43"/>
      <c r="T30" s="43"/>
      <c r="U30" s="43"/>
    </row>
    <row r="31" spans="1:21" s="11" customFormat="1" ht="15">
      <c r="A31" s="50" t="s">
        <v>203</v>
      </c>
      <c r="B31" s="51">
        <v>8.69</v>
      </c>
      <c r="C31" s="51">
        <v>13.74</v>
      </c>
      <c r="D31" s="51">
        <v>22.32</v>
      </c>
      <c r="E31" s="51">
        <v>7.43</v>
      </c>
      <c r="F31" s="51">
        <v>0.37</v>
      </c>
      <c r="G31" s="53" t="s">
        <v>8</v>
      </c>
      <c r="H31" s="51">
        <v>12.74</v>
      </c>
      <c r="I31" s="51">
        <v>6.70</v>
      </c>
      <c r="J31" s="51">
        <v>1.96</v>
      </c>
      <c r="K31" s="51">
        <v>206.30</v>
      </c>
      <c r="L31" s="8" t="s">
        <v>8</v>
      </c>
      <c r="M31" s="51">
        <v>99.15</v>
      </c>
      <c r="N31" s="51">
        <v>15.90</v>
      </c>
      <c r="O31" s="51">
        <v>0</v>
      </c>
      <c r="P31" s="51">
        <v>3.64</v>
      </c>
      <c r="Q31" s="51">
        <v>9.51</v>
      </c>
      <c r="R31" s="43"/>
      <c r="S31" s="43"/>
      <c r="T31" s="43"/>
      <c r="U31" s="43"/>
    </row>
    <row r="32" spans="1:21" s="11" customFormat="1" ht="15">
      <c r="A32" s="50" t="s">
        <v>204</v>
      </c>
      <c r="B32" s="51">
        <v>9</v>
      </c>
      <c r="C32" s="51">
        <v>12.88</v>
      </c>
      <c r="D32" s="51">
        <v>21.5</v>
      </c>
      <c r="E32" s="51">
        <v>7.85</v>
      </c>
      <c r="F32" s="51">
        <v>0.28000000000000003</v>
      </c>
      <c r="G32" s="53" t="s">
        <v>8</v>
      </c>
      <c r="H32" s="51">
        <v>12.01</v>
      </c>
      <c r="I32" s="51">
        <v>6.80</v>
      </c>
      <c r="J32" s="51">
        <v>1.53</v>
      </c>
      <c r="K32" s="51">
        <v>256.88</v>
      </c>
      <c r="L32" s="8" t="s">
        <v>8</v>
      </c>
      <c r="M32" s="51">
        <v>99.15</v>
      </c>
      <c r="N32" s="51">
        <v>15.70</v>
      </c>
      <c r="O32" s="51">
        <v>0</v>
      </c>
      <c r="P32" s="51">
        <v>3.63</v>
      </c>
      <c r="Q32" s="51">
        <v>10.24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0.53000000000000003</v>
      </c>
      <c r="C34" s="28">
        <f t="shared" si="0"/>
        <v>8.6799999999999997</v>
      </c>
      <c r="D34" s="28">
        <f t="shared" si="0"/>
        <v>11.51</v>
      </c>
      <c r="E34" s="28">
        <f t="shared" si="0"/>
        <v>2.79</v>
      </c>
      <c r="F34" s="28">
        <f t="shared" si="0"/>
        <v>0.080000000000000002</v>
      </c>
      <c r="G34" s="28">
        <f t="shared" si="0"/>
        <v>0</v>
      </c>
      <c r="H34" s="28">
        <f t="shared" si="0"/>
        <v>2.8100000000000001</v>
      </c>
      <c r="I34" s="28">
        <f t="shared" si="0"/>
        <v>4.3399999999999999</v>
      </c>
      <c r="J34" s="28">
        <f t="shared" si="0"/>
        <v>0.14000000000000001</v>
      </c>
      <c r="K34" s="28">
        <f t="shared" si="0"/>
        <v>59.229999999999997</v>
      </c>
      <c r="L34" s="28">
        <f t="shared" si="0"/>
        <v>0</v>
      </c>
      <c r="M34" s="28">
        <f t="shared" si="0"/>
        <v>57.950000000000003</v>
      </c>
      <c r="N34" s="28">
        <f t="shared" si="0"/>
        <v>14.800000000000001</v>
      </c>
      <c r="O34" s="28">
        <f t="shared" si="0"/>
        <v>0</v>
      </c>
      <c r="P34" s="28">
        <f t="shared" si="0"/>
        <v>3.25</v>
      </c>
      <c r="Q34" s="28">
        <f t="shared" si="0"/>
        <v>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</v>
      </c>
      <c r="C35" s="29">
        <f t="shared" si="1"/>
        <v>24.07</v>
      </c>
      <c r="D35" s="29">
        <f t="shared" si="1"/>
        <v>29.02</v>
      </c>
      <c r="E35" s="29">
        <f t="shared" si="1"/>
        <v>7.8499999999999996</v>
      </c>
      <c r="F35" s="29">
        <f t="shared" si="1"/>
        <v>1.76</v>
      </c>
      <c r="G35" s="29">
        <f t="shared" si="1"/>
        <v>0</v>
      </c>
      <c r="H35" s="29">
        <f t="shared" si="1"/>
        <v>15.609999999999999</v>
      </c>
      <c r="I35" s="29">
        <f t="shared" si="1"/>
        <v>6.7999999999999998</v>
      </c>
      <c r="J35" s="29">
        <f t="shared" si="1"/>
        <v>1.99</v>
      </c>
      <c r="K35" s="29">
        <f t="shared" si="1"/>
        <v>355.25</v>
      </c>
      <c r="L35" s="29">
        <f t="shared" si="1"/>
        <v>0</v>
      </c>
      <c r="M35" s="29">
        <f t="shared" si="1"/>
        <v>99.150000000000006</v>
      </c>
      <c r="N35" s="29">
        <f t="shared" si="1"/>
        <v>903.89999999999998</v>
      </c>
      <c r="O35" s="29">
        <f t="shared" si="1"/>
        <v>14.6</v>
      </c>
      <c r="P35" s="29">
        <f t="shared" si="1"/>
        <v>3.6499999999999999</v>
      </c>
      <c r="Q35" s="29">
        <f t="shared" si="1"/>
        <v>10.85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4.5587500000000007</v>
      </c>
      <c r="C36" s="28">
        <f t="shared" si="2"/>
        <v>12.900416666666665</v>
      </c>
      <c r="D36" s="28">
        <f t="shared" si="2"/>
        <v>17.302083333333332</v>
      </c>
      <c r="E36" s="28">
        <f t="shared" si="2"/>
        <v>5.8741666666666648</v>
      </c>
      <c r="F36" s="28">
        <f t="shared" si="2"/>
        <v>0.72583333333333355</v>
      </c>
      <c r="G36" s="28" t="e">
        <f t="shared" si="2"/>
        <v>#DIV/0!</v>
      </c>
      <c r="H36" s="28">
        <f t="shared" si="2"/>
        <v>10.895000000000001</v>
      </c>
      <c r="I36" s="28">
        <f t="shared" si="2"/>
        <v>5.557500000000001</v>
      </c>
      <c r="J36" s="28">
        <f t="shared" si="2"/>
        <v>0.8933333333333332</v>
      </c>
      <c r="K36" s="28">
        <f t="shared" si="2"/>
        <v>263.20333333333338</v>
      </c>
      <c r="L36" s="28" t="e">
        <f t="shared" si="2"/>
        <v>#DIV/0!</v>
      </c>
      <c r="M36" s="28">
        <f t="shared" si="2"/>
        <v>82.940416666666678</v>
      </c>
      <c r="N36" s="28">
        <f t="shared" si="2"/>
        <v>231.10000000000002</v>
      </c>
      <c r="O36" s="28">
        <f t="shared" si="2"/>
        <v>0.6333333333333333</v>
      </c>
      <c r="P36" s="28">
        <f t="shared" si="2"/>
        <v>3.4704166666666665</v>
      </c>
      <c r="Q36" s="28">
        <f t="shared" si="2"/>
        <v>8.2658333333333331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2.5276459446961961</v>
      </c>
      <c r="C37" s="28">
        <f t="shared" si="3" ref="C37:Q37">STDEV(C9:C32)</f>
        <v>3.9220474679151609</v>
      </c>
      <c r="D37" s="28">
        <f t="shared" si="3"/>
        <v>5.0997433687918257</v>
      </c>
      <c r="E37" s="28">
        <f t="shared" si="3"/>
        <v>1.0763138247162765</v>
      </c>
      <c r="F37" s="28">
        <f t="shared" si="3"/>
        <v>0.51429915728922326</v>
      </c>
      <c r="G37" s="28" t="e">
        <f t="shared" si="3"/>
        <v>#DIV/0!</v>
      </c>
      <c r="H37" s="28">
        <f t="shared" si="3"/>
        <v>4.6287043919250292</v>
      </c>
      <c r="I37" s="28">
        <f t="shared" si="3"/>
        <v>0.63393354472722663</v>
      </c>
      <c r="J37" s="28">
        <f t="shared" si="3"/>
        <v>0.64803828836605493</v>
      </c>
      <c r="K37" s="28">
        <f t="shared" si="3"/>
        <v>84.397937676568588</v>
      </c>
      <c r="L37" s="28" t="e">
        <f t="shared" si="3"/>
        <v>#DIV/0!</v>
      </c>
      <c r="M37" s="28">
        <f t="shared" si="3"/>
        <v>13.770292687100126</v>
      </c>
      <c r="N37" s="28">
        <f t="shared" si="3"/>
        <v>303.52645039099394</v>
      </c>
      <c r="O37" s="28">
        <f t="shared" si="3"/>
        <v>2.976234368206367</v>
      </c>
      <c r="P37" s="28">
        <f t="shared" si="3"/>
        <v>0.13202368584155044</v>
      </c>
      <c r="Q37" s="28">
        <f t="shared" si="3"/>
        <v>1.3553209684558964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>COUNT(I9:I32)</f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fa53e0-5482-4a8c-97d1-23f2eea025c7}">
  <sheetPr codeName=""/>
  <dimension ref="A1:U119"/>
  <sheetViews>
    <sheetView zoomScale="85" zoomScaleNormal="85" workbookViewId="0" topLeftCell="A1">
      <pane xSplit="2" ySplit="8" topLeftCell="C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8" sqref="Q38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205</v>
      </c>
      <c r="B9" s="51">
        <v>8.60</v>
      </c>
      <c r="C9" s="51">
        <v>12.75</v>
      </c>
      <c r="D9" s="51">
        <v>21.30</v>
      </c>
      <c r="E9" s="51">
        <v>7.03</v>
      </c>
      <c r="F9" s="51">
        <v>0.41</v>
      </c>
      <c r="G9" s="53" t="s">
        <v>8</v>
      </c>
      <c r="H9" s="51">
        <v>9.5</v>
      </c>
      <c r="I9" s="51">
        <v>6.68</v>
      </c>
      <c r="J9" s="51">
        <v>1.31</v>
      </c>
      <c r="K9" s="51">
        <v>317.20</v>
      </c>
      <c r="L9" s="51">
        <v>35.51</v>
      </c>
      <c r="M9" s="51">
        <v>99.15</v>
      </c>
      <c r="N9" s="51">
        <v>16.20</v>
      </c>
      <c r="O9" s="51">
        <v>0</v>
      </c>
      <c r="P9" s="51">
        <v>3.58</v>
      </c>
      <c r="Q9" s="51">
        <v>10.48</v>
      </c>
      <c r="R9" s="43"/>
      <c r="S9" s="43"/>
      <c r="T9" s="43"/>
      <c r="U9" s="43"/>
    </row>
    <row r="10" spans="1:21" s="11" customFormat="1" ht="15">
      <c r="A10" s="50" t="s">
        <v>206</v>
      </c>
      <c r="B10" s="51">
        <v>6.05</v>
      </c>
      <c r="C10" s="51">
        <v>11.91</v>
      </c>
      <c r="D10" s="51">
        <v>17.96</v>
      </c>
      <c r="E10" s="51">
        <v>7.13</v>
      </c>
      <c r="F10" s="51">
        <v>0.62</v>
      </c>
      <c r="G10" s="53" t="s">
        <v>8</v>
      </c>
      <c r="H10" s="51">
        <v>8.9600000000000009</v>
      </c>
      <c r="I10" s="51">
        <v>6.34</v>
      </c>
      <c r="J10" s="51">
        <v>1.18</v>
      </c>
      <c r="K10" s="51">
        <v>316.64999999999998</v>
      </c>
      <c r="L10" s="51">
        <v>35.53</v>
      </c>
      <c r="M10" s="51">
        <v>99.15</v>
      </c>
      <c r="N10" s="51">
        <v>16.100000000000001</v>
      </c>
      <c r="O10" s="51">
        <v>0</v>
      </c>
      <c r="P10" s="51">
        <v>3.5</v>
      </c>
      <c r="Q10" s="51">
        <v>9.5</v>
      </c>
      <c r="R10" s="43"/>
      <c r="S10" s="43"/>
      <c r="T10" s="43"/>
      <c r="U10" s="43"/>
    </row>
    <row r="11" spans="1:21" s="11" customFormat="1" ht="15">
      <c r="A11" s="50" t="s">
        <v>207</v>
      </c>
      <c r="B11" s="51">
        <v>3.73</v>
      </c>
      <c r="C11" s="51">
        <v>11.33</v>
      </c>
      <c r="D11" s="51">
        <v>15.06</v>
      </c>
      <c r="E11" s="51">
        <v>6.99</v>
      </c>
      <c r="F11" s="51">
        <v>0.67</v>
      </c>
      <c r="G11" s="53" t="s">
        <v>8</v>
      </c>
      <c r="H11" s="51">
        <v>8.2200000000000006</v>
      </c>
      <c r="I11" s="51">
        <v>5.94</v>
      </c>
      <c r="J11" s="51">
        <v>0.94</v>
      </c>
      <c r="K11" s="51">
        <v>322.24</v>
      </c>
      <c r="L11" s="51">
        <v>35.39</v>
      </c>
      <c r="M11" s="51">
        <v>99.15</v>
      </c>
      <c r="N11" s="51">
        <v>15.70</v>
      </c>
      <c r="O11" s="51">
        <v>0</v>
      </c>
      <c r="P11" s="51">
        <v>3.43</v>
      </c>
      <c r="Q11" s="51">
        <v>6.88</v>
      </c>
      <c r="R11" s="43"/>
      <c r="S11" s="43"/>
      <c r="T11" s="43"/>
      <c r="U11" s="43"/>
    </row>
    <row r="12" spans="1:21" s="11" customFormat="1" ht="15">
      <c r="A12" s="50" t="s">
        <v>208</v>
      </c>
      <c r="B12" s="51">
        <v>3.07</v>
      </c>
      <c r="C12" s="51">
        <v>10.039999999999999</v>
      </c>
      <c r="D12" s="51">
        <v>12.79</v>
      </c>
      <c r="E12" s="51">
        <v>6.96</v>
      </c>
      <c r="F12" s="51">
        <v>0.34</v>
      </c>
      <c r="G12" s="53" t="s">
        <v>8</v>
      </c>
      <c r="H12" s="51">
        <v>5.92</v>
      </c>
      <c r="I12" s="51">
        <v>5.73</v>
      </c>
      <c r="J12" s="51">
        <v>0.73</v>
      </c>
      <c r="K12" s="51">
        <v>310.81</v>
      </c>
      <c r="L12" s="51">
        <v>35.409999999999997</v>
      </c>
      <c r="M12" s="51">
        <v>99.15</v>
      </c>
      <c r="N12" s="51">
        <v>15.40</v>
      </c>
      <c r="O12" s="51">
        <v>0</v>
      </c>
      <c r="P12" s="51">
        <v>3.42</v>
      </c>
      <c r="Q12" s="51">
        <v>7.21</v>
      </c>
      <c r="R12" s="43"/>
      <c r="S12" s="43"/>
      <c r="T12" s="43"/>
      <c r="U12" s="43"/>
    </row>
    <row r="13" spans="1:21" s="11" customFormat="1" ht="15">
      <c r="A13" s="50" t="s">
        <v>209</v>
      </c>
      <c r="B13" s="51">
        <v>4.3600000000000003</v>
      </c>
      <c r="C13" s="51">
        <v>9.5299999999999994</v>
      </c>
      <c r="D13" s="51">
        <v>13.70</v>
      </c>
      <c r="E13" s="51">
        <v>8.31</v>
      </c>
      <c r="F13" s="51">
        <v>0.61</v>
      </c>
      <c r="G13" s="53" t="s">
        <v>8</v>
      </c>
      <c r="H13" s="51">
        <v>11.23</v>
      </c>
      <c r="I13" s="51">
        <v>5.75</v>
      </c>
      <c r="J13" s="51">
        <v>0.38</v>
      </c>
      <c r="K13" s="51">
        <v>338.18</v>
      </c>
      <c r="L13" s="51">
        <v>35.200000000000003</v>
      </c>
      <c r="M13" s="51">
        <v>99.15</v>
      </c>
      <c r="N13" s="51">
        <v>15.40</v>
      </c>
      <c r="O13" s="51">
        <v>0</v>
      </c>
      <c r="P13" s="51">
        <v>3.43</v>
      </c>
      <c r="Q13" s="51">
        <v>8.17</v>
      </c>
      <c r="R13" s="43"/>
      <c r="S13" s="43"/>
      <c r="T13" s="43"/>
      <c r="U13" s="43"/>
    </row>
    <row r="14" spans="1:21" s="11" customFormat="1" ht="15">
      <c r="A14" s="50" t="s">
        <v>210</v>
      </c>
      <c r="B14" s="51">
        <v>5.51</v>
      </c>
      <c r="C14" s="51">
        <v>10.74</v>
      </c>
      <c r="D14" s="51">
        <v>16.25</v>
      </c>
      <c r="E14" s="51">
        <v>8.2799999999999994</v>
      </c>
      <c r="F14" s="51">
        <v>0.47</v>
      </c>
      <c r="G14" s="53" t="s">
        <v>8</v>
      </c>
      <c r="H14" s="51">
        <v>11.29</v>
      </c>
      <c r="I14" s="51">
        <v>5.96</v>
      </c>
      <c r="J14" s="51">
        <v>0.95</v>
      </c>
      <c r="K14" s="51">
        <v>317.05</v>
      </c>
      <c r="L14" s="51">
        <v>35.31</v>
      </c>
      <c r="M14" s="51">
        <v>99.15</v>
      </c>
      <c r="N14" s="51">
        <v>30.20</v>
      </c>
      <c r="O14" s="51">
        <v>0</v>
      </c>
      <c r="P14" s="51">
        <v>3.43</v>
      </c>
      <c r="Q14" s="51">
        <v>7.81</v>
      </c>
      <c r="R14" s="43"/>
      <c r="S14" s="43"/>
      <c r="T14" s="43"/>
      <c r="U14" s="43"/>
    </row>
    <row r="15" spans="1:21" s="11" customFormat="1" ht="15">
      <c r="A15" s="50" t="s">
        <v>211</v>
      </c>
      <c r="B15" s="51">
        <v>8.33</v>
      </c>
      <c r="C15" s="51">
        <v>11.59</v>
      </c>
      <c r="D15" s="51">
        <v>19.91</v>
      </c>
      <c r="E15" s="51">
        <v>8.24</v>
      </c>
      <c r="F15" s="51">
        <v>0.35</v>
      </c>
      <c r="G15" s="53" t="s">
        <v>8</v>
      </c>
      <c r="H15" s="51">
        <v>11.17</v>
      </c>
      <c r="I15" s="51">
        <v>5.99</v>
      </c>
      <c r="J15" s="51">
        <v>1.0900000000000001</v>
      </c>
      <c r="K15" s="51">
        <v>334.30</v>
      </c>
      <c r="L15" s="51">
        <v>37.24</v>
      </c>
      <c r="M15" s="51">
        <v>99.13</v>
      </c>
      <c r="N15" s="51">
        <v>129.60</v>
      </c>
      <c r="O15" s="51">
        <v>0</v>
      </c>
      <c r="P15" s="51">
        <v>3.45</v>
      </c>
      <c r="Q15" s="51">
        <v>9.33</v>
      </c>
      <c r="R15" s="43"/>
      <c r="S15" s="43"/>
      <c r="T15" s="43"/>
      <c r="U15" s="43"/>
    </row>
    <row r="16" spans="1:21" s="11" customFormat="1" ht="15">
      <c r="A16" s="50" t="s">
        <v>212</v>
      </c>
      <c r="B16" s="51">
        <v>13.11</v>
      </c>
      <c r="C16" s="51">
        <v>12.60</v>
      </c>
      <c r="D16" s="51">
        <v>25.72</v>
      </c>
      <c r="E16" s="51">
        <v>8.01</v>
      </c>
      <c r="F16" s="51">
        <v>0.47</v>
      </c>
      <c r="G16" s="53" t="s">
        <v>8</v>
      </c>
      <c r="H16" s="51">
        <v>14.47</v>
      </c>
      <c r="I16" s="51">
        <v>6.44</v>
      </c>
      <c r="J16" s="51">
        <v>0.89</v>
      </c>
      <c r="K16" s="51">
        <v>347.86</v>
      </c>
      <c r="L16" s="51">
        <v>40.72</v>
      </c>
      <c r="M16" s="51">
        <v>91.81</v>
      </c>
      <c r="N16" s="51">
        <v>357</v>
      </c>
      <c r="O16" s="51">
        <v>0</v>
      </c>
      <c r="P16" s="51">
        <v>3.61</v>
      </c>
      <c r="Q16" s="51">
        <v>12.49</v>
      </c>
      <c r="R16" s="43"/>
      <c r="S16" s="43"/>
      <c r="T16" s="43"/>
      <c r="U16" s="43"/>
    </row>
    <row r="17" spans="1:21" s="11" customFormat="1" ht="15">
      <c r="A17" s="50" t="s">
        <v>213</v>
      </c>
      <c r="B17" s="51">
        <v>18.39</v>
      </c>
      <c r="C17" s="51">
        <v>15.16</v>
      </c>
      <c r="D17" s="51">
        <v>33.549999999999997</v>
      </c>
      <c r="E17" s="51">
        <v>8.10</v>
      </c>
      <c r="F17" s="51">
        <v>0.57999999999999996</v>
      </c>
      <c r="G17" s="53" t="s">
        <v>8</v>
      </c>
      <c r="H17" s="51">
        <v>30.09</v>
      </c>
      <c r="I17" s="51">
        <v>7.05</v>
      </c>
      <c r="J17" s="51">
        <v>1.1599999999999999</v>
      </c>
      <c r="K17" s="51">
        <v>354.04</v>
      </c>
      <c r="L17" s="51">
        <v>44.59</v>
      </c>
      <c r="M17" s="51">
        <v>80.849999999999994</v>
      </c>
      <c r="N17" s="51">
        <v>437.90</v>
      </c>
      <c r="O17" s="51">
        <v>0</v>
      </c>
      <c r="P17" s="51">
        <v>3.76</v>
      </c>
      <c r="Q17" s="51">
        <v>14.92</v>
      </c>
      <c r="R17" s="43"/>
      <c r="S17" s="43"/>
      <c r="T17" s="43"/>
      <c r="U17" s="43"/>
    </row>
    <row r="18" spans="1:21" s="11" customFormat="1" ht="15">
      <c r="A18" s="50" t="s">
        <v>214</v>
      </c>
      <c r="B18" s="51">
        <v>18.80</v>
      </c>
      <c r="C18" s="51">
        <v>17.80</v>
      </c>
      <c r="D18" s="51">
        <v>36.5</v>
      </c>
      <c r="E18" s="51">
        <v>7.90</v>
      </c>
      <c r="F18" s="51">
        <v>0.43</v>
      </c>
      <c r="G18" s="53" t="s">
        <v>8</v>
      </c>
      <c r="H18" s="51">
        <v>33.81</v>
      </c>
      <c r="I18" s="51">
        <v>7.57</v>
      </c>
      <c r="J18" s="51">
        <v>1.60</v>
      </c>
      <c r="K18" s="51">
        <v>341.58</v>
      </c>
      <c r="L18" s="51">
        <v>45.21</v>
      </c>
      <c r="M18" s="51">
        <v>73.53</v>
      </c>
      <c r="N18" s="51">
        <v>510.30</v>
      </c>
      <c r="O18" s="51">
        <v>0</v>
      </c>
      <c r="P18" s="51">
        <v>3.84</v>
      </c>
      <c r="Q18" s="51">
        <v>14.95</v>
      </c>
      <c r="R18" s="43"/>
      <c r="S18" s="43"/>
      <c r="T18" s="43"/>
      <c r="U18" s="43"/>
    </row>
    <row r="19" spans="1:21" s="11" customFormat="1" ht="15">
      <c r="A19" s="50" t="s">
        <v>215</v>
      </c>
      <c r="B19" s="51">
        <v>18.11</v>
      </c>
      <c r="C19" s="51">
        <v>18.82</v>
      </c>
      <c r="D19" s="51">
        <v>36.229999999999997</v>
      </c>
      <c r="E19" s="51">
        <v>6.97</v>
      </c>
      <c r="F19" s="51">
        <v>0.62</v>
      </c>
      <c r="G19" s="53" t="s">
        <v>8</v>
      </c>
      <c r="H19" s="51">
        <v>36.15</v>
      </c>
      <c r="I19" s="51">
        <v>7.62</v>
      </c>
      <c r="J19" s="51">
        <v>2.04</v>
      </c>
      <c r="K19" s="51">
        <v>358.15</v>
      </c>
      <c r="L19" s="51">
        <v>46.32</v>
      </c>
      <c r="M19" s="51">
        <v>70.37</v>
      </c>
      <c r="N19" s="51">
        <v>812.70</v>
      </c>
      <c r="O19" s="51">
        <v>0</v>
      </c>
      <c r="P19" s="51">
        <v>3.87</v>
      </c>
      <c r="Q19" s="51">
        <v>14.94</v>
      </c>
      <c r="R19" s="43"/>
      <c r="S19" s="43"/>
      <c r="T19" s="43"/>
      <c r="U19" s="43"/>
    </row>
    <row r="20" spans="1:21" s="11" customFormat="1" ht="15">
      <c r="A20" s="50" t="s">
        <v>216</v>
      </c>
      <c r="B20" s="51">
        <v>16.21</v>
      </c>
      <c r="C20" s="51">
        <v>20.49</v>
      </c>
      <c r="D20" s="51">
        <v>35.81</v>
      </c>
      <c r="E20" s="51">
        <v>6.74</v>
      </c>
      <c r="F20" s="51">
        <v>0.67</v>
      </c>
      <c r="G20" s="53" t="s">
        <v>8</v>
      </c>
      <c r="H20" s="51">
        <v>34.60</v>
      </c>
      <c r="I20" s="51">
        <v>6.72</v>
      </c>
      <c r="J20" s="51">
        <v>1.62</v>
      </c>
      <c r="K20" s="51">
        <v>359.87</v>
      </c>
      <c r="L20" s="51">
        <v>45.73</v>
      </c>
      <c r="M20" s="51">
        <v>68.12</v>
      </c>
      <c r="N20" s="51">
        <v>1001.5</v>
      </c>
      <c r="O20" s="51">
        <v>0</v>
      </c>
      <c r="P20" s="51">
        <v>3.87</v>
      </c>
      <c r="Q20" s="51">
        <v>15.5</v>
      </c>
      <c r="R20" s="43"/>
      <c r="S20" s="43"/>
      <c r="T20" s="43"/>
      <c r="U20" s="43"/>
    </row>
    <row r="21" spans="1:21" s="11" customFormat="1" ht="15">
      <c r="A21" s="50" t="s">
        <v>217</v>
      </c>
      <c r="B21" s="51">
        <v>14.31</v>
      </c>
      <c r="C21" s="51">
        <v>21.01</v>
      </c>
      <c r="D21" s="51">
        <v>34.32</v>
      </c>
      <c r="E21" s="51">
        <v>6.94</v>
      </c>
      <c r="F21" s="51">
        <v>1.05</v>
      </c>
      <c r="G21" s="53" t="s">
        <v>8</v>
      </c>
      <c r="H21" s="51">
        <v>30.71</v>
      </c>
      <c r="I21" s="51">
        <v>7</v>
      </c>
      <c r="J21" s="51">
        <v>1.57</v>
      </c>
      <c r="K21" s="51">
        <v>349.98</v>
      </c>
      <c r="L21" s="51">
        <v>46.32</v>
      </c>
      <c r="M21" s="51">
        <v>66.52</v>
      </c>
      <c r="N21" s="51">
        <v>746.70</v>
      </c>
      <c r="O21" s="51">
        <v>0</v>
      </c>
      <c r="P21" s="51">
        <v>3.85</v>
      </c>
      <c r="Q21" s="51">
        <v>15.35</v>
      </c>
      <c r="R21" s="43"/>
      <c r="S21" s="43"/>
      <c r="T21" s="43"/>
      <c r="U21" s="43"/>
    </row>
    <row r="22" spans="1:21" s="11" customFormat="1" ht="15">
      <c r="A22" s="50" t="s">
        <v>218</v>
      </c>
      <c r="B22" s="51">
        <v>9.39</v>
      </c>
      <c r="C22" s="51">
        <v>21.55</v>
      </c>
      <c r="D22" s="51">
        <v>30.79</v>
      </c>
      <c r="E22" s="51">
        <v>6.81</v>
      </c>
      <c r="F22" s="51">
        <v>0.97</v>
      </c>
      <c r="G22" s="53" t="s">
        <v>8</v>
      </c>
      <c r="H22" s="51">
        <v>36.17</v>
      </c>
      <c r="I22" s="51">
        <v>6.98</v>
      </c>
      <c r="J22" s="51">
        <v>1.53</v>
      </c>
      <c r="K22" s="51">
        <v>358.61</v>
      </c>
      <c r="L22" s="51">
        <v>45.40</v>
      </c>
      <c r="M22" s="51">
        <v>67.94</v>
      </c>
      <c r="N22" s="51">
        <v>469.70</v>
      </c>
      <c r="O22" s="51">
        <v>0</v>
      </c>
      <c r="P22" s="51">
        <v>3.88</v>
      </c>
      <c r="Q22" s="51">
        <v>12.26</v>
      </c>
      <c r="R22" s="43"/>
      <c r="S22" s="43"/>
      <c r="T22" s="43"/>
      <c r="U22" s="43"/>
    </row>
    <row r="23" spans="1:21" s="11" customFormat="1" ht="15">
      <c r="A23" s="50" t="s">
        <v>219</v>
      </c>
      <c r="B23" s="51">
        <v>6.86</v>
      </c>
      <c r="C23" s="51">
        <v>20.68</v>
      </c>
      <c r="D23" s="51">
        <v>27.54</v>
      </c>
      <c r="E23" s="51">
        <v>6.96</v>
      </c>
      <c r="F23" s="51">
        <v>0.86</v>
      </c>
      <c r="G23" s="53" t="s">
        <v>8</v>
      </c>
      <c r="H23" s="51">
        <v>36.75</v>
      </c>
      <c r="I23" s="51">
        <v>6.57</v>
      </c>
      <c r="J23" s="51">
        <v>1.1499999999999999</v>
      </c>
      <c r="K23" s="51">
        <v>357.67</v>
      </c>
      <c r="L23" s="51">
        <v>44.96</v>
      </c>
      <c r="M23" s="51">
        <v>70.650000000000006</v>
      </c>
      <c r="N23" s="51">
        <v>237.10</v>
      </c>
      <c r="O23" s="51">
        <v>0</v>
      </c>
      <c r="P23" s="51">
        <v>3.91</v>
      </c>
      <c r="Q23" s="51">
        <v>11.95</v>
      </c>
      <c r="R23" s="43"/>
      <c r="S23" s="43"/>
      <c r="T23" s="43"/>
      <c r="U23" s="43"/>
    </row>
    <row r="24" spans="1:21" s="11" customFormat="1" ht="15">
      <c r="A24" s="50" t="s">
        <v>220</v>
      </c>
      <c r="B24" s="51">
        <v>7.02</v>
      </c>
      <c r="C24" s="51">
        <v>19.07</v>
      </c>
      <c r="D24" s="51">
        <v>25.90</v>
      </c>
      <c r="E24" s="51">
        <v>7.31</v>
      </c>
      <c r="F24" s="51">
        <v>0.99</v>
      </c>
      <c r="G24" s="53" t="s">
        <v>8</v>
      </c>
      <c r="H24" s="51">
        <v>36.04</v>
      </c>
      <c r="I24" s="51">
        <v>6.17</v>
      </c>
      <c r="J24" s="51">
        <v>1.38</v>
      </c>
      <c r="K24" s="51">
        <v>359.40</v>
      </c>
      <c r="L24" s="51">
        <v>48.21</v>
      </c>
      <c r="M24" s="51">
        <v>66.95</v>
      </c>
      <c r="N24" s="51">
        <v>458.10</v>
      </c>
      <c r="O24" s="51">
        <v>0</v>
      </c>
      <c r="P24" s="51">
        <v>3.92</v>
      </c>
      <c r="Q24" s="51">
        <v>12.10</v>
      </c>
      <c r="R24" s="43"/>
      <c r="S24" s="43"/>
      <c r="T24" s="43"/>
      <c r="U24" s="43"/>
    </row>
    <row r="25" spans="1:21" s="11" customFormat="1" ht="15">
      <c r="A25" s="50" t="s">
        <v>221</v>
      </c>
      <c r="B25" s="51">
        <v>6.73</v>
      </c>
      <c r="C25" s="51">
        <v>18.420000000000002</v>
      </c>
      <c r="D25" s="51">
        <v>24.93</v>
      </c>
      <c r="E25" s="51">
        <v>6.83</v>
      </c>
      <c r="F25" s="51">
        <v>0.95</v>
      </c>
      <c r="G25" s="53" t="s">
        <v>8</v>
      </c>
      <c r="H25" s="51">
        <v>33.979999999999997</v>
      </c>
      <c r="I25" s="51">
        <v>7.09</v>
      </c>
      <c r="J25" s="51">
        <v>0.93</v>
      </c>
      <c r="K25" s="51">
        <v>348.67</v>
      </c>
      <c r="L25" s="51">
        <v>50.36</v>
      </c>
      <c r="M25" s="51">
        <v>68.459999999999994</v>
      </c>
      <c r="N25" s="51">
        <v>257.60000000000002</v>
      </c>
      <c r="O25" s="51">
        <v>0</v>
      </c>
      <c r="P25" s="51">
        <v>3.92</v>
      </c>
      <c r="Q25" s="51">
        <v>11.33</v>
      </c>
      <c r="R25" s="43"/>
      <c r="S25" s="43"/>
      <c r="T25" s="43"/>
      <c r="U25" s="43"/>
    </row>
    <row r="26" spans="1:21" s="11" customFormat="1" ht="15">
      <c r="A26" s="50" t="s">
        <v>222</v>
      </c>
      <c r="B26" s="51">
        <v>6.39</v>
      </c>
      <c r="C26" s="51">
        <v>18.100000000000001</v>
      </c>
      <c r="D26" s="51">
        <v>24</v>
      </c>
      <c r="E26" s="51">
        <v>6.92</v>
      </c>
      <c r="F26" s="51">
        <v>0.57999999999999996</v>
      </c>
      <c r="G26" s="53" t="s">
        <v>8</v>
      </c>
      <c r="H26" s="51">
        <v>32.22</v>
      </c>
      <c r="I26" s="51">
        <v>7.06</v>
      </c>
      <c r="J26" s="51">
        <v>0.56000000000000005</v>
      </c>
      <c r="K26" s="51">
        <v>92.68</v>
      </c>
      <c r="L26" s="51">
        <v>49.86</v>
      </c>
      <c r="M26" s="51">
        <v>70.17</v>
      </c>
      <c r="N26" s="51">
        <v>90.60</v>
      </c>
      <c r="O26" s="51">
        <v>0</v>
      </c>
      <c r="P26" s="51">
        <v>3.92</v>
      </c>
      <c r="Q26" s="51">
        <v>10.70</v>
      </c>
      <c r="R26" s="43"/>
      <c r="S26" s="43"/>
      <c r="T26" s="43"/>
      <c r="U26" s="43"/>
    </row>
    <row r="27" spans="1:21" s="11" customFormat="1" ht="15">
      <c r="A27" s="50" t="s">
        <v>223</v>
      </c>
      <c r="B27" s="51">
        <v>6.08</v>
      </c>
      <c r="C27" s="51">
        <v>16.41</v>
      </c>
      <c r="D27" s="51">
        <v>22.49</v>
      </c>
      <c r="E27" s="51">
        <v>6.75</v>
      </c>
      <c r="F27" s="51">
        <v>0.53</v>
      </c>
      <c r="G27" s="53" t="s">
        <v>8</v>
      </c>
      <c r="H27" s="51">
        <v>28.55</v>
      </c>
      <c r="I27" s="51">
        <v>6.73</v>
      </c>
      <c r="J27" s="51">
        <v>1.84</v>
      </c>
      <c r="K27" s="51">
        <v>334.34</v>
      </c>
      <c r="L27" s="51">
        <v>42.25</v>
      </c>
      <c r="M27" s="51">
        <v>99.15</v>
      </c>
      <c r="N27" s="51">
        <v>27.60</v>
      </c>
      <c r="O27" s="51">
        <v>12.20</v>
      </c>
      <c r="P27" s="51">
        <v>3.86</v>
      </c>
      <c r="Q27" s="51">
        <v>10.66</v>
      </c>
      <c r="R27" s="43"/>
      <c r="S27" s="43"/>
      <c r="T27" s="43"/>
      <c r="U27" s="43"/>
    </row>
    <row r="28" spans="1:21" s="11" customFormat="1" ht="15">
      <c r="A28" s="50" t="s">
        <v>224</v>
      </c>
      <c r="B28" s="51">
        <v>5.99</v>
      </c>
      <c r="C28" s="51">
        <v>13.38</v>
      </c>
      <c r="D28" s="51">
        <v>18.87</v>
      </c>
      <c r="E28" s="51">
        <v>7.14</v>
      </c>
      <c r="F28" s="51">
        <v>1.20</v>
      </c>
      <c r="G28" s="53" t="s">
        <v>8</v>
      </c>
      <c r="H28" s="51">
        <v>24.29</v>
      </c>
      <c r="I28" s="51">
        <v>6.5</v>
      </c>
      <c r="J28" s="51">
        <v>1.26</v>
      </c>
      <c r="K28" s="51">
        <v>182</v>
      </c>
      <c r="L28" s="51">
        <v>47.52</v>
      </c>
      <c r="M28" s="51">
        <v>99.15</v>
      </c>
      <c r="N28" s="51">
        <v>16.30</v>
      </c>
      <c r="O28" s="51">
        <v>0.20</v>
      </c>
      <c r="P28" s="51">
        <v>3.78</v>
      </c>
      <c r="Q28" s="51">
        <v>9.48</v>
      </c>
      <c r="R28" s="43"/>
      <c r="S28" s="43"/>
      <c r="T28" s="43"/>
      <c r="U28" s="43"/>
    </row>
    <row r="29" spans="1:21" s="11" customFormat="1" ht="15">
      <c r="A29" s="50" t="s">
        <v>225</v>
      </c>
      <c r="B29" s="51">
        <v>8.19</v>
      </c>
      <c r="C29" s="51">
        <v>12.96</v>
      </c>
      <c r="D29" s="51">
        <v>21.15</v>
      </c>
      <c r="E29" s="51">
        <v>6.27</v>
      </c>
      <c r="F29" s="51">
        <v>0.49</v>
      </c>
      <c r="G29" s="53" t="s">
        <v>8</v>
      </c>
      <c r="H29" s="51">
        <v>20.29</v>
      </c>
      <c r="I29" s="51">
        <v>6.76</v>
      </c>
      <c r="J29" s="51">
        <v>1.75</v>
      </c>
      <c r="K29" s="51">
        <v>332.96</v>
      </c>
      <c r="L29" s="51">
        <v>41.12</v>
      </c>
      <c r="M29" s="51">
        <v>99.15</v>
      </c>
      <c r="N29" s="51">
        <v>15.80</v>
      </c>
      <c r="O29" s="51">
        <v>2.2000000000000002</v>
      </c>
      <c r="P29" s="51">
        <v>3.75</v>
      </c>
      <c r="Q29" s="51">
        <v>8.82</v>
      </c>
      <c r="R29" s="43"/>
      <c r="S29" s="43"/>
      <c r="T29" s="43"/>
      <c r="U29" s="43"/>
    </row>
    <row r="30" spans="1:21" s="11" customFormat="1" ht="15">
      <c r="A30" s="50" t="s">
        <v>226</v>
      </c>
      <c r="B30" s="51">
        <v>8.90</v>
      </c>
      <c r="C30" s="51">
        <v>13.67</v>
      </c>
      <c r="D30" s="51">
        <v>21.46</v>
      </c>
      <c r="E30" s="51">
        <v>6.25</v>
      </c>
      <c r="F30" s="51">
        <v>0.20</v>
      </c>
      <c r="G30" s="53" t="s">
        <v>8</v>
      </c>
      <c r="H30" s="51">
        <v>16.55</v>
      </c>
      <c r="I30" s="51">
        <v>6.71</v>
      </c>
      <c r="J30" s="51">
        <v>1.97</v>
      </c>
      <c r="K30" s="51">
        <v>357.93</v>
      </c>
      <c r="L30" s="51">
        <v>41.05</v>
      </c>
      <c r="M30" s="51">
        <v>99.15</v>
      </c>
      <c r="N30" s="51">
        <v>17.100000000000001</v>
      </c>
      <c r="O30" s="51">
        <v>11.20</v>
      </c>
      <c r="P30" s="51">
        <v>3.71</v>
      </c>
      <c r="Q30" s="51">
        <v>9.66</v>
      </c>
      <c r="R30" s="43"/>
      <c r="S30" s="43"/>
      <c r="T30" s="43"/>
      <c r="U30" s="43"/>
    </row>
    <row r="31" spans="1:21" s="11" customFormat="1" ht="15">
      <c r="A31" s="50" t="s">
        <v>227</v>
      </c>
      <c r="B31" s="51">
        <v>13.37</v>
      </c>
      <c r="C31" s="51">
        <v>11.81</v>
      </c>
      <c r="D31" s="51">
        <v>24.18</v>
      </c>
      <c r="E31" s="51">
        <v>7.58</v>
      </c>
      <c r="F31" s="51">
        <v>0.37</v>
      </c>
      <c r="G31" s="53" t="s">
        <v>8</v>
      </c>
      <c r="H31" s="51">
        <v>13.37</v>
      </c>
      <c r="I31" s="51">
        <v>6.13</v>
      </c>
      <c r="J31" s="51">
        <v>0.91</v>
      </c>
      <c r="K31" s="51">
        <v>349.40</v>
      </c>
      <c r="L31" s="51">
        <v>41.76</v>
      </c>
      <c r="M31" s="51">
        <v>99.15</v>
      </c>
      <c r="N31" s="51">
        <v>15.5</v>
      </c>
      <c r="O31" s="51">
        <v>0</v>
      </c>
      <c r="P31" s="51">
        <v>3.78</v>
      </c>
      <c r="Q31" s="51">
        <v>11.73</v>
      </c>
      <c r="R31" s="43"/>
      <c r="S31" s="43"/>
      <c r="T31" s="43"/>
      <c r="U31" s="43"/>
    </row>
    <row r="32" spans="1:21" s="11" customFormat="1" ht="15">
      <c r="A32" s="50" t="s">
        <v>228</v>
      </c>
      <c r="B32" s="51">
        <v>17.829999999999998</v>
      </c>
      <c r="C32" s="51">
        <v>12.22</v>
      </c>
      <c r="D32" s="51">
        <v>30.05</v>
      </c>
      <c r="E32" s="51">
        <v>7.5</v>
      </c>
      <c r="F32" s="51">
        <v>0.68</v>
      </c>
      <c r="G32" s="53" t="s">
        <v>8</v>
      </c>
      <c r="H32" s="51">
        <v>18.670000000000002</v>
      </c>
      <c r="I32" s="51">
        <v>6.89</v>
      </c>
      <c r="J32" s="51">
        <v>0.78</v>
      </c>
      <c r="K32" s="51">
        <v>358.04</v>
      </c>
      <c r="L32" s="51">
        <v>44.48</v>
      </c>
      <c r="M32" s="51">
        <v>99.15</v>
      </c>
      <c r="N32" s="51">
        <v>15.80</v>
      </c>
      <c r="O32" s="51">
        <v>0</v>
      </c>
      <c r="P32" s="51">
        <v>3.84</v>
      </c>
      <c r="Q32" s="51">
        <v>12.78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3.0699999999999998</v>
      </c>
      <c r="C34" s="28">
        <f t="shared" si="0"/>
        <v>9.5299999999999994</v>
      </c>
      <c r="D34" s="28">
        <f t="shared" si="0"/>
        <v>12.789999999999999</v>
      </c>
      <c r="E34" s="28">
        <f t="shared" si="0"/>
        <v>6.25</v>
      </c>
      <c r="F34" s="28">
        <f t="shared" si="0"/>
        <v>0.20000000000000001</v>
      </c>
      <c r="G34" s="28">
        <f t="shared" si="0"/>
        <v>0</v>
      </c>
      <c r="H34" s="28">
        <f t="shared" si="0"/>
        <v>5.9199999999999999</v>
      </c>
      <c r="I34" s="28">
        <f t="shared" si="0"/>
        <v>5.7300000000000004</v>
      </c>
      <c r="J34" s="28">
        <f t="shared" si="0"/>
        <v>0.38</v>
      </c>
      <c r="K34" s="28">
        <f t="shared" si="0"/>
        <v>92.680000000000007</v>
      </c>
      <c r="L34" s="28">
        <f t="shared" si="0"/>
        <v>35.200000000000003</v>
      </c>
      <c r="M34" s="28">
        <f t="shared" si="0"/>
        <v>66.519999999999996</v>
      </c>
      <c r="N34" s="28">
        <f t="shared" si="0"/>
        <v>15.4</v>
      </c>
      <c r="O34" s="28">
        <f t="shared" si="0"/>
        <v>0</v>
      </c>
      <c r="P34" s="28">
        <f t="shared" si="0"/>
        <v>3.4199999999999999</v>
      </c>
      <c r="Q34" s="28">
        <f t="shared" si="0"/>
        <v>6.8799999999999999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18.800000000000001</v>
      </c>
      <c r="C35" s="29">
        <f t="shared" si="1"/>
        <v>21.550000000000001</v>
      </c>
      <c r="D35" s="29">
        <f t="shared" si="1"/>
        <v>36.5</v>
      </c>
      <c r="E35" s="29">
        <f t="shared" si="1"/>
        <v>8.3100000000000005</v>
      </c>
      <c r="F35" s="29">
        <f t="shared" si="1"/>
        <v>1.2</v>
      </c>
      <c r="G35" s="29">
        <f t="shared" si="1"/>
        <v>0</v>
      </c>
      <c r="H35" s="29">
        <f t="shared" si="1"/>
        <v>36.75</v>
      </c>
      <c r="I35" s="29">
        <f t="shared" si="1"/>
        <v>7.6200000000000001</v>
      </c>
      <c r="J35" s="29">
        <f t="shared" si="1"/>
        <v>2.04</v>
      </c>
      <c r="K35" s="29">
        <f t="shared" si="1"/>
        <v>359.87</v>
      </c>
      <c r="L35" s="29">
        <f t="shared" si="1"/>
        <v>50.359999999999999</v>
      </c>
      <c r="M35" s="29">
        <f t="shared" si="1"/>
        <v>99.150000000000006</v>
      </c>
      <c r="N35" s="29">
        <f t="shared" si="1"/>
        <v>1001.5</v>
      </c>
      <c r="O35" s="29">
        <f t="shared" si="1"/>
        <v>12.199999999999999</v>
      </c>
      <c r="P35" s="29">
        <f t="shared" si="1"/>
        <v>3.9199999999999999</v>
      </c>
      <c r="Q35" s="29">
        <f t="shared" si="1"/>
        <v>15.5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9.8054166666666678</v>
      </c>
      <c r="C36" s="28">
        <f t="shared" si="2"/>
        <v>15.085000000000003</v>
      </c>
      <c r="D36" s="28">
        <f t="shared" si="2"/>
        <v>24.602499999999996</v>
      </c>
      <c r="E36" s="28">
        <f t="shared" si="2"/>
        <v>7.2466666666666661</v>
      </c>
      <c r="F36" s="28">
        <f t="shared" si="2"/>
        <v>0.62958333333333316</v>
      </c>
      <c r="G36" s="28" t="e">
        <f t="shared" si="2"/>
        <v>#DIV/0!</v>
      </c>
      <c r="H36" s="28">
        <f t="shared" si="2"/>
        <v>22.625000000000004</v>
      </c>
      <c r="I36" s="28">
        <f t="shared" si="2"/>
        <v>6.5991666666666662</v>
      </c>
      <c r="J36" s="28">
        <f t="shared" si="2"/>
        <v>1.23</v>
      </c>
      <c r="K36" s="28">
        <f t="shared" si="2"/>
        <v>324.98374999999999</v>
      </c>
      <c r="L36" s="28">
        <f t="shared" si="2"/>
        <v>42.310416666666669</v>
      </c>
      <c r="M36" s="28">
        <f t="shared" si="2"/>
        <v>86.84583333333336</v>
      </c>
      <c r="N36" s="28">
        <f t="shared" si="2"/>
        <v>238.57916666666677</v>
      </c>
      <c r="O36" s="28">
        <f t="shared" si="2"/>
        <v>1.075</v>
      </c>
      <c r="P36" s="28">
        <f t="shared" si="2"/>
        <v>3.7212499999999999</v>
      </c>
      <c r="Q36" s="28">
        <f t="shared" si="2"/>
        <v>11.20833333333333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5.067381605975581</v>
      </c>
      <c r="C37" s="28">
        <f t="shared" si="3" ref="C37:Q37">STDEV(C9:C32)</f>
        <v>3.8907146990707355</v>
      </c>
      <c r="D37" s="28">
        <f t="shared" si="3"/>
        <v>7.2603947970269385</v>
      </c>
      <c r="E37" s="28">
        <f t="shared" si="3"/>
        <v>0.60779477848499419</v>
      </c>
      <c r="F37" s="28">
        <f t="shared" si="3"/>
        <v>0.25514666143334108</v>
      </c>
      <c r="G37" s="28" t="e">
        <f t="shared" si="3"/>
        <v>#DIV/0!</v>
      </c>
      <c r="H37" s="28">
        <f t="shared" si="3"/>
        <v>11.11131385805359</v>
      </c>
      <c r="I37" s="28">
        <f t="shared" si="3"/>
        <v>0.52361549672044383</v>
      </c>
      <c r="J37" s="28">
        <f t="shared" si="3"/>
        <v>0.44224722576365849</v>
      </c>
      <c r="K37" s="28">
        <f t="shared" si="3"/>
        <v>61.335402984240304</v>
      </c>
      <c r="L37" s="28">
        <f t="shared" si="3"/>
        <v>5.0273309360513396</v>
      </c>
      <c r="M37" s="28">
        <f t="shared" si="3"/>
        <v>14.554943554821994</v>
      </c>
      <c r="N37" s="28">
        <f t="shared" si="3"/>
        <v>296.12290042446404</v>
      </c>
      <c r="O37" s="28">
        <f t="shared" si="3"/>
        <v>3.306285187204884</v>
      </c>
      <c r="P37" s="28">
        <f t="shared" si="3"/>
        <v>0.18615824264412201</v>
      </c>
      <c r="Q37" s="28">
        <f t="shared" si="3"/>
        <v>2.6230627081742619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>COUNT(I9:I32)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71ddd2c-fc0a-48f0-ab80-3da6af1e6a09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N39" sqref="N39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229</v>
      </c>
      <c r="B9" s="51">
        <v>18.66</v>
      </c>
      <c r="C9" s="51">
        <v>12.64</v>
      </c>
      <c r="D9" s="51">
        <v>31.19</v>
      </c>
      <c r="E9" s="51">
        <v>6.91</v>
      </c>
      <c r="F9" s="51">
        <v>0.31</v>
      </c>
      <c r="G9" s="53" t="s">
        <v>8</v>
      </c>
      <c r="H9" s="51">
        <v>17.190000000000001</v>
      </c>
      <c r="I9" s="51">
        <v>6.93</v>
      </c>
      <c r="J9" s="51">
        <v>1.1499999999999999</v>
      </c>
      <c r="K9" s="51">
        <v>359.02</v>
      </c>
      <c r="L9" s="51">
        <v>45.63</v>
      </c>
      <c r="M9" s="51">
        <v>99.15</v>
      </c>
      <c r="N9" s="51">
        <v>15.5</v>
      </c>
      <c r="O9" s="51">
        <v>0</v>
      </c>
      <c r="P9" s="51">
        <v>3.86</v>
      </c>
      <c r="Q9" s="51">
        <v>13.11</v>
      </c>
      <c r="R9" s="43"/>
      <c r="S9" s="43"/>
      <c r="T9" s="43"/>
      <c r="U9" s="43"/>
    </row>
    <row r="10" spans="1:21" s="11" customFormat="1" ht="15">
      <c r="A10" s="50" t="s">
        <v>230</v>
      </c>
      <c r="B10" s="51">
        <v>18.21</v>
      </c>
      <c r="C10" s="51">
        <v>12.63</v>
      </c>
      <c r="D10" s="51">
        <v>30.85</v>
      </c>
      <c r="E10" s="51">
        <v>7.17</v>
      </c>
      <c r="F10" s="51">
        <v>0.20</v>
      </c>
      <c r="G10" s="53" t="s">
        <v>8</v>
      </c>
      <c r="H10" s="51">
        <v>15.57</v>
      </c>
      <c r="I10" s="51">
        <v>6.52</v>
      </c>
      <c r="J10" s="51">
        <v>1.03</v>
      </c>
      <c r="K10" s="51">
        <v>359.53</v>
      </c>
      <c r="L10" s="51">
        <v>45.45</v>
      </c>
      <c r="M10" s="51">
        <v>99.15</v>
      </c>
      <c r="N10" s="51">
        <v>15.80</v>
      </c>
      <c r="O10" s="51">
        <v>0</v>
      </c>
      <c r="P10" s="51">
        <v>3.90</v>
      </c>
      <c r="Q10" s="51">
        <v>13.59</v>
      </c>
      <c r="R10" s="43"/>
      <c r="S10" s="43"/>
      <c r="T10" s="43"/>
      <c r="U10" s="43"/>
    </row>
    <row r="11" spans="1:21" s="11" customFormat="1" ht="15">
      <c r="A11" s="50" t="s">
        <v>231</v>
      </c>
      <c r="B11" s="51">
        <v>16.82</v>
      </c>
      <c r="C11" s="51">
        <v>12.03</v>
      </c>
      <c r="D11" s="51">
        <v>28.85</v>
      </c>
      <c r="E11" s="51">
        <v>7.77</v>
      </c>
      <c r="F11" s="51">
        <v>0.30</v>
      </c>
      <c r="G11" s="53" t="s">
        <v>8</v>
      </c>
      <c r="H11" s="51">
        <v>15.27</v>
      </c>
      <c r="I11" s="51">
        <v>6.19</v>
      </c>
      <c r="J11" s="51">
        <v>0.52</v>
      </c>
      <c r="K11" s="51">
        <v>28.49</v>
      </c>
      <c r="L11" s="51">
        <v>44.33</v>
      </c>
      <c r="M11" s="51">
        <v>99.15</v>
      </c>
      <c r="N11" s="51">
        <v>15.70</v>
      </c>
      <c r="O11" s="51">
        <v>0</v>
      </c>
      <c r="P11" s="51">
        <v>3.85</v>
      </c>
      <c r="Q11" s="51">
        <v>13.62</v>
      </c>
      <c r="R11" s="43"/>
      <c r="S11" s="43"/>
      <c r="T11" s="43"/>
      <c r="U11" s="43"/>
    </row>
    <row r="12" spans="1:21" s="11" customFormat="1" ht="15">
      <c r="A12" s="50" t="s">
        <v>232</v>
      </c>
      <c r="B12" s="51">
        <v>15.79</v>
      </c>
      <c r="C12" s="51">
        <v>10.5</v>
      </c>
      <c r="D12" s="51">
        <v>26.29</v>
      </c>
      <c r="E12" s="51">
        <v>7.10</v>
      </c>
      <c r="F12" s="51">
        <v>0.82</v>
      </c>
      <c r="G12" s="53" t="s">
        <v>8</v>
      </c>
      <c r="H12" s="51">
        <v>13.80</v>
      </c>
      <c r="I12" s="51">
        <v>6.36</v>
      </c>
      <c r="J12" s="51">
        <v>0.35</v>
      </c>
      <c r="K12" s="51">
        <v>51.64</v>
      </c>
      <c r="L12" s="51">
        <v>42.15</v>
      </c>
      <c r="M12" s="51">
        <v>99.15</v>
      </c>
      <c r="N12" s="51">
        <v>15.40</v>
      </c>
      <c r="O12" s="51">
        <v>0</v>
      </c>
      <c r="P12" s="51">
        <v>3.76</v>
      </c>
      <c r="Q12" s="51">
        <v>11.99</v>
      </c>
      <c r="R12" s="43"/>
      <c r="S12" s="43"/>
      <c r="T12" s="43"/>
      <c r="U12" s="43"/>
    </row>
    <row r="13" spans="1:21" s="11" customFormat="1" ht="15">
      <c r="A13" s="50" t="s">
        <v>233</v>
      </c>
      <c r="B13" s="51">
        <v>15.44</v>
      </c>
      <c r="C13" s="51">
        <v>9.8699999999999992</v>
      </c>
      <c r="D13" s="51">
        <v>24.77</v>
      </c>
      <c r="E13" s="51">
        <v>7.86</v>
      </c>
      <c r="F13" s="51">
        <v>0.22</v>
      </c>
      <c r="G13" s="53" t="s">
        <v>8</v>
      </c>
      <c r="H13" s="51">
        <v>11.15</v>
      </c>
      <c r="I13" s="51">
        <v>6.19</v>
      </c>
      <c r="J13" s="51">
        <v>0.53</v>
      </c>
      <c r="K13" s="51">
        <v>353.53</v>
      </c>
      <c r="L13" s="51">
        <v>43.53</v>
      </c>
      <c r="M13" s="51">
        <v>99.15</v>
      </c>
      <c r="N13" s="51">
        <v>15.40</v>
      </c>
      <c r="O13" s="51">
        <v>0</v>
      </c>
      <c r="P13" s="51">
        <v>3.66</v>
      </c>
      <c r="Q13" s="51">
        <v>11.65</v>
      </c>
      <c r="R13" s="43"/>
      <c r="S13" s="43"/>
      <c r="T13" s="43"/>
      <c r="U13" s="43"/>
    </row>
    <row r="14" spans="1:21" s="11" customFormat="1" ht="15">
      <c r="A14" s="50" t="s">
        <v>234</v>
      </c>
      <c r="B14" s="51">
        <v>17.71</v>
      </c>
      <c r="C14" s="51">
        <v>10.11</v>
      </c>
      <c r="D14" s="51">
        <v>27.82</v>
      </c>
      <c r="E14" s="51">
        <v>8.15</v>
      </c>
      <c r="F14" s="51">
        <v>0.38</v>
      </c>
      <c r="G14" s="53" t="s">
        <v>8</v>
      </c>
      <c r="H14" s="51">
        <v>11.84</v>
      </c>
      <c r="I14" s="51">
        <v>5.88</v>
      </c>
      <c r="J14" s="51">
        <v>0.77</v>
      </c>
      <c r="K14" s="51">
        <v>355.48</v>
      </c>
      <c r="L14" s="51">
        <v>46.80</v>
      </c>
      <c r="M14" s="51">
        <v>99.15</v>
      </c>
      <c r="N14" s="51">
        <v>28.5</v>
      </c>
      <c r="O14" s="51">
        <v>0</v>
      </c>
      <c r="P14" s="51">
        <v>3.64</v>
      </c>
      <c r="Q14" s="51">
        <v>13.58</v>
      </c>
      <c r="R14" s="43"/>
      <c r="S14" s="43"/>
      <c r="T14" s="43"/>
      <c r="U14" s="43"/>
    </row>
    <row r="15" spans="1:21" s="11" customFormat="1" ht="15">
      <c r="A15" s="50" t="s">
        <v>235</v>
      </c>
      <c r="B15" s="51">
        <v>21.59</v>
      </c>
      <c r="C15" s="51">
        <v>10.36</v>
      </c>
      <c r="D15" s="51">
        <v>31.74</v>
      </c>
      <c r="E15" s="51">
        <v>8.42</v>
      </c>
      <c r="F15" s="51">
        <v>0.45</v>
      </c>
      <c r="G15" s="53" t="s">
        <v>8</v>
      </c>
      <c r="H15" s="51">
        <v>11.15</v>
      </c>
      <c r="I15" s="51">
        <v>6.23</v>
      </c>
      <c r="J15" s="51">
        <v>0.67</v>
      </c>
      <c r="K15" s="51">
        <v>280.49</v>
      </c>
      <c r="L15" s="51">
        <v>46.88</v>
      </c>
      <c r="M15" s="51">
        <v>99.11</v>
      </c>
      <c r="N15" s="51">
        <v>93.30</v>
      </c>
      <c r="O15" s="51">
        <v>0</v>
      </c>
      <c r="P15" s="51">
        <v>3.64</v>
      </c>
      <c r="Q15" s="51">
        <v>14.26</v>
      </c>
      <c r="R15" s="43"/>
      <c r="S15" s="43"/>
      <c r="T15" s="43"/>
      <c r="U15" s="43"/>
    </row>
    <row r="16" spans="1:21" s="11" customFormat="1" ht="15">
      <c r="A16" s="50" t="s">
        <v>236</v>
      </c>
      <c r="B16" s="51">
        <v>23.09</v>
      </c>
      <c r="C16" s="51">
        <v>10.29</v>
      </c>
      <c r="D16" s="51">
        <v>33.35</v>
      </c>
      <c r="E16" s="51">
        <v>8.1199999999999992</v>
      </c>
      <c r="F16" s="51">
        <v>0.23</v>
      </c>
      <c r="G16" s="53" t="s">
        <v>8</v>
      </c>
      <c r="H16" s="51">
        <v>9.08</v>
      </c>
      <c r="I16" s="51">
        <v>6.44</v>
      </c>
      <c r="J16" s="51">
        <v>1.22</v>
      </c>
      <c r="K16" s="51">
        <v>109.02</v>
      </c>
      <c r="L16" s="51">
        <v>38.51</v>
      </c>
      <c r="M16" s="51">
        <v>95.74</v>
      </c>
      <c r="N16" s="51">
        <v>276.80</v>
      </c>
      <c r="O16" s="51">
        <v>0</v>
      </c>
      <c r="P16" s="51">
        <v>3.67</v>
      </c>
      <c r="Q16" s="51">
        <v>14</v>
      </c>
      <c r="R16" s="43"/>
      <c r="S16" s="43"/>
      <c r="T16" s="43"/>
      <c r="U16" s="43"/>
    </row>
    <row r="17" spans="1:21" s="11" customFormat="1" ht="15">
      <c r="A17" s="50" t="s">
        <v>237</v>
      </c>
      <c r="B17" s="51">
        <v>24.67</v>
      </c>
      <c r="C17" s="51">
        <v>10.75</v>
      </c>
      <c r="D17" s="51">
        <v>35.409999999999997</v>
      </c>
      <c r="E17" s="51">
        <v>7.09</v>
      </c>
      <c r="F17" s="51">
        <v>0.88</v>
      </c>
      <c r="G17" s="53" t="s">
        <v>8</v>
      </c>
      <c r="H17" s="51">
        <v>12.49</v>
      </c>
      <c r="I17" s="51">
        <v>6.46</v>
      </c>
      <c r="J17" s="51">
        <v>2.0499999999999998</v>
      </c>
      <c r="K17" s="51">
        <v>107.94</v>
      </c>
      <c r="L17" s="51">
        <v>43.18</v>
      </c>
      <c r="M17" s="51">
        <v>85.5</v>
      </c>
      <c r="N17" s="51">
        <v>495.30</v>
      </c>
      <c r="O17" s="51">
        <v>0</v>
      </c>
      <c r="P17" s="51">
        <v>3.65</v>
      </c>
      <c r="Q17" s="51">
        <v>16</v>
      </c>
      <c r="R17" s="43"/>
      <c r="S17" s="43"/>
      <c r="T17" s="43"/>
      <c r="U17" s="43"/>
    </row>
    <row r="18" spans="1:21" s="11" customFormat="1" ht="15">
      <c r="A18" s="50" t="s">
        <v>238</v>
      </c>
      <c r="B18" s="51">
        <v>23.34</v>
      </c>
      <c r="C18" s="51">
        <v>10.65</v>
      </c>
      <c r="D18" s="51">
        <v>33.90</v>
      </c>
      <c r="E18" s="51">
        <v>7.39</v>
      </c>
      <c r="F18" s="51">
        <v>0.82</v>
      </c>
      <c r="G18" s="53" t="s">
        <v>8</v>
      </c>
      <c r="H18" s="51">
        <v>12.28</v>
      </c>
      <c r="I18" s="51">
        <v>6.32</v>
      </c>
      <c r="J18" s="51">
        <v>1.70</v>
      </c>
      <c r="K18" s="51">
        <v>92.15</v>
      </c>
      <c r="L18" s="51">
        <v>43.47</v>
      </c>
      <c r="M18" s="51">
        <v>81.19</v>
      </c>
      <c r="N18" s="51">
        <v>562.79999999999995</v>
      </c>
      <c r="O18" s="51">
        <v>0</v>
      </c>
      <c r="P18" s="51">
        <v>3.62</v>
      </c>
      <c r="Q18" s="51">
        <v>16</v>
      </c>
      <c r="R18" s="43"/>
      <c r="S18" s="43"/>
      <c r="T18" s="43"/>
      <c r="U18" s="43"/>
    </row>
    <row r="19" spans="1:21" s="11" customFormat="1" ht="15">
      <c r="A19" s="50" t="s">
        <v>239</v>
      </c>
      <c r="B19" s="51">
        <v>20.420000000000002</v>
      </c>
      <c r="C19" s="51">
        <v>11.34</v>
      </c>
      <c r="D19" s="51">
        <v>30.85</v>
      </c>
      <c r="E19" s="51">
        <v>6.58</v>
      </c>
      <c r="F19" s="51">
        <v>1.1399999999999999</v>
      </c>
      <c r="G19" s="53" t="s">
        <v>8</v>
      </c>
      <c r="H19" s="51">
        <v>10.99</v>
      </c>
      <c r="I19" s="51">
        <v>6.23</v>
      </c>
      <c r="J19" s="51">
        <v>1.5</v>
      </c>
      <c r="K19" s="51">
        <v>90.89</v>
      </c>
      <c r="L19" s="51">
        <v>43.32</v>
      </c>
      <c r="M19" s="51">
        <v>78.06</v>
      </c>
      <c r="N19" s="51">
        <v>542.40</v>
      </c>
      <c r="O19" s="51">
        <v>0</v>
      </c>
      <c r="P19" s="51">
        <v>3.61</v>
      </c>
      <c r="Q19" s="51">
        <v>14.5</v>
      </c>
      <c r="R19" s="43"/>
      <c r="S19" s="43"/>
      <c r="T19" s="43"/>
      <c r="U19" s="43"/>
    </row>
    <row r="20" spans="1:21" s="11" customFormat="1" ht="15">
      <c r="A20" s="50" t="s">
        <v>240</v>
      </c>
      <c r="B20" s="51">
        <v>15.71</v>
      </c>
      <c r="C20" s="51">
        <v>12.39</v>
      </c>
      <c r="D20" s="51">
        <v>27.48</v>
      </c>
      <c r="E20" s="51">
        <v>6.61</v>
      </c>
      <c r="F20" s="51">
        <v>0.38</v>
      </c>
      <c r="G20" s="53" t="s">
        <v>8</v>
      </c>
      <c r="H20" s="51">
        <v>8.32</v>
      </c>
      <c r="I20" s="51">
        <v>6.14</v>
      </c>
      <c r="J20" s="51">
        <v>1.1599999999999999</v>
      </c>
      <c r="K20" s="51">
        <v>74.73</v>
      </c>
      <c r="L20" s="51">
        <v>43.99</v>
      </c>
      <c r="M20" s="51">
        <v>77.23</v>
      </c>
      <c r="N20" s="51">
        <v>598.10</v>
      </c>
      <c r="O20" s="51">
        <v>0</v>
      </c>
      <c r="P20" s="51">
        <v>3.61</v>
      </c>
      <c r="Q20" s="51">
        <v>11.40</v>
      </c>
      <c r="R20" s="43"/>
      <c r="S20" s="43"/>
      <c r="T20" s="43"/>
      <c r="U20" s="43"/>
    </row>
    <row r="21" spans="1:21" s="11" customFormat="1" ht="15">
      <c r="A21" s="50" t="s">
        <v>241</v>
      </c>
      <c r="B21" s="51">
        <v>13.29</v>
      </c>
      <c r="C21" s="51">
        <v>12.86</v>
      </c>
      <c r="D21" s="51">
        <v>25.54</v>
      </c>
      <c r="E21" s="51">
        <v>7.43</v>
      </c>
      <c r="F21" s="51">
        <v>0.73</v>
      </c>
      <c r="G21" s="53" t="s">
        <v>8</v>
      </c>
      <c r="H21" s="51">
        <v>9.60</v>
      </c>
      <c r="I21" s="51">
        <v>6.03</v>
      </c>
      <c r="J21" s="51">
        <v>1.58</v>
      </c>
      <c r="K21" s="51">
        <v>80.89</v>
      </c>
      <c r="L21" s="51">
        <v>45.35</v>
      </c>
      <c r="M21" s="51">
        <v>74.81</v>
      </c>
      <c r="N21" s="51">
        <v>930.30</v>
      </c>
      <c r="O21" s="51">
        <v>0</v>
      </c>
      <c r="P21" s="51">
        <v>3.62</v>
      </c>
      <c r="Q21" s="51">
        <v>11.44</v>
      </c>
      <c r="R21" s="43"/>
      <c r="S21" s="43"/>
      <c r="T21" s="43"/>
      <c r="U21" s="43"/>
    </row>
    <row r="22" spans="1:21" s="11" customFormat="1" ht="15">
      <c r="A22" s="50" t="s">
        <v>242</v>
      </c>
      <c r="B22" s="51">
        <v>10.55</v>
      </c>
      <c r="C22" s="51">
        <v>13.33</v>
      </c>
      <c r="D22" s="51">
        <v>23.84</v>
      </c>
      <c r="E22" s="51">
        <v>7.01</v>
      </c>
      <c r="F22" s="51">
        <v>0.97</v>
      </c>
      <c r="G22" s="53" t="s">
        <v>8</v>
      </c>
      <c r="H22" s="51">
        <v>8.9499999999999993</v>
      </c>
      <c r="I22" s="51">
        <v>5.94</v>
      </c>
      <c r="J22" s="51">
        <v>1.96</v>
      </c>
      <c r="K22" s="51">
        <v>93.04</v>
      </c>
      <c r="L22" s="51">
        <v>41.54</v>
      </c>
      <c r="M22" s="51">
        <v>69.180000000000007</v>
      </c>
      <c r="N22" s="51">
        <v>982</v>
      </c>
      <c r="O22" s="51">
        <v>0</v>
      </c>
      <c r="P22" s="51">
        <v>3.61</v>
      </c>
      <c r="Q22" s="51">
        <v>11.04</v>
      </c>
      <c r="R22" s="43"/>
      <c r="S22" s="43"/>
      <c r="T22" s="43"/>
      <c r="U22" s="43"/>
    </row>
    <row r="23" spans="1:21" s="11" customFormat="1" ht="15">
      <c r="A23" s="50" t="s">
        <v>243</v>
      </c>
      <c r="B23" s="51">
        <v>6.54</v>
      </c>
      <c r="C23" s="51">
        <v>14.57</v>
      </c>
      <c r="D23" s="51">
        <v>20.48</v>
      </c>
      <c r="E23" s="51">
        <v>6.72</v>
      </c>
      <c r="F23" s="51">
        <v>0.91</v>
      </c>
      <c r="G23" s="53" t="s">
        <v>8</v>
      </c>
      <c r="H23" s="51">
        <v>14.80</v>
      </c>
      <c r="I23" s="51">
        <v>5.85</v>
      </c>
      <c r="J23" s="51">
        <v>1.1499999999999999</v>
      </c>
      <c r="K23" s="51">
        <v>76.819999999999993</v>
      </c>
      <c r="L23" s="51">
        <v>46.81</v>
      </c>
      <c r="M23" s="51">
        <v>68.739999999999995</v>
      </c>
      <c r="N23" s="51">
        <v>577.70000000000005</v>
      </c>
      <c r="O23" s="51">
        <v>0</v>
      </c>
      <c r="P23" s="51">
        <v>3.61</v>
      </c>
      <c r="Q23" s="51">
        <v>8.42</v>
      </c>
      <c r="R23" s="43"/>
      <c r="S23" s="43"/>
      <c r="T23" s="43"/>
      <c r="U23" s="43"/>
    </row>
    <row r="24" spans="1:21" s="11" customFormat="1" ht="15">
      <c r="A24" s="50" t="s">
        <v>244</v>
      </c>
      <c r="B24" s="51">
        <v>5.32</v>
      </c>
      <c r="C24" s="51">
        <v>14.35</v>
      </c>
      <c r="D24" s="51">
        <v>19.489999999999998</v>
      </c>
      <c r="E24" s="51">
        <v>6.62</v>
      </c>
      <c r="F24" s="51">
        <v>0.56000000000000005</v>
      </c>
      <c r="G24" s="53" t="s">
        <v>8</v>
      </c>
      <c r="H24" s="51">
        <v>13.61</v>
      </c>
      <c r="I24" s="51">
        <v>5.89</v>
      </c>
      <c r="J24" s="51">
        <v>1.18</v>
      </c>
      <c r="K24" s="51">
        <v>86.60</v>
      </c>
      <c r="L24" s="51">
        <v>46.65</v>
      </c>
      <c r="M24" s="51">
        <v>71.930000000000007</v>
      </c>
      <c r="N24" s="51">
        <v>178.90</v>
      </c>
      <c r="O24" s="51">
        <v>0</v>
      </c>
      <c r="P24" s="51">
        <v>3.64</v>
      </c>
      <c r="Q24" s="51">
        <v>8.0500000000000007</v>
      </c>
      <c r="R24" s="43"/>
      <c r="S24" s="43"/>
      <c r="T24" s="43"/>
      <c r="U24" s="43"/>
    </row>
    <row r="25" spans="1:21" s="11" customFormat="1" ht="15">
      <c r="A25" s="50" t="s">
        <v>245</v>
      </c>
      <c r="B25" s="51">
        <v>5.47</v>
      </c>
      <c r="C25" s="51">
        <v>13.40</v>
      </c>
      <c r="D25" s="51">
        <v>18.53</v>
      </c>
      <c r="E25" s="51">
        <v>6.65</v>
      </c>
      <c r="F25" s="51">
        <v>0.56999999999999995</v>
      </c>
      <c r="G25" s="53" t="s">
        <v>8</v>
      </c>
      <c r="H25" s="51">
        <v>16.80</v>
      </c>
      <c r="I25" s="51">
        <v>5.84</v>
      </c>
      <c r="J25" s="51">
        <v>1.30</v>
      </c>
      <c r="K25" s="51">
        <v>153.58000000000001</v>
      </c>
      <c r="L25" s="51">
        <v>41.56</v>
      </c>
      <c r="M25" s="51">
        <v>98.28</v>
      </c>
      <c r="N25" s="51">
        <v>40.5</v>
      </c>
      <c r="O25" s="51">
        <v>1.80</v>
      </c>
      <c r="P25" s="51">
        <v>3.62</v>
      </c>
      <c r="Q25" s="51">
        <v>8.34</v>
      </c>
      <c r="R25" s="43"/>
      <c r="S25" s="43"/>
      <c r="T25" s="43"/>
      <c r="U25" s="43"/>
    </row>
    <row r="26" spans="1:21" s="11" customFormat="1" ht="15">
      <c r="A26" s="50" t="s">
        <v>246</v>
      </c>
      <c r="B26" s="51">
        <v>4.96</v>
      </c>
      <c r="C26" s="51">
        <v>12.13</v>
      </c>
      <c r="D26" s="51">
        <v>16.829999999999998</v>
      </c>
      <c r="E26" s="51">
        <v>6.73</v>
      </c>
      <c r="F26" s="51">
        <v>0.63</v>
      </c>
      <c r="G26" s="53" t="s">
        <v>8</v>
      </c>
      <c r="H26" s="51">
        <v>16.63</v>
      </c>
      <c r="I26" s="51">
        <v>5.68</v>
      </c>
      <c r="J26" s="51">
        <v>1.45</v>
      </c>
      <c r="K26" s="51">
        <v>104.82</v>
      </c>
      <c r="L26" s="51">
        <v>36.159999999999997</v>
      </c>
      <c r="M26" s="51">
        <v>98.40</v>
      </c>
      <c r="N26" s="51">
        <v>28.60</v>
      </c>
      <c r="O26" s="51">
        <v>0.20</v>
      </c>
      <c r="P26" s="51">
        <v>3.59</v>
      </c>
      <c r="Q26" s="51">
        <v>7.85</v>
      </c>
      <c r="R26" s="43"/>
      <c r="S26" s="43"/>
      <c r="T26" s="43"/>
      <c r="U26" s="43"/>
    </row>
    <row r="27" spans="1:21" s="11" customFormat="1" ht="15">
      <c r="A27" s="50" t="s">
        <v>247</v>
      </c>
      <c r="B27" s="51">
        <v>7.27</v>
      </c>
      <c r="C27" s="51">
        <v>12.87</v>
      </c>
      <c r="D27" s="51">
        <v>20.09</v>
      </c>
      <c r="E27" s="51">
        <v>6.73</v>
      </c>
      <c r="F27" s="51">
        <v>0.22</v>
      </c>
      <c r="G27" s="53" t="s">
        <v>8</v>
      </c>
      <c r="H27" s="51">
        <v>15.20</v>
      </c>
      <c r="I27" s="51">
        <v>6.07</v>
      </c>
      <c r="J27" s="51">
        <v>1.1599999999999999</v>
      </c>
      <c r="K27" s="51">
        <v>93.18</v>
      </c>
      <c r="L27" s="51">
        <v>37.340000000000003</v>
      </c>
      <c r="M27" s="51">
        <v>98.63</v>
      </c>
      <c r="N27" s="51">
        <v>17.399999999999999</v>
      </c>
      <c r="O27" s="51">
        <v>0</v>
      </c>
      <c r="P27" s="51">
        <v>3.70</v>
      </c>
      <c r="Q27" s="51">
        <v>7.74</v>
      </c>
      <c r="R27" s="43"/>
      <c r="S27" s="43"/>
      <c r="T27" s="43"/>
      <c r="U27" s="43"/>
    </row>
    <row r="28" spans="1:21" s="11" customFormat="1" ht="15">
      <c r="A28" s="50" t="s">
        <v>248</v>
      </c>
      <c r="B28" s="51">
        <v>12.31</v>
      </c>
      <c r="C28" s="51">
        <v>12.19</v>
      </c>
      <c r="D28" s="51">
        <v>24.45</v>
      </c>
      <c r="E28" s="51">
        <v>6.98</v>
      </c>
      <c r="F28" s="51">
        <v>0.21</v>
      </c>
      <c r="G28" s="53" t="s">
        <v>8</v>
      </c>
      <c r="H28" s="51">
        <v>12.06</v>
      </c>
      <c r="I28" s="51">
        <v>6.96</v>
      </c>
      <c r="J28" s="51">
        <v>0.55000000000000004</v>
      </c>
      <c r="K28" s="51">
        <v>92.27</v>
      </c>
      <c r="L28" s="51">
        <v>35.35</v>
      </c>
      <c r="M28" s="51">
        <v>98.72</v>
      </c>
      <c r="N28" s="51">
        <v>15.40</v>
      </c>
      <c r="O28" s="51">
        <v>0.20</v>
      </c>
      <c r="P28" s="51">
        <v>3.80</v>
      </c>
      <c r="Q28" s="51">
        <v>10.67</v>
      </c>
      <c r="R28" s="43"/>
      <c r="S28" s="43"/>
      <c r="T28" s="43"/>
      <c r="U28" s="43"/>
    </row>
    <row r="29" spans="1:21" s="11" customFormat="1" ht="15">
      <c r="A29" s="50" t="s">
        <v>249</v>
      </c>
      <c r="B29" s="51">
        <v>22.09</v>
      </c>
      <c r="C29" s="51">
        <v>14.05</v>
      </c>
      <c r="D29" s="51">
        <v>36.14</v>
      </c>
      <c r="E29" s="51">
        <v>7.35</v>
      </c>
      <c r="F29" s="51">
        <v>0.33</v>
      </c>
      <c r="G29" s="53" t="s">
        <v>8</v>
      </c>
      <c r="H29" s="51">
        <v>10.71</v>
      </c>
      <c r="I29" s="51">
        <v>8.19</v>
      </c>
      <c r="J29" s="51">
        <v>0.66</v>
      </c>
      <c r="K29" s="51">
        <v>356</v>
      </c>
      <c r="L29" s="51">
        <v>35.659999999999997</v>
      </c>
      <c r="M29" s="51">
        <v>98.49</v>
      </c>
      <c r="N29" s="51">
        <v>15.70</v>
      </c>
      <c r="O29" s="51">
        <v>0</v>
      </c>
      <c r="P29" s="51">
        <v>4.04</v>
      </c>
      <c r="Q29" s="51">
        <v>15.78</v>
      </c>
      <c r="R29" s="43"/>
      <c r="S29" s="43"/>
      <c r="T29" s="43"/>
      <c r="U29" s="43"/>
    </row>
    <row r="30" spans="1:21" s="11" customFormat="1" ht="15">
      <c r="A30" s="50" t="s">
        <v>250</v>
      </c>
      <c r="B30" s="51">
        <v>25.57</v>
      </c>
      <c r="C30" s="51">
        <v>15.45</v>
      </c>
      <c r="D30" s="51">
        <v>41.01</v>
      </c>
      <c r="E30" s="51">
        <v>7.49</v>
      </c>
      <c r="F30" s="51">
        <v>0.33</v>
      </c>
      <c r="G30" s="53" t="s">
        <v>8</v>
      </c>
      <c r="H30" s="51">
        <v>12.33</v>
      </c>
      <c r="I30" s="51">
        <v>8.2200000000000006</v>
      </c>
      <c r="J30" s="51">
        <v>0.48</v>
      </c>
      <c r="K30" s="51">
        <v>355.19</v>
      </c>
      <c r="L30" s="51">
        <v>35.26</v>
      </c>
      <c r="M30" s="51">
        <v>98.94</v>
      </c>
      <c r="N30" s="51">
        <v>15.70</v>
      </c>
      <c r="O30" s="51">
        <v>0</v>
      </c>
      <c r="P30" s="51">
        <v>4.20</v>
      </c>
      <c r="Q30" s="51">
        <v>16.489999999999998</v>
      </c>
      <c r="R30" s="43"/>
      <c r="S30" s="43"/>
      <c r="T30" s="43"/>
      <c r="U30" s="43"/>
    </row>
    <row r="31" spans="1:21" s="11" customFormat="1" ht="15">
      <c r="A31" s="50" t="s">
        <v>251</v>
      </c>
      <c r="B31" s="51">
        <v>31.36</v>
      </c>
      <c r="C31" s="51">
        <v>15.30</v>
      </c>
      <c r="D31" s="51">
        <v>45.27</v>
      </c>
      <c r="E31" s="51">
        <v>7.77</v>
      </c>
      <c r="F31" s="51">
        <v>0.30</v>
      </c>
      <c r="G31" s="53" t="s">
        <v>8</v>
      </c>
      <c r="H31" s="51">
        <v>17.20</v>
      </c>
      <c r="I31" s="51">
        <v>9.17</v>
      </c>
      <c r="J31" s="51">
        <v>0.77</v>
      </c>
      <c r="K31" s="51">
        <v>337.22</v>
      </c>
      <c r="L31" s="51">
        <v>35.29</v>
      </c>
      <c r="M31" s="51">
        <v>99.10</v>
      </c>
      <c r="N31" s="51">
        <v>15.5</v>
      </c>
      <c r="O31" s="51">
        <v>0</v>
      </c>
      <c r="P31" s="51">
        <v>4.3899999999999997</v>
      </c>
      <c r="Q31" s="51">
        <v>19.04</v>
      </c>
      <c r="R31" s="43"/>
      <c r="S31" s="43"/>
      <c r="T31" s="43"/>
      <c r="U31" s="43"/>
    </row>
    <row r="32" spans="1:21" s="11" customFormat="1" ht="15">
      <c r="A32" s="50" t="s">
        <v>252</v>
      </c>
      <c r="B32" s="51">
        <v>32.200000000000003</v>
      </c>
      <c r="C32" s="51">
        <v>13.37</v>
      </c>
      <c r="D32" s="51">
        <v>45.46</v>
      </c>
      <c r="E32" s="51">
        <v>8.19</v>
      </c>
      <c r="F32" s="51">
        <v>0.30</v>
      </c>
      <c r="G32" s="53" t="s">
        <v>8</v>
      </c>
      <c r="H32" s="51">
        <v>31.19</v>
      </c>
      <c r="I32" s="51">
        <v>9.65</v>
      </c>
      <c r="J32" s="51">
        <v>0.94</v>
      </c>
      <c r="K32" s="51">
        <v>322.89999999999998</v>
      </c>
      <c r="L32" s="51">
        <v>35.29</v>
      </c>
      <c r="M32" s="51">
        <v>99.02</v>
      </c>
      <c r="N32" s="51">
        <v>15.70</v>
      </c>
      <c r="O32" s="51">
        <v>0.40</v>
      </c>
      <c r="P32" s="51">
        <v>4.3899999999999997</v>
      </c>
      <c r="Q32" s="51">
        <v>19.920000000000002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4.96</v>
      </c>
      <c r="C34" s="28">
        <f t="shared" si="0"/>
        <v>9.8699999999999992</v>
      </c>
      <c r="D34" s="28">
        <f t="shared" si="0"/>
        <v>16.829999999999998</v>
      </c>
      <c r="E34" s="28">
        <f t="shared" si="0"/>
        <v>6.5800000000000001</v>
      </c>
      <c r="F34" s="28">
        <f t="shared" si="0"/>
        <v>0.20000000000000001</v>
      </c>
      <c r="G34" s="28">
        <f t="shared" si="0"/>
        <v>0</v>
      </c>
      <c r="H34" s="28">
        <f t="shared" si="0"/>
        <v>8.3200000000000003</v>
      </c>
      <c r="I34" s="28">
        <f t="shared" si="0"/>
        <v>5.6799999999999997</v>
      </c>
      <c r="J34" s="28">
        <f t="shared" si="0"/>
        <v>0.34999999999999998</v>
      </c>
      <c r="K34" s="28">
        <f t="shared" si="0"/>
        <v>28.489999999999998</v>
      </c>
      <c r="L34" s="28">
        <f t="shared" si="0"/>
        <v>35.259999999999998</v>
      </c>
      <c r="M34" s="28">
        <f t="shared" si="0"/>
        <v>68.739999999999995</v>
      </c>
      <c r="N34" s="28">
        <f t="shared" si="0"/>
        <v>15.4</v>
      </c>
      <c r="O34" s="28">
        <f t="shared" si="0"/>
        <v>0</v>
      </c>
      <c r="P34" s="28">
        <f t="shared" si="0"/>
        <v>3.5899999999999999</v>
      </c>
      <c r="Q34" s="28">
        <f t="shared" si="0"/>
        <v>7.7400000000000002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32.200000000000003</v>
      </c>
      <c r="C35" s="29">
        <f t="shared" si="1"/>
        <v>15.449999999999999</v>
      </c>
      <c r="D35" s="29">
        <f t="shared" si="1"/>
        <v>45.460000000000001</v>
      </c>
      <c r="E35" s="29">
        <f t="shared" si="1"/>
        <v>8.4199999999999999</v>
      </c>
      <c r="F35" s="29">
        <f t="shared" si="1"/>
        <v>1.1399999999999999</v>
      </c>
      <c r="G35" s="29">
        <f t="shared" si="1"/>
        <v>0</v>
      </c>
      <c r="H35" s="29">
        <f t="shared" si="1"/>
        <v>31.190000000000001</v>
      </c>
      <c r="I35" s="29">
        <f t="shared" si="1"/>
        <v>9.6500000000000004</v>
      </c>
      <c r="J35" s="29">
        <f t="shared" si="1"/>
        <v>2.0499999999999998</v>
      </c>
      <c r="K35" s="29">
        <f t="shared" si="1"/>
        <v>359.52999999999997</v>
      </c>
      <c r="L35" s="29">
        <f t="shared" si="1"/>
        <v>46.880000000000003</v>
      </c>
      <c r="M35" s="29">
        <f t="shared" si="1"/>
        <v>99.150000000000006</v>
      </c>
      <c r="N35" s="29">
        <f t="shared" si="1"/>
        <v>982</v>
      </c>
      <c r="O35" s="29">
        <f t="shared" si="1"/>
        <v>1.8</v>
      </c>
      <c r="P35" s="29">
        <f t="shared" si="1"/>
        <v>4.3899999999999997</v>
      </c>
      <c r="Q35" s="29">
        <f t="shared" si="1"/>
        <v>19.920000000000002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17.015833333333333</v>
      </c>
      <c r="C36" s="28">
        <f t="shared" si="2"/>
        <v>12.39291666666667</v>
      </c>
      <c r="D36" s="28">
        <f t="shared" si="2"/>
        <v>29.151250000000001</v>
      </c>
      <c r="E36" s="28">
        <f t="shared" si="2"/>
        <v>7.2850000000000001</v>
      </c>
      <c r="F36" s="28">
        <f t="shared" si="2"/>
        <v>0.50791666666666679</v>
      </c>
      <c r="G36" s="28" t="e">
        <f t="shared" si="2"/>
        <v>#DIV/0!</v>
      </c>
      <c r="H36" s="28">
        <f t="shared" si="2"/>
        <v>13.675416666666663</v>
      </c>
      <c r="I36" s="28">
        <f t="shared" si="2"/>
        <v>6.6408333333333331</v>
      </c>
      <c r="J36" s="28">
        <f t="shared" si="2"/>
        <v>1.0762499999999999</v>
      </c>
      <c r="K36" s="28">
        <f t="shared" si="2"/>
        <v>183.9758333333333</v>
      </c>
      <c r="L36" s="28">
        <f t="shared" si="2"/>
        <v>41.645833333333336</v>
      </c>
      <c r="M36" s="28">
        <f t="shared" si="2"/>
        <v>91.082083333333344</v>
      </c>
      <c r="N36" s="28">
        <f t="shared" si="2"/>
        <v>229.51666666666662</v>
      </c>
      <c r="O36" s="28">
        <f t="shared" si="2"/>
        <v>0.10833333333333334</v>
      </c>
      <c r="P36" s="28">
        <f t="shared" si="2"/>
        <v>3.7783333333333338</v>
      </c>
      <c r="Q36" s="28">
        <f t="shared" si="2"/>
        <v>12.853333333333333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7.8340499363864824</v>
      </c>
      <c r="C37" s="28">
        <f t="shared" si="3" ref="C37:Q37">STDEV(C9:C32)</f>
        <v>1.6592991688914858</v>
      </c>
      <c r="D37" s="28">
        <f t="shared" si="3"/>
        <v>7.8626659448859622</v>
      </c>
      <c r="E37" s="28">
        <f t="shared" si="3"/>
        <v>0.57332743508930983</v>
      </c>
      <c r="F37" s="28">
        <f t="shared" si="3"/>
        <v>0.28541318891354167</v>
      </c>
      <c r="G37" s="28" t="e">
        <f t="shared" si="3"/>
        <v>#DIV/0!</v>
      </c>
      <c r="H37" s="28">
        <f t="shared" si="3"/>
        <v>4.6081572089414395</v>
      </c>
      <c r="I37" s="28">
        <f t="shared" si="3"/>
        <v>1.0697009605153851</v>
      </c>
      <c r="J37" s="28">
        <f t="shared" si="3"/>
        <v>0.47144378151634875</v>
      </c>
      <c r="K37" s="28">
        <f t="shared" si="3"/>
        <v>127.93530881955003</v>
      </c>
      <c r="L37" s="28">
        <f t="shared" si="3"/>
        <v>4.3251186630282898</v>
      </c>
      <c r="M37" s="28">
        <f t="shared" si="3"/>
        <v>11.500858939252261</v>
      </c>
      <c r="N37" s="28">
        <f t="shared" si="3"/>
        <v>311.83651049125467</v>
      </c>
      <c r="O37" s="28">
        <f t="shared" si="3"/>
        <v>0.37290477472739975</v>
      </c>
      <c r="P37" s="28">
        <f t="shared" si="3"/>
        <v>0.24242733858365395</v>
      </c>
      <c r="Q37" s="28">
        <f t="shared" si="3"/>
        <v>3.4018545666670721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110253-a3e0-4125-b0f7-c7421c72c2ad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8" sqref="Q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253</v>
      </c>
      <c r="B9" s="51">
        <v>30.91</v>
      </c>
      <c r="C9" s="51">
        <v>12.79</v>
      </c>
      <c r="D9" s="51">
        <v>43.70</v>
      </c>
      <c r="E9" s="51">
        <v>6.39</v>
      </c>
      <c r="F9" s="51">
        <v>0.33</v>
      </c>
      <c r="G9" s="53" t="s">
        <v>8</v>
      </c>
      <c r="H9" s="51">
        <v>29.53</v>
      </c>
      <c r="I9" s="51">
        <v>9.52</v>
      </c>
      <c r="J9" s="51">
        <v>1.1399999999999999</v>
      </c>
      <c r="K9" s="51">
        <v>331.39</v>
      </c>
      <c r="L9" s="51">
        <v>34.92</v>
      </c>
      <c r="M9" s="51">
        <v>99.08</v>
      </c>
      <c r="N9" s="51">
        <v>15.5</v>
      </c>
      <c r="O9" s="51">
        <v>0.40</v>
      </c>
      <c r="P9" s="51">
        <v>4.33</v>
      </c>
      <c r="Q9" s="51">
        <v>19.52</v>
      </c>
      <c r="R9" s="43"/>
      <c r="S9" s="43"/>
      <c r="T9" s="43"/>
      <c r="U9" s="43"/>
    </row>
    <row r="10" spans="1:21" s="11" customFormat="1" ht="15">
      <c r="A10" s="50" t="s">
        <v>254</v>
      </c>
      <c r="B10" s="51">
        <v>24.75</v>
      </c>
      <c r="C10" s="51">
        <v>12.10</v>
      </c>
      <c r="D10" s="51">
        <v>36.840000000000003</v>
      </c>
      <c r="E10" s="51">
        <v>6.14</v>
      </c>
      <c r="F10" s="51">
        <v>0.15</v>
      </c>
      <c r="G10" s="53" t="s">
        <v>8</v>
      </c>
      <c r="H10" s="51">
        <v>24.80</v>
      </c>
      <c r="I10" s="51">
        <v>9.09</v>
      </c>
      <c r="J10" s="51">
        <v>1.04</v>
      </c>
      <c r="K10" s="51">
        <v>332.84</v>
      </c>
      <c r="L10" s="51">
        <v>34.75</v>
      </c>
      <c r="M10" s="51">
        <v>99.04</v>
      </c>
      <c r="N10" s="51">
        <v>15.40</v>
      </c>
      <c r="O10" s="51">
        <v>0.80</v>
      </c>
      <c r="P10" s="51">
        <v>4.18</v>
      </c>
      <c r="Q10" s="51">
        <v>15.39</v>
      </c>
      <c r="R10" s="43"/>
      <c r="S10" s="43"/>
      <c r="T10" s="43"/>
      <c r="U10" s="43"/>
    </row>
    <row r="11" spans="1:21" s="11" customFormat="1" ht="15">
      <c r="A11" s="50" t="s">
        <v>255</v>
      </c>
      <c r="B11" s="51">
        <v>19.84</v>
      </c>
      <c r="C11" s="51">
        <v>10.96</v>
      </c>
      <c r="D11" s="51">
        <v>30.81</v>
      </c>
      <c r="E11" s="51">
        <v>6.57</v>
      </c>
      <c r="F11" s="51">
        <v>0.19</v>
      </c>
      <c r="G11" s="53" t="s">
        <v>8</v>
      </c>
      <c r="H11" s="51">
        <v>27.01</v>
      </c>
      <c r="I11" s="51">
        <v>8.33</v>
      </c>
      <c r="J11" s="51">
        <v>0.93</v>
      </c>
      <c r="K11" s="51">
        <v>314.83999999999997</v>
      </c>
      <c r="L11" s="51">
        <v>34.67</v>
      </c>
      <c r="M11" s="51">
        <v>99.15</v>
      </c>
      <c r="N11" s="51">
        <v>15.40</v>
      </c>
      <c r="O11" s="51">
        <v>1.40</v>
      </c>
      <c r="P11" s="51">
        <v>4.0199999999999996</v>
      </c>
      <c r="Q11" s="51">
        <v>12.59</v>
      </c>
      <c r="R11" s="43"/>
      <c r="S11" s="43"/>
      <c r="T11" s="43"/>
      <c r="U11" s="43"/>
    </row>
    <row r="12" spans="1:21" s="11" customFormat="1" ht="15">
      <c r="A12" s="50" t="s">
        <v>256</v>
      </c>
      <c r="B12" s="51">
        <v>17.27</v>
      </c>
      <c r="C12" s="51">
        <v>9.81</v>
      </c>
      <c r="D12" s="51">
        <v>26.91</v>
      </c>
      <c r="E12" s="51">
        <v>6.39</v>
      </c>
      <c r="F12" s="51">
        <v>0.23</v>
      </c>
      <c r="G12" s="53" t="s">
        <v>8</v>
      </c>
      <c r="H12" s="51">
        <v>24.80</v>
      </c>
      <c r="I12" s="51">
        <v>7.98</v>
      </c>
      <c r="J12" s="51">
        <v>1.31</v>
      </c>
      <c r="K12" s="51">
        <v>340.21</v>
      </c>
      <c r="L12" s="51">
        <v>34.75</v>
      </c>
      <c r="M12" s="51">
        <v>99.15</v>
      </c>
      <c r="N12" s="51">
        <v>17.20</v>
      </c>
      <c r="O12" s="51">
        <v>11</v>
      </c>
      <c r="P12" s="51">
        <v>3.94</v>
      </c>
      <c r="Q12" s="51">
        <v>12.02</v>
      </c>
      <c r="R12" s="43"/>
      <c r="S12" s="43"/>
      <c r="T12" s="43"/>
      <c r="U12" s="43"/>
    </row>
    <row r="13" spans="1:21" s="11" customFormat="1" ht="15">
      <c r="A13" s="50" t="s">
        <v>257</v>
      </c>
      <c r="B13" s="51">
        <v>14.88</v>
      </c>
      <c r="C13" s="51">
        <v>9.32</v>
      </c>
      <c r="D13" s="51">
        <v>24.09</v>
      </c>
      <c r="E13" s="51">
        <v>7.69</v>
      </c>
      <c r="F13" s="51">
        <v>0.31</v>
      </c>
      <c r="G13" s="53" t="s">
        <v>8</v>
      </c>
      <c r="H13" s="51">
        <v>18.70</v>
      </c>
      <c r="I13" s="51">
        <v>7.54</v>
      </c>
      <c r="J13" s="51">
        <v>0.93</v>
      </c>
      <c r="K13" s="51">
        <v>355.65</v>
      </c>
      <c r="L13" s="51">
        <v>33.64</v>
      </c>
      <c r="M13" s="51">
        <v>99.15</v>
      </c>
      <c r="N13" s="51">
        <v>15.80</v>
      </c>
      <c r="O13" s="51">
        <v>1.20</v>
      </c>
      <c r="P13" s="51">
        <v>3.84</v>
      </c>
      <c r="Q13" s="51">
        <v>10.98</v>
      </c>
      <c r="R13" s="43"/>
      <c r="S13" s="43"/>
      <c r="T13" s="43"/>
      <c r="U13" s="43"/>
    </row>
    <row r="14" spans="1:21" s="11" customFormat="1" ht="15">
      <c r="A14" s="50" t="s">
        <v>258</v>
      </c>
      <c r="B14" s="51">
        <v>13.68</v>
      </c>
      <c r="C14" s="51">
        <v>9.58</v>
      </c>
      <c r="D14" s="51">
        <v>23.24</v>
      </c>
      <c r="E14" s="51">
        <v>7.77</v>
      </c>
      <c r="F14" s="51">
        <v>0.76</v>
      </c>
      <c r="G14" s="53" t="s">
        <v>8</v>
      </c>
      <c r="H14" s="51">
        <v>16.20</v>
      </c>
      <c r="I14" s="51">
        <v>7.23</v>
      </c>
      <c r="J14" s="51">
        <v>0.82</v>
      </c>
      <c r="K14" s="51">
        <v>355.22</v>
      </c>
      <c r="L14" s="51">
        <v>34.090000000000003</v>
      </c>
      <c r="M14" s="51">
        <v>99.15</v>
      </c>
      <c r="N14" s="51">
        <v>22</v>
      </c>
      <c r="O14" s="51">
        <v>0</v>
      </c>
      <c r="P14" s="51">
        <v>3.75</v>
      </c>
      <c r="Q14" s="51">
        <v>9.60</v>
      </c>
      <c r="R14" s="43"/>
      <c r="S14" s="43"/>
      <c r="T14" s="43"/>
      <c r="U14" s="43"/>
    </row>
    <row r="15" spans="1:21" s="11" customFormat="1" ht="15">
      <c r="A15" s="50" t="s">
        <v>259</v>
      </c>
      <c r="B15" s="51">
        <v>16.829999999999998</v>
      </c>
      <c r="C15" s="51">
        <v>9.7200000000000006</v>
      </c>
      <c r="D15" s="51">
        <v>26.55</v>
      </c>
      <c r="E15" s="51">
        <v>8.32</v>
      </c>
      <c r="F15" s="51">
        <v>0.31</v>
      </c>
      <c r="G15" s="53" t="s">
        <v>8</v>
      </c>
      <c r="H15" s="51">
        <v>13.10</v>
      </c>
      <c r="I15" s="51">
        <v>6.79</v>
      </c>
      <c r="J15" s="51">
        <v>0.86</v>
      </c>
      <c r="K15" s="51">
        <v>354.28</v>
      </c>
      <c r="L15" s="51">
        <v>35.44</v>
      </c>
      <c r="M15" s="51">
        <v>99.15</v>
      </c>
      <c r="N15" s="51">
        <v>137.69999999999999</v>
      </c>
      <c r="O15" s="51">
        <v>0</v>
      </c>
      <c r="P15" s="51">
        <v>3.75</v>
      </c>
      <c r="Q15" s="51">
        <v>12.38</v>
      </c>
      <c r="R15" s="43"/>
      <c r="S15" s="43"/>
      <c r="T15" s="43"/>
      <c r="U15" s="43"/>
    </row>
    <row r="16" spans="1:21" s="11" customFormat="1" ht="15">
      <c r="A16" s="50" t="s">
        <v>260</v>
      </c>
      <c r="B16" s="51">
        <v>22.37</v>
      </c>
      <c r="C16" s="51">
        <v>10.74</v>
      </c>
      <c r="D16" s="51">
        <v>33.119999999999997</v>
      </c>
      <c r="E16" s="51">
        <v>8.6300000000000008</v>
      </c>
      <c r="F16" s="51">
        <v>0.45</v>
      </c>
      <c r="G16" s="53" t="s">
        <v>8</v>
      </c>
      <c r="H16" s="51">
        <v>13.58</v>
      </c>
      <c r="I16" s="51">
        <v>7.52</v>
      </c>
      <c r="J16" s="51">
        <v>0.95</v>
      </c>
      <c r="K16" s="51">
        <v>344.75</v>
      </c>
      <c r="L16" s="51">
        <v>40.58</v>
      </c>
      <c r="M16" s="51">
        <v>99.15</v>
      </c>
      <c r="N16" s="51">
        <v>462.70</v>
      </c>
      <c r="O16" s="51">
        <v>0</v>
      </c>
      <c r="P16" s="51">
        <v>3.86</v>
      </c>
      <c r="Q16" s="51">
        <v>14.86</v>
      </c>
      <c r="R16" s="43"/>
      <c r="S16" s="43"/>
      <c r="T16" s="43"/>
      <c r="U16" s="43"/>
    </row>
    <row r="17" spans="1:21" s="11" customFormat="1" ht="15">
      <c r="A17" s="50" t="s">
        <v>261</v>
      </c>
      <c r="B17" s="51">
        <v>26.62</v>
      </c>
      <c r="C17" s="51">
        <v>12.51</v>
      </c>
      <c r="D17" s="51">
        <v>39.119999999999997</v>
      </c>
      <c r="E17" s="51">
        <v>7.32</v>
      </c>
      <c r="F17" s="51">
        <v>0.96</v>
      </c>
      <c r="G17" s="53" t="s">
        <v>8</v>
      </c>
      <c r="H17" s="51">
        <v>26.27</v>
      </c>
      <c r="I17" s="51">
        <v>7.97</v>
      </c>
      <c r="J17" s="51">
        <v>0.74</v>
      </c>
      <c r="K17" s="51">
        <v>355.19</v>
      </c>
      <c r="L17" s="51">
        <v>41.28</v>
      </c>
      <c r="M17" s="51">
        <v>90.35</v>
      </c>
      <c r="N17" s="51">
        <v>319.5</v>
      </c>
      <c r="O17" s="51">
        <v>0</v>
      </c>
      <c r="P17" s="51">
        <v>3.94</v>
      </c>
      <c r="Q17" s="51">
        <v>16.14</v>
      </c>
      <c r="R17" s="43"/>
      <c r="S17" s="43"/>
      <c r="T17" s="43"/>
      <c r="U17" s="43"/>
    </row>
    <row r="18" spans="1:21" s="11" customFormat="1" ht="15">
      <c r="A18" s="50" t="s">
        <v>262</v>
      </c>
      <c r="B18" s="51">
        <v>29.06</v>
      </c>
      <c r="C18" s="51">
        <v>13.02</v>
      </c>
      <c r="D18" s="51">
        <v>42.09</v>
      </c>
      <c r="E18" s="51">
        <v>7.49</v>
      </c>
      <c r="F18" s="51">
        <v>0.49</v>
      </c>
      <c r="G18" s="53" t="s">
        <v>8</v>
      </c>
      <c r="H18" s="51">
        <v>25.34</v>
      </c>
      <c r="I18" s="51">
        <v>8.06</v>
      </c>
      <c r="J18" s="51">
        <v>1.24</v>
      </c>
      <c r="K18" s="51">
        <v>343.68</v>
      </c>
      <c r="L18" s="51">
        <v>42.59</v>
      </c>
      <c r="M18" s="51">
        <v>99.15</v>
      </c>
      <c r="N18" s="51">
        <v>401.40</v>
      </c>
      <c r="O18" s="51">
        <v>6.60</v>
      </c>
      <c r="P18" s="51">
        <v>3.98</v>
      </c>
      <c r="Q18" s="51">
        <v>17.29</v>
      </c>
      <c r="R18" s="43"/>
      <c r="S18" s="43"/>
      <c r="T18" s="43"/>
      <c r="U18" s="43"/>
    </row>
    <row r="19" spans="1:21" s="11" customFormat="1" ht="15">
      <c r="A19" s="50" t="s">
        <v>263</v>
      </c>
      <c r="B19" s="51">
        <v>28.37</v>
      </c>
      <c r="C19" s="51">
        <v>11.66</v>
      </c>
      <c r="D19" s="51">
        <v>39.61</v>
      </c>
      <c r="E19" s="51">
        <v>7.70</v>
      </c>
      <c r="F19" s="51">
        <v>0.70</v>
      </c>
      <c r="G19" s="53" t="s">
        <v>8</v>
      </c>
      <c r="H19" s="51">
        <v>22.30</v>
      </c>
      <c r="I19" s="51">
        <v>7.94</v>
      </c>
      <c r="J19" s="51">
        <v>1.5</v>
      </c>
      <c r="K19" s="51">
        <v>341.28</v>
      </c>
      <c r="L19" s="51">
        <v>39.979999999999997</v>
      </c>
      <c r="M19" s="51">
        <v>99.15</v>
      </c>
      <c r="N19" s="51">
        <v>544.5</v>
      </c>
      <c r="O19" s="51">
        <v>0</v>
      </c>
      <c r="P19" s="51">
        <v>3.99</v>
      </c>
      <c r="Q19" s="51">
        <v>17.52</v>
      </c>
      <c r="R19" s="43"/>
      <c r="S19" s="43"/>
      <c r="T19" s="43"/>
      <c r="U19" s="43"/>
    </row>
    <row r="20" spans="1:21" s="11" customFormat="1" ht="15">
      <c r="A20" s="50" t="s">
        <v>264</v>
      </c>
      <c r="B20" s="51">
        <v>29.77</v>
      </c>
      <c r="C20" s="51">
        <v>15.88</v>
      </c>
      <c r="D20" s="51">
        <v>45.65</v>
      </c>
      <c r="E20" s="51">
        <v>7.78</v>
      </c>
      <c r="F20" s="51">
        <v>0.63</v>
      </c>
      <c r="G20" s="53" t="s">
        <v>8</v>
      </c>
      <c r="H20" s="51">
        <v>18.97</v>
      </c>
      <c r="I20" s="51">
        <v>7.97</v>
      </c>
      <c r="J20" s="51">
        <v>0.92</v>
      </c>
      <c r="K20" s="51">
        <v>355.78</v>
      </c>
      <c r="L20" s="51">
        <v>41.09</v>
      </c>
      <c r="M20" s="51">
        <v>89.37</v>
      </c>
      <c r="N20" s="51">
        <v>400.60</v>
      </c>
      <c r="O20" s="51">
        <v>0.20</v>
      </c>
      <c r="P20" s="51">
        <v>4.12</v>
      </c>
      <c r="Q20" s="51">
        <v>18.760000000000002</v>
      </c>
      <c r="R20" s="43"/>
      <c r="S20" s="43"/>
      <c r="T20" s="43"/>
      <c r="U20" s="43"/>
    </row>
    <row r="21" spans="1:21" s="11" customFormat="1" ht="15">
      <c r="A21" s="50" t="s">
        <v>265</v>
      </c>
      <c r="B21" s="51">
        <v>29.61</v>
      </c>
      <c r="C21" s="51">
        <v>15.98</v>
      </c>
      <c r="D21" s="51">
        <v>45.58</v>
      </c>
      <c r="E21" s="51">
        <v>8.23</v>
      </c>
      <c r="F21" s="51">
        <v>0.40</v>
      </c>
      <c r="G21" s="53" t="s">
        <v>8</v>
      </c>
      <c r="H21" s="51">
        <v>20.350000000000001</v>
      </c>
      <c r="I21" s="51">
        <v>8.25</v>
      </c>
      <c r="J21" s="51">
        <v>0.93</v>
      </c>
      <c r="K21" s="51">
        <v>70.739999999999995</v>
      </c>
      <c r="L21" s="51">
        <v>37.799999999999997</v>
      </c>
      <c r="M21" s="51">
        <v>99.14</v>
      </c>
      <c r="N21" s="51">
        <v>149.30000000000001</v>
      </c>
      <c r="O21" s="51">
        <v>1.20</v>
      </c>
      <c r="P21" s="51">
        <v>4.1100000000000003</v>
      </c>
      <c r="Q21" s="51">
        <v>18.38</v>
      </c>
      <c r="R21" s="43"/>
      <c r="S21" s="43"/>
      <c r="T21" s="43"/>
      <c r="U21" s="43"/>
    </row>
    <row r="22" spans="1:21" s="11" customFormat="1" ht="15">
      <c r="A22" s="50" t="s">
        <v>266</v>
      </c>
      <c r="B22" s="51">
        <v>28.52</v>
      </c>
      <c r="C22" s="51">
        <v>13.02</v>
      </c>
      <c r="D22" s="51">
        <v>41.01</v>
      </c>
      <c r="E22" s="51">
        <v>8.82</v>
      </c>
      <c r="F22" s="51">
        <v>0.40</v>
      </c>
      <c r="G22" s="53" t="s">
        <v>8</v>
      </c>
      <c r="H22" s="51">
        <v>19.89</v>
      </c>
      <c r="I22" s="51">
        <v>8.0399999999999991</v>
      </c>
      <c r="J22" s="51">
        <v>0.54</v>
      </c>
      <c r="K22" s="51">
        <v>329.18</v>
      </c>
      <c r="L22" s="51">
        <v>37.049999999999997</v>
      </c>
      <c r="M22" s="51">
        <v>99.15</v>
      </c>
      <c r="N22" s="51">
        <v>101.90</v>
      </c>
      <c r="O22" s="51">
        <v>1.60</v>
      </c>
      <c r="P22" s="51">
        <v>4.04</v>
      </c>
      <c r="Q22" s="51">
        <v>17.53</v>
      </c>
      <c r="R22" s="43"/>
      <c r="S22" s="43"/>
      <c r="T22" s="43"/>
      <c r="U22" s="43"/>
    </row>
    <row r="23" spans="1:21" s="11" customFormat="1" ht="15">
      <c r="A23" s="50" t="s">
        <v>267</v>
      </c>
      <c r="B23" s="51">
        <v>27.26</v>
      </c>
      <c r="C23" s="51">
        <v>13.92</v>
      </c>
      <c r="D23" s="51">
        <v>40.10</v>
      </c>
      <c r="E23" s="51">
        <v>8.91</v>
      </c>
      <c r="F23" s="51">
        <v>0.45</v>
      </c>
      <c r="G23" s="53" t="s">
        <v>8</v>
      </c>
      <c r="H23" s="51">
        <v>17.18</v>
      </c>
      <c r="I23" s="51">
        <v>7.80</v>
      </c>
      <c r="J23" s="51">
        <v>0.14000000000000001</v>
      </c>
      <c r="K23" s="51">
        <v>233.84</v>
      </c>
      <c r="L23" s="51">
        <v>37.10</v>
      </c>
      <c r="M23" s="51">
        <v>99.15</v>
      </c>
      <c r="N23" s="51">
        <v>143.69999999999999</v>
      </c>
      <c r="O23" s="51">
        <v>1</v>
      </c>
      <c r="P23" s="51">
        <v>4</v>
      </c>
      <c r="Q23" s="51">
        <v>17.34</v>
      </c>
      <c r="R23" s="43"/>
      <c r="S23" s="43"/>
      <c r="T23" s="43"/>
      <c r="U23" s="43"/>
    </row>
    <row r="24" spans="1:21" s="11" customFormat="1" ht="15">
      <c r="A24" s="50" t="s">
        <v>268</v>
      </c>
      <c r="B24" s="51">
        <v>23.08</v>
      </c>
      <c r="C24" s="51">
        <v>14.23</v>
      </c>
      <c r="D24" s="51">
        <v>37.31</v>
      </c>
      <c r="E24" s="51">
        <v>8.1300000000000008</v>
      </c>
      <c r="F24" s="51">
        <v>0.21</v>
      </c>
      <c r="G24" s="53" t="s">
        <v>8</v>
      </c>
      <c r="H24" s="51">
        <v>12.86</v>
      </c>
      <c r="I24" s="51">
        <v>7.42</v>
      </c>
      <c r="J24" s="51">
        <v>0.13</v>
      </c>
      <c r="K24" s="51">
        <v>203.85</v>
      </c>
      <c r="L24" s="51">
        <v>37.130000000000003</v>
      </c>
      <c r="M24" s="51">
        <v>99.15</v>
      </c>
      <c r="N24" s="51">
        <v>77.20</v>
      </c>
      <c r="O24" s="51">
        <v>1.80</v>
      </c>
      <c r="P24" s="51">
        <v>3.91</v>
      </c>
      <c r="Q24" s="51">
        <v>15.87</v>
      </c>
      <c r="R24" s="43"/>
      <c r="S24" s="43"/>
      <c r="T24" s="43"/>
      <c r="U24" s="43"/>
    </row>
    <row r="25" spans="1:21" s="11" customFormat="1" ht="15">
      <c r="A25" s="50" t="s">
        <v>269</v>
      </c>
      <c r="B25" s="51">
        <v>17.75</v>
      </c>
      <c r="C25" s="51">
        <v>13.79</v>
      </c>
      <c r="D25" s="51">
        <v>31.54</v>
      </c>
      <c r="E25" s="51">
        <v>6.47</v>
      </c>
      <c r="F25" s="51">
        <v>0.62</v>
      </c>
      <c r="G25" s="53" t="s">
        <v>8</v>
      </c>
      <c r="H25" s="51">
        <v>11.65</v>
      </c>
      <c r="I25" s="51">
        <v>7.07</v>
      </c>
      <c r="J25" s="51">
        <v>0.22</v>
      </c>
      <c r="K25" s="51">
        <v>347.94</v>
      </c>
      <c r="L25" s="51">
        <v>35.01</v>
      </c>
      <c r="M25" s="51">
        <v>99.15</v>
      </c>
      <c r="N25" s="51">
        <v>19.20</v>
      </c>
      <c r="O25" s="51">
        <v>8</v>
      </c>
      <c r="P25" s="51">
        <v>3.80</v>
      </c>
      <c r="Q25" s="51">
        <v>12.20</v>
      </c>
      <c r="R25" s="43"/>
      <c r="S25" s="43"/>
      <c r="T25" s="43"/>
      <c r="U25" s="43"/>
    </row>
    <row r="26" spans="1:21" s="11" customFormat="1" ht="15">
      <c r="A26" s="50" t="s">
        <v>270</v>
      </c>
      <c r="B26" s="51">
        <v>15.29</v>
      </c>
      <c r="C26" s="51">
        <v>14.34</v>
      </c>
      <c r="D26" s="51">
        <v>28.05</v>
      </c>
      <c r="E26" s="51">
        <v>6.55</v>
      </c>
      <c r="F26" s="51">
        <v>1.08</v>
      </c>
      <c r="G26" s="53" t="s">
        <v>8</v>
      </c>
      <c r="H26" s="51">
        <v>10.29</v>
      </c>
      <c r="I26" s="51">
        <v>6.64</v>
      </c>
      <c r="J26" s="51">
        <v>0.66</v>
      </c>
      <c r="K26" s="51">
        <v>209</v>
      </c>
      <c r="L26" s="51">
        <v>32.51</v>
      </c>
      <c r="M26" s="51">
        <v>99.15</v>
      </c>
      <c r="N26" s="51">
        <v>19.20</v>
      </c>
      <c r="O26" s="51">
        <v>7.80</v>
      </c>
      <c r="P26" s="51">
        <v>3.73</v>
      </c>
      <c r="Q26" s="51">
        <v>10.91</v>
      </c>
      <c r="R26" s="43"/>
      <c r="S26" s="43"/>
      <c r="T26" s="43"/>
      <c r="U26" s="43"/>
    </row>
    <row r="27" spans="1:21" s="11" customFormat="1" ht="15">
      <c r="A27" s="50" t="s">
        <v>271</v>
      </c>
      <c r="B27" s="51">
        <v>11.36</v>
      </c>
      <c r="C27" s="51">
        <v>15.74</v>
      </c>
      <c r="D27" s="51">
        <v>26.92</v>
      </c>
      <c r="E27" s="51">
        <v>5.54</v>
      </c>
      <c r="F27" s="51">
        <v>0.94</v>
      </c>
      <c r="G27" s="53" t="s">
        <v>8</v>
      </c>
      <c r="H27" s="51">
        <v>7.73</v>
      </c>
      <c r="I27" s="51">
        <v>5.98</v>
      </c>
      <c r="J27" s="51">
        <v>0.19</v>
      </c>
      <c r="K27" s="51">
        <v>170.20</v>
      </c>
      <c r="L27" s="51">
        <v>32.700000000000003</v>
      </c>
      <c r="M27" s="51">
        <v>99.15</v>
      </c>
      <c r="N27" s="51">
        <v>16.70</v>
      </c>
      <c r="O27" s="51">
        <v>1.40</v>
      </c>
      <c r="P27" s="51">
        <v>3.71</v>
      </c>
      <c r="Q27" s="51">
        <v>10.30</v>
      </c>
      <c r="R27" s="43"/>
      <c r="S27" s="43"/>
      <c r="T27" s="43"/>
      <c r="U27" s="43"/>
    </row>
    <row r="28" spans="1:21" s="11" customFormat="1" ht="15">
      <c r="A28" s="50" t="s">
        <v>272</v>
      </c>
      <c r="B28" s="51">
        <v>10.56</v>
      </c>
      <c r="C28" s="51">
        <v>15.49</v>
      </c>
      <c r="D28" s="51">
        <v>25.68</v>
      </c>
      <c r="E28" s="51">
        <v>5.30</v>
      </c>
      <c r="F28" s="51">
        <v>1.35</v>
      </c>
      <c r="G28" s="53" t="s">
        <v>8</v>
      </c>
      <c r="H28" s="51">
        <v>6.01</v>
      </c>
      <c r="I28" s="51">
        <v>6.21</v>
      </c>
      <c r="J28" s="51">
        <v>0.28999999999999998</v>
      </c>
      <c r="K28" s="51">
        <v>339.86</v>
      </c>
      <c r="L28" s="51">
        <v>32.68</v>
      </c>
      <c r="M28" s="51">
        <v>99.15</v>
      </c>
      <c r="N28" s="51">
        <v>15.80</v>
      </c>
      <c r="O28" s="51">
        <v>2.2000000000000002</v>
      </c>
      <c r="P28" s="51">
        <v>3.90</v>
      </c>
      <c r="Q28" s="51">
        <v>9.19</v>
      </c>
      <c r="R28" s="43"/>
      <c r="S28" s="43"/>
      <c r="T28" s="43"/>
      <c r="U28" s="43"/>
    </row>
    <row r="29" spans="1:21" s="11" customFormat="1" ht="15">
      <c r="A29" s="50" t="s">
        <v>273</v>
      </c>
      <c r="B29" s="51">
        <v>8.74</v>
      </c>
      <c r="C29" s="51">
        <v>15.60</v>
      </c>
      <c r="D29" s="51">
        <v>23.94</v>
      </c>
      <c r="E29" s="51">
        <v>4.97</v>
      </c>
      <c r="F29" s="51">
        <v>0.63</v>
      </c>
      <c r="G29" s="53" t="s">
        <v>8</v>
      </c>
      <c r="H29" s="51">
        <v>8.4499999999999993</v>
      </c>
      <c r="I29" s="51">
        <v>8.5399999999999991</v>
      </c>
      <c r="J29" s="51">
        <v>0.22</v>
      </c>
      <c r="K29" s="51">
        <v>349.80</v>
      </c>
      <c r="L29" s="51">
        <v>32.69</v>
      </c>
      <c r="M29" s="51">
        <v>99.15</v>
      </c>
      <c r="N29" s="51">
        <v>15.70</v>
      </c>
      <c r="O29" s="51">
        <v>2.2000000000000002</v>
      </c>
      <c r="P29" s="51">
        <v>3.93</v>
      </c>
      <c r="Q29" s="51">
        <v>8.39</v>
      </c>
      <c r="R29" s="43"/>
      <c r="S29" s="43"/>
      <c r="T29" s="43"/>
      <c r="U29" s="43"/>
    </row>
    <row r="30" spans="1:21" s="11" customFormat="1" ht="15">
      <c r="A30" s="50" t="s">
        <v>274</v>
      </c>
      <c r="B30" s="51">
        <v>10.48</v>
      </c>
      <c r="C30" s="51">
        <v>15.86</v>
      </c>
      <c r="D30" s="51">
        <v>25.89</v>
      </c>
      <c r="E30" s="51">
        <v>5.43</v>
      </c>
      <c r="F30" s="51">
        <v>0.28000000000000003</v>
      </c>
      <c r="G30" s="53" t="s">
        <v>8</v>
      </c>
      <c r="H30" s="51">
        <v>7.82</v>
      </c>
      <c r="I30" s="51">
        <v>10.84</v>
      </c>
      <c r="J30" s="51">
        <v>0.16</v>
      </c>
      <c r="K30" s="51">
        <v>339.11</v>
      </c>
      <c r="L30" s="51">
        <v>32.979999999999997</v>
      </c>
      <c r="M30" s="51">
        <v>99.15</v>
      </c>
      <c r="N30" s="51">
        <v>15.70</v>
      </c>
      <c r="O30" s="51">
        <v>1.40</v>
      </c>
      <c r="P30" s="51">
        <v>4.1500000000000004</v>
      </c>
      <c r="Q30" s="51">
        <v>9.83</v>
      </c>
      <c r="R30" s="43"/>
      <c r="S30" s="43"/>
      <c r="T30" s="43"/>
      <c r="U30" s="43"/>
    </row>
    <row r="31" spans="1:21" s="11" customFormat="1" ht="15">
      <c r="A31" s="50" t="s">
        <v>275</v>
      </c>
      <c r="B31" s="51">
        <v>12.24</v>
      </c>
      <c r="C31" s="51">
        <v>15.52</v>
      </c>
      <c r="D31" s="51">
        <v>27.21</v>
      </c>
      <c r="E31" s="51">
        <v>5.73</v>
      </c>
      <c r="F31" s="51">
        <v>0.76</v>
      </c>
      <c r="G31" s="53" t="s">
        <v>8</v>
      </c>
      <c r="H31" s="51">
        <v>8.2899999999999991</v>
      </c>
      <c r="I31" s="51">
        <v>13.52</v>
      </c>
      <c r="J31" s="51">
        <v>0.13</v>
      </c>
      <c r="K31" s="51">
        <v>167.99</v>
      </c>
      <c r="L31" s="51">
        <v>39.54</v>
      </c>
      <c r="M31" s="51">
        <v>99.15</v>
      </c>
      <c r="N31" s="51">
        <v>16</v>
      </c>
      <c r="O31" s="51">
        <v>0.40</v>
      </c>
      <c r="P31" s="51">
        <v>4.3099999999999996</v>
      </c>
      <c r="Q31" s="51">
        <v>10.49</v>
      </c>
      <c r="R31" s="43"/>
      <c r="S31" s="43"/>
      <c r="T31" s="43"/>
      <c r="U31" s="43"/>
    </row>
    <row r="32" spans="1:21" s="11" customFormat="1" ht="15">
      <c r="A32" s="50" t="s">
        <v>276</v>
      </c>
      <c r="B32" s="51">
        <v>10.61</v>
      </c>
      <c r="C32" s="51">
        <v>13.08</v>
      </c>
      <c r="D32" s="51">
        <v>23.39</v>
      </c>
      <c r="E32" s="51">
        <v>5.72</v>
      </c>
      <c r="F32" s="51">
        <v>0.72</v>
      </c>
      <c r="G32" s="53" t="s">
        <v>8</v>
      </c>
      <c r="H32" s="51">
        <v>7.97</v>
      </c>
      <c r="I32" s="51">
        <v>13.5</v>
      </c>
      <c r="J32" s="51">
        <v>0.28999999999999998</v>
      </c>
      <c r="K32" s="51">
        <v>322.75</v>
      </c>
      <c r="L32" s="51">
        <v>38.369999999999997</v>
      </c>
      <c r="M32" s="51">
        <v>99.15</v>
      </c>
      <c r="N32" s="51">
        <v>16.20</v>
      </c>
      <c r="O32" s="51">
        <v>0.80</v>
      </c>
      <c r="P32" s="51">
        <v>4.21</v>
      </c>
      <c r="Q32" s="51">
        <v>8.31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8.7400000000000002</v>
      </c>
      <c r="C34" s="28">
        <f t="shared" si="0"/>
        <v>9.3200000000000003</v>
      </c>
      <c r="D34" s="28">
        <f t="shared" si="0"/>
        <v>23.239999999999998</v>
      </c>
      <c r="E34" s="28">
        <f t="shared" si="0"/>
        <v>4.9699999999999998</v>
      </c>
      <c r="F34" s="28">
        <f t="shared" si="0"/>
        <v>0.14999999999999999</v>
      </c>
      <c r="G34" s="28">
        <f t="shared" si="0"/>
        <v>0</v>
      </c>
      <c r="H34" s="28">
        <f t="shared" si="0"/>
        <v>6.0099999999999998</v>
      </c>
      <c r="I34" s="28">
        <f t="shared" si="0"/>
        <v>5.9800000000000004</v>
      </c>
      <c r="J34" s="28">
        <f t="shared" si="0"/>
        <v>0.13</v>
      </c>
      <c r="K34" s="28">
        <f t="shared" si="0"/>
        <v>70.739999999999995</v>
      </c>
      <c r="L34" s="28">
        <f t="shared" si="0"/>
        <v>32.509999999999998</v>
      </c>
      <c r="M34" s="28">
        <f t="shared" si="0"/>
        <v>89.370000000000005</v>
      </c>
      <c r="N34" s="28">
        <f t="shared" si="0"/>
        <v>15.4</v>
      </c>
      <c r="O34" s="28">
        <f t="shared" si="0"/>
        <v>0</v>
      </c>
      <c r="P34" s="28">
        <f t="shared" si="0"/>
        <v>3.71</v>
      </c>
      <c r="Q34" s="28">
        <f t="shared" si="0"/>
        <v>8.3100000000000005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30.91</v>
      </c>
      <c r="C35" s="29">
        <f t="shared" si="1"/>
        <v>15.98</v>
      </c>
      <c r="D35" s="29">
        <f t="shared" si="1"/>
        <v>45.649999999999999</v>
      </c>
      <c r="E35" s="29">
        <f t="shared" si="1"/>
        <v>8.9100000000000001</v>
      </c>
      <c r="F35" s="29">
        <f t="shared" si="1"/>
        <v>1.3500000000000001</v>
      </c>
      <c r="G35" s="29">
        <f t="shared" si="1"/>
        <v>0</v>
      </c>
      <c r="H35" s="29">
        <f t="shared" si="1"/>
        <v>29.530000000000001</v>
      </c>
      <c r="I35" s="29">
        <f t="shared" si="1"/>
        <v>13.52</v>
      </c>
      <c r="J35" s="29">
        <f t="shared" si="1"/>
        <v>1.5</v>
      </c>
      <c r="K35" s="29">
        <f t="shared" si="1"/>
        <v>355.77999999999997</v>
      </c>
      <c r="L35" s="29">
        <f t="shared" si="1"/>
        <v>42.590000000000003</v>
      </c>
      <c r="M35" s="29">
        <f t="shared" si="1"/>
        <v>99.150000000000006</v>
      </c>
      <c r="N35" s="29">
        <f t="shared" si="1"/>
        <v>544.5</v>
      </c>
      <c r="O35" s="29">
        <f t="shared" si="1"/>
        <v>11</v>
      </c>
      <c r="P35" s="29">
        <f t="shared" si="1"/>
        <v>4.3300000000000001</v>
      </c>
      <c r="Q35" s="29">
        <f t="shared" si="1"/>
        <v>19.52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19.993750000000002</v>
      </c>
      <c r="C36" s="28">
        <f t="shared" si="2"/>
        <v>13.110833333333332</v>
      </c>
      <c r="D36" s="28">
        <f t="shared" si="2"/>
        <v>32.847916666666663</v>
      </c>
      <c r="E36" s="28">
        <f t="shared" si="2"/>
        <v>6.9995833333333337</v>
      </c>
      <c r="F36" s="28">
        <f t="shared" si="2"/>
        <v>0.55625000000000002</v>
      </c>
      <c r="G36" s="28" t="e">
        <f t="shared" si="2"/>
        <v>#DIV/0!</v>
      </c>
      <c r="H36" s="28">
        <f t="shared" si="2"/>
        <v>16.628750000000004</v>
      </c>
      <c r="I36" s="28">
        <f t="shared" si="2"/>
        <v>8.3229166666666661</v>
      </c>
      <c r="J36" s="28">
        <f t="shared" si="2"/>
        <v>0.67833333333333357</v>
      </c>
      <c r="K36" s="28">
        <f t="shared" si="2"/>
        <v>300.39041666666662</v>
      </c>
      <c r="L36" s="28">
        <f t="shared" si="2"/>
        <v>36.389166666666668</v>
      </c>
      <c r="M36" s="28">
        <f t="shared" si="2"/>
        <v>98.367916666666702</v>
      </c>
      <c r="N36" s="28">
        <f t="shared" si="2"/>
        <v>123.92916666666662</v>
      </c>
      <c r="O36" s="28">
        <f t="shared" si="2"/>
        <v>2.1416666666666666</v>
      </c>
      <c r="P36" s="28">
        <f t="shared" si="2"/>
        <v>3.9791666666666665</v>
      </c>
      <c r="Q36" s="28">
        <f t="shared" si="2"/>
        <v>13.574583333333335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7.5361810259919935</v>
      </c>
      <c r="C37" s="28">
        <f t="shared" si="3" ref="C37:Q37">STDEV(C9:C32)</f>
        <v>2.2360308714262125</v>
      </c>
      <c r="D37" s="28">
        <f t="shared" si="3"/>
        <v>7.7395702493696694</v>
      </c>
      <c r="E37" s="28">
        <f t="shared" si="3"/>
        <v>1.2099280581080427</v>
      </c>
      <c r="F37" s="28">
        <f t="shared" si="3"/>
        <v>0.30999035749379439</v>
      </c>
      <c r="G37" s="28" t="e">
        <f t="shared" si="3"/>
        <v>#DIV/0!</v>
      </c>
      <c r="H37" s="28">
        <f t="shared" si="3"/>
        <v>7.2990620675000004</v>
      </c>
      <c r="I37" s="28">
        <f t="shared" si="3"/>
        <v>1.9011472032448742</v>
      </c>
      <c r="J37" s="28">
        <f t="shared" si="3"/>
        <v>0.42997135057912911</v>
      </c>
      <c r="K37" s="28">
        <f t="shared" si="3"/>
        <v>78.78565094908501</v>
      </c>
      <c r="L37" s="28">
        <f t="shared" si="3"/>
        <v>3.1354576902800382</v>
      </c>
      <c r="M37" s="28">
        <f t="shared" si="3"/>
        <v>2.624514827489103</v>
      </c>
      <c r="N37" s="28">
        <f t="shared" si="3"/>
        <v>167.84021769985952</v>
      </c>
      <c r="O37" s="28">
        <f t="shared" si="3"/>
        <v>2.9941851859122255</v>
      </c>
      <c r="P37" s="28">
        <f t="shared" si="3"/>
        <v>0.17692829956907913</v>
      </c>
      <c r="Q37" s="28">
        <f t="shared" si="3"/>
        <v>3.6459196718555438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9a1453-e0d3-4af9-a8b6-d44a336d18f7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8" sqref="Q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277</v>
      </c>
      <c r="B9" s="51">
        <v>8.7100000000000009</v>
      </c>
      <c r="C9" s="51">
        <v>15.49</v>
      </c>
      <c r="D9" s="51">
        <v>24.04</v>
      </c>
      <c r="E9" s="51">
        <v>3.60</v>
      </c>
      <c r="F9" s="51">
        <v>0.51</v>
      </c>
      <c r="G9" s="53" t="s">
        <v>8</v>
      </c>
      <c r="H9" s="51">
        <v>8.3699999999999992</v>
      </c>
      <c r="I9" s="51">
        <v>11.71</v>
      </c>
      <c r="J9" s="51">
        <v>0.16</v>
      </c>
      <c r="K9" s="51">
        <v>109.45</v>
      </c>
      <c r="L9" s="51">
        <v>35.409999999999997</v>
      </c>
      <c r="M9" s="51">
        <v>99.15</v>
      </c>
      <c r="N9" s="51">
        <v>15.70</v>
      </c>
      <c r="O9" s="51">
        <v>1</v>
      </c>
      <c r="P9" s="51">
        <v>4.0999999999999996</v>
      </c>
      <c r="Q9" s="51">
        <v>8.1199999999999992</v>
      </c>
      <c r="R9" s="43"/>
      <c r="S9" s="43"/>
      <c r="T9" s="43"/>
      <c r="U9" s="43"/>
    </row>
    <row r="10" spans="1:21" s="11" customFormat="1" ht="15">
      <c r="A10" s="50" t="s">
        <v>278</v>
      </c>
      <c r="B10" s="51">
        <v>4.71</v>
      </c>
      <c r="C10" s="51">
        <v>13.15</v>
      </c>
      <c r="D10" s="51">
        <v>17.850000000000001</v>
      </c>
      <c r="E10" s="51">
        <v>3.91</v>
      </c>
      <c r="F10" s="51">
        <v>0.63</v>
      </c>
      <c r="G10" s="53" t="s">
        <v>8</v>
      </c>
      <c r="H10" s="51">
        <v>8.08</v>
      </c>
      <c r="I10" s="51">
        <v>9.93</v>
      </c>
      <c r="J10" s="51">
        <v>0.28999999999999998</v>
      </c>
      <c r="K10" s="51">
        <v>62.09</v>
      </c>
      <c r="L10" s="51">
        <v>40.659999999999997</v>
      </c>
      <c r="M10" s="51">
        <v>99.15</v>
      </c>
      <c r="N10" s="51">
        <v>16.100000000000001</v>
      </c>
      <c r="O10" s="51">
        <v>0.60</v>
      </c>
      <c r="P10" s="51">
        <v>3.83</v>
      </c>
      <c r="Q10" s="51">
        <v>6.42</v>
      </c>
      <c r="R10" s="43"/>
      <c r="S10" s="43"/>
      <c r="T10" s="43"/>
      <c r="U10" s="43"/>
    </row>
    <row r="11" spans="1:21" s="11" customFormat="1" ht="15">
      <c r="A11" s="50" t="s">
        <v>279</v>
      </c>
      <c r="B11" s="51">
        <v>2.63</v>
      </c>
      <c r="C11" s="51">
        <v>11.66</v>
      </c>
      <c r="D11" s="51">
        <v>14.22</v>
      </c>
      <c r="E11" s="51">
        <v>3.5</v>
      </c>
      <c r="F11" s="51">
        <v>0.46</v>
      </c>
      <c r="G11" s="53" t="s">
        <v>8</v>
      </c>
      <c r="H11" s="51">
        <v>6.88</v>
      </c>
      <c r="I11" s="51">
        <v>9.39</v>
      </c>
      <c r="J11" s="51">
        <v>0.32</v>
      </c>
      <c r="K11" s="51">
        <v>131.30000000000001</v>
      </c>
      <c r="L11" s="51">
        <v>41.57</v>
      </c>
      <c r="M11" s="51">
        <v>99.15</v>
      </c>
      <c r="N11" s="51">
        <v>15.90</v>
      </c>
      <c r="O11" s="51">
        <v>1.40</v>
      </c>
      <c r="P11" s="51">
        <v>3.72</v>
      </c>
      <c r="Q11" s="51">
        <v>4.87</v>
      </c>
      <c r="R11" s="43"/>
      <c r="S11" s="43"/>
      <c r="T11" s="43"/>
      <c r="U11" s="43"/>
    </row>
    <row r="12" spans="1:21" s="11" customFormat="1" ht="15">
      <c r="A12" s="50" t="s">
        <v>280</v>
      </c>
      <c r="B12" s="51">
        <v>2.02</v>
      </c>
      <c r="C12" s="51">
        <v>9.08</v>
      </c>
      <c r="D12" s="51">
        <v>11.10</v>
      </c>
      <c r="E12" s="51">
        <v>3.35</v>
      </c>
      <c r="F12" s="51">
        <v>0.96</v>
      </c>
      <c r="G12" s="53" t="s">
        <v>8</v>
      </c>
      <c r="H12" s="51">
        <v>5.31</v>
      </c>
      <c r="I12" s="51">
        <v>9.44</v>
      </c>
      <c r="J12" s="51">
        <v>0.49</v>
      </c>
      <c r="K12" s="51">
        <v>106.67</v>
      </c>
      <c r="L12" s="51">
        <v>33.299999999999997</v>
      </c>
      <c r="M12" s="51">
        <v>99.15</v>
      </c>
      <c r="N12" s="51">
        <v>16.100000000000001</v>
      </c>
      <c r="O12" s="51">
        <v>0.20</v>
      </c>
      <c r="P12" s="51">
        <v>3.60</v>
      </c>
      <c r="Q12" s="51">
        <v>3.37</v>
      </c>
      <c r="R12" s="43"/>
      <c r="S12" s="43"/>
      <c r="T12" s="43"/>
      <c r="U12" s="43"/>
    </row>
    <row r="13" spans="1:21" s="11" customFormat="1" ht="15">
      <c r="A13" s="50" t="s">
        <v>281</v>
      </c>
      <c r="B13" s="51">
        <v>0.28999999999999998</v>
      </c>
      <c r="C13" s="51">
        <v>8.07</v>
      </c>
      <c r="D13" s="51">
        <v>8.35</v>
      </c>
      <c r="E13" s="51">
        <v>3.21</v>
      </c>
      <c r="F13" s="51">
        <v>1.44</v>
      </c>
      <c r="G13" s="53" t="s">
        <v>8</v>
      </c>
      <c r="H13" s="51">
        <v>4.18</v>
      </c>
      <c r="I13" s="51">
        <v>6.68</v>
      </c>
      <c r="J13" s="51">
        <v>0.22</v>
      </c>
      <c r="K13" s="51">
        <v>174.51</v>
      </c>
      <c r="L13" s="51">
        <v>37.86</v>
      </c>
      <c r="M13" s="51">
        <v>99.15</v>
      </c>
      <c r="N13" s="51">
        <v>16.20</v>
      </c>
      <c r="O13" s="51">
        <v>0.60</v>
      </c>
      <c r="P13" s="51">
        <v>3.42</v>
      </c>
      <c r="Q13" s="51">
        <v>1.95</v>
      </c>
      <c r="R13" s="43"/>
      <c r="S13" s="43"/>
      <c r="T13" s="43"/>
      <c r="U13" s="43"/>
    </row>
    <row r="14" spans="1:21" s="11" customFormat="1" ht="15">
      <c r="A14" s="50" t="s">
        <v>282</v>
      </c>
      <c r="B14" s="51">
        <v>0.73</v>
      </c>
      <c r="C14" s="51">
        <v>8.6199999999999992</v>
      </c>
      <c r="D14" s="51">
        <v>9.07</v>
      </c>
      <c r="E14" s="51">
        <v>3.03</v>
      </c>
      <c r="F14" s="51">
        <v>1.5</v>
      </c>
      <c r="G14" s="53" t="s">
        <v>8</v>
      </c>
      <c r="H14" s="51">
        <v>3.54</v>
      </c>
      <c r="I14" s="51">
        <v>4.41</v>
      </c>
      <c r="J14" s="51">
        <v>0.5</v>
      </c>
      <c r="K14" s="51">
        <v>200.01</v>
      </c>
      <c r="L14" s="51">
        <v>39.770000000000003</v>
      </c>
      <c r="M14" s="51">
        <v>99.15</v>
      </c>
      <c r="N14" s="51">
        <v>17.600000000000001</v>
      </c>
      <c r="O14" s="51">
        <v>0.40</v>
      </c>
      <c r="P14" s="51">
        <v>3.31</v>
      </c>
      <c r="Q14" s="51">
        <v>2.06</v>
      </c>
      <c r="R14" s="43"/>
      <c r="S14" s="43"/>
      <c r="T14" s="43"/>
      <c r="U14" s="43"/>
    </row>
    <row r="15" spans="1:21" s="11" customFormat="1" ht="15">
      <c r="A15" s="50" t="s">
        <v>283</v>
      </c>
      <c r="B15" s="51">
        <v>1.51</v>
      </c>
      <c r="C15" s="51">
        <v>8.5</v>
      </c>
      <c r="D15" s="51">
        <v>9.98</v>
      </c>
      <c r="E15" s="51">
        <v>3.97</v>
      </c>
      <c r="F15" s="51">
        <v>0.65</v>
      </c>
      <c r="G15" s="53" t="s">
        <v>8</v>
      </c>
      <c r="H15" s="51">
        <v>2.90</v>
      </c>
      <c r="I15" s="51">
        <v>3.57</v>
      </c>
      <c r="J15" s="51">
        <v>0.41</v>
      </c>
      <c r="K15" s="51">
        <v>198.56</v>
      </c>
      <c r="L15" s="51">
        <v>35.409999999999997</v>
      </c>
      <c r="M15" s="51">
        <v>99.15</v>
      </c>
      <c r="N15" s="51">
        <v>30.80</v>
      </c>
      <c r="O15" s="51">
        <v>1.20</v>
      </c>
      <c r="P15" s="51">
        <v>3.29</v>
      </c>
      <c r="Q15" s="51">
        <v>2.2000000000000002</v>
      </c>
      <c r="R15" s="43"/>
      <c r="S15" s="43"/>
      <c r="T15" s="43"/>
      <c r="U15" s="43"/>
    </row>
    <row r="16" spans="1:21" s="11" customFormat="1" ht="15">
      <c r="A16" s="50" t="s">
        <v>284</v>
      </c>
      <c r="B16" s="51">
        <v>2.0499999999999998</v>
      </c>
      <c r="C16" s="51">
        <v>9.98</v>
      </c>
      <c r="D16" s="51">
        <v>12.03</v>
      </c>
      <c r="E16" s="51">
        <v>4.0599999999999996</v>
      </c>
      <c r="F16" s="51">
        <v>0.59</v>
      </c>
      <c r="G16" s="53" t="s">
        <v>8</v>
      </c>
      <c r="H16" s="51">
        <v>2.58</v>
      </c>
      <c r="I16" s="51">
        <v>3.69</v>
      </c>
      <c r="J16" s="51">
        <v>0.63</v>
      </c>
      <c r="K16" s="51">
        <v>201.59</v>
      </c>
      <c r="L16" s="51">
        <v>35.380000000000003</v>
      </c>
      <c r="M16" s="51">
        <v>99.15</v>
      </c>
      <c r="N16" s="51">
        <v>66.599999999999994</v>
      </c>
      <c r="O16" s="51">
        <v>0.20</v>
      </c>
      <c r="P16" s="51">
        <v>3.31</v>
      </c>
      <c r="Q16" s="51">
        <v>3.55</v>
      </c>
      <c r="R16" s="43"/>
      <c r="S16" s="43"/>
      <c r="T16" s="43"/>
      <c r="U16" s="43"/>
    </row>
    <row r="17" spans="1:21" s="11" customFormat="1" ht="15">
      <c r="A17" s="50" t="s">
        <v>285</v>
      </c>
      <c r="B17" s="51">
        <v>3.22</v>
      </c>
      <c r="C17" s="51">
        <v>10.71</v>
      </c>
      <c r="D17" s="51">
        <v>13.87</v>
      </c>
      <c r="E17" s="51">
        <v>4.1900000000000004</v>
      </c>
      <c r="F17" s="51">
        <v>0.55000000000000004</v>
      </c>
      <c r="G17" s="53" t="s">
        <v>8</v>
      </c>
      <c r="H17" s="51">
        <v>2.33</v>
      </c>
      <c r="I17" s="51">
        <v>3.62</v>
      </c>
      <c r="J17" s="51">
        <v>0.57999999999999996</v>
      </c>
      <c r="K17" s="51">
        <v>215.09</v>
      </c>
      <c r="L17" s="51">
        <v>35.369999999999997</v>
      </c>
      <c r="M17" s="51">
        <v>99.11</v>
      </c>
      <c r="N17" s="51">
        <v>99</v>
      </c>
      <c r="O17" s="51">
        <v>0.40</v>
      </c>
      <c r="P17" s="51">
        <v>3.34</v>
      </c>
      <c r="Q17" s="51">
        <v>4.38</v>
      </c>
      <c r="R17" s="43"/>
      <c r="S17" s="43"/>
      <c r="T17" s="43"/>
      <c r="U17" s="43"/>
    </row>
    <row r="18" spans="1:21" s="11" customFormat="1" ht="15">
      <c r="A18" s="50" t="s">
        <v>286</v>
      </c>
      <c r="B18" s="51">
        <v>3.42</v>
      </c>
      <c r="C18" s="51">
        <v>9.76</v>
      </c>
      <c r="D18" s="51">
        <v>13.18</v>
      </c>
      <c r="E18" s="51">
        <v>4.47</v>
      </c>
      <c r="F18" s="51">
        <v>0.51</v>
      </c>
      <c r="G18" s="53" t="s">
        <v>8</v>
      </c>
      <c r="H18" s="51">
        <v>2.2599999999999998</v>
      </c>
      <c r="I18" s="51">
        <v>3.72</v>
      </c>
      <c r="J18" s="51">
        <v>0.82</v>
      </c>
      <c r="K18" s="51">
        <v>213.42</v>
      </c>
      <c r="L18" s="51">
        <v>35.43</v>
      </c>
      <c r="M18" s="51">
        <v>96.71</v>
      </c>
      <c r="N18" s="51">
        <v>141.60</v>
      </c>
      <c r="O18" s="51">
        <v>0</v>
      </c>
      <c r="P18" s="51">
        <v>3.34</v>
      </c>
      <c r="Q18" s="51">
        <v>4.3899999999999997</v>
      </c>
      <c r="R18" s="43"/>
      <c r="S18" s="43"/>
      <c r="T18" s="43"/>
      <c r="U18" s="43"/>
    </row>
    <row r="19" spans="1:21" s="11" customFormat="1" ht="15">
      <c r="A19" s="50" t="s">
        <v>287</v>
      </c>
      <c r="B19" s="51">
        <v>3.20</v>
      </c>
      <c r="C19" s="51">
        <v>8.99</v>
      </c>
      <c r="D19" s="51">
        <v>11.87</v>
      </c>
      <c r="E19" s="51">
        <v>4.58</v>
      </c>
      <c r="F19" s="51">
        <v>0.39</v>
      </c>
      <c r="G19" s="53" t="s">
        <v>8</v>
      </c>
      <c r="H19" s="51">
        <v>2.91</v>
      </c>
      <c r="I19" s="51">
        <v>3.78</v>
      </c>
      <c r="J19" s="51">
        <v>1.51</v>
      </c>
      <c r="K19" s="51">
        <v>223.49</v>
      </c>
      <c r="L19" s="51">
        <v>36.74</v>
      </c>
      <c r="M19" s="51">
        <v>92.27</v>
      </c>
      <c r="N19" s="51">
        <v>195.70</v>
      </c>
      <c r="O19" s="51">
        <v>0</v>
      </c>
      <c r="P19" s="51">
        <v>3.35</v>
      </c>
      <c r="Q19" s="51">
        <v>3.46</v>
      </c>
      <c r="R19" s="43"/>
      <c r="S19" s="43"/>
      <c r="T19" s="43"/>
      <c r="U19" s="43"/>
    </row>
    <row r="20" spans="1:21" s="11" customFormat="1" ht="15">
      <c r="A20" s="50" t="s">
        <v>288</v>
      </c>
      <c r="B20" s="51">
        <v>2.67</v>
      </c>
      <c r="C20" s="51">
        <v>10.65</v>
      </c>
      <c r="D20" s="51">
        <v>12.65</v>
      </c>
      <c r="E20" s="51">
        <v>4.75</v>
      </c>
      <c r="F20" s="51">
        <v>0.80</v>
      </c>
      <c r="G20" s="53" t="s">
        <v>8</v>
      </c>
      <c r="H20" s="51">
        <v>2.79</v>
      </c>
      <c r="I20" s="51">
        <v>3.78</v>
      </c>
      <c r="J20" s="51">
        <v>0.97</v>
      </c>
      <c r="K20" s="51">
        <v>224.37</v>
      </c>
      <c r="L20" s="51">
        <v>36.380000000000003</v>
      </c>
      <c r="M20" s="51">
        <v>91.06</v>
      </c>
      <c r="N20" s="51">
        <v>190.90</v>
      </c>
      <c r="O20" s="51">
        <v>0</v>
      </c>
      <c r="P20" s="51">
        <v>3.35</v>
      </c>
      <c r="Q20" s="51">
        <v>3.86</v>
      </c>
      <c r="R20" s="43"/>
      <c r="S20" s="43"/>
      <c r="T20" s="43"/>
      <c r="U20" s="43"/>
    </row>
    <row r="21" spans="1:21" s="11" customFormat="1" ht="15">
      <c r="A21" s="50" t="s">
        <v>289</v>
      </c>
      <c r="B21" s="51">
        <v>1.80</v>
      </c>
      <c r="C21" s="51">
        <v>10.80</v>
      </c>
      <c r="D21" s="51">
        <v>12.52</v>
      </c>
      <c r="E21" s="51">
        <v>3.94</v>
      </c>
      <c r="F21" s="51">
        <v>1.17</v>
      </c>
      <c r="G21" s="53" t="s">
        <v>8</v>
      </c>
      <c r="H21" s="51">
        <v>2.74</v>
      </c>
      <c r="I21" s="51">
        <v>3.5</v>
      </c>
      <c r="J21" s="51">
        <v>0.79</v>
      </c>
      <c r="K21" s="51">
        <v>225.36</v>
      </c>
      <c r="L21" s="51">
        <v>36.47</v>
      </c>
      <c r="M21" s="51">
        <v>87.36</v>
      </c>
      <c r="N21" s="51">
        <v>214.10</v>
      </c>
      <c r="O21" s="51">
        <v>0</v>
      </c>
      <c r="P21" s="51">
        <v>3.34</v>
      </c>
      <c r="Q21" s="51">
        <v>3.85</v>
      </c>
      <c r="R21" s="43"/>
      <c r="S21" s="43"/>
      <c r="T21" s="43"/>
      <c r="U21" s="43"/>
    </row>
    <row r="22" spans="1:21" s="11" customFormat="1" ht="15">
      <c r="A22" s="50" t="s">
        <v>290</v>
      </c>
      <c r="B22" s="51">
        <v>1.78</v>
      </c>
      <c r="C22" s="51">
        <v>9.32</v>
      </c>
      <c r="D22" s="51">
        <v>10.85</v>
      </c>
      <c r="E22" s="51">
        <v>4.4800000000000004</v>
      </c>
      <c r="F22" s="51">
        <v>0.70</v>
      </c>
      <c r="G22" s="53" t="s">
        <v>8</v>
      </c>
      <c r="H22" s="51">
        <v>2.71</v>
      </c>
      <c r="I22" s="51">
        <v>3.26</v>
      </c>
      <c r="J22" s="51">
        <v>0.66</v>
      </c>
      <c r="K22" s="51">
        <v>210.59</v>
      </c>
      <c r="L22" s="51">
        <v>36.119999999999997</v>
      </c>
      <c r="M22" s="51">
        <v>93.15</v>
      </c>
      <c r="N22" s="51">
        <v>141</v>
      </c>
      <c r="O22" s="51">
        <v>0</v>
      </c>
      <c r="P22" s="51">
        <v>3.34</v>
      </c>
      <c r="Q22" s="51">
        <v>2.91</v>
      </c>
      <c r="R22" s="43"/>
      <c r="S22" s="43"/>
      <c r="T22" s="43"/>
      <c r="U22" s="43"/>
    </row>
    <row r="23" spans="1:21" s="11" customFormat="1" ht="15">
      <c r="A23" s="50" t="s">
        <v>291</v>
      </c>
      <c r="B23" s="51">
        <v>1.80</v>
      </c>
      <c r="C23" s="51">
        <v>9.31</v>
      </c>
      <c r="D23" s="51">
        <v>10.97</v>
      </c>
      <c r="E23" s="51">
        <v>4.4800000000000004</v>
      </c>
      <c r="F23" s="51">
        <v>0.57999999999999996</v>
      </c>
      <c r="G23" s="53" t="s">
        <v>8</v>
      </c>
      <c r="H23" s="51">
        <v>2.60</v>
      </c>
      <c r="I23" s="51">
        <v>3.28</v>
      </c>
      <c r="J23" s="51">
        <v>0.68</v>
      </c>
      <c r="K23" s="51">
        <v>216.96</v>
      </c>
      <c r="L23" s="51">
        <v>36.39</v>
      </c>
      <c r="M23" s="51">
        <v>91.04</v>
      </c>
      <c r="N23" s="51">
        <v>145.19999999999999</v>
      </c>
      <c r="O23" s="51">
        <v>0</v>
      </c>
      <c r="P23" s="51">
        <v>3.32</v>
      </c>
      <c r="Q23" s="51">
        <v>2.86</v>
      </c>
      <c r="R23" s="43"/>
      <c r="S23" s="43"/>
      <c r="T23" s="43"/>
      <c r="U23" s="43"/>
    </row>
    <row r="24" spans="1:21" s="11" customFormat="1" ht="15">
      <c r="A24" s="50" t="s">
        <v>292</v>
      </c>
      <c r="B24" s="51">
        <v>2.09</v>
      </c>
      <c r="C24" s="51">
        <v>9.4700000000000006</v>
      </c>
      <c r="D24" s="51">
        <v>11.56</v>
      </c>
      <c r="E24" s="51">
        <v>4.49</v>
      </c>
      <c r="F24" s="51">
        <v>0.56999999999999995</v>
      </c>
      <c r="G24" s="53" t="s">
        <v>8</v>
      </c>
      <c r="H24" s="51">
        <v>2.5099999999999998</v>
      </c>
      <c r="I24" s="51">
        <v>3.31</v>
      </c>
      <c r="J24" s="51">
        <v>0.79</v>
      </c>
      <c r="K24" s="51">
        <v>208.88</v>
      </c>
      <c r="L24" s="51">
        <v>36.60</v>
      </c>
      <c r="M24" s="51">
        <v>90.43</v>
      </c>
      <c r="N24" s="51">
        <v>80.900000000000006</v>
      </c>
      <c r="O24" s="51">
        <v>0</v>
      </c>
      <c r="P24" s="51">
        <v>3.34</v>
      </c>
      <c r="Q24" s="51">
        <v>3.68</v>
      </c>
      <c r="R24" s="43"/>
      <c r="S24" s="43"/>
      <c r="T24" s="43"/>
      <c r="U24" s="43"/>
    </row>
    <row r="25" spans="1:21" s="11" customFormat="1" ht="15">
      <c r="A25" s="50" t="s">
        <v>293</v>
      </c>
      <c r="B25" s="51">
        <v>2.2999999999999998</v>
      </c>
      <c r="C25" s="51">
        <v>9.7200000000000006</v>
      </c>
      <c r="D25" s="51">
        <v>11.69</v>
      </c>
      <c r="E25" s="51">
        <v>5.12</v>
      </c>
      <c r="F25" s="51">
        <v>0.80</v>
      </c>
      <c r="G25" s="53" t="s">
        <v>8</v>
      </c>
      <c r="H25" s="51">
        <v>2.41</v>
      </c>
      <c r="I25" s="51">
        <v>3.47</v>
      </c>
      <c r="J25" s="51">
        <v>0.71</v>
      </c>
      <c r="K25" s="51">
        <v>211</v>
      </c>
      <c r="L25" s="51">
        <v>36.590000000000003</v>
      </c>
      <c r="M25" s="51">
        <v>92.66</v>
      </c>
      <c r="N25" s="51">
        <v>76.30</v>
      </c>
      <c r="O25" s="51">
        <v>0</v>
      </c>
      <c r="P25" s="51">
        <v>3.34</v>
      </c>
      <c r="Q25" s="51">
        <v>3.73</v>
      </c>
      <c r="R25" s="43"/>
      <c r="S25" s="43"/>
      <c r="T25" s="43"/>
      <c r="U25" s="43"/>
    </row>
    <row r="26" spans="1:21" s="11" customFormat="1" ht="15">
      <c r="A26" s="50" t="s">
        <v>294</v>
      </c>
      <c r="B26" s="51">
        <v>3.38</v>
      </c>
      <c r="C26" s="51">
        <v>9.01</v>
      </c>
      <c r="D26" s="51">
        <v>12.14</v>
      </c>
      <c r="E26" s="51">
        <v>5.73</v>
      </c>
      <c r="F26" s="51">
        <v>0.36</v>
      </c>
      <c r="G26" s="53" t="s">
        <v>8</v>
      </c>
      <c r="H26" s="51">
        <v>5.18</v>
      </c>
      <c r="I26" s="51">
        <v>3.77</v>
      </c>
      <c r="J26" s="51">
        <v>0.74</v>
      </c>
      <c r="K26" s="51">
        <v>198.47</v>
      </c>
      <c r="L26" s="51">
        <v>37.03</v>
      </c>
      <c r="M26" s="51">
        <v>93.98</v>
      </c>
      <c r="N26" s="51">
        <v>52.60</v>
      </c>
      <c r="O26" s="51">
        <v>0</v>
      </c>
      <c r="P26" s="51">
        <v>3.37</v>
      </c>
      <c r="Q26" s="51">
        <v>3.64</v>
      </c>
      <c r="R26" s="43"/>
      <c r="S26" s="43"/>
      <c r="T26" s="43"/>
      <c r="U26" s="43"/>
    </row>
    <row r="27" spans="1:21" s="11" customFormat="1" ht="15">
      <c r="A27" s="50" t="s">
        <v>295</v>
      </c>
      <c r="B27" s="51">
        <v>3.30</v>
      </c>
      <c r="C27" s="51">
        <v>9.41</v>
      </c>
      <c r="D27" s="51">
        <v>12.59</v>
      </c>
      <c r="E27" s="51">
        <v>6.07</v>
      </c>
      <c r="F27" s="51">
        <v>0.33</v>
      </c>
      <c r="G27" s="53" t="s">
        <v>8</v>
      </c>
      <c r="H27" s="51">
        <v>4.93</v>
      </c>
      <c r="I27" s="51">
        <v>3.90</v>
      </c>
      <c r="J27" s="51">
        <v>0.93</v>
      </c>
      <c r="K27" s="51">
        <v>191.47</v>
      </c>
      <c r="L27" s="51">
        <v>37.01</v>
      </c>
      <c r="M27" s="51">
        <v>91.77</v>
      </c>
      <c r="N27" s="51">
        <v>28.70</v>
      </c>
      <c r="O27" s="51">
        <v>0</v>
      </c>
      <c r="P27" s="51">
        <v>3.36</v>
      </c>
      <c r="Q27" s="51">
        <v>4.3499999999999996</v>
      </c>
      <c r="R27" s="43"/>
      <c r="S27" s="43"/>
      <c r="T27" s="43"/>
      <c r="U27" s="43"/>
    </row>
    <row r="28" spans="1:21" s="11" customFormat="1" ht="15">
      <c r="A28" s="50" t="s">
        <v>296</v>
      </c>
      <c r="B28" s="51">
        <v>3.20</v>
      </c>
      <c r="C28" s="51">
        <v>10.220000000000001</v>
      </c>
      <c r="D28" s="51">
        <v>13.05</v>
      </c>
      <c r="E28" s="51">
        <v>6</v>
      </c>
      <c r="F28" s="51">
        <v>0.59</v>
      </c>
      <c r="G28" s="53" t="s">
        <v>8</v>
      </c>
      <c r="H28" s="51">
        <v>4.13</v>
      </c>
      <c r="I28" s="51">
        <v>3.85</v>
      </c>
      <c r="J28" s="51">
        <v>0.66</v>
      </c>
      <c r="K28" s="51">
        <v>205.22</v>
      </c>
      <c r="L28" s="51">
        <v>36.14</v>
      </c>
      <c r="M28" s="51">
        <v>94.16</v>
      </c>
      <c r="N28" s="51">
        <v>15.40</v>
      </c>
      <c r="O28" s="51">
        <v>0</v>
      </c>
      <c r="P28" s="51">
        <v>3.37</v>
      </c>
      <c r="Q28" s="51">
        <v>4.62</v>
      </c>
      <c r="R28" s="43"/>
      <c r="S28" s="43"/>
      <c r="T28" s="43"/>
      <c r="U28" s="43"/>
    </row>
    <row r="29" spans="1:21" s="11" customFormat="1" ht="15">
      <c r="A29" s="50" t="s">
        <v>297</v>
      </c>
      <c r="B29" s="51">
        <v>2.97</v>
      </c>
      <c r="C29" s="51">
        <v>9.3800000000000008</v>
      </c>
      <c r="D29" s="51">
        <v>12.21</v>
      </c>
      <c r="E29" s="51">
        <v>5.20</v>
      </c>
      <c r="F29" s="51">
        <v>0.68</v>
      </c>
      <c r="G29" s="53" t="s">
        <v>8</v>
      </c>
      <c r="H29" s="51">
        <v>3.58</v>
      </c>
      <c r="I29" s="51">
        <v>3.94</v>
      </c>
      <c r="J29" s="51">
        <v>0.77</v>
      </c>
      <c r="K29" s="51">
        <v>186.66</v>
      </c>
      <c r="L29" s="51">
        <v>35.659999999999997</v>
      </c>
      <c r="M29" s="51">
        <v>99.08</v>
      </c>
      <c r="N29" s="51">
        <v>15.40</v>
      </c>
      <c r="O29" s="51">
        <v>0.60</v>
      </c>
      <c r="P29" s="51">
        <v>3.38</v>
      </c>
      <c r="Q29" s="51">
        <v>4.47</v>
      </c>
      <c r="R29" s="43"/>
      <c r="S29" s="43"/>
      <c r="T29" s="43"/>
      <c r="U29" s="43"/>
    </row>
    <row r="30" spans="1:21" s="11" customFormat="1" ht="15">
      <c r="A30" s="50" t="s">
        <v>298</v>
      </c>
      <c r="B30" s="51">
        <v>3.54</v>
      </c>
      <c r="C30" s="51">
        <v>8.6199999999999992</v>
      </c>
      <c r="D30" s="51">
        <v>12.13</v>
      </c>
      <c r="E30" s="51">
        <v>5.76</v>
      </c>
      <c r="F30" s="51">
        <v>0.44</v>
      </c>
      <c r="G30" s="53" t="s">
        <v>8</v>
      </c>
      <c r="H30" s="51">
        <v>3.06</v>
      </c>
      <c r="I30" s="51">
        <v>4.12</v>
      </c>
      <c r="J30" s="51">
        <v>0.75</v>
      </c>
      <c r="K30" s="51">
        <v>183.39</v>
      </c>
      <c r="L30" s="51">
        <v>35.01</v>
      </c>
      <c r="M30" s="51">
        <v>99.15</v>
      </c>
      <c r="N30" s="51">
        <v>15.20</v>
      </c>
      <c r="O30" s="51">
        <v>0.20</v>
      </c>
      <c r="P30" s="51">
        <v>3.38</v>
      </c>
      <c r="Q30" s="51">
        <v>3.98</v>
      </c>
      <c r="R30" s="43"/>
      <c r="S30" s="43"/>
      <c r="T30" s="43"/>
      <c r="U30" s="43"/>
    </row>
    <row r="31" spans="1:21" s="11" customFormat="1" ht="15">
      <c r="A31" s="50" t="s">
        <v>299</v>
      </c>
      <c r="B31" s="51">
        <v>4.62</v>
      </c>
      <c r="C31" s="51">
        <v>8.3800000000000008</v>
      </c>
      <c r="D31" s="51">
        <v>12.72</v>
      </c>
      <c r="E31" s="51">
        <v>6.33</v>
      </c>
      <c r="F31" s="51">
        <v>0.41</v>
      </c>
      <c r="G31" s="53" t="s">
        <v>8</v>
      </c>
      <c r="H31" s="51">
        <v>2.40</v>
      </c>
      <c r="I31" s="51">
        <v>4.21</v>
      </c>
      <c r="J31" s="51">
        <v>0.82</v>
      </c>
      <c r="K31" s="51">
        <v>184.41</v>
      </c>
      <c r="L31" s="51">
        <v>35.270000000000003</v>
      </c>
      <c r="M31" s="51">
        <v>99.15</v>
      </c>
      <c r="N31" s="51">
        <v>15.40</v>
      </c>
      <c r="O31" s="51">
        <v>0</v>
      </c>
      <c r="P31" s="51">
        <v>3.39</v>
      </c>
      <c r="Q31" s="51">
        <v>4.9000000000000004</v>
      </c>
      <c r="R31" s="43"/>
      <c r="S31" s="43"/>
      <c r="T31" s="43"/>
      <c r="U31" s="43"/>
    </row>
    <row r="32" spans="1:21" s="11" customFormat="1" ht="15">
      <c r="A32" s="50" t="s">
        <v>300</v>
      </c>
      <c r="B32" s="51">
        <v>5.0999999999999996</v>
      </c>
      <c r="C32" s="51">
        <v>8.32</v>
      </c>
      <c r="D32" s="51">
        <v>13.20</v>
      </c>
      <c r="E32" s="51">
        <v>7.25</v>
      </c>
      <c r="F32" s="51">
        <v>0.40</v>
      </c>
      <c r="G32" s="53" t="s">
        <v>8</v>
      </c>
      <c r="H32" s="51">
        <v>2.10</v>
      </c>
      <c r="I32" s="51">
        <v>4.34</v>
      </c>
      <c r="J32" s="51">
        <v>0.76</v>
      </c>
      <c r="K32" s="51">
        <v>174.38</v>
      </c>
      <c r="L32" s="51">
        <v>35.24</v>
      </c>
      <c r="M32" s="51">
        <v>99.15</v>
      </c>
      <c r="N32" s="51">
        <v>15.40</v>
      </c>
      <c r="O32" s="51">
        <v>0.20</v>
      </c>
      <c r="P32" s="51">
        <v>3.39</v>
      </c>
      <c r="Q32" s="51">
        <v>5.37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0.28999999999999998</v>
      </c>
      <c r="C34" s="28">
        <f t="shared" si="0"/>
        <v>8.0700000000000003</v>
      </c>
      <c r="D34" s="28">
        <f t="shared" si="0"/>
        <v>8.3499999999999996</v>
      </c>
      <c r="E34" s="28">
        <f t="shared" si="0"/>
        <v>3.0299999999999998</v>
      </c>
      <c r="F34" s="28">
        <f t="shared" si="0"/>
        <v>0.33000000000000002</v>
      </c>
      <c r="G34" s="28">
        <f t="shared" si="0"/>
        <v>0</v>
      </c>
      <c r="H34" s="28">
        <f t="shared" si="0"/>
        <v>2.1000000000000001</v>
      </c>
      <c r="I34" s="28">
        <f t="shared" si="0"/>
        <v>3.2599999999999998</v>
      </c>
      <c r="J34" s="28">
        <f t="shared" si="0"/>
        <v>0.16</v>
      </c>
      <c r="K34" s="28">
        <f t="shared" si="0"/>
        <v>62.090000000000003</v>
      </c>
      <c r="L34" s="28">
        <f t="shared" si="0"/>
        <v>33.299999999999997</v>
      </c>
      <c r="M34" s="28">
        <f t="shared" si="0"/>
        <v>87.359999999999999</v>
      </c>
      <c r="N34" s="28">
        <f t="shared" si="0"/>
        <v>15.199999999999999</v>
      </c>
      <c r="O34" s="28">
        <f t="shared" si="0"/>
        <v>0</v>
      </c>
      <c r="P34" s="28">
        <f t="shared" si="0"/>
        <v>3.29</v>
      </c>
      <c r="Q34" s="28">
        <f t="shared" si="0"/>
        <v>1.95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8.7100000000000009</v>
      </c>
      <c r="C35" s="29">
        <f t="shared" si="1"/>
        <v>15.49</v>
      </c>
      <c r="D35" s="29">
        <f t="shared" si="1"/>
        <v>24.039999999999999</v>
      </c>
      <c r="E35" s="29">
        <f t="shared" si="1"/>
        <v>7.25</v>
      </c>
      <c r="F35" s="29">
        <f t="shared" si="1"/>
        <v>1.5</v>
      </c>
      <c r="G35" s="29">
        <f t="shared" si="1"/>
        <v>0</v>
      </c>
      <c r="H35" s="29">
        <f t="shared" si="1"/>
        <v>8.3699999999999992</v>
      </c>
      <c r="I35" s="29">
        <f t="shared" si="1"/>
        <v>11.710000000000001</v>
      </c>
      <c r="J35" s="29">
        <f t="shared" si="1"/>
        <v>1.51</v>
      </c>
      <c r="K35" s="29">
        <f t="shared" si="1"/>
        <v>225.36000000000001</v>
      </c>
      <c r="L35" s="29">
        <f t="shared" si="1"/>
        <v>41.57</v>
      </c>
      <c r="M35" s="29">
        <f t="shared" si="1"/>
        <v>99.150000000000006</v>
      </c>
      <c r="N35" s="29">
        <f t="shared" si="1"/>
        <v>214.09999999999999</v>
      </c>
      <c r="O35" s="29">
        <f t="shared" si="1"/>
        <v>1.3999999999999999</v>
      </c>
      <c r="P35" s="29">
        <f t="shared" si="1"/>
        <v>4.0999999999999996</v>
      </c>
      <c r="Q35" s="29">
        <f t="shared" si="1"/>
        <v>8.1199999999999992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2.9599999999999995</v>
      </c>
      <c r="C36" s="28">
        <f t="shared" si="2"/>
        <v>9.8591666666666651</v>
      </c>
      <c r="D36" s="28">
        <f t="shared" si="2"/>
        <v>12.660000000000002</v>
      </c>
      <c r="E36" s="28">
        <f t="shared" si="2"/>
        <v>4.6445833333333342</v>
      </c>
      <c r="F36" s="28">
        <f t="shared" si="2"/>
        <v>0.66749999999999998</v>
      </c>
      <c r="G36" s="28" t="e">
        <f t="shared" si="2"/>
        <v>#DIV/0!</v>
      </c>
      <c r="H36" s="28">
        <f t="shared" si="2"/>
        <v>3.77</v>
      </c>
      <c r="I36" s="28">
        <f t="shared" si="2"/>
        <v>4.9445833333333331</v>
      </c>
      <c r="J36" s="28">
        <f t="shared" si="2"/>
        <v>0.66500000000000004</v>
      </c>
      <c r="K36" s="28">
        <f t="shared" si="2"/>
        <v>185.72249999999997</v>
      </c>
      <c r="L36" s="28">
        <f t="shared" si="2"/>
        <v>36.533749999999998</v>
      </c>
      <c r="M36" s="28">
        <f t="shared" si="2"/>
        <v>95.976250000000007</v>
      </c>
      <c r="N36" s="28">
        <f t="shared" si="2"/>
        <v>68.241666666666688</v>
      </c>
      <c r="O36" s="28">
        <f t="shared" si="2"/>
        <v>0.29166666666666669</v>
      </c>
      <c r="P36" s="28">
        <f t="shared" si="2"/>
        <v>3.4283333333333332</v>
      </c>
      <c r="Q36" s="28">
        <f t="shared" si="2"/>
        <v>4.0412500000000007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1.6922868499780701</v>
      </c>
      <c r="C37" s="28">
        <f t="shared" si="3" ref="C37:Q37">STDEV(C9:C32)</f>
        <v>1.6697120727230548</v>
      </c>
      <c r="D37" s="28">
        <f t="shared" si="3"/>
        <v>3.0375805589603546</v>
      </c>
      <c r="E37" s="28">
        <f t="shared" si="3"/>
        <v>1.0906718279261998</v>
      </c>
      <c r="F37" s="28">
        <f t="shared" si="3"/>
        <v>0.31461847149952221</v>
      </c>
      <c r="G37" s="28" t="e">
        <f t="shared" si="3"/>
        <v>#DIV/0!</v>
      </c>
      <c r="H37" s="28">
        <f t="shared" si="3"/>
        <v>1.8164394220323017</v>
      </c>
      <c r="I37" s="28">
        <f t="shared" si="3"/>
        <v>2.4858573521749636</v>
      </c>
      <c r="J37" s="28">
        <f t="shared" si="3"/>
        <v>0.28251971843456847</v>
      </c>
      <c r="K37" s="28">
        <f t="shared" si="3"/>
        <v>42.04684181388366</v>
      </c>
      <c r="L37" s="28">
        <f t="shared" si="3"/>
        <v>1.8505270988229978</v>
      </c>
      <c r="M37" s="28">
        <f t="shared" si="3"/>
        <v>3.8562550119761676</v>
      </c>
      <c r="N37" s="28">
        <f t="shared" si="3"/>
        <v>67.159854187548333</v>
      </c>
      <c r="O37" s="28">
        <f t="shared" si="3"/>
        <v>0.41274970483403095</v>
      </c>
      <c r="P37" s="28">
        <f t="shared" si="3"/>
        <v>0.19383243921684942</v>
      </c>
      <c r="Q37" s="28">
        <f t="shared" si="3"/>
        <v>1.3543851886115812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144d7d-5550-44d9-ac8a-2b026191937b}">
  <sheetPr codeName=""/>
  <dimension ref="A1:U119"/>
  <sheetViews>
    <sheetView zoomScale="85" zoomScaleNormal="85" workbookViewId="0" topLeftCell="A1">
      <pane xSplit="2" ySplit="8" topLeftCell="C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P38" sqref="P38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301</v>
      </c>
      <c r="B9" s="51">
        <v>4.8899999999999997</v>
      </c>
      <c r="C9" s="51">
        <v>8.16</v>
      </c>
      <c r="D9" s="51">
        <v>13.05</v>
      </c>
      <c r="E9" s="51">
        <v>5.71</v>
      </c>
      <c r="F9" s="51">
        <v>0.31</v>
      </c>
      <c r="G9" s="53" t="s">
        <v>8</v>
      </c>
      <c r="H9" s="51">
        <v>2.29</v>
      </c>
      <c r="I9" s="51">
        <v>4.51</v>
      </c>
      <c r="J9" s="51">
        <v>0.68</v>
      </c>
      <c r="K9" s="51">
        <v>189.35</v>
      </c>
      <c r="L9" s="51">
        <v>35.68</v>
      </c>
      <c r="M9" s="51">
        <v>99.14</v>
      </c>
      <c r="N9" s="51">
        <v>15.60</v>
      </c>
      <c r="O9" s="51">
        <v>0</v>
      </c>
      <c r="P9" s="51">
        <v>3.39</v>
      </c>
      <c r="Q9" s="51">
        <v>4.88</v>
      </c>
      <c r="R9" s="43"/>
      <c r="S9" s="43"/>
      <c r="T9" s="43"/>
      <c r="U9" s="43"/>
    </row>
    <row r="10" spans="1:21" s="11" customFormat="1" ht="15">
      <c r="A10" s="50" t="s">
        <v>302</v>
      </c>
      <c r="B10" s="51">
        <v>3.87</v>
      </c>
      <c r="C10" s="51">
        <v>7.81</v>
      </c>
      <c r="D10" s="51">
        <v>11.68</v>
      </c>
      <c r="E10" s="51">
        <v>5.66</v>
      </c>
      <c r="F10" s="51">
        <v>0.33</v>
      </c>
      <c r="G10" s="53" t="s">
        <v>8</v>
      </c>
      <c r="H10" s="51">
        <v>2.79</v>
      </c>
      <c r="I10" s="51">
        <v>4.46</v>
      </c>
      <c r="J10" s="51">
        <v>0.64</v>
      </c>
      <c r="K10" s="51">
        <v>185.40</v>
      </c>
      <c r="L10" s="51">
        <v>36.44</v>
      </c>
      <c r="M10" s="51">
        <v>98.99</v>
      </c>
      <c r="N10" s="51">
        <v>15</v>
      </c>
      <c r="O10" s="51">
        <v>0</v>
      </c>
      <c r="P10" s="51">
        <v>3.36</v>
      </c>
      <c r="Q10" s="51">
        <v>4.3899999999999997</v>
      </c>
      <c r="R10" s="43"/>
      <c r="S10" s="43"/>
      <c r="T10" s="43"/>
      <c r="U10" s="43"/>
    </row>
    <row r="11" spans="1:21" s="11" customFormat="1" ht="15">
      <c r="A11" s="50" t="s">
        <v>303</v>
      </c>
      <c r="B11" s="51">
        <v>3.51</v>
      </c>
      <c r="C11" s="51">
        <v>7.84</v>
      </c>
      <c r="D11" s="51">
        <v>11.24</v>
      </c>
      <c r="E11" s="51">
        <v>6.38</v>
      </c>
      <c r="F11" s="51">
        <v>0.70</v>
      </c>
      <c r="G11" s="53" t="s">
        <v>8</v>
      </c>
      <c r="H11" s="51">
        <v>2.76</v>
      </c>
      <c r="I11" s="51">
        <v>4.22</v>
      </c>
      <c r="J11" s="51">
        <v>0.56000000000000005</v>
      </c>
      <c r="K11" s="51">
        <v>191.43</v>
      </c>
      <c r="L11" s="51">
        <v>36.15</v>
      </c>
      <c r="M11" s="51">
        <v>99.05</v>
      </c>
      <c r="N11" s="51">
        <v>15.60</v>
      </c>
      <c r="O11" s="51">
        <v>0</v>
      </c>
      <c r="P11" s="51">
        <v>3.35</v>
      </c>
      <c r="Q11" s="51">
        <v>4.79</v>
      </c>
      <c r="R11" s="43"/>
      <c r="S11" s="43"/>
      <c r="T11" s="43"/>
      <c r="U11" s="43"/>
    </row>
    <row r="12" spans="1:21" s="11" customFormat="1" ht="15">
      <c r="A12" s="50" t="s">
        <v>304</v>
      </c>
      <c r="B12" s="51">
        <v>3.28</v>
      </c>
      <c r="C12" s="51">
        <v>7.86</v>
      </c>
      <c r="D12" s="51">
        <v>11.15</v>
      </c>
      <c r="E12" s="51">
        <v>6.74</v>
      </c>
      <c r="F12" s="51">
        <v>0.60</v>
      </c>
      <c r="G12" s="53" t="s">
        <v>8</v>
      </c>
      <c r="H12" s="51">
        <v>4.24</v>
      </c>
      <c r="I12" s="51">
        <v>4.34</v>
      </c>
      <c r="J12" s="51">
        <v>0.89</v>
      </c>
      <c r="K12" s="51">
        <v>197.86</v>
      </c>
      <c r="L12" s="51">
        <v>36.090000000000003</v>
      </c>
      <c r="M12" s="51">
        <v>99.15</v>
      </c>
      <c r="N12" s="51">
        <v>15.40</v>
      </c>
      <c r="O12" s="51">
        <v>0.20</v>
      </c>
      <c r="P12" s="51">
        <v>3.34</v>
      </c>
      <c r="Q12" s="51">
        <v>4.76</v>
      </c>
      <c r="R12" s="43"/>
      <c r="S12" s="43"/>
      <c r="T12" s="43"/>
      <c r="U12" s="43"/>
    </row>
    <row r="13" spans="1:21" s="11" customFormat="1" ht="15">
      <c r="A13" s="50" t="s">
        <v>305</v>
      </c>
      <c r="B13" s="51">
        <v>2.85</v>
      </c>
      <c r="C13" s="51">
        <v>7.61</v>
      </c>
      <c r="D13" s="51">
        <v>10.37</v>
      </c>
      <c r="E13" s="51">
        <v>7.27</v>
      </c>
      <c r="F13" s="51">
        <v>0.47</v>
      </c>
      <c r="G13" s="53" t="s">
        <v>8</v>
      </c>
      <c r="H13" s="51">
        <v>4</v>
      </c>
      <c r="I13" s="51">
        <v>4.32</v>
      </c>
      <c r="J13" s="51">
        <v>0.96</v>
      </c>
      <c r="K13" s="51">
        <v>188.27</v>
      </c>
      <c r="L13" s="51">
        <v>36.49</v>
      </c>
      <c r="M13" s="51">
        <v>99.15</v>
      </c>
      <c r="N13" s="51">
        <v>15.40</v>
      </c>
      <c r="O13" s="51">
        <v>0</v>
      </c>
      <c r="P13" s="51">
        <v>3.32</v>
      </c>
      <c r="Q13" s="51">
        <v>3.73</v>
      </c>
      <c r="R13" s="43"/>
      <c r="S13" s="43"/>
      <c r="T13" s="43"/>
      <c r="U13" s="43"/>
    </row>
    <row r="14" spans="1:21" s="11" customFormat="1" ht="15">
      <c r="A14" s="50" t="s">
        <v>306</v>
      </c>
      <c r="B14" s="51">
        <v>2.78</v>
      </c>
      <c r="C14" s="51">
        <v>7.58</v>
      </c>
      <c r="D14" s="51">
        <v>10.36</v>
      </c>
      <c r="E14" s="51">
        <v>7.56</v>
      </c>
      <c r="F14" s="51">
        <v>0.73</v>
      </c>
      <c r="G14" s="53" t="s">
        <v>8</v>
      </c>
      <c r="H14" s="51">
        <v>3.26</v>
      </c>
      <c r="I14" s="51">
        <v>4.26</v>
      </c>
      <c r="J14" s="51">
        <v>0.52</v>
      </c>
      <c r="K14" s="51">
        <v>197.10</v>
      </c>
      <c r="L14" s="51">
        <v>39.53</v>
      </c>
      <c r="M14" s="51">
        <v>99.10</v>
      </c>
      <c r="N14" s="51">
        <v>24.40</v>
      </c>
      <c r="O14" s="51">
        <v>0</v>
      </c>
      <c r="P14" s="51">
        <v>3.31</v>
      </c>
      <c r="Q14" s="51">
        <v>4.13</v>
      </c>
      <c r="R14" s="43"/>
      <c r="S14" s="43"/>
      <c r="T14" s="43"/>
      <c r="U14" s="43"/>
    </row>
    <row r="15" spans="1:21" s="11" customFormat="1" ht="15">
      <c r="A15" s="50" t="s">
        <v>307</v>
      </c>
      <c r="B15" s="51">
        <v>3.20</v>
      </c>
      <c r="C15" s="51">
        <v>8.1300000000000008</v>
      </c>
      <c r="D15" s="51">
        <v>11.33</v>
      </c>
      <c r="E15" s="51">
        <v>8.51</v>
      </c>
      <c r="F15" s="51">
        <v>0.42</v>
      </c>
      <c r="G15" s="53" t="s">
        <v>8</v>
      </c>
      <c r="H15" s="51">
        <v>2.73</v>
      </c>
      <c r="I15" s="51">
        <v>4.09</v>
      </c>
      <c r="J15" s="51">
        <v>0.47</v>
      </c>
      <c r="K15" s="51">
        <v>212.96</v>
      </c>
      <c r="L15" s="9" t="s">
        <v>15</v>
      </c>
      <c r="M15" s="51">
        <v>99.11</v>
      </c>
      <c r="N15" s="51">
        <v>68.20</v>
      </c>
      <c r="O15" s="51">
        <v>0.60</v>
      </c>
      <c r="P15" s="51">
        <v>3.32</v>
      </c>
      <c r="Q15" s="51">
        <v>4.83</v>
      </c>
      <c r="R15" s="43"/>
      <c r="S15" s="43"/>
      <c r="T15" s="43"/>
      <c r="U15" s="43"/>
    </row>
    <row r="16" spans="1:21" s="11" customFormat="1" ht="15">
      <c r="A16" s="50" t="s">
        <v>308</v>
      </c>
      <c r="B16" s="51">
        <v>3.15</v>
      </c>
      <c r="C16" s="51">
        <v>8.36</v>
      </c>
      <c r="D16" s="51">
        <v>11.44</v>
      </c>
      <c r="E16" s="51">
        <v>7.76</v>
      </c>
      <c r="F16" s="51">
        <v>0.48</v>
      </c>
      <c r="G16" s="53" t="s">
        <v>8</v>
      </c>
      <c r="H16" s="51">
        <v>2.17</v>
      </c>
      <c r="I16" s="51">
        <v>4.24</v>
      </c>
      <c r="J16" s="51">
        <v>0.31</v>
      </c>
      <c r="K16" s="51">
        <v>226.52</v>
      </c>
      <c r="L16" s="9" t="s">
        <v>15</v>
      </c>
      <c r="M16" s="51">
        <v>97.61</v>
      </c>
      <c r="N16" s="51">
        <v>104.5</v>
      </c>
      <c r="O16" s="51">
        <v>0.20</v>
      </c>
      <c r="P16" s="51">
        <v>3.32</v>
      </c>
      <c r="Q16" s="51">
        <v>4.63</v>
      </c>
      <c r="R16" s="43"/>
      <c r="S16" s="43"/>
      <c r="T16" s="43"/>
      <c r="U16" s="43"/>
    </row>
    <row r="17" spans="1:21" s="11" customFormat="1" ht="15">
      <c r="A17" s="50" t="s">
        <v>309</v>
      </c>
      <c r="B17" s="51">
        <v>3.45</v>
      </c>
      <c r="C17" s="51">
        <v>8.5500000000000007</v>
      </c>
      <c r="D17" s="51">
        <v>11.84</v>
      </c>
      <c r="E17" s="51">
        <v>6.15</v>
      </c>
      <c r="F17" s="51">
        <v>0.42</v>
      </c>
      <c r="G17" s="53" t="s">
        <v>8</v>
      </c>
      <c r="H17" s="51">
        <v>2.78</v>
      </c>
      <c r="I17" s="51">
        <v>4.26</v>
      </c>
      <c r="J17" s="51">
        <v>0.20</v>
      </c>
      <c r="K17" s="51">
        <v>286.54000000000002</v>
      </c>
      <c r="L17" s="9" t="s">
        <v>15</v>
      </c>
      <c r="M17" s="51">
        <v>96.22</v>
      </c>
      <c r="N17" s="51">
        <v>184.90</v>
      </c>
      <c r="O17" s="51">
        <v>0.20</v>
      </c>
      <c r="P17" s="51">
        <v>3.34</v>
      </c>
      <c r="Q17" s="51">
        <v>4.1900000000000004</v>
      </c>
      <c r="R17" s="43"/>
      <c r="S17" s="43"/>
      <c r="T17" s="43"/>
      <c r="U17" s="43"/>
    </row>
    <row r="18" spans="1:21" s="11" customFormat="1" ht="15">
      <c r="A18" s="50" t="s">
        <v>310</v>
      </c>
      <c r="B18" s="51">
        <v>3.22</v>
      </c>
      <c r="C18" s="51">
        <v>10.23</v>
      </c>
      <c r="D18" s="51">
        <v>12.74</v>
      </c>
      <c r="E18" s="51">
        <v>5.82</v>
      </c>
      <c r="F18" s="51">
        <v>0.5</v>
      </c>
      <c r="G18" s="53" t="s">
        <v>8</v>
      </c>
      <c r="H18" s="51">
        <v>2.73</v>
      </c>
      <c r="I18" s="51">
        <v>4.18</v>
      </c>
      <c r="J18" s="51">
        <v>0.33</v>
      </c>
      <c r="K18" s="51">
        <v>230.49</v>
      </c>
      <c r="L18" s="51">
        <v>40.549999999999997</v>
      </c>
      <c r="M18" s="51">
        <v>92.22</v>
      </c>
      <c r="N18" s="51">
        <v>258.60000000000002</v>
      </c>
      <c r="O18" s="51">
        <v>0</v>
      </c>
      <c r="P18" s="51">
        <v>3.35</v>
      </c>
      <c r="Q18" s="51">
        <v>4.4800000000000004</v>
      </c>
      <c r="R18" s="43"/>
      <c r="S18" s="43"/>
      <c r="T18" s="43"/>
      <c r="U18" s="43"/>
    </row>
    <row r="19" spans="1:21" s="11" customFormat="1" ht="15">
      <c r="A19" s="50" t="s">
        <v>311</v>
      </c>
      <c r="B19" s="51">
        <v>2.38</v>
      </c>
      <c r="C19" s="51">
        <v>10.89</v>
      </c>
      <c r="D19" s="51">
        <v>13.23</v>
      </c>
      <c r="E19" s="51">
        <v>5.28</v>
      </c>
      <c r="F19" s="51">
        <v>0.84</v>
      </c>
      <c r="G19" s="53" t="s">
        <v>8</v>
      </c>
      <c r="H19" s="51">
        <v>3.74</v>
      </c>
      <c r="I19" s="51">
        <v>3.90</v>
      </c>
      <c r="J19" s="51">
        <v>0.56999999999999995</v>
      </c>
      <c r="K19" s="51">
        <v>244.77</v>
      </c>
      <c r="L19" s="51">
        <v>40.99</v>
      </c>
      <c r="M19" s="51">
        <v>86.45</v>
      </c>
      <c r="N19" s="51">
        <v>250.20</v>
      </c>
      <c r="O19" s="51">
        <v>0</v>
      </c>
      <c r="P19" s="51">
        <v>3.37</v>
      </c>
      <c r="Q19" s="51">
        <v>4.4400000000000004</v>
      </c>
      <c r="R19" s="43"/>
      <c r="S19" s="43"/>
      <c r="T19" s="43"/>
      <c r="U19" s="43"/>
    </row>
    <row r="20" spans="1:21" s="11" customFormat="1" ht="15">
      <c r="A20" s="50" t="s">
        <v>312</v>
      </c>
      <c r="B20" s="51">
        <v>2.23</v>
      </c>
      <c r="C20" s="51">
        <v>11.22</v>
      </c>
      <c r="D20" s="51">
        <v>12.67</v>
      </c>
      <c r="E20" s="51">
        <v>4.3600000000000003</v>
      </c>
      <c r="F20" s="51">
        <v>1.43</v>
      </c>
      <c r="G20" s="53" t="s">
        <v>8</v>
      </c>
      <c r="H20" s="51">
        <v>3.69</v>
      </c>
      <c r="I20" s="51">
        <v>3.78</v>
      </c>
      <c r="J20" s="51">
        <v>0.32</v>
      </c>
      <c r="K20" s="51">
        <v>229.43</v>
      </c>
      <c r="L20" s="9" t="s">
        <v>15</v>
      </c>
      <c r="M20" s="51">
        <v>86.96</v>
      </c>
      <c r="N20" s="51">
        <v>729.20</v>
      </c>
      <c r="O20" s="51">
        <v>0.40</v>
      </c>
      <c r="P20" s="51">
        <v>3.38</v>
      </c>
      <c r="Q20" s="51">
        <v>3.5</v>
      </c>
      <c r="R20" s="43"/>
      <c r="S20" s="43"/>
      <c r="T20" s="43"/>
      <c r="U20" s="43"/>
    </row>
    <row r="21" spans="1:21" s="11" customFormat="1" ht="15">
      <c r="A21" s="50" t="s">
        <v>313</v>
      </c>
      <c r="B21" s="51">
        <v>2.2999999999999998</v>
      </c>
      <c r="C21" s="51">
        <v>13.19</v>
      </c>
      <c r="D21" s="51">
        <v>15.29</v>
      </c>
      <c r="E21" s="51">
        <v>1.66</v>
      </c>
      <c r="F21" s="51">
        <v>2.09</v>
      </c>
      <c r="G21" s="53" t="s">
        <v>8</v>
      </c>
      <c r="H21" s="51">
        <v>6.65</v>
      </c>
      <c r="I21" s="51">
        <v>3.24</v>
      </c>
      <c r="J21" s="51">
        <v>0.38</v>
      </c>
      <c r="K21" s="51">
        <v>289.06</v>
      </c>
      <c r="L21" s="9" t="s">
        <v>15</v>
      </c>
      <c r="M21" s="51">
        <v>86.45</v>
      </c>
      <c r="N21" s="51">
        <v>569.60</v>
      </c>
      <c r="O21" s="51">
        <v>0.20</v>
      </c>
      <c r="P21" s="51">
        <v>3.45</v>
      </c>
      <c r="Q21" s="51">
        <v>3.33</v>
      </c>
      <c r="R21" s="43"/>
      <c r="S21" s="43"/>
      <c r="T21" s="43"/>
      <c r="U21" s="43"/>
    </row>
    <row r="22" spans="1:21" s="11" customFormat="1" ht="15">
      <c r="A22" s="50" t="s">
        <v>314</v>
      </c>
      <c r="B22" s="51">
        <v>1.60</v>
      </c>
      <c r="C22" s="51">
        <v>12.28</v>
      </c>
      <c r="D22" s="51">
        <v>13.55</v>
      </c>
      <c r="E22" s="51">
        <v>0.31</v>
      </c>
      <c r="F22" s="51">
        <v>1.99</v>
      </c>
      <c r="G22" s="53" t="s">
        <v>8</v>
      </c>
      <c r="H22" s="51">
        <v>6.77</v>
      </c>
      <c r="I22" s="51">
        <v>2.56</v>
      </c>
      <c r="J22" s="51">
        <v>0.19</v>
      </c>
      <c r="K22" s="51">
        <v>233.18</v>
      </c>
      <c r="L22" s="51">
        <v>47.09</v>
      </c>
      <c r="M22" s="51">
        <v>83.83</v>
      </c>
      <c r="N22" s="51">
        <v>259</v>
      </c>
      <c r="O22" s="51">
        <v>0</v>
      </c>
      <c r="P22" s="51">
        <v>3.52</v>
      </c>
      <c r="Q22" s="51">
        <v>3.05</v>
      </c>
      <c r="R22" s="43"/>
      <c r="S22" s="43"/>
      <c r="T22" s="43"/>
      <c r="U22" s="43"/>
    </row>
    <row r="23" spans="1:21" s="11" customFormat="1" ht="15">
      <c r="A23" s="50" t="s">
        <v>315</v>
      </c>
      <c r="B23" s="55" t="s">
        <v>15</v>
      </c>
      <c r="C23" s="55" t="s">
        <v>15</v>
      </c>
      <c r="D23" s="55" t="s">
        <v>15</v>
      </c>
      <c r="E23" s="51">
        <v>0.12</v>
      </c>
      <c r="F23" s="51">
        <v>2</v>
      </c>
      <c r="G23" s="53" t="s">
        <v>8</v>
      </c>
      <c r="H23" s="51">
        <v>6.55</v>
      </c>
      <c r="I23" s="51">
        <v>42.74</v>
      </c>
      <c r="J23" s="51">
        <v>0.27</v>
      </c>
      <c r="K23" s="51">
        <v>330.72</v>
      </c>
      <c r="L23" s="51">
        <v>62.04</v>
      </c>
      <c r="M23" s="51">
        <v>87.24</v>
      </c>
      <c r="N23" s="51">
        <v>268.80</v>
      </c>
      <c r="O23" s="51">
        <v>0.20</v>
      </c>
      <c r="P23" s="51">
        <v>3.51</v>
      </c>
      <c r="Q23" s="51">
        <v>3.02</v>
      </c>
      <c r="R23" s="43"/>
      <c r="S23" s="43"/>
      <c r="T23" s="43"/>
      <c r="U23" s="43"/>
    </row>
    <row r="24" spans="1:21" s="11" customFormat="1" ht="15">
      <c r="A24" s="50" t="s">
        <v>316</v>
      </c>
      <c r="B24" s="51">
        <v>2.3199999999999998</v>
      </c>
      <c r="C24" s="51">
        <v>13.30</v>
      </c>
      <c r="D24" s="51">
        <v>15.28</v>
      </c>
      <c r="E24" s="51">
        <v>0.62</v>
      </c>
      <c r="F24" s="51">
        <v>2.75</v>
      </c>
      <c r="G24" s="53" t="s">
        <v>8</v>
      </c>
      <c r="H24" s="51">
        <v>5.65</v>
      </c>
      <c r="I24" s="51">
        <v>71.45</v>
      </c>
      <c r="J24" s="51">
        <v>0.49</v>
      </c>
      <c r="K24" s="51">
        <v>236.02</v>
      </c>
      <c r="L24" s="51">
        <v>52.67</v>
      </c>
      <c r="M24" s="51">
        <v>87.51</v>
      </c>
      <c r="N24" s="51">
        <v>142.80000000000001</v>
      </c>
      <c r="O24" s="51">
        <v>0</v>
      </c>
      <c r="P24" s="51">
        <v>3.5</v>
      </c>
      <c r="Q24" s="51">
        <v>3.35</v>
      </c>
      <c r="R24" s="43"/>
      <c r="S24" s="43"/>
      <c r="T24" s="43"/>
      <c r="U24" s="43"/>
    </row>
    <row r="25" spans="1:21" s="11" customFormat="1" ht="15">
      <c r="A25" s="50" t="s">
        <v>317</v>
      </c>
      <c r="B25" s="51">
        <v>1.95</v>
      </c>
      <c r="C25" s="51">
        <v>10.11</v>
      </c>
      <c r="D25" s="51">
        <v>11.45</v>
      </c>
      <c r="E25" s="51">
        <v>3.25</v>
      </c>
      <c r="F25" s="51">
        <v>0.62</v>
      </c>
      <c r="G25" s="53" t="s">
        <v>8</v>
      </c>
      <c r="H25" s="51">
        <v>4.45</v>
      </c>
      <c r="I25" s="51">
        <v>39.450000000000003</v>
      </c>
      <c r="J25" s="51">
        <v>0.13</v>
      </c>
      <c r="K25" s="51">
        <v>250.14</v>
      </c>
      <c r="L25" s="51">
        <v>48.76</v>
      </c>
      <c r="M25" s="51">
        <v>87.71</v>
      </c>
      <c r="N25" s="51">
        <v>94.60</v>
      </c>
      <c r="O25" s="51">
        <v>0</v>
      </c>
      <c r="P25" s="51">
        <v>3.48</v>
      </c>
      <c r="Q25" s="51">
        <v>2.74</v>
      </c>
      <c r="R25" s="43"/>
      <c r="S25" s="43"/>
      <c r="T25" s="43"/>
      <c r="U25" s="43"/>
    </row>
    <row r="26" spans="1:21" s="11" customFormat="1" ht="15">
      <c r="A26" s="50" t="s">
        <v>318</v>
      </c>
      <c r="B26" s="51">
        <v>2.74</v>
      </c>
      <c r="C26" s="51">
        <v>8.89</v>
      </c>
      <c r="D26" s="51">
        <v>10.97</v>
      </c>
      <c r="E26" s="51">
        <v>4.41</v>
      </c>
      <c r="F26" s="51">
        <v>0.56000000000000005</v>
      </c>
      <c r="G26" s="53" t="s">
        <v>8</v>
      </c>
      <c r="H26" s="51">
        <v>3.52</v>
      </c>
      <c r="I26" s="51">
        <v>24.58</v>
      </c>
      <c r="J26" s="51">
        <v>0.59</v>
      </c>
      <c r="K26" s="51">
        <v>204.39</v>
      </c>
      <c r="L26" s="9" t="s">
        <v>15</v>
      </c>
      <c r="M26" s="51">
        <v>91.84</v>
      </c>
      <c r="N26" s="51">
        <v>43.80</v>
      </c>
      <c r="O26" s="51">
        <v>0.20</v>
      </c>
      <c r="P26" s="51">
        <v>3.48</v>
      </c>
      <c r="Q26" s="51">
        <v>3.89</v>
      </c>
      <c r="R26" s="43"/>
      <c r="S26" s="43"/>
      <c r="T26" s="43"/>
      <c r="U26" s="43"/>
    </row>
    <row r="27" spans="1:21" s="11" customFormat="1" ht="15">
      <c r="A27" s="50" t="s">
        <v>319</v>
      </c>
      <c r="B27" s="51">
        <v>3.13</v>
      </c>
      <c r="C27" s="51">
        <v>7.99</v>
      </c>
      <c r="D27" s="51">
        <v>11.12</v>
      </c>
      <c r="E27" s="51">
        <v>4.96</v>
      </c>
      <c r="F27" s="51">
        <v>0.54</v>
      </c>
      <c r="G27" s="53" t="s">
        <v>8</v>
      </c>
      <c r="H27" s="51">
        <v>3.01</v>
      </c>
      <c r="I27" s="51">
        <v>21.03</v>
      </c>
      <c r="J27" s="51">
        <v>0.71</v>
      </c>
      <c r="K27" s="51">
        <v>201.71</v>
      </c>
      <c r="L27" s="9" t="s">
        <v>15</v>
      </c>
      <c r="M27" s="51">
        <v>99.03</v>
      </c>
      <c r="N27" s="51">
        <v>19.5</v>
      </c>
      <c r="O27" s="51">
        <v>0.20</v>
      </c>
      <c r="P27" s="51">
        <v>3.46</v>
      </c>
      <c r="Q27" s="51">
        <v>4.84</v>
      </c>
      <c r="R27" s="43"/>
      <c r="S27" s="43"/>
      <c r="T27" s="43"/>
      <c r="U27" s="43"/>
    </row>
    <row r="28" spans="1:21" s="11" customFormat="1" ht="15">
      <c r="A28" s="50" t="s">
        <v>320</v>
      </c>
      <c r="B28" s="51">
        <v>4.04</v>
      </c>
      <c r="C28" s="51">
        <v>8.07</v>
      </c>
      <c r="D28" s="51">
        <v>11.63</v>
      </c>
      <c r="E28" s="51">
        <v>6.10</v>
      </c>
      <c r="F28" s="51">
        <v>0.26</v>
      </c>
      <c r="G28" s="53" t="s">
        <v>8</v>
      </c>
      <c r="H28" s="51">
        <v>2.4700000000000002</v>
      </c>
      <c r="I28" s="51">
        <v>17.45</v>
      </c>
      <c r="J28" s="51">
        <v>0.46</v>
      </c>
      <c r="K28" s="51">
        <v>224.47</v>
      </c>
      <c r="L28" s="51">
        <v>32.590000000000003</v>
      </c>
      <c r="M28" s="51">
        <v>98.90</v>
      </c>
      <c r="N28" s="51">
        <v>15.40</v>
      </c>
      <c r="O28" s="51">
        <v>0</v>
      </c>
      <c r="P28" s="51">
        <v>3.48</v>
      </c>
      <c r="Q28" s="51">
        <v>6.07</v>
      </c>
      <c r="R28" s="43"/>
      <c r="S28" s="43"/>
      <c r="T28" s="43"/>
      <c r="U28" s="43"/>
    </row>
    <row r="29" spans="1:21" s="11" customFormat="1" ht="15">
      <c r="A29" s="50" t="s">
        <v>321</v>
      </c>
      <c r="B29" s="51">
        <v>4.1100000000000003</v>
      </c>
      <c r="C29" s="51">
        <v>7.84</v>
      </c>
      <c r="D29" s="51">
        <v>11.46</v>
      </c>
      <c r="E29" s="51">
        <v>4.99</v>
      </c>
      <c r="F29" s="51">
        <v>0.25</v>
      </c>
      <c r="G29" s="53" t="s">
        <v>8</v>
      </c>
      <c r="H29" s="51">
        <v>2.21</v>
      </c>
      <c r="I29" s="51">
        <v>14.87</v>
      </c>
      <c r="J29" s="51">
        <v>0.34</v>
      </c>
      <c r="K29" s="51">
        <v>249</v>
      </c>
      <c r="L29" s="51">
        <v>33.42</v>
      </c>
      <c r="M29" s="51">
        <v>99.15</v>
      </c>
      <c r="N29" s="51">
        <v>15.40</v>
      </c>
      <c r="O29" s="51">
        <v>0.80</v>
      </c>
      <c r="P29" s="51">
        <v>3.48</v>
      </c>
      <c r="Q29" s="51">
        <v>7.09</v>
      </c>
      <c r="R29" s="43"/>
      <c r="S29" s="43"/>
      <c r="T29" s="43"/>
      <c r="U29" s="43"/>
    </row>
    <row r="30" spans="1:21" s="11" customFormat="1" ht="15">
      <c r="A30" s="50" t="s">
        <v>322</v>
      </c>
      <c r="B30" s="51">
        <v>4.18</v>
      </c>
      <c r="C30" s="51">
        <v>7.76</v>
      </c>
      <c r="D30" s="51">
        <v>11.86</v>
      </c>
      <c r="E30" s="51">
        <v>6.06</v>
      </c>
      <c r="F30" s="51">
        <v>0.52</v>
      </c>
      <c r="G30" s="53" t="s">
        <v>8</v>
      </c>
      <c r="H30" s="51">
        <v>1.81</v>
      </c>
      <c r="I30" s="51">
        <v>13.28</v>
      </c>
      <c r="J30" s="51">
        <v>0.39</v>
      </c>
      <c r="K30" s="51">
        <v>211.10</v>
      </c>
      <c r="L30" s="51">
        <v>32.549999999999997</v>
      </c>
      <c r="M30" s="51">
        <v>99.15</v>
      </c>
      <c r="N30" s="51">
        <v>15.30</v>
      </c>
      <c r="O30" s="51">
        <v>0</v>
      </c>
      <c r="P30" s="51">
        <v>3.47</v>
      </c>
      <c r="Q30" s="51">
        <v>8.23</v>
      </c>
      <c r="R30" s="43"/>
      <c r="S30" s="43"/>
      <c r="T30" s="43"/>
      <c r="U30" s="43"/>
    </row>
    <row r="31" spans="1:21" s="11" customFormat="1" ht="15">
      <c r="A31" s="50" t="s">
        <v>323</v>
      </c>
      <c r="B31" s="51">
        <v>4.09</v>
      </c>
      <c r="C31" s="51">
        <v>7.77</v>
      </c>
      <c r="D31" s="51">
        <v>11.86</v>
      </c>
      <c r="E31" s="51">
        <v>6.38</v>
      </c>
      <c r="F31" s="51">
        <v>0.46</v>
      </c>
      <c r="G31" s="53" t="s">
        <v>8</v>
      </c>
      <c r="H31" s="51">
        <v>2.2400000000000002</v>
      </c>
      <c r="I31" s="51">
        <v>12.16</v>
      </c>
      <c r="J31" s="51">
        <v>0.32</v>
      </c>
      <c r="K31" s="51">
        <v>218.70</v>
      </c>
      <c r="L31" s="51">
        <v>33.17</v>
      </c>
      <c r="M31" s="51">
        <v>99.14</v>
      </c>
      <c r="N31" s="51">
        <v>15.30</v>
      </c>
      <c r="O31" s="51">
        <v>0.40</v>
      </c>
      <c r="P31" s="51">
        <v>3.46</v>
      </c>
      <c r="Q31" s="51">
        <v>7.98</v>
      </c>
      <c r="R31" s="43"/>
      <c r="S31" s="43"/>
      <c r="T31" s="43"/>
      <c r="U31" s="43"/>
    </row>
    <row r="32" spans="1:21" s="11" customFormat="1" ht="15">
      <c r="A32" s="50" t="s">
        <v>324</v>
      </c>
      <c r="B32" s="51">
        <v>4.1399999999999997</v>
      </c>
      <c r="C32" s="51">
        <v>7.70</v>
      </c>
      <c r="D32" s="51">
        <v>11.46</v>
      </c>
      <c r="E32" s="51">
        <v>6.51</v>
      </c>
      <c r="F32" s="51">
        <v>0.25</v>
      </c>
      <c r="G32" s="53" t="s">
        <v>8</v>
      </c>
      <c r="H32" s="51">
        <v>2.42</v>
      </c>
      <c r="I32" s="51">
        <v>10.76</v>
      </c>
      <c r="J32" s="51">
        <v>1.34</v>
      </c>
      <c r="K32" s="51">
        <v>199.85</v>
      </c>
      <c r="L32" s="51">
        <v>32.64</v>
      </c>
      <c r="M32" s="51">
        <v>99.15</v>
      </c>
      <c r="N32" s="51">
        <v>15.5</v>
      </c>
      <c r="O32" s="51">
        <v>3.40</v>
      </c>
      <c r="P32" s="51">
        <v>3.45</v>
      </c>
      <c r="Q32" s="51">
        <v>8.27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1.6000000000000001</v>
      </c>
      <c r="C34" s="28">
        <f t="shared" si="0"/>
        <v>7.5800000000000001</v>
      </c>
      <c r="D34" s="28">
        <f t="shared" si="0"/>
        <v>10.359999999999999</v>
      </c>
      <c r="E34" s="28">
        <f t="shared" si="0"/>
        <v>0.12</v>
      </c>
      <c r="F34" s="28">
        <f t="shared" si="0"/>
        <v>0.25</v>
      </c>
      <c r="G34" s="28">
        <f t="shared" si="0"/>
        <v>0</v>
      </c>
      <c r="H34" s="28">
        <f t="shared" si="0"/>
        <v>1.8100000000000001</v>
      </c>
      <c r="I34" s="28">
        <f t="shared" si="0"/>
        <v>2.5600000000000001</v>
      </c>
      <c r="J34" s="28">
        <f t="shared" si="0"/>
        <v>0.13</v>
      </c>
      <c r="K34" s="28">
        <f t="shared" si="0"/>
        <v>185.40000000000001</v>
      </c>
      <c r="L34" s="28">
        <f t="shared" si="0"/>
        <v>32.549999999999997</v>
      </c>
      <c r="M34" s="28">
        <f t="shared" si="0"/>
        <v>83.829999999999998</v>
      </c>
      <c r="N34" s="28">
        <f t="shared" si="0"/>
        <v>15</v>
      </c>
      <c r="O34" s="28">
        <f t="shared" si="0"/>
        <v>0</v>
      </c>
      <c r="P34" s="28">
        <f t="shared" si="0"/>
        <v>3.3100000000000001</v>
      </c>
      <c r="Q34" s="28">
        <f t="shared" si="0"/>
        <v>2.7400000000000002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4.8899999999999997</v>
      </c>
      <c r="C35" s="29">
        <f t="shared" si="1"/>
        <v>13.300000000000001</v>
      </c>
      <c r="D35" s="29">
        <f t="shared" si="1"/>
        <v>15.289999999999999</v>
      </c>
      <c r="E35" s="29">
        <f t="shared" si="1"/>
        <v>8.5099999999999998</v>
      </c>
      <c r="F35" s="29">
        <f t="shared" si="1"/>
        <v>2.75</v>
      </c>
      <c r="G35" s="29">
        <f t="shared" si="1"/>
        <v>0</v>
      </c>
      <c r="H35" s="29">
        <f t="shared" si="1"/>
        <v>6.7699999999999996</v>
      </c>
      <c r="I35" s="29">
        <f t="shared" si="1"/>
        <v>71.450000000000003</v>
      </c>
      <c r="J35" s="29">
        <f t="shared" si="1"/>
        <v>1.3400000000000001</v>
      </c>
      <c r="K35" s="29">
        <f t="shared" si="1"/>
        <v>330.72000000000003</v>
      </c>
      <c r="L35" s="29">
        <f t="shared" si="1"/>
        <v>62.039999999999999</v>
      </c>
      <c r="M35" s="29">
        <f t="shared" si="1"/>
        <v>99.150000000000006</v>
      </c>
      <c r="N35" s="29">
        <f t="shared" si="1"/>
        <v>729.20000000000005</v>
      </c>
      <c r="O35" s="29">
        <f t="shared" si="1"/>
        <v>3.3999999999999999</v>
      </c>
      <c r="P35" s="29">
        <f t="shared" si="1"/>
        <v>3.52</v>
      </c>
      <c r="Q35" s="29">
        <f t="shared" si="1"/>
        <v>8.2699999999999996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3.1917391304347831</v>
      </c>
      <c r="C36" s="28">
        <f t="shared" si="2"/>
        <v>9.0930434782608689</v>
      </c>
      <c r="D36" s="28">
        <f t="shared" si="2"/>
        <v>12.044782608695652</v>
      </c>
      <c r="E36" s="28">
        <f t="shared" si="2"/>
        <v>5.1070833333333328</v>
      </c>
      <c r="F36" s="28">
        <f t="shared" si="2"/>
        <v>0.81333333333333346</v>
      </c>
      <c r="G36" s="28" t="e">
        <f t="shared" si="2"/>
        <v>#DIV/0!</v>
      </c>
      <c r="H36" s="28">
        <f t="shared" si="2"/>
        <v>3.538749999999999</v>
      </c>
      <c r="I36" s="28">
        <f t="shared" si="2"/>
        <v>13.505416666666667</v>
      </c>
      <c r="J36" s="28">
        <f t="shared" si="2"/>
        <v>0.50250000000000006</v>
      </c>
      <c r="K36" s="28">
        <f t="shared" si="2"/>
        <v>226.18583333333336</v>
      </c>
      <c r="L36" s="28">
        <f t="shared" si="2"/>
        <v>39.814705882352939</v>
      </c>
      <c r="M36" s="28">
        <f t="shared" si="2"/>
        <v>94.677083333333329</v>
      </c>
      <c r="N36" s="28">
        <f t="shared" si="2"/>
        <v>132.16666666666671</v>
      </c>
      <c r="O36" s="28">
        <f t="shared" si="2"/>
        <v>0.29166666666666669</v>
      </c>
      <c r="P36" s="28">
        <f t="shared" si="2"/>
        <v>3.4120833333333334</v>
      </c>
      <c r="Q36" s="28">
        <f t="shared" si="2"/>
        <v>4.7754166666666666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0.83874176421325775</v>
      </c>
      <c r="C37" s="28">
        <f t="shared" si="3" ref="C37:Q37">STDEV(C9:C32)</f>
        <v>1.8576437538466692</v>
      </c>
      <c r="D37" s="28">
        <f t="shared" si="3"/>
        <v>1.3139976116112864</v>
      </c>
      <c r="E37" s="28">
        <f t="shared" si="3"/>
        <v>2.3387519510212691</v>
      </c>
      <c r="F37" s="28">
        <f t="shared" si="3"/>
        <v>0.69379652866557751</v>
      </c>
      <c r="G37" s="28" t="e">
        <f t="shared" si="3"/>
        <v>#DIV/0!</v>
      </c>
      <c r="H37" s="28">
        <f t="shared" si="3"/>
        <v>1.4879262268411515</v>
      </c>
      <c r="I37" s="28">
        <f t="shared" si="3"/>
        <v>16.620078474979973</v>
      </c>
      <c r="J37" s="28">
        <f t="shared" si="3"/>
        <v>0.27525877153025968</v>
      </c>
      <c r="K37" s="28">
        <f t="shared" si="3"/>
        <v>35.923285764875367</v>
      </c>
      <c r="L37" s="28">
        <f t="shared" si="3"/>
        <v>8.301009816316844</v>
      </c>
      <c r="M37" s="28">
        <f t="shared" si="3"/>
        <v>5.6968965458066023</v>
      </c>
      <c r="N37" s="28">
        <f t="shared" si="3"/>
        <v>185.34526105919579</v>
      </c>
      <c r="O37" s="28">
        <f t="shared" si="3"/>
        <v>0.69527390077684448</v>
      </c>
      <c r="P37" s="28">
        <f t="shared" si="3"/>
        <v>0.071686465077881498</v>
      </c>
      <c r="Q37" s="28">
        <f t="shared" si="3"/>
        <v>1.6208183096058684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23</v>
      </c>
      <c r="C38" s="32">
        <f t="shared" si="4"/>
        <v>23</v>
      </c>
      <c r="D38" s="32">
        <f t="shared" si="4"/>
        <v>23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17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6367ed-e9eb-45d2-a307-1b0d87a30fac}">
  <sheetPr codeName=""/>
  <dimension ref="A1:U119"/>
  <sheetViews>
    <sheetView zoomScale="85" zoomScaleNormal="85" workbookViewId="0" topLeftCell="A1">
      <pane xSplit="2" ySplit="8" topLeftCell="C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8" sqref="Q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325</v>
      </c>
      <c r="B9" s="51">
        <v>4.46</v>
      </c>
      <c r="C9" s="51">
        <v>6.78</v>
      </c>
      <c r="D9" s="51">
        <v>11.06</v>
      </c>
      <c r="E9" s="51">
        <v>6.35</v>
      </c>
      <c r="F9" s="51">
        <v>0.47</v>
      </c>
      <c r="G9" s="53" t="s">
        <v>8</v>
      </c>
      <c r="H9" s="51">
        <v>4.5</v>
      </c>
      <c r="I9" s="51">
        <v>9.8800000000000008</v>
      </c>
      <c r="J9" s="51">
        <v>0.75</v>
      </c>
      <c r="K9" s="51">
        <v>218.42</v>
      </c>
      <c r="L9" s="51">
        <v>32.90</v>
      </c>
      <c r="M9" s="51">
        <v>99.15</v>
      </c>
      <c r="N9" s="51">
        <v>15.70</v>
      </c>
      <c r="O9" s="51">
        <v>0</v>
      </c>
      <c r="P9" s="51">
        <v>3.44</v>
      </c>
      <c r="Q9" s="51">
        <v>8.6300000000000008</v>
      </c>
      <c r="R9" s="43"/>
      <c r="S9" s="43"/>
      <c r="T9" s="43"/>
      <c r="U9" s="43"/>
    </row>
    <row r="10" spans="1:21" s="11" customFormat="1" ht="15">
      <c r="A10" s="50" t="s">
        <v>326</v>
      </c>
      <c r="B10" s="51">
        <v>4.3600000000000003</v>
      </c>
      <c r="C10" s="51">
        <v>6.87</v>
      </c>
      <c r="D10" s="51">
        <v>10.79</v>
      </c>
      <c r="E10" s="51">
        <v>6.90</v>
      </c>
      <c r="F10" s="51">
        <v>0.60</v>
      </c>
      <c r="G10" s="53" t="s">
        <v>8</v>
      </c>
      <c r="H10" s="51">
        <v>4.2300000000000004</v>
      </c>
      <c r="I10" s="51">
        <v>8.98</v>
      </c>
      <c r="J10" s="51">
        <v>0.35</v>
      </c>
      <c r="K10" s="51">
        <v>204.79</v>
      </c>
      <c r="L10" s="51">
        <v>33.11</v>
      </c>
      <c r="M10" s="51">
        <v>99.14</v>
      </c>
      <c r="N10" s="51">
        <v>15.80</v>
      </c>
      <c r="O10" s="51">
        <v>0</v>
      </c>
      <c r="P10" s="51">
        <v>3.43</v>
      </c>
      <c r="Q10" s="51">
        <v>8.89</v>
      </c>
      <c r="R10" s="43"/>
      <c r="S10" s="43"/>
      <c r="T10" s="43"/>
      <c r="U10" s="43"/>
    </row>
    <row r="11" spans="1:21" s="11" customFormat="1" ht="15">
      <c r="A11" s="50" t="s">
        <v>327</v>
      </c>
      <c r="B11" s="51">
        <v>3.44</v>
      </c>
      <c r="C11" s="51">
        <v>7</v>
      </c>
      <c r="D11" s="51">
        <v>10.42</v>
      </c>
      <c r="E11" s="51">
        <v>6.61</v>
      </c>
      <c r="F11" s="51">
        <v>0.44</v>
      </c>
      <c r="G11" s="53" t="s">
        <v>8</v>
      </c>
      <c r="H11" s="51">
        <v>3.32</v>
      </c>
      <c r="I11" s="51">
        <v>8.4700000000000006</v>
      </c>
      <c r="J11" s="51">
        <v>0.45</v>
      </c>
      <c r="K11" s="51">
        <v>297.63</v>
      </c>
      <c r="L11" s="51">
        <v>32.25</v>
      </c>
      <c r="M11" s="51">
        <v>99.12</v>
      </c>
      <c r="N11" s="51">
        <v>15.80</v>
      </c>
      <c r="O11" s="51">
        <v>0</v>
      </c>
      <c r="P11" s="51">
        <v>3.40</v>
      </c>
      <c r="Q11" s="51">
        <v>8.02</v>
      </c>
      <c r="R11" s="43"/>
      <c r="S11" s="43"/>
      <c r="T11" s="43"/>
      <c r="U11" s="43"/>
    </row>
    <row r="12" spans="1:21" s="11" customFormat="1" ht="15">
      <c r="A12" s="50" t="s">
        <v>328</v>
      </c>
      <c r="B12" s="51">
        <v>3.79</v>
      </c>
      <c r="C12" s="51">
        <v>6.76</v>
      </c>
      <c r="D12" s="51">
        <v>10.35</v>
      </c>
      <c r="E12" s="51">
        <v>7.03</v>
      </c>
      <c r="F12" s="51">
        <v>0.19</v>
      </c>
      <c r="G12" s="53" t="s">
        <v>8</v>
      </c>
      <c r="H12" s="51">
        <v>2.56</v>
      </c>
      <c r="I12" s="51">
        <v>7.38</v>
      </c>
      <c r="J12" s="51">
        <v>0.24</v>
      </c>
      <c r="K12" s="51">
        <v>307.16000000000003</v>
      </c>
      <c r="L12" s="51">
        <v>33.18</v>
      </c>
      <c r="M12" s="51">
        <v>99.15</v>
      </c>
      <c r="N12" s="51">
        <v>15.40</v>
      </c>
      <c r="O12" s="51">
        <v>0.20</v>
      </c>
      <c r="P12" s="51">
        <v>3.38</v>
      </c>
      <c r="Q12" s="51">
        <v>8.33</v>
      </c>
      <c r="R12" s="43"/>
      <c r="S12" s="43"/>
      <c r="T12" s="43"/>
      <c r="U12" s="43"/>
    </row>
    <row r="13" spans="1:21" s="11" customFormat="1" ht="15">
      <c r="A13" s="50" t="s">
        <v>329</v>
      </c>
      <c r="B13" s="51">
        <v>4.68</v>
      </c>
      <c r="C13" s="51">
        <v>6.90</v>
      </c>
      <c r="D13" s="51">
        <v>11.57</v>
      </c>
      <c r="E13" s="51">
        <v>7.27</v>
      </c>
      <c r="F13" s="51">
        <v>0.70</v>
      </c>
      <c r="G13" s="53" t="s">
        <v>8</v>
      </c>
      <c r="H13" s="51">
        <v>2.10</v>
      </c>
      <c r="I13" s="51">
        <v>7.13</v>
      </c>
      <c r="J13" s="51">
        <v>0.78</v>
      </c>
      <c r="K13" s="51">
        <v>165.98</v>
      </c>
      <c r="L13" s="51">
        <v>36.53</v>
      </c>
      <c r="M13" s="51">
        <v>99.14</v>
      </c>
      <c r="N13" s="51">
        <v>15.40</v>
      </c>
      <c r="O13" s="51">
        <v>0</v>
      </c>
      <c r="P13" s="51">
        <v>3.38</v>
      </c>
      <c r="Q13" s="51">
        <v>9.14</v>
      </c>
      <c r="R13" s="43"/>
      <c r="S13" s="43"/>
      <c r="T13" s="43"/>
      <c r="U13" s="43"/>
    </row>
    <row r="14" spans="1:21" s="11" customFormat="1" ht="15">
      <c r="A14" s="50" t="s">
        <v>330</v>
      </c>
      <c r="B14" s="51">
        <v>4.59</v>
      </c>
      <c r="C14" s="51">
        <v>7.57</v>
      </c>
      <c r="D14" s="51">
        <v>11.89</v>
      </c>
      <c r="E14" s="51">
        <v>7.14</v>
      </c>
      <c r="F14" s="51">
        <v>0.37</v>
      </c>
      <c r="G14" s="53" t="s">
        <v>8</v>
      </c>
      <c r="H14" s="51">
        <v>1.81</v>
      </c>
      <c r="I14" s="51">
        <v>7.34</v>
      </c>
      <c r="J14" s="51">
        <v>0.39</v>
      </c>
      <c r="K14" s="51">
        <v>219.28</v>
      </c>
      <c r="L14" s="51">
        <v>31.03</v>
      </c>
      <c r="M14" s="51">
        <v>99.09</v>
      </c>
      <c r="N14" s="51">
        <v>19.80</v>
      </c>
      <c r="O14" s="51">
        <v>0</v>
      </c>
      <c r="P14" s="51">
        <v>3.37</v>
      </c>
      <c r="Q14" s="51">
        <v>8.84</v>
      </c>
      <c r="R14" s="43"/>
      <c r="S14" s="43"/>
      <c r="T14" s="43"/>
      <c r="U14" s="43"/>
    </row>
    <row r="15" spans="1:21" s="11" customFormat="1" ht="15">
      <c r="A15" s="50" t="s">
        <v>331</v>
      </c>
      <c r="B15" s="51">
        <v>5.38</v>
      </c>
      <c r="C15" s="51">
        <v>8.0299999999999994</v>
      </c>
      <c r="D15" s="51">
        <v>13.33</v>
      </c>
      <c r="E15" s="51">
        <v>7.35</v>
      </c>
      <c r="F15" s="51">
        <v>0.38</v>
      </c>
      <c r="G15" s="53" t="s">
        <v>8</v>
      </c>
      <c r="H15" s="51">
        <v>1.61</v>
      </c>
      <c r="I15" s="51">
        <v>6.84</v>
      </c>
      <c r="J15" s="51">
        <v>0.18</v>
      </c>
      <c r="K15" s="51">
        <v>293.91000000000003</v>
      </c>
      <c r="L15" s="51">
        <v>31.39</v>
      </c>
      <c r="M15" s="51">
        <v>98.28</v>
      </c>
      <c r="N15" s="51">
        <v>90.40</v>
      </c>
      <c r="O15" s="51">
        <v>0</v>
      </c>
      <c r="P15" s="51">
        <v>3.37</v>
      </c>
      <c r="Q15" s="51">
        <v>8.9700000000000006</v>
      </c>
      <c r="R15" s="43"/>
      <c r="S15" s="43"/>
      <c r="T15" s="43"/>
      <c r="U15" s="43"/>
    </row>
    <row r="16" spans="1:21" s="11" customFormat="1" ht="15">
      <c r="A16" s="50" t="s">
        <v>332</v>
      </c>
      <c r="B16" s="51">
        <v>5.57</v>
      </c>
      <c r="C16" s="51">
        <v>9.33</v>
      </c>
      <c r="D16" s="51">
        <v>14.88</v>
      </c>
      <c r="E16" s="51">
        <v>7.11</v>
      </c>
      <c r="F16" s="51">
        <v>0.33</v>
      </c>
      <c r="G16" s="53" t="s">
        <v>8</v>
      </c>
      <c r="H16" s="51">
        <v>1.56</v>
      </c>
      <c r="I16" s="51">
        <v>6.06</v>
      </c>
      <c r="J16" s="51">
        <v>0.13</v>
      </c>
      <c r="K16" s="51">
        <v>321.18</v>
      </c>
      <c r="L16" s="51">
        <v>32.380000000000003</v>
      </c>
      <c r="M16" s="51">
        <v>92.49</v>
      </c>
      <c r="N16" s="51">
        <v>243.20</v>
      </c>
      <c r="O16" s="51">
        <v>0</v>
      </c>
      <c r="P16" s="51">
        <v>3.40</v>
      </c>
      <c r="Q16" s="51">
        <v>9.36</v>
      </c>
      <c r="R16" s="43"/>
      <c r="S16" s="43"/>
      <c r="T16" s="43"/>
      <c r="U16" s="43"/>
    </row>
    <row r="17" spans="1:21" s="11" customFormat="1" ht="15">
      <c r="A17" s="50" t="s">
        <v>333</v>
      </c>
      <c r="B17" s="51">
        <v>6.27</v>
      </c>
      <c r="C17" s="51">
        <v>10.85</v>
      </c>
      <c r="D17" s="51">
        <v>16.559999999999999</v>
      </c>
      <c r="E17" s="51">
        <v>5.76</v>
      </c>
      <c r="F17" s="51">
        <v>0.51</v>
      </c>
      <c r="G17" s="53" t="s">
        <v>8</v>
      </c>
      <c r="H17" s="51">
        <v>2.63</v>
      </c>
      <c r="I17" s="51">
        <v>6.08</v>
      </c>
      <c r="J17" s="51">
        <v>0.10</v>
      </c>
      <c r="K17" s="51">
        <v>352.67</v>
      </c>
      <c r="L17" s="51">
        <v>34.29</v>
      </c>
      <c r="M17" s="51">
        <v>85.36</v>
      </c>
      <c r="N17" s="51">
        <v>571.20000000000005</v>
      </c>
      <c r="O17" s="51">
        <v>0</v>
      </c>
      <c r="P17" s="51">
        <v>3.42</v>
      </c>
      <c r="Q17" s="51">
        <v>9.76</v>
      </c>
      <c r="R17" s="43"/>
      <c r="S17" s="43"/>
      <c r="T17" s="43"/>
      <c r="U17" s="43"/>
    </row>
    <row r="18" spans="1:21" s="11" customFormat="1" ht="15">
      <c r="A18" s="50" t="s">
        <v>334</v>
      </c>
      <c r="B18" s="51">
        <v>5.03</v>
      </c>
      <c r="C18" s="51">
        <v>12.02</v>
      </c>
      <c r="D18" s="51">
        <v>16.43</v>
      </c>
      <c r="E18" s="51">
        <v>4.6900000000000004</v>
      </c>
      <c r="F18" s="51">
        <v>0.84</v>
      </c>
      <c r="G18" s="53" t="s">
        <v>8</v>
      </c>
      <c r="H18" s="51">
        <v>2.75</v>
      </c>
      <c r="I18" s="51">
        <v>5.57</v>
      </c>
      <c r="J18" s="51">
        <v>0.27</v>
      </c>
      <c r="K18" s="51">
        <v>28.36</v>
      </c>
      <c r="L18" s="51">
        <v>35.369999999999997</v>
      </c>
      <c r="M18" s="51">
        <v>79.08</v>
      </c>
      <c r="N18" s="51">
        <v>562.79999999999995</v>
      </c>
      <c r="O18" s="51">
        <v>0</v>
      </c>
      <c r="P18" s="51">
        <v>3.44</v>
      </c>
      <c r="Q18" s="51">
        <v>8.75</v>
      </c>
      <c r="R18" s="43"/>
      <c r="S18" s="43"/>
      <c r="T18" s="43"/>
      <c r="U18" s="43"/>
    </row>
    <row r="19" spans="1:21" s="11" customFormat="1" ht="15">
      <c r="A19" s="50" t="s">
        <v>335</v>
      </c>
      <c r="B19" s="51">
        <v>4.1100000000000003</v>
      </c>
      <c r="C19" s="51">
        <v>16.149999999999999</v>
      </c>
      <c r="D19" s="51">
        <v>19.489999999999998</v>
      </c>
      <c r="E19" s="51">
        <v>3.15</v>
      </c>
      <c r="F19" s="51">
        <v>1.83</v>
      </c>
      <c r="G19" s="53" t="s">
        <v>8</v>
      </c>
      <c r="H19" s="51">
        <v>6.57</v>
      </c>
      <c r="I19" s="51">
        <v>4.55</v>
      </c>
      <c r="J19" s="51">
        <v>0.23</v>
      </c>
      <c r="K19" s="51">
        <v>44.99</v>
      </c>
      <c r="L19" s="51">
        <v>35.18</v>
      </c>
      <c r="M19" s="51">
        <v>76.83</v>
      </c>
      <c r="N19" s="51">
        <v>462.10</v>
      </c>
      <c r="O19" s="51">
        <v>0</v>
      </c>
      <c r="P19" s="51">
        <v>3.47</v>
      </c>
      <c r="Q19" s="51">
        <v>8.02</v>
      </c>
      <c r="R19" s="43"/>
      <c r="S19" s="43"/>
      <c r="T19" s="43"/>
      <c r="U19" s="43"/>
    </row>
    <row r="20" spans="1:21" s="11" customFormat="1" ht="15">
      <c r="A20" s="50" t="s">
        <v>336</v>
      </c>
      <c r="B20" s="51">
        <v>3.87</v>
      </c>
      <c r="C20" s="51">
        <v>22.43</v>
      </c>
      <c r="D20" s="51">
        <v>26.08</v>
      </c>
      <c r="E20" s="51">
        <v>1.1399999999999999</v>
      </c>
      <c r="F20" s="51">
        <v>3.71</v>
      </c>
      <c r="G20" s="53" t="s">
        <v>8</v>
      </c>
      <c r="H20" s="51">
        <v>6.06</v>
      </c>
      <c r="I20" s="51">
        <v>3.72</v>
      </c>
      <c r="J20" s="51">
        <v>0.14000000000000001</v>
      </c>
      <c r="K20" s="51">
        <v>358.82</v>
      </c>
      <c r="L20" s="9" t="s">
        <v>15</v>
      </c>
      <c r="M20" s="51">
        <v>74.650000000000006</v>
      </c>
      <c r="N20" s="51">
        <v>737.10</v>
      </c>
      <c r="O20" s="51">
        <v>0.20</v>
      </c>
      <c r="P20" s="51">
        <v>3.54</v>
      </c>
      <c r="Q20" s="51">
        <v>8.4600000000000009</v>
      </c>
      <c r="R20" s="43"/>
      <c r="S20" s="43"/>
      <c r="T20" s="43"/>
      <c r="U20" s="43"/>
    </row>
    <row r="21" spans="1:21" s="11" customFormat="1" ht="15">
      <c r="A21" s="50" t="s">
        <v>337</v>
      </c>
      <c r="B21" s="51">
        <v>3.60</v>
      </c>
      <c r="C21" s="51">
        <v>19.73</v>
      </c>
      <c r="D21" s="51">
        <v>23.34</v>
      </c>
      <c r="E21" s="51">
        <v>0.63</v>
      </c>
      <c r="F21" s="51">
        <v>4.0599999999999996</v>
      </c>
      <c r="G21" s="53" t="s">
        <v>8</v>
      </c>
      <c r="H21" s="51">
        <v>6.05</v>
      </c>
      <c r="I21" s="51">
        <v>2.86</v>
      </c>
      <c r="J21" s="51">
        <v>0.17</v>
      </c>
      <c r="K21" s="51">
        <v>333.82</v>
      </c>
      <c r="L21" s="51">
        <v>36.47</v>
      </c>
      <c r="M21" s="51">
        <v>73</v>
      </c>
      <c r="N21" s="51">
        <v>691</v>
      </c>
      <c r="O21" s="51">
        <v>0</v>
      </c>
      <c r="P21" s="51">
        <v>3.53</v>
      </c>
      <c r="Q21" s="51">
        <v>7.73</v>
      </c>
      <c r="R21" s="43"/>
      <c r="S21" s="43"/>
      <c r="T21" s="43"/>
      <c r="U21" s="43"/>
    </row>
    <row r="22" spans="1:21" s="11" customFormat="1" ht="15">
      <c r="A22" s="50" t="s">
        <v>338</v>
      </c>
      <c r="B22" s="51">
        <v>2.87</v>
      </c>
      <c r="C22" s="51">
        <v>13.42</v>
      </c>
      <c r="D22" s="51">
        <v>15.59</v>
      </c>
      <c r="E22" s="51">
        <v>1.55</v>
      </c>
      <c r="F22" s="51">
        <v>1.29</v>
      </c>
      <c r="G22" s="53" t="s">
        <v>8</v>
      </c>
      <c r="H22" s="51">
        <v>8.35</v>
      </c>
      <c r="I22" s="51">
        <v>2.78</v>
      </c>
      <c r="J22" s="51">
        <v>0.25</v>
      </c>
      <c r="K22" s="51">
        <v>357.89</v>
      </c>
      <c r="L22" s="51">
        <v>38.380000000000003</v>
      </c>
      <c r="M22" s="51">
        <v>69.48</v>
      </c>
      <c r="N22" s="51">
        <v>954.40</v>
      </c>
      <c r="O22" s="51">
        <v>0</v>
      </c>
      <c r="P22" s="51">
        <v>3.48</v>
      </c>
      <c r="Q22" s="51">
        <v>6.84</v>
      </c>
      <c r="R22" s="43"/>
      <c r="S22" s="43"/>
      <c r="T22" s="43"/>
      <c r="U22" s="43"/>
    </row>
    <row r="23" spans="1:21" s="11" customFormat="1" ht="15">
      <c r="A23" s="50" t="s">
        <v>339</v>
      </c>
      <c r="B23" s="51">
        <v>2.88</v>
      </c>
      <c r="C23" s="51">
        <v>11.66</v>
      </c>
      <c r="D23" s="51">
        <v>14.42</v>
      </c>
      <c r="E23" s="51">
        <v>1.58</v>
      </c>
      <c r="F23" s="51">
        <v>1.48</v>
      </c>
      <c r="G23" s="53" t="s">
        <v>8</v>
      </c>
      <c r="H23" s="51">
        <v>14.25</v>
      </c>
      <c r="I23" s="51">
        <v>3.18</v>
      </c>
      <c r="J23" s="51">
        <v>0.20</v>
      </c>
      <c r="K23" s="51">
        <v>313.33</v>
      </c>
      <c r="L23" s="51">
        <v>38.799999999999997</v>
      </c>
      <c r="M23" s="51">
        <v>68.290000000000006</v>
      </c>
      <c r="N23" s="51">
        <v>842.5</v>
      </c>
      <c r="O23" s="51">
        <v>0</v>
      </c>
      <c r="P23" s="51">
        <v>3.49</v>
      </c>
      <c r="Q23" s="51">
        <v>7.71</v>
      </c>
      <c r="R23" s="43"/>
      <c r="S23" s="43"/>
      <c r="T23" s="43"/>
      <c r="U23" s="43"/>
    </row>
    <row r="24" spans="1:21" s="11" customFormat="1" ht="15">
      <c r="A24" s="50" t="s">
        <v>340</v>
      </c>
      <c r="B24" s="51">
        <v>3.30</v>
      </c>
      <c r="C24" s="51">
        <v>17.89</v>
      </c>
      <c r="D24" s="51">
        <v>21.19</v>
      </c>
      <c r="E24" s="51">
        <v>1.90</v>
      </c>
      <c r="F24" s="51">
        <v>3.67</v>
      </c>
      <c r="G24" s="53" t="s">
        <v>8</v>
      </c>
      <c r="H24" s="51">
        <v>13.10</v>
      </c>
      <c r="I24" s="51">
        <v>4.4800000000000004</v>
      </c>
      <c r="J24" s="51">
        <v>0.14000000000000001</v>
      </c>
      <c r="K24" s="51">
        <v>200.58</v>
      </c>
      <c r="L24" s="51">
        <v>37.68</v>
      </c>
      <c r="M24" s="51">
        <v>70.05</v>
      </c>
      <c r="N24" s="51">
        <v>619.60</v>
      </c>
      <c r="O24" s="51">
        <v>0</v>
      </c>
      <c r="P24" s="51">
        <v>3.60</v>
      </c>
      <c r="Q24" s="51">
        <v>9.84</v>
      </c>
      <c r="R24" s="43"/>
      <c r="S24" s="43"/>
      <c r="T24" s="43"/>
      <c r="U24" s="43"/>
    </row>
    <row r="25" spans="1:21" s="11" customFormat="1" ht="15">
      <c r="A25" s="50" t="s">
        <v>341</v>
      </c>
      <c r="B25" s="51">
        <v>3.35</v>
      </c>
      <c r="C25" s="51">
        <v>14.13</v>
      </c>
      <c r="D25" s="51">
        <v>16.600000000000001</v>
      </c>
      <c r="E25" s="51">
        <v>2.2000000000000002</v>
      </c>
      <c r="F25" s="51">
        <v>0.83</v>
      </c>
      <c r="G25" s="53" t="s">
        <v>8</v>
      </c>
      <c r="H25" s="51">
        <v>12.01</v>
      </c>
      <c r="I25" s="51">
        <v>4.03</v>
      </c>
      <c r="J25" s="51">
        <v>0.21</v>
      </c>
      <c r="K25" s="51">
        <v>234.26</v>
      </c>
      <c r="L25" s="51">
        <v>36.68</v>
      </c>
      <c r="M25" s="51">
        <v>73.41</v>
      </c>
      <c r="N25" s="51">
        <v>303.30</v>
      </c>
      <c r="O25" s="51">
        <v>0</v>
      </c>
      <c r="P25" s="51">
        <v>3.53</v>
      </c>
      <c r="Q25" s="51">
        <v>9.4499999999999993</v>
      </c>
      <c r="R25" s="43"/>
      <c r="S25" s="43"/>
      <c r="T25" s="43"/>
      <c r="U25" s="43"/>
    </row>
    <row r="26" spans="1:21" s="11" customFormat="1" ht="15">
      <c r="A26" s="50" t="s">
        <v>342</v>
      </c>
      <c r="B26" s="51">
        <v>4.16</v>
      </c>
      <c r="C26" s="51">
        <v>10.65</v>
      </c>
      <c r="D26" s="51">
        <v>14.81</v>
      </c>
      <c r="E26" s="51">
        <v>3.02</v>
      </c>
      <c r="F26" s="51">
        <v>1.1499999999999999</v>
      </c>
      <c r="G26" s="53" t="s">
        <v>8</v>
      </c>
      <c r="H26" s="51">
        <v>11.98</v>
      </c>
      <c r="I26" s="51">
        <v>3.81</v>
      </c>
      <c r="J26" s="51">
        <v>0.14000000000000001</v>
      </c>
      <c r="K26" s="51">
        <v>223.17</v>
      </c>
      <c r="L26" s="9" t="s">
        <v>15</v>
      </c>
      <c r="M26" s="51">
        <v>75.20</v>
      </c>
      <c r="N26" s="51">
        <v>117.80</v>
      </c>
      <c r="O26" s="51">
        <v>1.40</v>
      </c>
      <c r="P26" s="51">
        <v>3.56</v>
      </c>
      <c r="Q26" s="51">
        <v>10.44</v>
      </c>
      <c r="R26" s="43"/>
      <c r="S26" s="43"/>
      <c r="T26" s="43"/>
      <c r="U26" s="43"/>
    </row>
    <row r="27" spans="1:21" s="11" customFormat="1" ht="15">
      <c r="A27" s="50" t="s">
        <v>343</v>
      </c>
      <c r="B27" s="51">
        <v>4.12</v>
      </c>
      <c r="C27" s="51">
        <v>17.309999999999999</v>
      </c>
      <c r="D27" s="51">
        <v>18.61</v>
      </c>
      <c r="E27" s="51">
        <v>2.5299999999999998</v>
      </c>
      <c r="F27" s="51">
        <v>5.13</v>
      </c>
      <c r="G27" s="53" t="s">
        <v>8</v>
      </c>
      <c r="H27" s="51">
        <v>12.22</v>
      </c>
      <c r="I27" s="51">
        <v>3.87</v>
      </c>
      <c r="J27" s="51">
        <v>0.25</v>
      </c>
      <c r="K27" s="51">
        <v>284.57</v>
      </c>
      <c r="L27" s="51">
        <v>35.76</v>
      </c>
      <c r="M27" s="51">
        <v>77.64</v>
      </c>
      <c r="N27" s="51">
        <v>55.10</v>
      </c>
      <c r="O27" s="51">
        <v>0</v>
      </c>
      <c r="P27" s="51">
        <v>3.59</v>
      </c>
      <c r="Q27" s="51">
        <v>11.08</v>
      </c>
      <c r="R27" s="43"/>
      <c r="S27" s="43"/>
      <c r="T27" s="43"/>
      <c r="U27" s="43"/>
    </row>
    <row r="28" spans="1:21" s="11" customFormat="1" ht="15">
      <c r="A28" s="50" t="s">
        <v>344</v>
      </c>
      <c r="B28" s="51">
        <v>1.84</v>
      </c>
      <c r="C28" s="51">
        <v>15.62</v>
      </c>
      <c r="D28" s="51">
        <v>16.23</v>
      </c>
      <c r="E28" s="51">
        <v>1.93</v>
      </c>
      <c r="F28" s="51">
        <v>1.26</v>
      </c>
      <c r="G28" s="53" t="s">
        <v>8</v>
      </c>
      <c r="H28" s="51">
        <v>11.28</v>
      </c>
      <c r="I28" s="51">
        <v>3.13</v>
      </c>
      <c r="J28" s="51">
        <v>0.30</v>
      </c>
      <c r="K28" s="51">
        <v>216.82</v>
      </c>
      <c r="L28" s="51">
        <v>35.04</v>
      </c>
      <c r="M28" s="51">
        <v>80.14</v>
      </c>
      <c r="N28" s="51">
        <v>15.40</v>
      </c>
      <c r="O28" s="51">
        <v>0</v>
      </c>
      <c r="P28" s="51">
        <v>3.55</v>
      </c>
      <c r="Q28" s="51">
        <v>11.74</v>
      </c>
      <c r="R28" s="43"/>
      <c r="S28" s="43"/>
      <c r="T28" s="43"/>
      <c r="U28" s="43"/>
    </row>
    <row r="29" spans="1:21" s="11" customFormat="1" ht="15">
      <c r="A29" s="50" t="s">
        <v>345</v>
      </c>
      <c r="B29" s="51">
        <v>3.75</v>
      </c>
      <c r="C29" s="51">
        <v>9.9700000000000006</v>
      </c>
      <c r="D29" s="51">
        <v>13.14</v>
      </c>
      <c r="E29" s="51">
        <v>3.36</v>
      </c>
      <c r="F29" s="51">
        <v>0.69</v>
      </c>
      <c r="G29" s="53" t="s">
        <v>8</v>
      </c>
      <c r="H29" s="51">
        <v>8.84</v>
      </c>
      <c r="I29" s="51">
        <v>3.63</v>
      </c>
      <c r="J29" s="51">
        <v>0.26</v>
      </c>
      <c r="K29" s="51">
        <v>272.72000000000003</v>
      </c>
      <c r="L29" s="51">
        <v>34.75</v>
      </c>
      <c r="M29" s="51">
        <v>81.290000000000006</v>
      </c>
      <c r="N29" s="51">
        <v>15.10</v>
      </c>
      <c r="O29" s="51">
        <v>0</v>
      </c>
      <c r="P29" s="51">
        <v>3.61</v>
      </c>
      <c r="Q29" s="51">
        <v>12.98</v>
      </c>
      <c r="R29" s="43"/>
      <c r="S29" s="43"/>
      <c r="T29" s="43"/>
      <c r="U29" s="43"/>
    </row>
    <row r="30" spans="1:21" s="11" customFormat="1" ht="15">
      <c r="A30" s="50" t="s">
        <v>346</v>
      </c>
      <c r="B30" s="51">
        <v>4.9800000000000004</v>
      </c>
      <c r="C30" s="51">
        <v>8.14</v>
      </c>
      <c r="D30" s="51">
        <v>11.99</v>
      </c>
      <c r="E30" s="51">
        <v>4.5599999999999996</v>
      </c>
      <c r="F30" s="51">
        <v>0.45</v>
      </c>
      <c r="G30" s="53" t="s">
        <v>8</v>
      </c>
      <c r="H30" s="51">
        <v>8.23</v>
      </c>
      <c r="I30" s="51">
        <v>3.89</v>
      </c>
      <c r="J30" s="51">
        <v>0.15</v>
      </c>
      <c r="K30" s="51">
        <v>256.26</v>
      </c>
      <c r="L30" s="51">
        <v>34.450000000000003</v>
      </c>
      <c r="M30" s="51">
        <v>83.89</v>
      </c>
      <c r="N30" s="51">
        <v>15.10</v>
      </c>
      <c r="O30" s="51">
        <v>0</v>
      </c>
      <c r="P30" s="51">
        <v>3.64</v>
      </c>
      <c r="Q30" s="51">
        <v>13.01</v>
      </c>
      <c r="R30" s="43"/>
      <c r="S30" s="43"/>
      <c r="T30" s="43"/>
      <c r="U30" s="43"/>
    </row>
    <row r="31" spans="1:21" s="11" customFormat="1" ht="15">
      <c r="A31" s="50" t="s">
        <v>347</v>
      </c>
      <c r="B31" s="51">
        <v>6.07</v>
      </c>
      <c r="C31" s="51">
        <v>7.71</v>
      </c>
      <c r="D31" s="51">
        <v>13.78</v>
      </c>
      <c r="E31" s="51">
        <v>5.19</v>
      </c>
      <c r="F31" s="51">
        <v>0.60</v>
      </c>
      <c r="G31" s="53" t="s">
        <v>8</v>
      </c>
      <c r="H31" s="51">
        <v>8.5299999999999994</v>
      </c>
      <c r="I31" s="51">
        <v>4.1399999999999997</v>
      </c>
      <c r="J31" s="51">
        <v>0.13</v>
      </c>
      <c r="K31" s="51">
        <v>263.35000000000002</v>
      </c>
      <c r="L31" s="51">
        <v>34.229999999999997</v>
      </c>
      <c r="M31" s="51">
        <v>84.07</v>
      </c>
      <c r="N31" s="51">
        <v>15.20</v>
      </c>
      <c r="O31" s="51">
        <v>0</v>
      </c>
      <c r="P31" s="51">
        <v>3.65</v>
      </c>
      <c r="Q31" s="51">
        <v>12.83</v>
      </c>
      <c r="R31" s="43"/>
      <c r="S31" s="43"/>
      <c r="T31" s="43"/>
      <c r="U31" s="43"/>
    </row>
    <row r="32" spans="1:21" s="11" customFormat="1" ht="15">
      <c r="A32" s="50" t="s">
        <v>348</v>
      </c>
      <c r="B32" s="51">
        <v>5.92</v>
      </c>
      <c r="C32" s="51">
        <v>8.59</v>
      </c>
      <c r="D32" s="51">
        <v>13.91</v>
      </c>
      <c r="E32" s="51">
        <v>5.65</v>
      </c>
      <c r="F32" s="51">
        <v>0.57999999999999996</v>
      </c>
      <c r="G32" s="53" t="s">
        <v>8</v>
      </c>
      <c r="H32" s="51">
        <v>10.15</v>
      </c>
      <c r="I32" s="51">
        <v>4.3499999999999996</v>
      </c>
      <c r="J32" s="51">
        <v>0.16</v>
      </c>
      <c r="K32" s="51">
        <v>343.99</v>
      </c>
      <c r="L32" s="9" t="s">
        <v>15</v>
      </c>
      <c r="M32" s="51">
        <v>92.68</v>
      </c>
      <c r="N32" s="51">
        <v>15.30</v>
      </c>
      <c r="O32" s="51">
        <v>0.20</v>
      </c>
      <c r="P32" s="51">
        <v>3.62</v>
      </c>
      <c r="Q32" s="51">
        <v>13.43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1.8400000000000001</v>
      </c>
      <c r="C34" s="28">
        <f t="shared" si="0"/>
        <v>6.7599999999999998</v>
      </c>
      <c r="D34" s="28">
        <f t="shared" si="0"/>
        <v>10.35</v>
      </c>
      <c r="E34" s="28">
        <f t="shared" si="0"/>
        <v>0.63</v>
      </c>
      <c r="F34" s="28">
        <f t="shared" si="0"/>
        <v>0.19</v>
      </c>
      <c r="G34" s="28">
        <f t="shared" si="0"/>
        <v>0</v>
      </c>
      <c r="H34" s="28">
        <f t="shared" si="0"/>
        <v>1.5600000000000001</v>
      </c>
      <c r="I34" s="28">
        <f t="shared" si="0"/>
        <v>2.7799999999999998</v>
      </c>
      <c r="J34" s="28">
        <f t="shared" si="0"/>
        <v>0.10000000000000001</v>
      </c>
      <c r="K34" s="28">
        <f t="shared" si="0"/>
        <v>28.359999999999999</v>
      </c>
      <c r="L34" s="28">
        <f t="shared" si="0"/>
        <v>31.030000000000001</v>
      </c>
      <c r="M34" s="28">
        <f t="shared" si="0"/>
        <v>68.290000000000006</v>
      </c>
      <c r="N34" s="28">
        <f t="shared" si="0"/>
        <v>15.1</v>
      </c>
      <c r="O34" s="28">
        <f t="shared" si="0"/>
        <v>0</v>
      </c>
      <c r="P34" s="28">
        <f t="shared" si="0"/>
        <v>3.3700000000000001</v>
      </c>
      <c r="Q34" s="28">
        <f t="shared" si="0"/>
        <v>6.8399999999999999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6.2699999999999996</v>
      </c>
      <c r="C35" s="29">
        <f t="shared" si="1"/>
        <v>22.43</v>
      </c>
      <c r="D35" s="29">
        <f t="shared" si="1"/>
        <v>26.079999999999998</v>
      </c>
      <c r="E35" s="29">
        <f t="shared" si="1"/>
        <v>7.3499999999999996</v>
      </c>
      <c r="F35" s="29">
        <f t="shared" si="1"/>
        <v>5.1299999999999999</v>
      </c>
      <c r="G35" s="29">
        <f t="shared" si="1"/>
        <v>0</v>
      </c>
      <c r="H35" s="29">
        <f t="shared" si="1"/>
        <v>14.25</v>
      </c>
      <c r="I35" s="29">
        <f t="shared" si="1"/>
        <v>9.8800000000000008</v>
      </c>
      <c r="J35" s="29">
        <f t="shared" si="1"/>
        <v>0.78000000000000003</v>
      </c>
      <c r="K35" s="29">
        <f t="shared" si="1"/>
        <v>358.81999999999999</v>
      </c>
      <c r="L35" s="29">
        <f t="shared" si="1"/>
        <v>38.799999999999997</v>
      </c>
      <c r="M35" s="29">
        <f t="shared" si="1"/>
        <v>99.150000000000006</v>
      </c>
      <c r="N35" s="29">
        <f t="shared" si="1"/>
        <v>954.39999999999998</v>
      </c>
      <c r="O35" s="29">
        <f t="shared" si="1"/>
        <v>1.3999999999999999</v>
      </c>
      <c r="P35" s="29">
        <f t="shared" si="1"/>
        <v>3.6499999999999999</v>
      </c>
      <c r="Q35" s="29">
        <f t="shared" si="1"/>
        <v>13.43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4.2662500000000003</v>
      </c>
      <c r="C36" s="28">
        <f t="shared" si="2"/>
        <v>11.479583333333331</v>
      </c>
      <c r="D36" s="28">
        <f t="shared" si="2"/>
        <v>15.269166666666669</v>
      </c>
      <c r="E36" s="28">
        <f t="shared" si="2"/>
        <v>4.3583333333333334</v>
      </c>
      <c r="F36" s="28">
        <f t="shared" si="2"/>
        <v>1.3149999999999997</v>
      </c>
      <c r="G36" s="28" t="e">
        <f t="shared" si="2"/>
        <v>#DIV/0!</v>
      </c>
      <c r="H36" s="28">
        <f t="shared" si="2"/>
        <v>6.8620833333333335</v>
      </c>
      <c r="I36" s="28">
        <f t="shared" si="2"/>
        <v>5.2562500000000005</v>
      </c>
      <c r="J36" s="28">
        <f t="shared" si="2"/>
        <v>0.26541666666666669</v>
      </c>
      <c r="K36" s="28">
        <f t="shared" si="2"/>
        <v>254.74791666666667</v>
      </c>
      <c r="L36" s="28">
        <f t="shared" si="2"/>
        <v>34.754761904761907</v>
      </c>
      <c r="M36" s="28">
        <f t="shared" si="2"/>
        <v>84.609166666666695</v>
      </c>
      <c r="N36" s="28">
        <f t="shared" si="2"/>
        <v>267.68750000000006</v>
      </c>
      <c r="O36" s="28">
        <f t="shared" si="2"/>
        <v>0.083333333333333329</v>
      </c>
      <c r="P36" s="28">
        <f t="shared" si="2"/>
        <v>3.4954166666666668</v>
      </c>
      <c r="Q36" s="28">
        <f t="shared" si="2"/>
        <v>9.6770833333333339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1.0978984371338136</v>
      </c>
      <c r="C37" s="28">
        <f t="shared" si="3" ref="C37:Q37">STDEV(C9:C32)</f>
        <v>4.6093831325155517</v>
      </c>
      <c r="D37" s="28">
        <f t="shared" si="3"/>
        <v>4.1000879276538331</v>
      </c>
      <c r="E37" s="28">
        <f t="shared" si="3"/>
        <v>2.3209867966330453</v>
      </c>
      <c r="F37" s="28">
        <f t="shared" si="3"/>
        <v>1.3731271830641052</v>
      </c>
      <c r="G37" s="28" t="e">
        <f t="shared" si="3"/>
        <v>#DIV/0!</v>
      </c>
      <c r="H37" s="28">
        <f t="shared" si="3"/>
        <v>4.1685614025304547</v>
      </c>
      <c r="I37" s="28">
        <f t="shared" si="3"/>
        <v>2.0655640612927852</v>
      </c>
      <c r="J37" s="28">
        <f t="shared" si="3"/>
        <v>0.17685609887743453</v>
      </c>
      <c r="K37" s="28">
        <f t="shared" si="3"/>
        <v>87.10826856270738</v>
      </c>
      <c r="L37" s="28">
        <f t="shared" si="3"/>
        <v>2.1889829123307898</v>
      </c>
      <c r="M37" s="28">
        <f t="shared" si="3"/>
        <v>11.241739737195376</v>
      </c>
      <c r="N37" s="28">
        <f t="shared" si="3"/>
        <v>319.0455266851834</v>
      </c>
      <c r="O37" s="28">
        <f t="shared" si="3"/>
        <v>0.2884240035036984</v>
      </c>
      <c r="P37" s="28">
        <f t="shared" si="3"/>
        <v>0.092828929461281282</v>
      </c>
      <c r="Q37" s="28">
        <f t="shared" si="3"/>
        <v>1.8835223228248923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21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354c63-7be7-4574-9103-d22d60a2c600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O38" sqref="O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349</v>
      </c>
      <c r="B9" s="51">
        <v>5.17</v>
      </c>
      <c r="C9" s="51">
        <v>8.56</v>
      </c>
      <c r="D9" s="51">
        <v>13.73</v>
      </c>
      <c r="E9" s="51">
        <v>5.20</v>
      </c>
      <c r="F9" s="51">
        <v>0.70</v>
      </c>
      <c r="G9" s="53" t="s">
        <v>8</v>
      </c>
      <c r="H9" s="51">
        <v>9.42</v>
      </c>
      <c r="I9" s="51">
        <v>4.18</v>
      </c>
      <c r="J9" s="51">
        <v>0.16</v>
      </c>
      <c r="K9" s="51">
        <v>265.01</v>
      </c>
      <c r="L9" s="51">
        <v>32.92</v>
      </c>
      <c r="M9" s="51">
        <v>97.16</v>
      </c>
      <c r="N9" s="51">
        <v>15</v>
      </c>
      <c r="O9" s="51">
        <v>0.20</v>
      </c>
      <c r="P9" s="51">
        <v>3.56</v>
      </c>
      <c r="Q9" s="51">
        <v>13.15</v>
      </c>
      <c r="R9" s="43"/>
      <c r="S9" s="43"/>
      <c r="T9" s="43"/>
      <c r="U9" s="43"/>
    </row>
    <row r="10" spans="1:21" s="11" customFormat="1" ht="15">
      <c r="A10" s="50" t="s">
        <v>350</v>
      </c>
      <c r="B10" s="51">
        <v>4.66</v>
      </c>
      <c r="C10" s="51">
        <v>6.41</v>
      </c>
      <c r="D10" s="51">
        <v>11.07</v>
      </c>
      <c r="E10" s="51">
        <v>6.20</v>
      </c>
      <c r="F10" s="51">
        <v>1</v>
      </c>
      <c r="G10" s="53" t="s">
        <v>8</v>
      </c>
      <c r="H10" s="51">
        <v>7.13</v>
      </c>
      <c r="I10" s="51">
        <v>3.81</v>
      </c>
      <c r="J10" s="51">
        <v>0.08</v>
      </c>
      <c r="K10" s="51">
        <v>220.17</v>
      </c>
      <c r="L10" s="51">
        <v>33.08</v>
      </c>
      <c r="M10" s="51">
        <v>98.15</v>
      </c>
      <c r="N10" s="51">
        <v>15.20</v>
      </c>
      <c r="O10" s="51">
        <v>0.20</v>
      </c>
      <c r="P10" s="51">
        <v>3.53</v>
      </c>
      <c r="Q10" s="51">
        <v>11.93</v>
      </c>
      <c r="R10" s="43"/>
      <c r="S10" s="43"/>
      <c r="T10" s="43"/>
      <c r="U10" s="43"/>
    </row>
    <row r="11" spans="1:21" s="11" customFormat="1" ht="15">
      <c r="A11" s="50" t="s">
        <v>351</v>
      </c>
      <c r="B11" s="51">
        <v>4.2699999999999996</v>
      </c>
      <c r="C11" s="51">
        <v>7.09</v>
      </c>
      <c r="D11" s="51">
        <v>10.59</v>
      </c>
      <c r="E11" s="51">
        <v>5.98</v>
      </c>
      <c r="F11" s="51">
        <v>0.79</v>
      </c>
      <c r="G11" s="53" t="s">
        <v>8</v>
      </c>
      <c r="H11" s="51">
        <v>5.47</v>
      </c>
      <c r="I11" s="51">
        <v>3.99</v>
      </c>
      <c r="J11" s="51">
        <v>0.14000000000000001</v>
      </c>
      <c r="K11" s="51">
        <v>61.69</v>
      </c>
      <c r="L11" s="51">
        <v>33.090000000000003</v>
      </c>
      <c r="M11" s="51">
        <v>93.38</v>
      </c>
      <c r="N11" s="51">
        <v>15</v>
      </c>
      <c r="O11" s="51">
        <v>0</v>
      </c>
      <c r="P11" s="51">
        <v>3.5</v>
      </c>
      <c r="Q11" s="51">
        <v>11.58</v>
      </c>
      <c r="R11" s="43"/>
      <c r="S11" s="43"/>
      <c r="T11" s="43"/>
      <c r="U11" s="43"/>
    </row>
    <row r="12" spans="1:21" s="11" customFormat="1" ht="15">
      <c r="A12" s="50" t="s">
        <v>352</v>
      </c>
      <c r="B12" s="51">
        <v>2.5099999999999998</v>
      </c>
      <c r="C12" s="51">
        <v>7.23</v>
      </c>
      <c r="D12" s="51">
        <v>9.68</v>
      </c>
      <c r="E12" s="51">
        <v>5.59</v>
      </c>
      <c r="F12" s="51">
        <v>0.87</v>
      </c>
      <c r="G12" s="53" t="s">
        <v>8</v>
      </c>
      <c r="H12" s="51">
        <v>4.18</v>
      </c>
      <c r="I12" s="51">
        <v>3.74</v>
      </c>
      <c r="J12" s="51">
        <v>0.14000000000000001</v>
      </c>
      <c r="K12" s="51">
        <v>70.42</v>
      </c>
      <c r="L12" s="51">
        <v>32.92</v>
      </c>
      <c r="M12" s="51">
        <v>93.92</v>
      </c>
      <c r="N12" s="51">
        <v>15</v>
      </c>
      <c r="O12" s="51">
        <v>0.20</v>
      </c>
      <c r="P12" s="51">
        <v>3.43</v>
      </c>
      <c r="Q12" s="51">
        <v>10.66</v>
      </c>
      <c r="R12" s="43"/>
      <c r="S12" s="43"/>
      <c r="T12" s="43"/>
      <c r="U12" s="43"/>
    </row>
    <row r="13" spans="1:21" s="11" customFormat="1" ht="15">
      <c r="A13" s="50" t="s">
        <v>353</v>
      </c>
      <c r="B13" s="51">
        <v>1.42</v>
      </c>
      <c r="C13" s="51">
        <v>6.66</v>
      </c>
      <c r="D13" s="51">
        <v>8.0299999999999994</v>
      </c>
      <c r="E13" s="51">
        <v>4.79</v>
      </c>
      <c r="F13" s="51">
        <v>0.63</v>
      </c>
      <c r="G13" s="53" t="s">
        <v>8</v>
      </c>
      <c r="H13" s="51">
        <v>3.34</v>
      </c>
      <c r="I13" s="51">
        <v>3.22</v>
      </c>
      <c r="J13" s="51">
        <v>0.22</v>
      </c>
      <c r="K13" s="51">
        <v>71.599999999999994</v>
      </c>
      <c r="L13" s="51">
        <v>32.909999999999997</v>
      </c>
      <c r="M13" s="51">
        <v>95.62</v>
      </c>
      <c r="N13" s="51">
        <v>14.90</v>
      </c>
      <c r="O13" s="51">
        <v>0.20</v>
      </c>
      <c r="P13" s="51">
        <v>3.38</v>
      </c>
      <c r="Q13" s="51">
        <v>9.2899999999999991</v>
      </c>
      <c r="R13" s="43"/>
      <c r="S13" s="43"/>
      <c r="T13" s="43"/>
      <c r="U13" s="43"/>
    </row>
    <row r="14" spans="1:21" s="11" customFormat="1" ht="15">
      <c r="A14" s="50" t="s">
        <v>354</v>
      </c>
      <c r="B14" s="51">
        <v>2.04</v>
      </c>
      <c r="C14" s="51">
        <v>7.43</v>
      </c>
      <c r="D14" s="51">
        <v>9.4600000000000009</v>
      </c>
      <c r="E14" s="51">
        <v>5.0199999999999996</v>
      </c>
      <c r="F14" s="51">
        <v>0.63</v>
      </c>
      <c r="G14" s="53" t="s">
        <v>8</v>
      </c>
      <c r="H14" s="51">
        <v>3.42</v>
      </c>
      <c r="I14" s="51">
        <v>3.59</v>
      </c>
      <c r="J14" s="51">
        <v>0.28999999999999998</v>
      </c>
      <c r="K14" s="51">
        <v>333.04</v>
      </c>
      <c r="L14" s="51">
        <v>36.630000000000003</v>
      </c>
      <c r="M14" s="51">
        <v>99.13</v>
      </c>
      <c r="N14" s="51">
        <v>20.60</v>
      </c>
      <c r="O14" s="51">
        <v>0.80</v>
      </c>
      <c r="P14" s="51">
        <v>3.38</v>
      </c>
      <c r="Q14" s="51">
        <v>9.11</v>
      </c>
      <c r="R14" s="43"/>
      <c r="S14" s="43"/>
      <c r="T14" s="43"/>
      <c r="U14" s="43"/>
    </row>
    <row r="15" spans="1:21" s="11" customFormat="1" ht="15">
      <c r="A15" s="50" t="s">
        <v>355</v>
      </c>
      <c r="B15" s="51">
        <v>3.12</v>
      </c>
      <c r="C15" s="51">
        <v>8.64</v>
      </c>
      <c r="D15" s="51">
        <v>11.75</v>
      </c>
      <c r="E15" s="51">
        <v>5.0999999999999996</v>
      </c>
      <c r="F15" s="51">
        <v>0.5</v>
      </c>
      <c r="G15" s="53" t="s">
        <v>8</v>
      </c>
      <c r="H15" s="51">
        <v>3.24</v>
      </c>
      <c r="I15" s="51">
        <v>3.71</v>
      </c>
      <c r="J15" s="51">
        <v>0.44</v>
      </c>
      <c r="K15" s="51">
        <v>355.57</v>
      </c>
      <c r="L15" s="51">
        <v>39.96</v>
      </c>
      <c r="M15" s="51">
        <v>99.13</v>
      </c>
      <c r="N15" s="51">
        <v>48.5</v>
      </c>
      <c r="O15" s="51">
        <v>0.40</v>
      </c>
      <c r="P15" s="51">
        <v>3.38</v>
      </c>
      <c r="Q15" s="51">
        <v>9.93</v>
      </c>
      <c r="R15" s="43"/>
      <c r="S15" s="43"/>
      <c r="T15" s="43"/>
      <c r="U15" s="43"/>
    </row>
    <row r="16" spans="1:21" s="11" customFormat="1" ht="15">
      <c r="A16" s="50" t="s">
        <v>356</v>
      </c>
      <c r="B16" s="51">
        <v>5.69</v>
      </c>
      <c r="C16" s="51">
        <v>9.3699999999999992</v>
      </c>
      <c r="D16" s="51">
        <v>14.80</v>
      </c>
      <c r="E16" s="51">
        <v>4.9000000000000004</v>
      </c>
      <c r="F16" s="51">
        <v>0.37</v>
      </c>
      <c r="G16" s="53" t="s">
        <v>8</v>
      </c>
      <c r="H16" s="51">
        <v>2.71</v>
      </c>
      <c r="I16" s="51">
        <v>3.51</v>
      </c>
      <c r="J16" s="51">
        <v>0.32</v>
      </c>
      <c r="K16" s="51">
        <v>352.80</v>
      </c>
      <c r="L16" s="51">
        <v>34.86</v>
      </c>
      <c r="M16" s="51">
        <v>99.15</v>
      </c>
      <c r="N16" s="51">
        <v>57.90</v>
      </c>
      <c r="O16" s="51">
        <v>0.40</v>
      </c>
      <c r="P16" s="51">
        <v>3.48</v>
      </c>
      <c r="Q16" s="51">
        <v>10.71</v>
      </c>
      <c r="R16" s="43"/>
      <c r="S16" s="43"/>
      <c r="T16" s="43"/>
      <c r="U16" s="43"/>
    </row>
    <row r="17" spans="1:21" s="11" customFormat="1" ht="15">
      <c r="A17" s="50" t="s">
        <v>357</v>
      </c>
      <c r="B17" s="51">
        <v>10.60</v>
      </c>
      <c r="C17" s="51">
        <v>9.31</v>
      </c>
      <c r="D17" s="51">
        <v>19.87</v>
      </c>
      <c r="E17" s="51">
        <v>4.92</v>
      </c>
      <c r="F17" s="51">
        <v>0.23</v>
      </c>
      <c r="G17" s="53" t="s">
        <v>8</v>
      </c>
      <c r="H17" s="51">
        <v>2.35</v>
      </c>
      <c r="I17" s="51">
        <v>5</v>
      </c>
      <c r="J17" s="51">
        <v>0.24</v>
      </c>
      <c r="K17" s="51">
        <v>334.74</v>
      </c>
      <c r="L17" s="51">
        <v>39.56</v>
      </c>
      <c r="M17" s="51">
        <v>99.12</v>
      </c>
      <c r="N17" s="51">
        <v>107.10</v>
      </c>
      <c r="O17" s="51">
        <v>0</v>
      </c>
      <c r="P17" s="51">
        <v>3.67</v>
      </c>
      <c r="Q17" s="51">
        <v>12.66</v>
      </c>
      <c r="R17" s="43"/>
      <c r="S17" s="43"/>
      <c r="T17" s="43"/>
      <c r="U17" s="43"/>
    </row>
    <row r="18" spans="1:21" s="11" customFormat="1" ht="15">
      <c r="A18" s="50" t="s">
        <v>358</v>
      </c>
      <c r="B18" s="51">
        <v>11.61</v>
      </c>
      <c r="C18" s="51">
        <v>11.20</v>
      </c>
      <c r="D18" s="51">
        <v>22.80</v>
      </c>
      <c r="E18" s="51">
        <v>5.39</v>
      </c>
      <c r="F18" s="51">
        <v>0.69</v>
      </c>
      <c r="G18" s="53" t="s">
        <v>8</v>
      </c>
      <c r="H18" s="51">
        <v>5.68</v>
      </c>
      <c r="I18" s="51">
        <v>6.17</v>
      </c>
      <c r="J18" s="51">
        <v>0.25</v>
      </c>
      <c r="K18" s="51">
        <v>348.47</v>
      </c>
      <c r="L18" s="51">
        <v>34.10</v>
      </c>
      <c r="M18" s="51">
        <v>93.77</v>
      </c>
      <c r="N18" s="51">
        <v>179.30</v>
      </c>
      <c r="O18" s="51">
        <v>0</v>
      </c>
      <c r="P18" s="51">
        <v>3.74</v>
      </c>
      <c r="Q18" s="51">
        <v>13.45</v>
      </c>
      <c r="R18" s="43"/>
      <c r="S18" s="43"/>
      <c r="T18" s="43"/>
      <c r="U18" s="43"/>
    </row>
    <row r="19" spans="1:21" s="11" customFormat="1" ht="15">
      <c r="A19" s="50" t="s">
        <v>359</v>
      </c>
      <c r="B19" s="51">
        <v>12.59</v>
      </c>
      <c r="C19" s="51">
        <v>13.02</v>
      </c>
      <c r="D19" s="51">
        <v>25.34</v>
      </c>
      <c r="E19" s="51">
        <v>4.9000000000000004</v>
      </c>
      <c r="F19" s="51">
        <v>0.30</v>
      </c>
      <c r="G19" s="53" t="s">
        <v>8</v>
      </c>
      <c r="H19" s="51">
        <v>7.88</v>
      </c>
      <c r="I19" s="51">
        <v>5.94</v>
      </c>
      <c r="J19" s="51">
        <v>0.18</v>
      </c>
      <c r="K19" s="51">
        <v>350.08</v>
      </c>
      <c r="L19" s="51">
        <v>34.82</v>
      </c>
      <c r="M19" s="51">
        <v>90.11</v>
      </c>
      <c r="N19" s="51">
        <v>287.5</v>
      </c>
      <c r="O19" s="51">
        <v>0</v>
      </c>
      <c r="P19" s="51">
        <v>3.80</v>
      </c>
      <c r="Q19" s="51">
        <v>13.76</v>
      </c>
      <c r="R19" s="43"/>
      <c r="S19" s="43"/>
      <c r="T19" s="43"/>
      <c r="U19" s="43"/>
    </row>
    <row r="20" spans="1:21" s="11" customFormat="1" ht="15">
      <c r="A20" s="50" t="s">
        <v>360</v>
      </c>
      <c r="B20" s="51">
        <v>12.84</v>
      </c>
      <c r="C20" s="51">
        <v>13.75</v>
      </c>
      <c r="D20" s="51">
        <v>26.57</v>
      </c>
      <c r="E20" s="51">
        <v>4.47</v>
      </c>
      <c r="F20" s="51">
        <v>0.28000000000000003</v>
      </c>
      <c r="G20" s="53" t="s">
        <v>8</v>
      </c>
      <c r="H20" s="51">
        <v>8.07</v>
      </c>
      <c r="I20" s="51">
        <v>5.95</v>
      </c>
      <c r="J20" s="51">
        <v>0.26</v>
      </c>
      <c r="K20" s="51">
        <v>354.70</v>
      </c>
      <c r="L20" s="51">
        <v>35.67</v>
      </c>
      <c r="M20" s="51">
        <v>86.31</v>
      </c>
      <c r="N20" s="51">
        <v>283</v>
      </c>
      <c r="O20" s="51">
        <v>0</v>
      </c>
      <c r="P20" s="51">
        <v>3.87</v>
      </c>
      <c r="Q20" s="51">
        <v>13.82</v>
      </c>
      <c r="R20" s="43"/>
      <c r="S20" s="43"/>
      <c r="T20" s="43"/>
      <c r="U20" s="43"/>
    </row>
    <row r="21" spans="1:21" s="11" customFormat="1" ht="15">
      <c r="A21" s="50" t="s">
        <v>361</v>
      </c>
      <c r="B21" s="51">
        <v>12.5</v>
      </c>
      <c r="C21" s="51">
        <v>15.32</v>
      </c>
      <c r="D21" s="51">
        <v>26.78</v>
      </c>
      <c r="E21" s="51">
        <v>5.34</v>
      </c>
      <c r="F21" s="51">
        <v>0.53</v>
      </c>
      <c r="G21" s="53" t="s">
        <v>8</v>
      </c>
      <c r="H21" s="51">
        <v>16.29</v>
      </c>
      <c r="I21" s="51">
        <v>6.02</v>
      </c>
      <c r="J21" s="51">
        <v>0.20</v>
      </c>
      <c r="K21" s="51">
        <v>347.14</v>
      </c>
      <c r="L21" s="51">
        <v>36.01</v>
      </c>
      <c r="M21" s="51">
        <v>82.68</v>
      </c>
      <c r="N21" s="51">
        <v>296.89999999999998</v>
      </c>
      <c r="O21" s="51">
        <v>0</v>
      </c>
      <c r="P21" s="51">
        <v>3.86</v>
      </c>
      <c r="Q21" s="51">
        <v>13.5</v>
      </c>
      <c r="R21" s="43"/>
      <c r="S21" s="43"/>
      <c r="T21" s="43"/>
      <c r="U21" s="43"/>
    </row>
    <row r="22" spans="1:21" s="11" customFormat="1" ht="15">
      <c r="A22" s="50" t="s">
        <v>362</v>
      </c>
      <c r="B22" s="51">
        <v>10.29</v>
      </c>
      <c r="C22" s="51">
        <v>15.78</v>
      </c>
      <c r="D22" s="51">
        <v>25.87</v>
      </c>
      <c r="E22" s="51">
        <v>5.49</v>
      </c>
      <c r="F22" s="51">
        <v>0.49</v>
      </c>
      <c r="G22" s="53" t="s">
        <v>8</v>
      </c>
      <c r="H22" s="51">
        <v>15.05</v>
      </c>
      <c r="I22" s="51">
        <v>5.70</v>
      </c>
      <c r="J22" s="51">
        <v>0.25</v>
      </c>
      <c r="K22" s="51">
        <v>357.82</v>
      </c>
      <c r="L22" s="51">
        <v>35.19</v>
      </c>
      <c r="M22" s="51">
        <v>86.49</v>
      </c>
      <c r="N22" s="51">
        <v>204.10</v>
      </c>
      <c r="O22" s="51">
        <v>0.20</v>
      </c>
      <c r="P22" s="51">
        <v>3.83</v>
      </c>
      <c r="Q22" s="51">
        <v>13.01</v>
      </c>
      <c r="R22" s="43"/>
      <c r="S22" s="43"/>
      <c r="T22" s="43"/>
      <c r="U22" s="43"/>
    </row>
    <row r="23" spans="1:21" s="11" customFormat="1" ht="15">
      <c r="A23" s="50" t="s">
        <v>363</v>
      </c>
      <c r="B23" s="51">
        <v>9.77</v>
      </c>
      <c r="C23" s="51">
        <v>15.66</v>
      </c>
      <c r="D23" s="51">
        <v>25.40</v>
      </c>
      <c r="E23" s="51">
        <v>5.34</v>
      </c>
      <c r="F23" s="51">
        <v>0.35</v>
      </c>
      <c r="G23" s="53" t="s">
        <v>8</v>
      </c>
      <c r="H23" s="51">
        <v>13.64</v>
      </c>
      <c r="I23" s="51">
        <v>5.46</v>
      </c>
      <c r="J23" s="51">
        <v>0.22</v>
      </c>
      <c r="K23" s="51">
        <v>43.47</v>
      </c>
      <c r="L23" s="51">
        <v>34.86</v>
      </c>
      <c r="M23" s="51">
        <v>96.07</v>
      </c>
      <c r="N23" s="51">
        <v>192.90</v>
      </c>
      <c r="O23" s="51">
        <v>0.80</v>
      </c>
      <c r="P23" s="51">
        <v>3.81</v>
      </c>
      <c r="Q23" s="51">
        <v>12.46</v>
      </c>
      <c r="R23" s="43"/>
      <c r="S23" s="43"/>
      <c r="T23" s="43"/>
      <c r="U23" s="43"/>
    </row>
    <row r="24" spans="1:21" s="11" customFormat="1" ht="15">
      <c r="A24" s="50" t="s">
        <v>364</v>
      </c>
      <c r="B24" s="51">
        <v>10.64</v>
      </c>
      <c r="C24" s="51">
        <v>15.18</v>
      </c>
      <c r="D24" s="51">
        <v>25.82</v>
      </c>
      <c r="E24" s="51">
        <v>4.9000000000000004</v>
      </c>
      <c r="F24" s="51">
        <v>0.35</v>
      </c>
      <c r="G24" s="53" t="s">
        <v>8</v>
      </c>
      <c r="H24" s="51">
        <v>13.46</v>
      </c>
      <c r="I24" s="51">
        <v>6.05</v>
      </c>
      <c r="J24" s="51">
        <v>0.12</v>
      </c>
      <c r="K24" s="51">
        <v>259.49</v>
      </c>
      <c r="L24" s="51">
        <v>33.07</v>
      </c>
      <c r="M24" s="51">
        <v>99.15</v>
      </c>
      <c r="N24" s="51">
        <v>58.5</v>
      </c>
      <c r="O24" s="51">
        <v>1</v>
      </c>
      <c r="P24" s="51">
        <v>3.90</v>
      </c>
      <c r="Q24" s="51">
        <v>12.44</v>
      </c>
      <c r="R24" s="43"/>
      <c r="S24" s="43"/>
      <c r="T24" s="43"/>
      <c r="U24" s="43"/>
    </row>
    <row r="25" spans="1:21" s="11" customFormat="1" ht="15">
      <c r="A25" s="50" t="s">
        <v>365</v>
      </c>
      <c r="B25" s="51">
        <v>10.58</v>
      </c>
      <c r="C25" s="51">
        <v>14.35</v>
      </c>
      <c r="D25" s="51">
        <v>24.55</v>
      </c>
      <c r="E25" s="51">
        <v>5.79</v>
      </c>
      <c r="F25" s="51">
        <v>0.21</v>
      </c>
      <c r="G25" s="53" t="s">
        <v>8</v>
      </c>
      <c r="H25" s="51">
        <v>12.88</v>
      </c>
      <c r="I25" s="51">
        <v>6.24</v>
      </c>
      <c r="J25" s="51">
        <v>0.16</v>
      </c>
      <c r="K25" s="51">
        <v>215.64</v>
      </c>
      <c r="L25" s="51">
        <v>32.729999999999997</v>
      </c>
      <c r="M25" s="51">
        <v>99.15</v>
      </c>
      <c r="N25" s="51">
        <v>48.60</v>
      </c>
      <c r="O25" s="51">
        <v>1.60</v>
      </c>
      <c r="P25" s="51">
        <v>3.88</v>
      </c>
      <c r="Q25" s="51">
        <v>11.97</v>
      </c>
      <c r="R25" s="43"/>
      <c r="S25" s="43"/>
      <c r="T25" s="43"/>
      <c r="U25" s="43"/>
    </row>
    <row r="26" spans="1:21" s="11" customFormat="1" ht="15">
      <c r="A26" s="50" t="s">
        <v>366</v>
      </c>
      <c r="B26" s="51">
        <v>10.99</v>
      </c>
      <c r="C26" s="51">
        <v>13.41</v>
      </c>
      <c r="D26" s="51">
        <v>24.39</v>
      </c>
      <c r="E26" s="51">
        <v>6.06</v>
      </c>
      <c r="F26" s="51">
        <v>0.51</v>
      </c>
      <c r="G26" s="53" t="s">
        <v>8</v>
      </c>
      <c r="H26" s="51">
        <v>15.74</v>
      </c>
      <c r="I26" s="51">
        <v>6.12</v>
      </c>
      <c r="J26" s="51">
        <v>0.39</v>
      </c>
      <c r="K26" s="51">
        <v>230.77</v>
      </c>
      <c r="L26" s="51">
        <v>32.700000000000003</v>
      </c>
      <c r="M26" s="51">
        <v>99.15</v>
      </c>
      <c r="N26" s="51">
        <v>33.200000000000003</v>
      </c>
      <c r="O26" s="51">
        <v>1.60</v>
      </c>
      <c r="P26" s="51">
        <v>3.87</v>
      </c>
      <c r="Q26" s="51">
        <v>12.34</v>
      </c>
      <c r="R26" s="43"/>
      <c r="S26" s="43"/>
      <c r="T26" s="43"/>
      <c r="U26" s="43"/>
    </row>
    <row r="27" spans="1:21" s="11" customFormat="1" ht="15">
      <c r="A27" s="50" t="s">
        <v>367</v>
      </c>
      <c r="B27" s="51">
        <v>9.52</v>
      </c>
      <c r="C27" s="51">
        <v>12.5</v>
      </c>
      <c r="D27" s="51">
        <v>21.80</v>
      </c>
      <c r="E27" s="51">
        <v>6.19</v>
      </c>
      <c r="F27" s="51">
        <v>0.27</v>
      </c>
      <c r="G27" s="53" t="s">
        <v>8</v>
      </c>
      <c r="H27" s="51">
        <v>15.01</v>
      </c>
      <c r="I27" s="51">
        <v>5.80</v>
      </c>
      <c r="J27" s="51">
        <v>0.28000000000000003</v>
      </c>
      <c r="K27" s="51">
        <v>234.95</v>
      </c>
      <c r="L27" s="51">
        <v>32.61</v>
      </c>
      <c r="M27" s="51">
        <v>99.15</v>
      </c>
      <c r="N27" s="51">
        <v>19.70</v>
      </c>
      <c r="O27" s="51">
        <v>0.40</v>
      </c>
      <c r="P27" s="51">
        <v>3.79</v>
      </c>
      <c r="Q27" s="51">
        <v>11.10</v>
      </c>
      <c r="R27" s="43"/>
      <c r="S27" s="43"/>
      <c r="T27" s="43"/>
      <c r="U27" s="43"/>
    </row>
    <row r="28" spans="1:21" s="11" customFormat="1" ht="15">
      <c r="A28" s="50" t="s">
        <v>368</v>
      </c>
      <c r="B28" s="51">
        <v>9.4700000000000006</v>
      </c>
      <c r="C28" s="51">
        <v>10.92</v>
      </c>
      <c r="D28" s="51">
        <v>20.11</v>
      </c>
      <c r="E28" s="51">
        <v>7.19</v>
      </c>
      <c r="F28" s="51">
        <v>0.46</v>
      </c>
      <c r="G28" s="53" t="s">
        <v>8</v>
      </c>
      <c r="H28" s="51">
        <v>12.14</v>
      </c>
      <c r="I28" s="51">
        <v>5.48</v>
      </c>
      <c r="J28" s="51">
        <v>0.24</v>
      </c>
      <c r="K28" s="51">
        <v>258.87</v>
      </c>
      <c r="L28" s="51">
        <v>32.78</v>
      </c>
      <c r="M28" s="51">
        <v>99.15</v>
      </c>
      <c r="N28" s="51">
        <v>15.20</v>
      </c>
      <c r="O28" s="51">
        <v>0.20</v>
      </c>
      <c r="P28" s="51">
        <v>3.76</v>
      </c>
      <c r="Q28" s="51">
        <v>10.48</v>
      </c>
      <c r="R28" s="43"/>
      <c r="S28" s="43"/>
      <c r="T28" s="43"/>
      <c r="U28" s="43"/>
    </row>
    <row r="29" spans="1:21" s="11" customFormat="1" ht="15">
      <c r="A29" s="50" t="s">
        <v>369</v>
      </c>
      <c r="B29" s="51">
        <v>10.15</v>
      </c>
      <c r="C29" s="51">
        <v>10.69</v>
      </c>
      <c r="D29" s="51">
        <v>20.84</v>
      </c>
      <c r="E29" s="51">
        <v>6.19</v>
      </c>
      <c r="F29" s="51">
        <v>0.34</v>
      </c>
      <c r="G29" s="53" t="s">
        <v>8</v>
      </c>
      <c r="H29" s="51">
        <v>9.43</v>
      </c>
      <c r="I29" s="51">
        <v>5.66</v>
      </c>
      <c r="J29" s="51">
        <v>0.13</v>
      </c>
      <c r="K29" s="51">
        <v>350.47</v>
      </c>
      <c r="L29" s="51">
        <v>32.89</v>
      </c>
      <c r="M29" s="51">
        <v>99.15</v>
      </c>
      <c r="N29" s="51">
        <v>15.30</v>
      </c>
      <c r="O29" s="51">
        <v>0.60</v>
      </c>
      <c r="P29" s="51">
        <v>3.78</v>
      </c>
      <c r="Q29" s="51">
        <v>11.13</v>
      </c>
      <c r="R29" s="43"/>
      <c r="S29" s="43"/>
      <c r="T29" s="43"/>
      <c r="U29" s="43"/>
    </row>
    <row r="30" spans="1:21" s="11" customFormat="1" ht="15">
      <c r="A30" s="50" t="s">
        <v>370</v>
      </c>
      <c r="B30" s="51">
        <v>10.11</v>
      </c>
      <c r="C30" s="51">
        <v>11.07</v>
      </c>
      <c r="D30" s="51">
        <v>20.97</v>
      </c>
      <c r="E30" s="51">
        <v>6.44</v>
      </c>
      <c r="F30" s="51">
        <v>0.45</v>
      </c>
      <c r="G30" s="53" t="s">
        <v>8</v>
      </c>
      <c r="H30" s="51">
        <v>8.6999999999999993</v>
      </c>
      <c r="I30" s="51">
        <v>5.68</v>
      </c>
      <c r="J30" s="51">
        <v>0.28999999999999998</v>
      </c>
      <c r="K30" s="51">
        <v>213.90</v>
      </c>
      <c r="L30" s="51">
        <v>32.880000000000003</v>
      </c>
      <c r="M30" s="51">
        <v>99.15</v>
      </c>
      <c r="N30" s="51">
        <v>15.40</v>
      </c>
      <c r="O30" s="51">
        <v>1.20</v>
      </c>
      <c r="P30" s="51">
        <v>3.76</v>
      </c>
      <c r="Q30" s="51">
        <v>11.16</v>
      </c>
      <c r="R30" s="43"/>
      <c r="S30" s="43"/>
      <c r="T30" s="43"/>
      <c r="U30" s="43"/>
    </row>
    <row r="31" spans="1:21" s="11" customFormat="1" ht="15">
      <c r="A31" s="50" t="s">
        <v>371</v>
      </c>
      <c r="B31" s="51">
        <v>9.8800000000000008</v>
      </c>
      <c r="C31" s="51">
        <v>11.01</v>
      </c>
      <c r="D31" s="51">
        <v>20.89</v>
      </c>
      <c r="E31" s="51">
        <v>6.44</v>
      </c>
      <c r="F31" s="51">
        <v>0.60</v>
      </c>
      <c r="G31" s="53" t="s">
        <v>8</v>
      </c>
      <c r="H31" s="51">
        <v>10.23</v>
      </c>
      <c r="I31" s="51">
        <v>5.40</v>
      </c>
      <c r="J31" s="51">
        <v>0.45</v>
      </c>
      <c r="K31" s="51">
        <v>234.95</v>
      </c>
      <c r="L31" s="51">
        <v>32.83</v>
      </c>
      <c r="M31" s="51">
        <v>99.15</v>
      </c>
      <c r="N31" s="51">
        <v>15.5</v>
      </c>
      <c r="O31" s="51">
        <v>1.20</v>
      </c>
      <c r="P31" s="51">
        <v>3.71</v>
      </c>
      <c r="Q31" s="51">
        <v>10.62</v>
      </c>
      <c r="R31" s="43"/>
      <c r="S31" s="43"/>
      <c r="T31" s="43"/>
      <c r="U31" s="43"/>
    </row>
    <row r="32" spans="1:21" s="11" customFormat="1" ht="15">
      <c r="A32" s="50" t="s">
        <v>372</v>
      </c>
      <c r="B32" s="51">
        <v>7.94</v>
      </c>
      <c r="C32" s="51">
        <v>10.86</v>
      </c>
      <c r="D32" s="51">
        <v>18.46</v>
      </c>
      <c r="E32" s="51">
        <v>5.77</v>
      </c>
      <c r="F32" s="51">
        <v>0.49</v>
      </c>
      <c r="G32" s="53" t="s">
        <v>8</v>
      </c>
      <c r="H32" s="51">
        <v>9.56</v>
      </c>
      <c r="I32" s="51">
        <v>5.07</v>
      </c>
      <c r="J32" s="51">
        <v>0.22</v>
      </c>
      <c r="K32" s="51">
        <v>338.54</v>
      </c>
      <c r="L32" s="51">
        <v>33.21</v>
      </c>
      <c r="M32" s="51">
        <v>99.15</v>
      </c>
      <c r="N32" s="51">
        <v>15.30</v>
      </c>
      <c r="O32" s="51">
        <v>0.20</v>
      </c>
      <c r="P32" s="51">
        <v>3.65</v>
      </c>
      <c r="Q32" s="51">
        <v>9.34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1.4199999999999999</v>
      </c>
      <c r="C34" s="28">
        <f t="shared" si="0"/>
        <v>6.4100000000000001</v>
      </c>
      <c r="D34" s="28">
        <f t="shared" si="0"/>
        <v>8.0299999999999994</v>
      </c>
      <c r="E34" s="28">
        <f t="shared" si="0"/>
        <v>4.4699999999999998</v>
      </c>
      <c r="F34" s="28">
        <f t="shared" si="0"/>
        <v>0.20999999999999999</v>
      </c>
      <c r="G34" s="28">
        <f t="shared" si="0"/>
        <v>0</v>
      </c>
      <c r="H34" s="28">
        <f t="shared" si="0"/>
        <v>2.3500000000000001</v>
      </c>
      <c r="I34" s="28">
        <f t="shared" si="0"/>
        <v>3.2200000000000002</v>
      </c>
      <c r="J34" s="28">
        <f t="shared" si="0"/>
        <v>0.080000000000000002</v>
      </c>
      <c r="K34" s="28">
        <f t="shared" si="0"/>
        <v>43.469999999999999</v>
      </c>
      <c r="L34" s="28">
        <f t="shared" si="0"/>
        <v>32.609999999999999</v>
      </c>
      <c r="M34" s="28">
        <f t="shared" si="0"/>
        <v>82.680000000000007</v>
      </c>
      <c r="N34" s="28">
        <f t="shared" si="0"/>
        <v>14.9</v>
      </c>
      <c r="O34" s="28">
        <f t="shared" si="0"/>
        <v>0</v>
      </c>
      <c r="P34" s="28">
        <f t="shared" si="0"/>
        <v>3.3799999999999999</v>
      </c>
      <c r="Q34" s="28">
        <f t="shared" si="0"/>
        <v>9.1099999999999994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12.84</v>
      </c>
      <c r="C35" s="29">
        <f t="shared" si="1"/>
        <v>15.779999999999999</v>
      </c>
      <c r="D35" s="29">
        <f t="shared" si="1"/>
        <v>26.780000000000001</v>
      </c>
      <c r="E35" s="29">
        <f t="shared" si="1"/>
        <v>7.1900000000000004</v>
      </c>
      <c r="F35" s="29">
        <f t="shared" si="1"/>
        <v>1</v>
      </c>
      <c r="G35" s="29">
        <f t="shared" si="1"/>
        <v>0</v>
      </c>
      <c r="H35" s="29">
        <f t="shared" si="1"/>
        <v>16.289999999999999</v>
      </c>
      <c r="I35" s="29">
        <f t="shared" si="1"/>
        <v>6.2400000000000002</v>
      </c>
      <c r="J35" s="29">
        <f t="shared" si="1"/>
        <v>0.45000000000000001</v>
      </c>
      <c r="K35" s="29">
        <f t="shared" si="1"/>
        <v>357.81999999999999</v>
      </c>
      <c r="L35" s="29">
        <f t="shared" si="1"/>
        <v>39.960000000000001</v>
      </c>
      <c r="M35" s="29">
        <f t="shared" si="1"/>
        <v>99.150000000000006</v>
      </c>
      <c r="N35" s="29">
        <f t="shared" si="1"/>
        <v>296.89999999999998</v>
      </c>
      <c r="O35" s="29">
        <f t="shared" si="1"/>
        <v>1.6000000000000001</v>
      </c>
      <c r="P35" s="29">
        <f t="shared" si="1"/>
        <v>3.8999999999999999</v>
      </c>
      <c r="Q35" s="29">
        <f t="shared" si="1"/>
        <v>13.82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8.2650000000000006</v>
      </c>
      <c r="C36" s="28">
        <f t="shared" si="2"/>
        <v>11.059166666666664</v>
      </c>
      <c r="D36" s="28">
        <f t="shared" si="2"/>
        <v>19.14875</v>
      </c>
      <c r="E36" s="28">
        <f t="shared" si="2"/>
        <v>5.5666666666666664</v>
      </c>
      <c r="F36" s="28">
        <f t="shared" si="2"/>
        <v>0.50166666666666659</v>
      </c>
      <c r="G36" s="28" t="e">
        <f t="shared" si="2"/>
        <v>#DIV/0!</v>
      </c>
      <c r="H36" s="28">
        <f t="shared" si="2"/>
        <v>8.9591666666666665</v>
      </c>
      <c r="I36" s="28">
        <f t="shared" si="2"/>
        <v>5.0620833333333328</v>
      </c>
      <c r="J36" s="28">
        <f t="shared" si="2"/>
        <v>0.23625000000000007</v>
      </c>
      <c r="K36" s="28">
        <f t="shared" si="2"/>
        <v>258.51249999999999</v>
      </c>
      <c r="L36" s="28">
        <f t="shared" si="2"/>
        <v>34.261666666666677</v>
      </c>
      <c r="M36" s="28">
        <f t="shared" si="2"/>
        <v>95.939166666666679</v>
      </c>
      <c r="N36" s="28">
        <f t="shared" si="2"/>
        <v>82.900000000000006</v>
      </c>
      <c r="O36" s="28">
        <f t="shared" si="2"/>
        <v>0.47499999999999987</v>
      </c>
      <c r="P36" s="28">
        <f t="shared" si="2"/>
        <v>3.6800000000000002</v>
      </c>
      <c r="Q36" s="28">
        <f t="shared" si="2"/>
        <v>11.649999999999999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3.6239745176184401</v>
      </c>
      <c r="C37" s="28">
        <f t="shared" si="3" ref="C37:Q37">STDEV(C9:C32)</f>
        <v>3.0280657000894191</v>
      </c>
      <c r="D37" s="28">
        <f t="shared" si="3"/>
        <v>6.3150071861296908</v>
      </c>
      <c r="E37" s="28">
        <f t="shared" si="3"/>
        <v>0.66571744016882783</v>
      </c>
      <c r="F37" s="28">
        <f t="shared" si="3"/>
        <v>0.20662224861613629</v>
      </c>
      <c r="G37" s="28" t="e">
        <f t="shared" si="3"/>
        <v>#DIV/0!</v>
      </c>
      <c r="H37" s="28">
        <f t="shared" si="3"/>
        <v>4.5317017790773431</v>
      </c>
      <c r="I37" s="28">
        <f t="shared" si="3"/>
        <v>1.0293348598115195</v>
      </c>
      <c r="J37" s="28">
        <f t="shared" si="3"/>
        <v>0.095817421489359289</v>
      </c>
      <c r="K37" s="28">
        <f t="shared" si="3"/>
        <v>104.36160151961604</v>
      </c>
      <c r="L37" s="28">
        <f t="shared" si="3"/>
        <v>2.0786568963524563</v>
      </c>
      <c r="M37" s="28">
        <f t="shared" si="3"/>
        <v>4.8776160576450787</v>
      </c>
      <c r="N37" s="28">
        <f t="shared" si="3"/>
        <v>98.720373651607716</v>
      </c>
      <c r="O37" s="28">
        <f t="shared" si="3"/>
        <v>0.51011507653111754</v>
      </c>
      <c r="P37" s="28">
        <f t="shared" si="3"/>
        <v>0.17803272781686252</v>
      </c>
      <c r="Q37" s="28">
        <f t="shared" si="3"/>
        <v>1.4492486809138383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78db11-a46a-4b5f-9adc-52a61d5ca771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P27" sqref="P27:P2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373</v>
      </c>
      <c r="B9" s="11">
        <v>6.91</v>
      </c>
      <c r="C9" s="11">
        <v>10.70</v>
      </c>
      <c r="D9" s="11">
        <v>17.25</v>
      </c>
      <c r="E9" s="11">
        <v>6.92</v>
      </c>
      <c r="F9" s="11">
        <v>0.51</v>
      </c>
      <c r="G9" s="8" t="s">
        <v>8</v>
      </c>
      <c r="H9" s="11">
        <v>7.27</v>
      </c>
      <c r="I9" s="11">
        <v>5.0199999999999996</v>
      </c>
      <c r="J9" s="11">
        <v>0.28999999999999998</v>
      </c>
      <c r="K9" s="11">
        <v>342.78</v>
      </c>
      <c r="L9" s="11">
        <v>36.44</v>
      </c>
      <c r="M9" s="11">
        <v>99.15</v>
      </c>
      <c r="N9" s="11">
        <v>15.30</v>
      </c>
      <c r="O9" s="11">
        <v>0</v>
      </c>
      <c r="P9" s="11">
        <v>3.82</v>
      </c>
      <c r="Q9" s="11">
        <v>8.98</v>
      </c>
      <c r="R9" s="43"/>
      <c r="S9" s="43"/>
      <c r="T9" s="43"/>
      <c r="U9" s="43"/>
    </row>
    <row r="10" spans="1:21" s="11" customFormat="1" ht="15">
      <c r="A10" s="54" t="s">
        <v>374</v>
      </c>
      <c r="B10" s="11">
        <v>5.5</v>
      </c>
      <c r="C10" s="11">
        <v>10.82</v>
      </c>
      <c r="D10" s="11">
        <v>16.309999999999999</v>
      </c>
      <c r="E10" s="11">
        <v>6.11</v>
      </c>
      <c r="F10" s="11">
        <v>0.49</v>
      </c>
      <c r="G10" s="8" t="s">
        <v>8</v>
      </c>
      <c r="H10" s="11">
        <v>5.24</v>
      </c>
      <c r="I10" s="11">
        <v>6.23</v>
      </c>
      <c r="J10" s="11">
        <v>0.36</v>
      </c>
      <c r="K10" s="11">
        <v>341.86</v>
      </c>
      <c r="L10" s="9" t="s">
        <v>15</v>
      </c>
      <c r="M10" s="11">
        <v>99.15</v>
      </c>
      <c r="N10" s="11">
        <v>15.40</v>
      </c>
      <c r="O10" s="11">
        <v>0.40</v>
      </c>
      <c r="P10" s="11">
        <v>3.81</v>
      </c>
      <c r="Q10" s="11">
        <v>8.48</v>
      </c>
      <c r="R10" s="43"/>
      <c r="S10" s="43"/>
      <c r="T10" s="43"/>
      <c r="U10" s="43"/>
    </row>
    <row r="11" spans="1:21" s="11" customFormat="1" ht="15">
      <c r="A11" s="54" t="s">
        <v>375</v>
      </c>
      <c r="B11" s="11">
        <v>3.82</v>
      </c>
      <c r="C11" s="11">
        <v>10.53</v>
      </c>
      <c r="D11" s="11">
        <v>14.12</v>
      </c>
      <c r="E11" s="11">
        <v>6.56</v>
      </c>
      <c r="F11" s="11">
        <v>0.93</v>
      </c>
      <c r="G11" s="8" t="s">
        <v>8</v>
      </c>
      <c r="H11" s="11">
        <v>3.83</v>
      </c>
      <c r="I11" s="11">
        <v>5.60</v>
      </c>
      <c r="J11" s="11">
        <v>0.40</v>
      </c>
      <c r="K11" s="11">
        <v>349.93</v>
      </c>
      <c r="L11" s="11">
        <v>35.10</v>
      </c>
      <c r="M11" s="11">
        <v>99.15</v>
      </c>
      <c r="N11" s="11">
        <v>15.40</v>
      </c>
      <c r="O11" s="11">
        <v>0.20</v>
      </c>
      <c r="P11" s="11">
        <v>3.68</v>
      </c>
      <c r="Q11" s="11">
        <v>7.5</v>
      </c>
      <c r="R11" s="43"/>
      <c r="S11" s="43"/>
      <c r="T11" s="43"/>
      <c r="U11" s="43"/>
    </row>
    <row r="12" spans="1:21" s="11" customFormat="1" ht="15">
      <c r="A12" s="54" t="s">
        <v>376</v>
      </c>
      <c r="B12" s="11">
        <v>3.30</v>
      </c>
      <c r="C12" s="11">
        <v>10.58</v>
      </c>
      <c r="D12" s="11">
        <v>13.89</v>
      </c>
      <c r="E12" s="11">
        <v>6.61</v>
      </c>
      <c r="F12" s="11">
        <v>0.65</v>
      </c>
      <c r="G12" s="8" t="s">
        <v>8</v>
      </c>
      <c r="H12" s="11">
        <v>8.7799999999999994</v>
      </c>
      <c r="I12" s="11">
        <v>5.23</v>
      </c>
      <c r="J12" s="11">
        <v>0.30</v>
      </c>
      <c r="K12" s="11">
        <v>359.04</v>
      </c>
      <c r="L12" s="11">
        <v>30.97</v>
      </c>
      <c r="M12" s="11">
        <v>99.15</v>
      </c>
      <c r="N12" s="11">
        <v>15.40</v>
      </c>
      <c r="O12" s="11">
        <v>0.20</v>
      </c>
      <c r="P12" s="11">
        <v>3.60</v>
      </c>
      <c r="Q12" s="11">
        <v>7.09</v>
      </c>
      <c r="R12" s="43"/>
      <c r="S12" s="43"/>
      <c r="T12" s="43"/>
      <c r="U12" s="43"/>
    </row>
    <row r="13" spans="1:21" s="11" customFormat="1" ht="15">
      <c r="A13" s="54" t="s">
        <v>377</v>
      </c>
      <c r="B13" s="11">
        <v>2.92</v>
      </c>
      <c r="C13" s="11">
        <v>9.19</v>
      </c>
      <c r="D13" s="11">
        <v>12.10</v>
      </c>
      <c r="E13" s="11">
        <v>5.92</v>
      </c>
      <c r="F13" s="11">
        <v>0.56000000000000005</v>
      </c>
      <c r="G13" s="8" t="s">
        <v>8</v>
      </c>
      <c r="H13" s="11">
        <v>8.25</v>
      </c>
      <c r="I13" s="11">
        <v>4.96</v>
      </c>
      <c r="J13" s="11">
        <v>0.22</v>
      </c>
      <c r="K13" s="11">
        <v>355.45</v>
      </c>
      <c r="L13" s="11">
        <v>30.73</v>
      </c>
      <c r="M13" s="11">
        <v>99.15</v>
      </c>
      <c r="N13" s="11">
        <v>15.40</v>
      </c>
      <c r="O13" s="11">
        <v>0.20</v>
      </c>
      <c r="P13" s="11">
        <v>3.54</v>
      </c>
      <c r="Q13" s="11">
        <v>6.46</v>
      </c>
      <c r="R13" s="43"/>
      <c r="S13" s="43"/>
      <c r="T13" s="43"/>
      <c r="U13" s="43"/>
    </row>
    <row r="14" spans="1:21" s="11" customFormat="1" ht="15">
      <c r="A14" s="54" t="s">
        <v>378</v>
      </c>
      <c r="B14" s="11">
        <v>3.98</v>
      </c>
      <c r="C14" s="11">
        <v>9.7899999999999991</v>
      </c>
      <c r="D14" s="11">
        <v>13.56</v>
      </c>
      <c r="E14" s="11">
        <v>6.23</v>
      </c>
      <c r="F14" s="11">
        <v>0.88</v>
      </c>
      <c r="G14" s="8" t="s">
        <v>8</v>
      </c>
      <c r="H14" s="11">
        <v>6.51</v>
      </c>
      <c r="I14" s="11">
        <v>4.6100000000000003</v>
      </c>
      <c r="J14" s="11">
        <v>0.36</v>
      </c>
      <c r="K14" s="11">
        <v>351.42</v>
      </c>
      <c r="L14" s="11">
        <v>30.55</v>
      </c>
      <c r="M14" s="11">
        <v>99.15</v>
      </c>
      <c r="N14" s="11">
        <v>17.100000000000001</v>
      </c>
      <c r="O14" s="11">
        <v>0.20</v>
      </c>
      <c r="P14" s="11">
        <v>3.5</v>
      </c>
      <c r="Q14" s="11">
        <v>6.98</v>
      </c>
      <c r="R14" s="43"/>
      <c r="S14" s="43"/>
      <c r="T14" s="43"/>
      <c r="U14" s="43"/>
    </row>
    <row r="15" spans="1:21" s="11" customFormat="1" ht="15">
      <c r="A15" s="54" t="s">
        <v>379</v>
      </c>
      <c r="B15" s="11">
        <v>4.41</v>
      </c>
      <c r="C15" s="11">
        <v>10.130000000000001</v>
      </c>
      <c r="D15" s="11">
        <v>14.35</v>
      </c>
      <c r="E15" s="11">
        <v>6.27</v>
      </c>
      <c r="F15" s="11">
        <v>0.5</v>
      </c>
      <c r="G15" s="8" t="s">
        <v>8</v>
      </c>
      <c r="H15" s="11">
        <v>8.7100000000000009</v>
      </c>
      <c r="I15" s="11">
        <v>4.5</v>
      </c>
      <c r="J15" s="11">
        <v>0.40</v>
      </c>
      <c r="K15" s="11">
        <v>354.51</v>
      </c>
      <c r="L15" s="11">
        <v>30.41</v>
      </c>
      <c r="M15" s="11">
        <v>99.15</v>
      </c>
      <c r="N15" s="11">
        <v>32.60</v>
      </c>
      <c r="O15" s="11">
        <v>0.20</v>
      </c>
      <c r="P15" s="11">
        <v>3.48</v>
      </c>
      <c r="Q15" s="11">
        <v>6.99</v>
      </c>
      <c r="R15" s="43"/>
      <c r="S15" s="43"/>
      <c r="T15" s="43"/>
      <c r="U15" s="43"/>
    </row>
    <row r="16" spans="1:21" s="11" customFormat="1" ht="15">
      <c r="A16" s="54" t="s">
        <v>380</v>
      </c>
      <c r="B16" s="11">
        <v>3.97</v>
      </c>
      <c r="C16" s="11">
        <v>11.48</v>
      </c>
      <c r="D16" s="11">
        <v>15.42</v>
      </c>
      <c r="E16" s="11">
        <v>6.68</v>
      </c>
      <c r="F16" s="11">
        <v>0.62</v>
      </c>
      <c r="G16" s="8" t="s">
        <v>8</v>
      </c>
      <c r="H16" s="11">
        <v>8.14</v>
      </c>
      <c r="I16" s="11">
        <v>4.34</v>
      </c>
      <c r="J16" s="11">
        <v>0.27</v>
      </c>
      <c r="K16" s="11">
        <v>355.34</v>
      </c>
      <c r="L16" s="11">
        <v>30.18</v>
      </c>
      <c r="M16" s="11">
        <v>99.08</v>
      </c>
      <c r="N16" s="11">
        <v>41</v>
      </c>
      <c r="O16" s="11">
        <v>0.20</v>
      </c>
      <c r="P16" s="11">
        <v>3.48</v>
      </c>
      <c r="Q16" s="11">
        <v>7.16</v>
      </c>
      <c r="R16" s="43"/>
      <c r="S16" s="43"/>
      <c r="T16" s="43"/>
      <c r="U16" s="43"/>
    </row>
    <row r="17" spans="1:21" s="11" customFormat="1" ht="15">
      <c r="A17" s="54" t="s">
        <v>381</v>
      </c>
      <c r="B17" s="11">
        <v>5.77</v>
      </c>
      <c r="C17" s="11">
        <v>13</v>
      </c>
      <c r="D17" s="11">
        <v>18.760000000000002</v>
      </c>
      <c r="E17" s="11">
        <v>4.8600000000000003</v>
      </c>
      <c r="F17" s="11">
        <v>0.44</v>
      </c>
      <c r="G17" s="8" t="s">
        <v>8</v>
      </c>
      <c r="H17" s="11">
        <v>8.83</v>
      </c>
      <c r="I17" s="11">
        <v>4.18</v>
      </c>
      <c r="J17" s="11">
        <v>0.22</v>
      </c>
      <c r="K17" s="11">
        <v>346.90</v>
      </c>
      <c r="L17" s="11">
        <v>30.10</v>
      </c>
      <c r="M17" s="11">
        <v>99.10</v>
      </c>
      <c r="N17" s="11">
        <v>84.10</v>
      </c>
      <c r="O17" s="11">
        <v>0.20</v>
      </c>
      <c r="P17" s="11">
        <v>3.51</v>
      </c>
      <c r="Q17" s="11">
        <v>7.93</v>
      </c>
      <c r="R17" s="43"/>
      <c r="S17" s="43"/>
      <c r="T17" s="43"/>
      <c r="U17" s="43"/>
    </row>
    <row r="18" spans="1:21" s="11" customFormat="1" ht="15">
      <c r="A18" s="54" t="s">
        <v>382</v>
      </c>
      <c r="B18" s="11">
        <v>8</v>
      </c>
      <c r="C18" s="11">
        <v>13.67</v>
      </c>
      <c r="D18" s="11">
        <v>21.67</v>
      </c>
      <c r="E18" s="11">
        <v>5.35</v>
      </c>
      <c r="F18" s="11">
        <v>0.28999999999999998</v>
      </c>
      <c r="G18" s="8" t="s">
        <v>8</v>
      </c>
      <c r="H18" s="11">
        <v>8.75</v>
      </c>
      <c r="I18" s="11">
        <v>4.24</v>
      </c>
      <c r="J18" s="11">
        <v>0.25</v>
      </c>
      <c r="K18" s="11">
        <v>355.40</v>
      </c>
      <c r="L18" s="11">
        <v>30.77</v>
      </c>
      <c r="M18" s="11">
        <v>99.11</v>
      </c>
      <c r="N18" s="11">
        <v>139.69999999999999</v>
      </c>
      <c r="O18" s="11">
        <v>0.20</v>
      </c>
      <c r="P18" s="11">
        <v>3.56</v>
      </c>
      <c r="Q18" s="11">
        <v>8.69</v>
      </c>
      <c r="R18" s="43"/>
      <c r="S18" s="43"/>
      <c r="T18" s="43"/>
      <c r="U18" s="43"/>
    </row>
    <row r="19" spans="1:21" s="11" customFormat="1" ht="15">
      <c r="A19" s="54" t="s">
        <v>383</v>
      </c>
      <c r="B19" s="11">
        <v>9.76</v>
      </c>
      <c r="C19" s="11">
        <v>15.03</v>
      </c>
      <c r="D19" s="11">
        <v>24.79</v>
      </c>
      <c r="E19" s="11">
        <v>5.03</v>
      </c>
      <c r="F19" s="11">
        <v>0.30</v>
      </c>
      <c r="G19" s="8" t="s">
        <v>8</v>
      </c>
      <c r="H19" s="11">
        <v>7.91</v>
      </c>
      <c r="I19" s="11">
        <v>4.67</v>
      </c>
      <c r="J19" s="11">
        <v>0.28000000000000003</v>
      </c>
      <c r="K19" s="11">
        <v>349.71</v>
      </c>
      <c r="L19" s="11">
        <v>30.92</v>
      </c>
      <c r="M19" s="11">
        <v>98.14</v>
      </c>
      <c r="N19" s="11">
        <v>136.90</v>
      </c>
      <c r="O19" s="11">
        <v>0.20</v>
      </c>
      <c r="P19" s="11">
        <v>3.66</v>
      </c>
      <c r="Q19" s="11">
        <v>9.52</v>
      </c>
      <c r="R19" s="43"/>
      <c r="S19" s="43"/>
      <c r="T19" s="43"/>
      <c r="U19" s="43"/>
    </row>
    <row r="20" spans="1:21" s="11" customFormat="1" ht="15">
      <c r="A20" s="54" t="s">
        <v>384</v>
      </c>
      <c r="B20" s="11">
        <v>10.58</v>
      </c>
      <c r="C20" s="11">
        <v>15.19</v>
      </c>
      <c r="D20" s="11">
        <v>25.70</v>
      </c>
      <c r="E20" s="11">
        <v>4.9400000000000004</v>
      </c>
      <c r="F20" s="11">
        <v>0.52</v>
      </c>
      <c r="G20" s="8" t="s">
        <v>8</v>
      </c>
      <c r="H20" s="11">
        <v>7.39</v>
      </c>
      <c r="I20" s="11">
        <v>4.96</v>
      </c>
      <c r="J20" s="11">
        <v>0.37</v>
      </c>
      <c r="K20" s="11">
        <v>325.75</v>
      </c>
      <c r="L20" s="11">
        <v>31.14</v>
      </c>
      <c r="M20" s="11">
        <v>98.35</v>
      </c>
      <c r="N20" s="11">
        <v>142.80000000000001</v>
      </c>
      <c r="O20" s="11">
        <v>0.40</v>
      </c>
      <c r="P20" s="11">
        <v>3.71</v>
      </c>
      <c r="Q20" s="11">
        <v>10.10</v>
      </c>
      <c r="R20" s="43"/>
      <c r="S20" s="43"/>
      <c r="T20" s="43"/>
      <c r="U20" s="43"/>
    </row>
    <row r="21" spans="1:21" s="11" customFormat="1" ht="15">
      <c r="A21" s="54" t="s">
        <v>385</v>
      </c>
      <c r="B21" s="11">
        <v>12.52</v>
      </c>
      <c r="C21" s="11">
        <v>14.55</v>
      </c>
      <c r="D21" s="11">
        <v>26.68</v>
      </c>
      <c r="E21" s="11">
        <v>5.35</v>
      </c>
      <c r="F21" s="11">
        <v>0.39</v>
      </c>
      <c r="G21" s="8" t="s">
        <v>8</v>
      </c>
      <c r="H21" s="11">
        <v>6.83</v>
      </c>
      <c r="I21" s="11">
        <v>4.93</v>
      </c>
      <c r="J21" s="11">
        <v>0.39</v>
      </c>
      <c r="K21" s="11">
        <v>350.49</v>
      </c>
      <c r="L21" s="11">
        <v>31.53</v>
      </c>
      <c r="M21" s="11">
        <v>98.33</v>
      </c>
      <c r="N21" s="11">
        <v>172.30</v>
      </c>
      <c r="O21" s="11">
        <v>0.20</v>
      </c>
      <c r="P21" s="11">
        <v>3.74</v>
      </c>
      <c r="Q21" s="11">
        <v>10.28</v>
      </c>
      <c r="R21" s="43"/>
      <c r="S21" s="43"/>
      <c r="T21" s="43"/>
      <c r="U21" s="43"/>
    </row>
    <row r="22" spans="1:21" s="11" customFormat="1" ht="15">
      <c r="A22" s="54" t="s">
        <v>386</v>
      </c>
      <c r="B22" s="11">
        <v>15.23</v>
      </c>
      <c r="C22" s="11">
        <v>14.71</v>
      </c>
      <c r="D22" s="11">
        <v>29.94</v>
      </c>
      <c r="E22" s="11">
        <v>5.96</v>
      </c>
      <c r="F22" s="11">
        <v>0.41</v>
      </c>
      <c r="G22" s="8" t="s">
        <v>8</v>
      </c>
      <c r="H22" s="11">
        <v>5.67</v>
      </c>
      <c r="I22" s="11">
        <v>5.17</v>
      </c>
      <c r="J22" s="11">
        <v>0.51</v>
      </c>
      <c r="K22" s="11">
        <v>359.21</v>
      </c>
      <c r="L22" s="11">
        <v>31.51</v>
      </c>
      <c r="M22" s="11">
        <v>98.19</v>
      </c>
      <c r="N22" s="11">
        <v>165.40</v>
      </c>
      <c r="O22" s="11">
        <v>0</v>
      </c>
      <c r="P22" s="11">
        <v>3.74</v>
      </c>
      <c r="Q22" s="11">
        <v>11.52</v>
      </c>
      <c r="R22" s="43"/>
      <c r="S22" s="43"/>
      <c r="T22" s="43"/>
      <c r="U22" s="43"/>
    </row>
    <row r="23" spans="1:21" s="11" customFormat="1" ht="15">
      <c r="A23" s="54" t="s">
        <v>387</v>
      </c>
      <c r="B23" s="11">
        <v>15.06</v>
      </c>
      <c r="C23" s="11">
        <v>16.100000000000001</v>
      </c>
      <c r="D23" s="11">
        <v>30.76</v>
      </c>
      <c r="E23" s="11">
        <v>5.81</v>
      </c>
      <c r="F23" s="11">
        <v>0.27</v>
      </c>
      <c r="G23" s="8" t="s">
        <v>8</v>
      </c>
      <c r="H23" s="11">
        <v>8.0299999999999994</v>
      </c>
      <c r="I23" s="11">
        <v>5.1100000000000003</v>
      </c>
      <c r="J23" s="11">
        <v>0.22</v>
      </c>
      <c r="K23" s="11">
        <v>350.97</v>
      </c>
      <c r="L23" s="11">
        <v>31.62</v>
      </c>
      <c r="M23" s="11">
        <v>95.20</v>
      </c>
      <c r="N23" s="11">
        <v>165.30</v>
      </c>
      <c r="O23" s="11">
        <v>0.20</v>
      </c>
      <c r="P23" s="11">
        <v>3.72</v>
      </c>
      <c r="Q23" s="11">
        <v>11.53</v>
      </c>
      <c r="R23" s="43"/>
      <c r="S23" s="43"/>
      <c r="T23" s="43"/>
      <c r="U23" s="43"/>
    </row>
    <row r="24" spans="1:21" s="11" customFormat="1" ht="15">
      <c r="A24" s="54" t="s">
        <v>388</v>
      </c>
      <c r="B24" s="11">
        <v>13.46</v>
      </c>
      <c r="C24" s="11">
        <v>15.74</v>
      </c>
      <c r="D24" s="11">
        <v>29.15</v>
      </c>
      <c r="E24" s="11">
        <v>5.49</v>
      </c>
      <c r="F24" s="11">
        <v>0.27</v>
      </c>
      <c r="G24" s="8" t="s">
        <v>8</v>
      </c>
      <c r="H24" s="11">
        <v>7.42</v>
      </c>
      <c r="I24" s="11">
        <v>4.9000000000000004</v>
      </c>
      <c r="J24" s="11">
        <v>0.28999999999999998</v>
      </c>
      <c r="K24" s="11">
        <v>346.97</v>
      </c>
      <c r="L24" s="11">
        <v>31.21</v>
      </c>
      <c r="M24" s="11">
        <v>98.93</v>
      </c>
      <c r="N24" s="11">
        <v>137.10</v>
      </c>
      <c r="O24" s="11">
        <v>0.40</v>
      </c>
      <c r="P24" s="11">
        <v>3.69</v>
      </c>
      <c r="Q24" s="11">
        <v>11.09</v>
      </c>
      <c r="R24" s="43"/>
      <c r="S24" s="43"/>
      <c r="T24" s="43"/>
      <c r="U24" s="43"/>
    </row>
    <row r="25" spans="1:21" s="11" customFormat="1" ht="15">
      <c r="A25" s="54" t="s">
        <v>389</v>
      </c>
      <c r="B25" s="11">
        <v>12.66</v>
      </c>
      <c r="C25" s="11">
        <v>15.69</v>
      </c>
      <c r="D25" s="11">
        <v>27.37</v>
      </c>
      <c r="E25" s="11">
        <v>3.68</v>
      </c>
      <c r="F25" s="11">
        <v>0.41</v>
      </c>
      <c r="G25" s="8" t="s">
        <v>8</v>
      </c>
      <c r="H25" s="11">
        <v>5.49</v>
      </c>
      <c r="I25" s="11">
        <v>4.5199999999999996</v>
      </c>
      <c r="J25" s="11">
        <v>0.41</v>
      </c>
      <c r="K25" s="11">
        <v>340.39</v>
      </c>
      <c r="L25" s="11">
        <v>31.09</v>
      </c>
      <c r="M25" s="11">
        <v>98.23</v>
      </c>
      <c r="N25" s="11">
        <v>144.90</v>
      </c>
      <c r="O25" s="11">
        <v>0</v>
      </c>
      <c r="P25" s="11">
        <v>3.66</v>
      </c>
      <c r="Q25" s="11">
        <v>10.34</v>
      </c>
      <c r="R25" s="43"/>
      <c r="S25" s="43"/>
      <c r="T25" s="43"/>
      <c r="U25" s="43"/>
    </row>
    <row r="26" spans="1:21" s="11" customFormat="1" ht="15">
      <c r="A26" s="54" t="s">
        <v>390</v>
      </c>
      <c r="B26" s="11">
        <v>9.98</v>
      </c>
      <c r="C26" s="11">
        <v>17.16</v>
      </c>
      <c r="D26" s="11">
        <v>27.04</v>
      </c>
      <c r="E26" s="11">
        <v>3.21</v>
      </c>
      <c r="F26" s="11">
        <v>0.39</v>
      </c>
      <c r="G26" s="8" t="s">
        <v>8</v>
      </c>
      <c r="H26" s="11">
        <v>4.0599999999999996</v>
      </c>
      <c r="I26" s="11">
        <v>4.67</v>
      </c>
      <c r="J26" s="11">
        <v>0.30</v>
      </c>
      <c r="K26" s="11">
        <v>45.34</v>
      </c>
      <c r="L26" s="11">
        <v>30.97</v>
      </c>
      <c r="M26" s="11">
        <v>95.13</v>
      </c>
      <c r="N26" s="11">
        <v>52.40</v>
      </c>
      <c r="O26" s="11">
        <v>0</v>
      </c>
      <c r="P26" s="11">
        <v>3.71</v>
      </c>
      <c r="Q26" s="11">
        <v>9.34</v>
      </c>
      <c r="R26" s="43"/>
      <c r="S26" s="43"/>
      <c r="T26" s="43"/>
      <c r="U26" s="43"/>
    </row>
    <row r="27" spans="1:21" s="11" customFormat="1" ht="15">
      <c r="A27" s="54" t="s">
        <v>391</v>
      </c>
      <c r="B27" s="11">
        <v>12.25</v>
      </c>
      <c r="C27" s="11">
        <v>17.43</v>
      </c>
      <c r="D27" s="11">
        <v>28.76</v>
      </c>
      <c r="E27" s="11">
        <v>3.69</v>
      </c>
      <c r="F27" s="11">
        <v>0.77</v>
      </c>
      <c r="G27" s="8" t="s">
        <v>8</v>
      </c>
      <c r="H27" s="11">
        <v>4.1900000000000004</v>
      </c>
      <c r="I27" s="11">
        <v>6.15</v>
      </c>
      <c r="J27" s="11">
        <v>0.28999999999999998</v>
      </c>
      <c r="K27" s="11">
        <v>53.06</v>
      </c>
      <c r="L27" s="11">
        <v>30.84</v>
      </c>
      <c r="M27" s="11">
        <v>95.63</v>
      </c>
      <c r="N27" s="11">
        <v>21.70</v>
      </c>
      <c r="O27" s="11">
        <v>0</v>
      </c>
      <c r="P27" s="9" t="s">
        <v>15</v>
      </c>
      <c r="Q27" s="11">
        <v>10.41</v>
      </c>
      <c r="R27" s="43"/>
      <c r="S27" s="43"/>
      <c r="T27" s="43"/>
      <c r="U27" s="43"/>
    </row>
    <row r="28" spans="1:21" s="11" customFormat="1" ht="15">
      <c r="A28" s="54" t="s">
        <v>392</v>
      </c>
      <c r="B28" s="11">
        <v>13.76</v>
      </c>
      <c r="C28" s="11">
        <v>16.75</v>
      </c>
      <c r="D28" s="11">
        <v>30.37</v>
      </c>
      <c r="E28" s="11">
        <v>3.25</v>
      </c>
      <c r="F28" s="11">
        <v>0.14000000000000001</v>
      </c>
      <c r="G28" s="8" t="s">
        <v>8</v>
      </c>
      <c r="H28" s="11">
        <v>3.86</v>
      </c>
      <c r="I28" s="11">
        <v>8.86</v>
      </c>
      <c r="J28" s="11">
        <v>0.35</v>
      </c>
      <c r="K28" s="11">
        <v>350.56</v>
      </c>
      <c r="L28" s="11">
        <v>30.82</v>
      </c>
      <c r="M28" s="11">
        <v>96.70</v>
      </c>
      <c r="N28" s="11">
        <v>15.30</v>
      </c>
      <c r="O28" s="11">
        <v>0.40</v>
      </c>
      <c r="P28" s="9" t="s">
        <v>15</v>
      </c>
      <c r="Q28" s="11">
        <v>10.90</v>
      </c>
      <c r="R28" s="43"/>
      <c r="S28" s="43"/>
      <c r="T28" s="43"/>
      <c r="U28" s="43"/>
    </row>
    <row r="29" spans="1:21" s="11" customFormat="1" ht="15">
      <c r="A29" s="54" t="s">
        <v>393</v>
      </c>
      <c r="B29" s="11">
        <v>12.77</v>
      </c>
      <c r="C29" s="11">
        <v>17.32</v>
      </c>
      <c r="D29" s="11">
        <v>28.82</v>
      </c>
      <c r="E29" s="11">
        <v>4.20</v>
      </c>
      <c r="F29" s="11">
        <v>0.20</v>
      </c>
      <c r="G29" s="8" t="s">
        <v>8</v>
      </c>
      <c r="H29" s="11">
        <v>6.12</v>
      </c>
      <c r="I29" s="11">
        <v>8.83</v>
      </c>
      <c r="J29" s="11">
        <v>0.40</v>
      </c>
      <c r="K29" s="11">
        <v>342.44</v>
      </c>
      <c r="L29" s="11">
        <v>30.25</v>
      </c>
      <c r="M29" s="11">
        <v>99.15</v>
      </c>
      <c r="N29" s="11">
        <v>15.60</v>
      </c>
      <c r="O29" s="11">
        <v>1.80</v>
      </c>
      <c r="P29" s="9" t="s">
        <v>15</v>
      </c>
      <c r="Q29" s="11">
        <v>10.23</v>
      </c>
      <c r="R29" s="43"/>
      <c r="S29" s="43"/>
      <c r="T29" s="43"/>
      <c r="U29" s="43"/>
    </row>
    <row r="30" spans="1:21" s="11" customFormat="1" ht="15">
      <c r="A30" s="54" t="s">
        <v>394</v>
      </c>
      <c r="B30" s="11">
        <v>10.90</v>
      </c>
      <c r="C30" s="11">
        <v>18.11</v>
      </c>
      <c r="D30" s="11">
        <v>28.53</v>
      </c>
      <c r="E30" s="11">
        <v>3.87</v>
      </c>
      <c r="F30" s="11">
        <v>0.62</v>
      </c>
      <c r="G30" s="8" t="s">
        <v>8</v>
      </c>
      <c r="H30" s="11">
        <v>5.72</v>
      </c>
      <c r="I30" s="11">
        <v>7.10</v>
      </c>
      <c r="J30" s="11">
        <v>0.33</v>
      </c>
      <c r="K30" s="11">
        <v>34.67</v>
      </c>
      <c r="L30" s="11">
        <v>29.97</v>
      </c>
      <c r="M30" s="11">
        <v>99.15</v>
      </c>
      <c r="N30" s="11">
        <v>15.40</v>
      </c>
      <c r="O30" s="11">
        <v>0.60</v>
      </c>
      <c r="P30" s="11">
        <v>3.97</v>
      </c>
      <c r="Q30" s="11">
        <v>9.85</v>
      </c>
      <c r="R30" s="43"/>
      <c r="S30" s="43"/>
      <c r="T30" s="43"/>
      <c r="U30" s="43"/>
    </row>
    <row r="31" spans="1:21" s="11" customFormat="1" ht="15">
      <c r="A31" s="54" t="s">
        <v>395</v>
      </c>
      <c r="B31" s="11">
        <v>7.88</v>
      </c>
      <c r="C31" s="11">
        <v>16.82</v>
      </c>
      <c r="D31" s="11">
        <v>24.70</v>
      </c>
      <c r="E31" s="11">
        <v>3.97</v>
      </c>
      <c r="F31" s="11">
        <v>0.39</v>
      </c>
      <c r="G31" s="8" t="s">
        <v>8</v>
      </c>
      <c r="H31" s="11">
        <v>6.36</v>
      </c>
      <c r="I31" s="11">
        <v>5.28</v>
      </c>
      <c r="J31" s="11">
        <v>0.30</v>
      </c>
      <c r="K31" s="11">
        <v>37.10</v>
      </c>
      <c r="L31" s="11">
        <v>29.88</v>
      </c>
      <c r="M31" s="11">
        <v>99.15</v>
      </c>
      <c r="N31" s="11">
        <v>15.40</v>
      </c>
      <c r="O31" s="11">
        <v>0.40</v>
      </c>
      <c r="P31" s="11">
        <v>3.81</v>
      </c>
      <c r="Q31" s="11">
        <v>8.36</v>
      </c>
      <c r="R31" s="43"/>
      <c r="S31" s="43"/>
      <c r="T31" s="43"/>
      <c r="U31" s="43"/>
    </row>
    <row r="32" spans="1:21" s="11" customFormat="1" ht="15">
      <c r="A32" s="54" t="s">
        <v>396</v>
      </c>
      <c r="B32" s="11">
        <v>5.30</v>
      </c>
      <c r="C32" s="11">
        <v>16.16</v>
      </c>
      <c r="D32" s="11">
        <v>20.48</v>
      </c>
      <c r="E32" s="11">
        <v>4.24</v>
      </c>
      <c r="F32" s="11">
        <v>0.43</v>
      </c>
      <c r="G32" s="8" t="s">
        <v>8</v>
      </c>
      <c r="H32" s="11">
        <v>5.92</v>
      </c>
      <c r="I32" s="11">
        <v>4.5999999999999996</v>
      </c>
      <c r="J32" s="11">
        <v>0.30</v>
      </c>
      <c r="K32" s="11">
        <v>339.85</v>
      </c>
      <c r="L32" s="11">
        <v>29.85</v>
      </c>
      <c r="M32" s="11">
        <v>99.15</v>
      </c>
      <c r="N32" s="11">
        <v>15.60</v>
      </c>
      <c r="O32" s="11">
        <v>6.20</v>
      </c>
      <c r="P32" s="11">
        <v>3.86</v>
      </c>
      <c r="Q32" s="11">
        <v>6.87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2.9199999999999999</v>
      </c>
      <c r="C34" s="28">
        <f t="shared" si="0"/>
        <v>9.1899999999999995</v>
      </c>
      <c r="D34" s="28">
        <f t="shared" si="0"/>
        <v>12.1</v>
      </c>
      <c r="E34" s="28">
        <f t="shared" si="0"/>
        <v>3.21</v>
      </c>
      <c r="F34" s="28">
        <f t="shared" si="0"/>
        <v>0.14000000000000001</v>
      </c>
      <c r="G34" s="28">
        <f t="shared" si="0"/>
        <v>0</v>
      </c>
      <c r="H34" s="28">
        <f t="shared" si="0"/>
        <v>3.8300000000000001</v>
      </c>
      <c r="I34" s="28">
        <f t="shared" si="0"/>
        <v>4.1799999999999997</v>
      </c>
      <c r="J34" s="28">
        <f t="shared" si="0"/>
        <v>0.22</v>
      </c>
      <c r="K34" s="28">
        <f t="shared" si="0"/>
        <v>34.670000000000002</v>
      </c>
      <c r="L34" s="28">
        <f t="shared" si="0"/>
        <v>29.850000000000001</v>
      </c>
      <c r="M34" s="28">
        <f t="shared" si="0"/>
        <v>95.129999999999995</v>
      </c>
      <c r="N34" s="28">
        <f t="shared" si="0"/>
        <v>15.300000000000001</v>
      </c>
      <c r="O34" s="28">
        <f t="shared" si="0"/>
        <v>0</v>
      </c>
      <c r="P34" s="28">
        <f t="shared" si="0"/>
        <v>3.48</v>
      </c>
      <c r="Q34" s="28">
        <f t="shared" si="0"/>
        <v>6.46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15.23</v>
      </c>
      <c r="C35" s="29">
        <f t="shared" si="1"/>
        <v>18.109999999999999</v>
      </c>
      <c r="D35" s="29">
        <f t="shared" si="1"/>
        <v>30.760000000000002</v>
      </c>
      <c r="E35" s="29">
        <f t="shared" si="1"/>
        <v>6.9199999999999999</v>
      </c>
      <c r="F35" s="29">
        <f t="shared" si="1"/>
        <v>0.93000000000000005</v>
      </c>
      <c r="G35" s="29">
        <f t="shared" si="1"/>
        <v>0</v>
      </c>
      <c r="H35" s="29">
        <f t="shared" si="1"/>
        <v>8.8300000000000001</v>
      </c>
      <c r="I35" s="29">
        <f t="shared" si="1"/>
        <v>8.8599999999999994</v>
      </c>
      <c r="J35" s="29">
        <f t="shared" si="1"/>
        <v>0.51000000000000001</v>
      </c>
      <c r="K35" s="29">
        <f t="shared" si="1"/>
        <v>359.20999999999998</v>
      </c>
      <c r="L35" s="29">
        <f t="shared" si="1"/>
        <v>36.439999999999998</v>
      </c>
      <c r="M35" s="29">
        <f t="shared" si="1"/>
        <v>99.150000000000006</v>
      </c>
      <c r="N35" s="29">
        <f t="shared" si="1"/>
        <v>172.30000000000001</v>
      </c>
      <c r="O35" s="29">
        <f t="shared" si="1"/>
        <v>6.2000000000000002</v>
      </c>
      <c r="P35" s="29">
        <f t="shared" si="1"/>
        <v>3.9700000000000002</v>
      </c>
      <c r="Q35" s="29">
        <f t="shared" si="1"/>
        <v>11.529999999999999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8.7787500000000005</v>
      </c>
      <c r="C36" s="28">
        <f t="shared" si="2"/>
        <v>14.027083333333335</v>
      </c>
      <c r="D36" s="28">
        <f t="shared" si="2"/>
        <v>22.521666666666672</v>
      </c>
      <c r="E36" s="28">
        <f t="shared" si="2"/>
        <v>5.1749999999999989</v>
      </c>
      <c r="F36" s="28">
        <f t="shared" si="2"/>
        <v>0.47416666666666668</v>
      </c>
      <c r="G36" s="28" t="e">
        <f t="shared" si="2"/>
        <v>#DIV/0!</v>
      </c>
      <c r="H36" s="28">
        <f t="shared" si="2"/>
        <v>6.6366666666666676</v>
      </c>
      <c r="I36" s="28">
        <f t="shared" si="2"/>
        <v>5.3608333333333347</v>
      </c>
      <c r="J36" s="28">
        <f t="shared" si="2"/>
        <v>0.32541666666666663</v>
      </c>
      <c r="K36" s="28">
        <f t="shared" si="2"/>
        <v>297.46416666666676</v>
      </c>
      <c r="L36" s="28">
        <f t="shared" si="2"/>
        <v>31.167391304347831</v>
      </c>
      <c r="M36" s="28">
        <f t="shared" si="2"/>
        <v>98.36541666666669</v>
      </c>
      <c r="N36" s="28">
        <f t="shared" si="2"/>
        <v>66.979166666666671</v>
      </c>
      <c r="O36" s="28">
        <f t="shared" si="2"/>
        <v>0.53333333333333333</v>
      </c>
      <c r="P36" s="28">
        <f t="shared" si="2"/>
        <v>3.6785714285714284</v>
      </c>
      <c r="Q36" s="28">
        <f t="shared" si="2"/>
        <v>9.0249999999999986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4.0965004285206152</v>
      </c>
      <c r="C37" s="28">
        <f t="shared" si="3" ref="C37:Q37">STDEV(C9:C32)</f>
        <v>2.8850536565979619</v>
      </c>
      <c r="D37" s="28">
        <f t="shared" si="3"/>
        <v>6.4638450440603039</v>
      </c>
      <c r="E37" s="28">
        <f t="shared" si="3"/>
        <v>1.167889214519642</v>
      </c>
      <c r="F37" s="28">
        <f t="shared" si="3"/>
        <v>0.19914854990066119</v>
      </c>
      <c r="G37" s="28" t="e">
        <f t="shared" si="3"/>
        <v>#DIV/0!</v>
      </c>
      <c r="H37" s="28">
        <f t="shared" si="3"/>
        <v>1.6463494971198072</v>
      </c>
      <c r="I37" s="28">
        <f t="shared" si="3"/>
        <v>1.2672425273752423</v>
      </c>
      <c r="J37" s="28">
        <f t="shared" si="3"/>
        <v>0.071504281821724691</v>
      </c>
      <c r="K37" s="28">
        <f t="shared" si="3"/>
        <v>116.7207370986001</v>
      </c>
      <c r="L37" s="28">
        <f t="shared" si="3"/>
        <v>1.5547821168350369</v>
      </c>
      <c r="M37" s="28">
        <f t="shared" si="3"/>
        <v>1.3111560752340634</v>
      </c>
      <c r="N37" s="28">
        <f t="shared" si="3"/>
        <v>62.847288891522545</v>
      </c>
      <c r="O37" s="28">
        <f t="shared" si="3"/>
        <v>1.2589390518336796</v>
      </c>
      <c r="P37" s="28">
        <f t="shared" si="3"/>
        <v>0.13473253928749784</v>
      </c>
      <c r="Q37" s="28">
        <f t="shared" si="3"/>
        <v>1.6189368492128273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23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21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&lt;90%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LESS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ffaa208-2519-41ba-945f-d0412a3a3856}">
  <sheetPr codeName=""/>
  <dimension ref="A1:U119"/>
  <sheetViews>
    <sheetView zoomScale="85" zoomScaleNormal="85"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O38" sqref="O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397</v>
      </c>
      <c r="B9" s="51">
        <v>3.44</v>
      </c>
      <c r="C9" s="51">
        <v>16.09</v>
      </c>
      <c r="D9" s="51">
        <v>19.5</v>
      </c>
      <c r="E9" s="51">
        <v>3.39</v>
      </c>
      <c r="F9" s="51">
        <v>0.51</v>
      </c>
      <c r="G9" s="53" t="s">
        <v>8</v>
      </c>
      <c r="H9" s="51">
        <v>4.79</v>
      </c>
      <c r="I9" s="51">
        <v>4.4400000000000004</v>
      </c>
      <c r="J9" s="51">
        <v>0.28999999999999998</v>
      </c>
      <c r="K9" s="51">
        <v>345.44</v>
      </c>
      <c r="L9" s="51">
        <v>29.76</v>
      </c>
      <c r="M9" s="51">
        <v>99.15</v>
      </c>
      <c r="N9" s="51">
        <v>15.5</v>
      </c>
      <c r="O9" s="51">
        <v>1.20</v>
      </c>
      <c r="P9" s="51">
        <v>3.82</v>
      </c>
      <c r="Q9" s="51">
        <v>6.21</v>
      </c>
      <c r="R9" s="43"/>
      <c r="S9" s="43"/>
      <c r="T9" s="43"/>
      <c r="U9" s="43"/>
    </row>
    <row r="10" spans="1:21" s="11" customFormat="1" ht="15">
      <c r="A10" s="50" t="s">
        <v>398</v>
      </c>
      <c r="B10" s="51">
        <v>2.12</v>
      </c>
      <c r="C10" s="51">
        <v>13.98</v>
      </c>
      <c r="D10" s="51">
        <v>16.100000000000001</v>
      </c>
      <c r="E10" s="51">
        <v>3.89</v>
      </c>
      <c r="F10" s="51">
        <v>0.78</v>
      </c>
      <c r="G10" s="53" t="s">
        <v>8</v>
      </c>
      <c r="H10" s="51">
        <v>4.59</v>
      </c>
      <c r="I10" s="51">
        <v>4.3600000000000003</v>
      </c>
      <c r="J10" s="51">
        <v>0.26</v>
      </c>
      <c r="K10" s="51">
        <v>323.27999999999997</v>
      </c>
      <c r="L10" s="51">
        <v>29.70</v>
      </c>
      <c r="M10" s="51">
        <v>99.15</v>
      </c>
      <c r="N10" s="51">
        <v>15.80</v>
      </c>
      <c r="O10" s="51">
        <v>6</v>
      </c>
      <c r="P10" s="51">
        <v>3.80</v>
      </c>
      <c r="Q10" s="51">
        <v>5.18</v>
      </c>
      <c r="R10" s="43"/>
      <c r="S10" s="43"/>
      <c r="T10" s="43"/>
      <c r="U10" s="43"/>
    </row>
    <row r="11" spans="1:21" s="11" customFormat="1" ht="15">
      <c r="A11" s="50" t="s">
        <v>399</v>
      </c>
      <c r="B11" s="51">
        <v>1.94</v>
      </c>
      <c r="C11" s="51">
        <v>15.77</v>
      </c>
      <c r="D11" s="51">
        <v>17.72</v>
      </c>
      <c r="E11" s="51">
        <v>3.25</v>
      </c>
      <c r="F11" s="51">
        <v>0.84</v>
      </c>
      <c r="G11" s="53" t="s">
        <v>8</v>
      </c>
      <c r="H11" s="51">
        <v>4.05</v>
      </c>
      <c r="I11" s="51">
        <v>4.16</v>
      </c>
      <c r="J11" s="51">
        <v>0.35</v>
      </c>
      <c r="K11" s="51">
        <v>48.53</v>
      </c>
      <c r="L11" s="51">
        <v>29.38</v>
      </c>
      <c r="M11" s="51">
        <v>99.15</v>
      </c>
      <c r="N11" s="51">
        <v>15.70</v>
      </c>
      <c r="O11" s="51">
        <v>2.80</v>
      </c>
      <c r="P11" s="51">
        <v>4.16</v>
      </c>
      <c r="Q11" s="51">
        <v>5.40</v>
      </c>
      <c r="R11" s="43"/>
      <c r="S11" s="43"/>
      <c r="T11" s="43"/>
      <c r="U11" s="43"/>
    </row>
    <row r="12" spans="1:21" s="11" customFormat="1" ht="15">
      <c r="A12" s="50" t="s">
        <v>400</v>
      </c>
      <c r="B12" s="51">
        <v>1.88</v>
      </c>
      <c r="C12" s="51">
        <v>17.71</v>
      </c>
      <c r="D12" s="51">
        <v>19.29</v>
      </c>
      <c r="E12" s="51">
        <v>2.4900000000000002</v>
      </c>
      <c r="F12" s="51">
        <v>0.60</v>
      </c>
      <c r="G12" s="53" t="s">
        <v>8</v>
      </c>
      <c r="H12" s="51">
        <v>4.12</v>
      </c>
      <c r="I12" s="51">
        <v>5.63</v>
      </c>
      <c r="J12" s="51">
        <v>0.28999999999999998</v>
      </c>
      <c r="K12" s="51">
        <v>359.66</v>
      </c>
      <c r="L12" s="51">
        <v>29.44</v>
      </c>
      <c r="M12" s="51">
        <v>99.15</v>
      </c>
      <c r="N12" s="51">
        <v>15.5</v>
      </c>
      <c r="O12" s="51">
        <v>2.80</v>
      </c>
      <c r="P12" s="51">
        <v>4.1399999999999997</v>
      </c>
      <c r="Q12" s="51">
        <v>5.61</v>
      </c>
      <c r="R12" s="43"/>
      <c r="S12" s="43"/>
      <c r="T12" s="43"/>
      <c r="U12" s="43"/>
    </row>
    <row r="13" spans="1:21" s="11" customFormat="1" ht="15">
      <c r="A13" s="50" t="s">
        <v>401</v>
      </c>
      <c r="B13" s="51">
        <v>2.76</v>
      </c>
      <c r="C13" s="51">
        <v>19.20</v>
      </c>
      <c r="D13" s="51">
        <v>21.82</v>
      </c>
      <c r="E13" s="51">
        <v>3.27</v>
      </c>
      <c r="F13" s="51">
        <v>0.71</v>
      </c>
      <c r="G13" s="53" t="s">
        <v>8</v>
      </c>
      <c r="H13" s="51">
        <v>3.94</v>
      </c>
      <c r="I13" s="51">
        <v>6.52</v>
      </c>
      <c r="J13" s="51">
        <v>0.32</v>
      </c>
      <c r="K13" s="51">
        <v>37.94</v>
      </c>
      <c r="L13" s="51">
        <v>29.65</v>
      </c>
      <c r="M13" s="51">
        <v>99.15</v>
      </c>
      <c r="N13" s="51">
        <v>15.60</v>
      </c>
      <c r="O13" s="51">
        <v>0.60</v>
      </c>
      <c r="P13" s="51">
        <v>4.34</v>
      </c>
      <c r="Q13" s="51">
        <v>6.12</v>
      </c>
      <c r="R13" s="43"/>
      <c r="S13" s="43"/>
      <c r="T13" s="43"/>
      <c r="U13" s="43"/>
    </row>
    <row r="14" spans="1:21" s="11" customFormat="1" ht="15">
      <c r="A14" s="50" t="s">
        <v>402</v>
      </c>
      <c r="B14" s="51">
        <v>2.72</v>
      </c>
      <c r="C14" s="51">
        <v>19.54</v>
      </c>
      <c r="D14" s="51">
        <v>22.26</v>
      </c>
      <c r="E14" s="51">
        <v>2.94</v>
      </c>
      <c r="F14" s="51">
        <v>1.23</v>
      </c>
      <c r="G14" s="53" t="s">
        <v>8</v>
      </c>
      <c r="H14" s="51">
        <v>5.44</v>
      </c>
      <c r="I14" s="51">
        <v>8.83</v>
      </c>
      <c r="J14" s="51">
        <v>0.37</v>
      </c>
      <c r="K14" s="51">
        <v>54.35</v>
      </c>
      <c r="L14" s="51">
        <v>30.17</v>
      </c>
      <c r="M14" s="51">
        <v>99.14</v>
      </c>
      <c r="N14" s="51">
        <v>17.30</v>
      </c>
      <c r="O14" s="51">
        <v>1.20</v>
      </c>
      <c r="P14" s="51">
        <v>4.3499999999999996</v>
      </c>
      <c r="Q14" s="51">
        <v>6.32</v>
      </c>
      <c r="R14" s="43"/>
      <c r="S14" s="43"/>
      <c r="T14" s="43"/>
      <c r="U14" s="43"/>
    </row>
    <row r="15" spans="1:21" s="11" customFormat="1" ht="15">
      <c r="A15" s="50" t="s">
        <v>403</v>
      </c>
      <c r="B15" s="51">
        <v>2.52</v>
      </c>
      <c r="C15" s="51">
        <v>15.62</v>
      </c>
      <c r="D15" s="51">
        <v>18.14</v>
      </c>
      <c r="E15" s="51">
        <v>3.03</v>
      </c>
      <c r="F15" s="51">
        <v>0.78</v>
      </c>
      <c r="G15" s="53" t="s">
        <v>8</v>
      </c>
      <c r="H15" s="51">
        <v>5.15</v>
      </c>
      <c r="I15" s="51">
        <v>7.19</v>
      </c>
      <c r="J15" s="51">
        <v>0.52</v>
      </c>
      <c r="K15" s="51">
        <v>208.86</v>
      </c>
      <c r="L15" s="51">
        <v>42.88</v>
      </c>
      <c r="M15" s="51">
        <v>99.15</v>
      </c>
      <c r="N15" s="51">
        <v>25.10</v>
      </c>
      <c r="O15" s="51">
        <v>1.80</v>
      </c>
      <c r="P15" s="51">
        <v>4.3099999999999996</v>
      </c>
      <c r="Q15" s="51">
        <v>5.29</v>
      </c>
      <c r="R15" s="43"/>
      <c r="S15" s="43"/>
      <c r="T15" s="43"/>
      <c r="U15" s="43"/>
    </row>
    <row r="16" spans="1:21" s="11" customFormat="1" ht="15">
      <c r="A16" s="50" t="s">
        <v>404</v>
      </c>
      <c r="B16" s="51">
        <v>2.3199999999999998</v>
      </c>
      <c r="C16" s="51">
        <v>16.670000000000002</v>
      </c>
      <c r="D16" s="51">
        <v>18.989999999999998</v>
      </c>
      <c r="E16" s="51">
        <v>3.07</v>
      </c>
      <c r="F16" s="51">
        <v>1.32</v>
      </c>
      <c r="G16" s="53" t="s">
        <v>8</v>
      </c>
      <c r="H16" s="51">
        <v>4.2300000000000004</v>
      </c>
      <c r="I16" s="51">
        <v>6.36</v>
      </c>
      <c r="J16" s="51">
        <v>0.46</v>
      </c>
      <c r="K16" s="51">
        <v>186.33</v>
      </c>
      <c r="L16" s="51">
        <v>62.54</v>
      </c>
      <c r="M16" s="51">
        <v>99.12</v>
      </c>
      <c r="N16" s="51">
        <v>48.90</v>
      </c>
      <c r="O16" s="51">
        <v>0</v>
      </c>
      <c r="P16" s="51">
        <v>4.0599999999999996</v>
      </c>
      <c r="Q16" s="51">
        <v>5.25</v>
      </c>
      <c r="R16" s="43"/>
      <c r="S16" s="43"/>
      <c r="T16" s="43"/>
      <c r="U16" s="43"/>
    </row>
    <row r="17" spans="1:21" s="11" customFormat="1" ht="15">
      <c r="A17" s="50" t="s">
        <v>405</v>
      </c>
      <c r="B17" s="51">
        <v>2.0699999999999998</v>
      </c>
      <c r="C17" s="51">
        <v>14.94</v>
      </c>
      <c r="D17" s="51">
        <v>16.27</v>
      </c>
      <c r="E17" s="51">
        <v>2.2999999999999998</v>
      </c>
      <c r="F17" s="51">
        <v>2.1800000000000002</v>
      </c>
      <c r="G17" s="53" t="s">
        <v>8</v>
      </c>
      <c r="H17" s="51">
        <v>3.5</v>
      </c>
      <c r="I17" s="51">
        <v>4.4000000000000004</v>
      </c>
      <c r="J17" s="51">
        <v>0.26</v>
      </c>
      <c r="K17" s="51">
        <v>56.70</v>
      </c>
      <c r="L17" s="51">
        <v>29.56</v>
      </c>
      <c r="M17" s="51">
        <v>99.15</v>
      </c>
      <c r="N17" s="51">
        <v>55.60</v>
      </c>
      <c r="O17" s="51">
        <v>0.40</v>
      </c>
      <c r="P17" s="51">
        <v>3.68</v>
      </c>
      <c r="Q17" s="51">
        <v>4.45</v>
      </c>
      <c r="R17" s="43"/>
      <c r="S17" s="43"/>
      <c r="T17" s="43"/>
      <c r="U17" s="43"/>
    </row>
    <row r="18" spans="1:21" s="11" customFormat="1" ht="15">
      <c r="A18" s="50" t="s">
        <v>406</v>
      </c>
      <c r="B18" s="51">
        <v>2.81</v>
      </c>
      <c r="C18" s="51">
        <v>14.38</v>
      </c>
      <c r="D18" s="51">
        <v>17.18</v>
      </c>
      <c r="E18" s="51">
        <v>2.21</v>
      </c>
      <c r="F18" s="51">
        <v>1.27</v>
      </c>
      <c r="G18" s="53" t="s">
        <v>8</v>
      </c>
      <c r="H18" s="51">
        <v>3.58</v>
      </c>
      <c r="I18" s="51">
        <v>2.97</v>
      </c>
      <c r="J18" s="51">
        <v>0.17</v>
      </c>
      <c r="K18" s="51">
        <v>189.34</v>
      </c>
      <c r="L18" s="51">
        <v>29.63</v>
      </c>
      <c r="M18" s="51">
        <v>99.15</v>
      </c>
      <c r="N18" s="51">
        <v>84.40</v>
      </c>
      <c r="O18" s="51">
        <v>0.60</v>
      </c>
      <c r="P18" s="51">
        <v>3.55</v>
      </c>
      <c r="Q18" s="51">
        <v>4.7300000000000004</v>
      </c>
      <c r="R18" s="43"/>
      <c r="S18" s="43"/>
      <c r="T18" s="43"/>
      <c r="U18" s="43"/>
    </row>
    <row r="19" spans="1:21" s="11" customFormat="1" ht="15">
      <c r="A19" s="50" t="s">
        <v>407</v>
      </c>
      <c r="B19" s="51">
        <v>1.67</v>
      </c>
      <c r="C19" s="51">
        <v>12.25</v>
      </c>
      <c r="D19" s="51">
        <v>13.92</v>
      </c>
      <c r="E19" s="51">
        <v>1.99</v>
      </c>
      <c r="F19" s="51">
        <v>1.53</v>
      </c>
      <c r="G19" s="53" t="s">
        <v>8</v>
      </c>
      <c r="H19" s="51">
        <v>3.41</v>
      </c>
      <c r="I19" s="51">
        <v>2.39</v>
      </c>
      <c r="J19" s="51">
        <v>0.16</v>
      </c>
      <c r="K19" s="51">
        <v>205.46</v>
      </c>
      <c r="L19" s="51">
        <v>31.22</v>
      </c>
      <c r="M19" s="51">
        <v>98.07</v>
      </c>
      <c r="N19" s="51">
        <v>121.30</v>
      </c>
      <c r="O19" s="51">
        <v>0</v>
      </c>
      <c r="P19" s="51">
        <v>3.47</v>
      </c>
      <c r="Q19" s="51">
        <v>3.81</v>
      </c>
      <c r="R19" s="43"/>
      <c r="S19" s="43"/>
      <c r="T19" s="43"/>
      <c r="U19" s="43"/>
    </row>
    <row r="20" spans="1:21" s="11" customFormat="1" ht="15">
      <c r="A20" s="50" t="s">
        <v>408</v>
      </c>
      <c r="B20" s="51">
        <v>1.55</v>
      </c>
      <c r="C20" s="51">
        <v>12.63</v>
      </c>
      <c r="D20" s="51">
        <v>14.18</v>
      </c>
      <c r="E20" s="51">
        <v>2.10</v>
      </c>
      <c r="F20" s="51">
        <v>1.30</v>
      </c>
      <c r="G20" s="53" t="s">
        <v>8</v>
      </c>
      <c r="H20" s="51">
        <v>4.4400000000000004</v>
      </c>
      <c r="I20" s="51">
        <v>2.15</v>
      </c>
      <c r="J20" s="51">
        <v>0.56999999999999995</v>
      </c>
      <c r="K20" s="51">
        <v>226.43</v>
      </c>
      <c r="L20" s="51">
        <v>50.15</v>
      </c>
      <c r="M20" s="51">
        <v>93.93</v>
      </c>
      <c r="N20" s="51">
        <v>179.80</v>
      </c>
      <c r="O20" s="51">
        <v>0</v>
      </c>
      <c r="P20" s="51">
        <v>3.44</v>
      </c>
      <c r="Q20" s="51">
        <v>3.39</v>
      </c>
      <c r="R20" s="43"/>
      <c r="S20" s="43"/>
      <c r="T20" s="43"/>
      <c r="U20" s="43"/>
    </row>
    <row r="21" spans="1:21" s="11" customFormat="1" ht="15">
      <c r="A21" s="50" t="s">
        <v>409</v>
      </c>
      <c r="B21" s="51">
        <v>1.1299999999999999</v>
      </c>
      <c r="C21" s="51">
        <v>11.82</v>
      </c>
      <c r="D21" s="51">
        <v>12.95</v>
      </c>
      <c r="E21" s="51">
        <v>2.02</v>
      </c>
      <c r="F21" s="51">
        <v>1.41</v>
      </c>
      <c r="G21" s="53" t="s">
        <v>8</v>
      </c>
      <c r="H21" s="51">
        <v>4.17</v>
      </c>
      <c r="I21" s="51">
        <v>2</v>
      </c>
      <c r="J21" s="51">
        <v>0.65</v>
      </c>
      <c r="K21" s="51">
        <v>237.43</v>
      </c>
      <c r="L21" s="51">
        <v>33.799999999999997</v>
      </c>
      <c r="M21" s="51">
        <v>90.16</v>
      </c>
      <c r="N21" s="51">
        <v>207</v>
      </c>
      <c r="O21" s="51">
        <v>0</v>
      </c>
      <c r="P21" s="51">
        <v>3.41</v>
      </c>
      <c r="Q21" s="51">
        <v>3.15</v>
      </c>
      <c r="R21" s="43"/>
      <c r="S21" s="43"/>
      <c r="T21" s="43"/>
      <c r="U21" s="43"/>
    </row>
    <row r="22" spans="1:21" s="11" customFormat="1" ht="15">
      <c r="A22" s="50" t="s">
        <v>410</v>
      </c>
      <c r="B22" s="51">
        <v>0.90</v>
      </c>
      <c r="C22" s="51">
        <v>9.7899999999999991</v>
      </c>
      <c r="D22" s="51">
        <v>10.62</v>
      </c>
      <c r="E22" s="51">
        <v>1.82</v>
      </c>
      <c r="F22" s="51">
        <v>1.65</v>
      </c>
      <c r="G22" s="53" t="s">
        <v>8</v>
      </c>
      <c r="H22" s="51">
        <v>3.23</v>
      </c>
      <c r="I22" s="51">
        <v>1.84</v>
      </c>
      <c r="J22" s="51">
        <v>0.71</v>
      </c>
      <c r="K22" s="51">
        <v>232.74</v>
      </c>
      <c r="L22" s="51">
        <v>33.79</v>
      </c>
      <c r="M22" s="51">
        <v>87.34</v>
      </c>
      <c r="N22" s="51">
        <v>168.80</v>
      </c>
      <c r="O22" s="51">
        <v>0</v>
      </c>
      <c r="P22" s="51">
        <v>3.38</v>
      </c>
      <c r="Q22" s="51">
        <v>2.38</v>
      </c>
      <c r="R22" s="43"/>
      <c r="S22" s="43"/>
      <c r="T22" s="43"/>
      <c r="U22" s="43"/>
    </row>
    <row r="23" spans="1:21" s="11" customFormat="1" ht="15">
      <c r="A23" s="50" t="s">
        <v>411</v>
      </c>
      <c r="B23" s="51">
        <v>0.91</v>
      </c>
      <c r="C23" s="51">
        <v>10.96</v>
      </c>
      <c r="D23" s="51">
        <v>11.83</v>
      </c>
      <c r="E23" s="51">
        <v>1.99</v>
      </c>
      <c r="F23" s="51">
        <v>1.85</v>
      </c>
      <c r="G23" s="53" t="s">
        <v>8</v>
      </c>
      <c r="H23" s="51">
        <v>2.46</v>
      </c>
      <c r="I23" s="51">
        <v>1.78</v>
      </c>
      <c r="J23" s="51">
        <v>0.20</v>
      </c>
      <c r="K23" s="51">
        <v>271.14</v>
      </c>
      <c r="L23" s="51">
        <v>33.590000000000003</v>
      </c>
      <c r="M23" s="51">
        <v>98.48</v>
      </c>
      <c r="N23" s="51">
        <v>161.19999999999999</v>
      </c>
      <c r="O23" s="51">
        <v>1</v>
      </c>
      <c r="P23" s="51">
        <v>3.40</v>
      </c>
      <c r="Q23" s="51">
        <v>2.61</v>
      </c>
      <c r="R23" s="43"/>
      <c r="S23" s="43"/>
      <c r="T23" s="43"/>
      <c r="U23" s="43"/>
    </row>
    <row r="24" spans="1:21" s="11" customFormat="1" ht="15">
      <c r="A24" s="50" t="s">
        <v>412</v>
      </c>
      <c r="B24" s="51">
        <v>1.1100000000000001</v>
      </c>
      <c r="C24" s="51">
        <v>10.75</v>
      </c>
      <c r="D24" s="51">
        <v>11.61</v>
      </c>
      <c r="E24" s="51">
        <v>2.0299999999999998</v>
      </c>
      <c r="F24" s="51">
        <v>1.28</v>
      </c>
      <c r="G24" s="53" t="s">
        <v>8</v>
      </c>
      <c r="H24" s="51">
        <v>2.19</v>
      </c>
      <c r="I24" s="51">
        <v>1.85</v>
      </c>
      <c r="J24" s="51">
        <v>0.66</v>
      </c>
      <c r="K24" s="51">
        <v>226.36</v>
      </c>
      <c r="L24" s="51">
        <v>33.409999999999997</v>
      </c>
      <c r="M24" s="51">
        <v>98.47</v>
      </c>
      <c r="N24" s="51">
        <v>143.19999999999999</v>
      </c>
      <c r="O24" s="51">
        <v>0.20</v>
      </c>
      <c r="P24" s="51">
        <v>3.39</v>
      </c>
      <c r="Q24" s="51">
        <v>2.64</v>
      </c>
      <c r="R24" s="43"/>
      <c r="S24" s="43"/>
      <c r="T24" s="43"/>
      <c r="U24" s="43"/>
    </row>
    <row r="25" spans="1:21" s="11" customFormat="1" ht="15">
      <c r="A25" s="50" t="s">
        <v>413</v>
      </c>
      <c r="B25" s="51">
        <v>1.80</v>
      </c>
      <c r="C25" s="51">
        <v>9.5</v>
      </c>
      <c r="D25" s="51">
        <v>10.87</v>
      </c>
      <c r="E25" s="51">
        <v>3.61</v>
      </c>
      <c r="F25" s="51">
        <v>0.72</v>
      </c>
      <c r="G25" s="53" t="s">
        <v>8</v>
      </c>
      <c r="H25" s="51">
        <v>2.0499999999999998</v>
      </c>
      <c r="I25" s="51">
        <v>2.09</v>
      </c>
      <c r="J25" s="51">
        <v>1.0900000000000001</v>
      </c>
      <c r="K25" s="51">
        <v>196.68</v>
      </c>
      <c r="L25" s="51">
        <v>40.19</v>
      </c>
      <c r="M25" s="51">
        <v>99.10</v>
      </c>
      <c r="N25" s="51">
        <v>70.20</v>
      </c>
      <c r="O25" s="51">
        <v>0.60</v>
      </c>
      <c r="P25" s="51">
        <v>3.38</v>
      </c>
      <c r="Q25" s="51">
        <v>2.87</v>
      </c>
      <c r="R25" s="43"/>
      <c r="S25" s="43"/>
      <c r="T25" s="43"/>
      <c r="U25" s="43"/>
    </row>
    <row r="26" spans="1:21" s="11" customFormat="1" ht="15">
      <c r="A26" s="50" t="s">
        <v>414</v>
      </c>
      <c r="B26" s="51">
        <v>1.77</v>
      </c>
      <c r="C26" s="51">
        <v>8.76</v>
      </c>
      <c r="D26" s="51">
        <v>10.53</v>
      </c>
      <c r="E26" s="51">
        <v>3.81</v>
      </c>
      <c r="F26" s="51">
        <v>0.55000000000000004</v>
      </c>
      <c r="G26" s="53" t="s">
        <v>8</v>
      </c>
      <c r="H26" s="51">
        <v>1.63</v>
      </c>
      <c r="I26" s="51">
        <v>2.1800000000000002</v>
      </c>
      <c r="J26" s="51">
        <v>0.85</v>
      </c>
      <c r="K26" s="51">
        <v>206.91</v>
      </c>
      <c r="L26" s="51">
        <v>39.75</v>
      </c>
      <c r="M26" s="51">
        <v>99.09</v>
      </c>
      <c r="N26" s="51">
        <v>92</v>
      </c>
      <c r="O26" s="51">
        <v>0.20</v>
      </c>
      <c r="P26" s="51">
        <v>3.37</v>
      </c>
      <c r="Q26" s="51">
        <v>2.84</v>
      </c>
      <c r="R26" s="43"/>
      <c r="S26" s="43"/>
      <c r="T26" s="43"/>
      <c r="U26" s="43"/>
    </row>
    <row r="27" spans="1:21" s="11" customFormat="1" ht="15">
      <c r="A27" s="50" t="s">
        <v>415</v>
      </c>
      <c r="B27" s="51">
        <v>1.69</v>
      </c>
      <c r="C27" s="51">
        <v>9.15</v>
      </c>
      <c r="D27" s="51">
        <v>10.70</v>
      </c>
      <c r="E27" s="51">
        <v>4.07</v>
      </c>
      <c r="F27" s="51">
        <v>0.51</v>
      </c>
      <c r="G27" s="53" t="s">
        <v>8</v>
      </c>
      <c r="H27" s="51">
        <v>1.39</v>
      </c>
      <c r="I27" s="51">
        <v>2.2999999999999998</v>
      </c>
      <c r="J27" s="51">
        <v>1.46</v>
      </c>
      <c r="K27" s="51">
        <v>172.46</v>
      </c>
      <c r="L27" s="51">
        <v>40.49</v>
      </c>
      <c r="M27" s="51">
        <v>97.04</v>
      </c>
      <c r="N27" s="51">
        <v>24.60</v>
      </c>
      <c r="O27" s="51">
        <v>0</v>
      </c>
      <c r="P27" s="51">
        <v>3.37</v>
      </c>
      <c r="Q27" s="51">
        <v>2.96</v>
      </c>
      <c r="R27" s="43"/>
      <c r="S27" s="43"/>
      <c r="T27" s="43"/>
      <c r="U27" s="43"/>
    </row>
    <row r="28" spans="1:21" s="11" customFormat="1" ht="15">
      <c r="A28" s="50" t="s">
        <v>416</v>
      </c>
      <c r="B28" s="51">
        <v>1.97</v>
      </c>
      <c r="C28" s="51">
        <v>9.3699999999999992</v>
      </c>
      <c r="D28" s="51">
        <v>11.10</v>
      </c>
      <c r="E28" s="51">
        <v>4.99</v>
      </c>
      <c r="F28" s="51">
        <v>0.51</v>
      </c>
      <c r="G28" s="53" t="s">
        <v>8</v>
      </c>
      <c r="H28" s="51">
        <v>1.43</v>
      </c>
      <c r="I28" s="51">
        <v>2.39</v>
      </c>
      <c r="J28" s="51">
        <v>1.73</v>
      </c>
      <c r="K28" s="51">
        <v>175</v>
      </c>
      <c r="L28" s="51">
        <v>42.48</v>
      </c>
      <c r="M28" s="51">
        <v>95.51</v>
      </c>
      <c r="N28" s="51">
        <v>16.100000000000001</v>
      </c>
      <c r="O28" s="51">
        <v>0</v>
      </c>
      <c r="P28" s="51">
        <v>3.38</v>
      </c>
      <c r="Q28" s="51">
        <v>3.37</v>
      </c>
      <c r="R28" s="43"/>
      <c r="S28" s="43"/>
      <c r="T28" s="43"/>
      <c r="U28" s="43"/>
    </row>
    <row r="29" spans="1:21" s="11" customFormat="1" ht="15">
      <c r="A29" s="50" t="s">
        <v>417</v>
      </c>
      <c r="B29" s="51">
        <v>2.23</v>
      </c>
      <c r="C29" s="51">
        <v>8.8699999999999992</v>
      </c>
      <c r="D29" s="51">
        <v>11.07</v>
      </c>
      <c r="E29" s="51">
        <v>4.17</v>
      </c>
      <c r="F29" s="51">
        <v>0.47</v>
      </c>
      <c r="G29" s="53" t="s">
        <v>8</v>
      </c>
      <c r="H29" s="51">
        <v>1.56</v>
      </c>
      <c r="I29" s="51">
        <v>2.52</v>
      </c>
      <c r="J29" s="51">
        <v>1.23</v>
      </c>
      <c r="K29" s="51">
        <v>179.13</v>
      </c>
      <c r="L29" s="51">
        <v>45.58</v>
      </c>
      <c r="M29" s="51">
        <v>94.18</v>
      </c>
      <c r="N29" s="51">
        <v>15.80</v>
      </c>
      <c r="O29" s="51">
        <v>0</v>
      </c>
      <c r="P29" s="51">
        <v>3.38</v>
      </c>
      <c r="Q29" s="51">
        <v>3.36</v>
      </c>
      <c r="R29" s="43"/>
      <c r="S29" s="43"/>
      <c r="T29" s="43"/>
      <c r="U29" s="43"/>
    </row>
    <row r="30" spans="1:21" s="11" customFormat="1" ht="15">
      <c r="A30" s="50" t="s">
        <v>418</v>
      </c>
      <c r="B30" s="51">
        <v>2.34</v>
      </c>
      <c r="C30" s="51">
        <v>9.01</v>
      </c>
      <c r="D30" s="51">
        <v>11.29</v>
      </c>
      <c r="E30" s="51">
        <v>4.41</v>
      </c>
      <c r="F30" s="51">
        <v>1.1200000000000001</v>
      </c>
      <c r="G30" s="53" t="s">
        <v>8</v>
      </c>
      <c r="H30" s="51">
        <v>1.60</v>
      </c>
      <c r="I30" s="51">
        <v>2.52</v>
      </c>
      <c r="J30" s="51">
        <v>2.31</v>
      </c>
      <c r="K30" s="51">
        <v>166.76</v>
      </c>
      <c r="L30" s="51">
        <v>45.07</v>
      </c>
      <c r="M30" s="51">
        <v>92.23</v>
      </c>
      <c r="N30" s="51">
        <v>15.70</v>
      </c>
      <c r="O30" s="51">
        <v>0</v>
      </c>
      <c r="P30" s="51">
        <v>3.38</v>
      </c>
      <c r="Q30" s="51">
        <v>3.51</v>
      </c>
      <c r="R30" s="43"/>
      <c r="S30" s="43"/>
      <c r="T30" s="43"/>
      <c r="U30" s="43"/>
    </row>
    <row r="31" spans="1:21" s="11" customFormat="1" ht="15">
      <c r="A31" s="50" t="s">
        <v>419</v>
      </c>
      <c r="B31" s="51">
        <v>2.2200000000000002</v>
      </c>
      <c r="C31" s="51">
        <v>8.93</v>
      </c>
      <c r="D31" s="51">
        <v>11.15</v>
      </c>
      <c r="E31" s="51">
        <v>5.20</v>
      </c>
      <c r="F31" s="51">
        <v>0.48</v>
      </c>
      <c r="G31" s="53" t="s">
        <v>8</v>
      </c>
      <c r="H31" s="51">
        <v>1.59</v>
      </c>
      <c r="I31" s="51">
        <v>2.60</v>
      </c>
      <c r="J31" s="51">
        <v>2.0499999999999998</v>
      </c>
      <c r="K31" s="51">
        <v>163.92</v>
      </c>
      <c r="L31" s="51">
        <v>43.79</v>
      </c>
      <c r="M31" s="51">
        <v>93.84</v>
      </c>
      <c r="N31" s="51">
        <v>15.30</v>
      </c>
      <c r="O31" s="51">
        <v>0</v>
      </c>
      <c r="P31" s="51">
        <v>3.37</v>
      </c>
      <c r="Q31" s="51">
        <v>3.43</v>
      </c>
      <c r="R31" s="43"/>
      <c r="S31" s="43"/>
      <c r="T31" s="43"/>
      <c r="U31" s="43"/>
    </row>
    <row r="32" spans="1:21" s="11" customFormat="1" ht="15">
      <c r="A32" s="50" t="s">
        <v>420</v>
      </c>
      <c r="B32" s="51">
        <v>2.11</v>
      </c>
      <c r="C32" s="51">
        <v>8.5</v>
      </c>
      <c r="D32" s="51">
        <v>10.44</v>
      </c>
      <c r="E32" s="51">
        <v>5.68</v>
      </c>
      <c r="F32" s="51">
        <v>0.55000000000000004</v>
      </c>
      <c r="G32" s="53" t="s">
        <v>8</v>
      </c>
      <c r="H32" s="51">
        <v>1.65</v>
      </c>
      <c r="I32" s="51">
        <v>2.64</v>
      </c>
      <c r="J32" s="51">
        <v>2.27</v>
      </c>
      <c r="K32" s="51">
        <v>162.84</v>
      </c>
      <c r="L32" s="51">
        <v>41.97</v>
      </c>
      <c r="M32" s="51">
        <v>93.70</v>
      </c>
      <c r="N32" s="51">
        <v>15.5</v>
      </c>
      <c r="O32" s="51">
        <v>0</v>
      </c>
      <c r="P32" s="51">
        <v>3.36</v>
      </c>
      <c r="Q32" s="51">
        <v>3.24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0.90000000000000002</v>
      </c>
      <c r="C34" s="28">
        <f t="shared" si="0"/>
        <v>8.5</v>
      </c>
      <c r="D34" s="28">
        <f t="shared" si="0"/>
        <v>10.44</v>
      </c>
      <c r="E34" s="28">
        <f t="shared" si="0"/>
        <v>1.8200000000000001</v>
      </c>
      <c r="F34" s="28">
        <f t="shared" si="0"/>
        <v>0.46999999999999997</v>
      </c>
      <c r="G34" s="28">
        <f t="shared" si="0"/>
        <v>0</v>
      </c>
      <c r="H34" s="28">
        <f t="shared" si="0"/>
        <v>1.3899999999999999</v>
      </c>
      <c r="I34" s="28">
        <f t="shared" si="0"/>
        <v>1.78</v>
      </c>
      <c r="J34" s="28">
        <f t="shared" si="0"/>
        <v>0.16</v>
      </c>
      <c r="K34" s="28">
        <f t="shared" si="0"/>
        <v>37.939999999999998</v>
      </c>
      <c r="L34" s="28">
        <f t="shared" si="0"/>
        <v>29.379999999999999</v>
      </c>
      <c r="M34" s="28">
        <f t="shared" si="0"/>
        <v>87.340000000000003</v>
      </c>
      <c r="N34" s="28">
        <f t="shared" si="0"/>
        <v>15.300000000000001</v>
      </c>
      <c r="O34" s="28">
        <f t="shared" si="0"/>
        <v>0</v>
      </c>
      <c r="P34" s="28">
        <f t="shared" si="0"/>
        <v>3.3599999999999999</v>
      </c>
      <c r="Q34" s="28">
        <f t="shared" si="0"/>
        <v>2.3799999999999999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3.4399999999999999</v>
      </c>
      <c r="C35" s="29">
        <f t="shared" si="1"/>
        <v>19.539999999999999</v>
      </c>
      <c r="D35" s="29">
        <f t="shared" si="1"/>
        <v>22.260000000000002</v>
      </c>
      <c r="E35" s="29">
        <f t="shared" si="1"/>
        <v>5.6799999999999997</v>
      </c>
      <c r="F35" s="29">
        <f t="shared" si="1"/>
        <v>2.1800000000000002</v>
      </c>
      <c r="G35" s="29">
        <f t="shared" si="1"/>
        <v>0</v>
      </c>
      <c r="H35" s="29">
        <f t="shared" si="1"/>
        <v>5.4400000000000004</v>
      </c>
      <c r="I35" s="29">
        <f t="shared" si="1"/>
        <v>8.8300000000000001</v>
      </c>
      <c r="J35" s="29">
        <f t="shared" si="1"/>
        <v>2.3100000000000001</v>
      </c>
      <c r="K35" s="29">
        <f t="shared" si="1"/>
        <v>359.66000000000003</v>
      </c>
      <c r="L35" s="29">
        <f t="shared" si="1"/>
        <v>62.539999999999999</v>
      </c>
      <c r="M35" s="29">
        <f t="shared" si="1"/>
        <v>99.150000000000006</v>
      </c>
      <c r="N35" s="29">
        <f t="shared" si="1"/>
        <v>207</v>
      </c>
      <c r="O35" s="29">
        <f t="shared" si="1"/>
        <v>6</v>
      </c>
      <c r="P35" s="29">
        <f t="shared" si="1"/>
        <v>4.3499999999999996</v>
      </c>
      <c r="Q35" s="29">
        <f t="shared" si="1"/>
        <v>6.3200000000000003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1.9991666666666663</v>
      </c>
      <c r="C36" s="28">
        <f t="shared" si="2"/>
        <v>12.674583333333331</v>
      </c>
      <c r="D36" s="28">
        <f t="shared" si="2"/>
        <v>14.563750000000001</v>
      </c>
      <c r="E36" s="28">
        <f t="shared" si="2"/>
        <v>3.2387500000000009</v>
      </c>
      <c r="F36" s="28">
        <f t="shared" si="2"/>
        <v>1.0062500000000003</v>
      </c>
      <c r="G36" s="28" t="e">
        <f t="shared" si="2"/>
        <v>#DIV/0!</v>
      </c>
      <c r="H36" s="28">
        <f t="shared" si="2"/>
        <v>3.1745833333333331</v>
      </c>
      <c r="I36" s="28">
        <f t="shared" si="2"/>
        <v>3.5879166666666662</v>
      </c>
      <c r="J36" s="28">
        <f t="shared" si="2"/>
        <v>0.80125000000000002</v>
      </c>
      <c r="K36" s="28">
        <f t="shared" si="2"/>
        <v>193.07041666666666</v>
      </c>
      <c r="L36" s="28">
        <f t="shared" si="2"/>
        <v>37.416250000000012</v>
      </c>
      <c r="M36" s="28">
        <f t="shared" si="2"/>
        <v>96.774999999999991</v>
      </c>
      <c r="N36" s="28">
        <f t="shared" si="2"/>
        <v>64.829166666666666</v>
      </c>
      <c r="O36" s="28">
        <f t="shared" si="2"/>
        <v>0.80833333333333324</v>
      </c>
      <c r="P36" s="28">
        <f t="shared" si="2"/>
        <v>3.6537499999999992</v>
      </c>
      <c r="Q36" s="28">
        <f t="shared" si="2"/>
        <v>4.0883333333333338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0.62251884320470885</v>
      </c>
      <c r="C37" s="28">
        <f t="shared" si="3" ref="C37:Q37">STDEV(C9:C32)</f>
        <v>3.5793841821168684</v>
      </c>
      <c r="D37" s="28">
        <f t="shared" si="3"/>
        <v>3.9363940820966032</v>
      </c>
      <c r="E37" s="28">
        <f t="shared" si="3"/>
        <v>1.1180663140479139</v>
      </c>
      <c r="F37" s="28">
        <f t="shared" si="3"/>
        <v>0.48980752652800019</v>
      </c>
      <c r="G37" s="28" t="e">
        <f t="shared" si="3"/>
        <v>#DIV/0!</v>
      </c>
      <c r="H37" s="28">
        <f t="shared" si="3"/>
        <v>1.3385325487480579</v>
      </c>
      <c r="I37" s="28">
        <f t="shared" si="3"/>
        <v>1.982973128294037</v>
      </c>
      <c r="J37" s="28">
        <f t="shared" si="3"/>
        <v>0.68398647647449862</v>
      </c>
      <c r="K37" s="28">
        <f t="shared" si="3"/>
        <v>85.120466168180741</v>
      </c>
      <c r="L37" s="28">
        <f t="shared" si="3"/>
        <v>8.4309516779336011</v>
      </c>
      <c r="M37" s="28">
        <f t="shared" si="3"/>
        <v>3.3779463789602162</v>
      </c>
      <c r="N37" s="28">
        <f t="shared" si="3"/>
        <v>63.925993074646186</v>
      </c>
      <c r="O37" s="28">
        <f t="shared" si="3"/>
        <v>1.3900005213219748</v>
      </c>
      <c r="P37" s="28">
        <f t="shared" si="3"/>
        <v>0.36593908378783235</v>
      </c>
      <c r="Q37" s="28">
        <f t="shared" si="3"/>
        <v>1.2797780604690669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6c4d55-ca30-4f2e-bb5a-f4fd6f5d0fa5}">
  <sheetPr codeName=""/>
  <dimension ref="A1:U119"/>
  <sheetViews>
    <sheetView zoomScale="85" zoomScaleNormal="85" workbookViewId="0" topLeftCell="A1">
      <pane xSplit="1" ySplit="8" topLeftCell="B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38" sqref="G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421</v>
      </c>
      <c r="B9" s="51">
        <v>1.94</v>
      </c>
      <c r="C9" s="51">
        <v>8.09</v>
      </c>
      <c r="D9" s="51">
        <v>10.02</v>
      </c>
      <c r="E9" s="51">
        <v>4.68</v>
      </c>
      <c r="F9" s="51">
        <v>0.53</v>
      </c>
      <c r="G9" s="53" t="s">
        <v>8</v>
      </c>
      <c r="H9" s="51">
        <v>1.65</v>
      </c>
      <c r="I9" s="51">
        <v>2.54</v>
      </c>
      <c r="J9" s="51">
        <v>1.85</v>
      </c>
      <c r="K9" s="51">
        <v>163.62</v>
      </c>
      <c r="L9" s="51">
        <v>39.82</v>
      </c>
      <c r="M9" s="51">
        <v>95.21</v>
      </c>
      <c r="N9" s="51">
        <v>15.40</v>
      </c>
      <c r="O9" s="51">
        <v>0</v>
      </c>
      <c r="P9" s="51">
        <v>3.34</v>
      </c>
      <c r="Q9" s="51">
        <v>3.06</v>
      </c>
      <c r="R9" s="43"/>
      <c r="S9" s="43"/>
      <c r="T9" s="43"/>
      <c r="U9" s="43"/>
    </row>
    <row r="10" spans="1:21" s="11" customFormat="1" ht="15">
      <c r="A10" s="50" t="s">
        <v>422</v>
      </c>
      <c r="B10" s="51">
        <v>3.09</v>
      </c>
      <c r="C10" s="51">
        <v>8.23</v>
      </c>
      <c r="D10" s="51">
        <v>11.32</v>
      </c>
      <c r="E10" s="51">
        <v>5.28</v>
      </c>
      <c r="F10" s="51">
        <v>0.35</v>
      </c>
      <c r="G10" s="53" t="s">
        <v>8</v>
      </c>
      <c r="H10" s="51">
        <v>1.63</v>
      </c>
      <c r="I10" s="51">
        <v>2.5099999999999998</v>
      </c>
      <c r="J10" s="51">
        <v>1.5</v>
      </c>
      <c r="K10" s="51">
        <v>165.38</v>
      </c>
      <c r="L10" s="51">
        <v>39.22</v>
      </c>
      <c r="M10" s="51">
        <v>95.46</v>
      </c>
      <c r="N10" s="51">
        <v>15.40</v>
      </c>
      <c r="O10" s="51">
        <v>0</v>
      </c>
      <c r="P10" s="51">
        <v>3.34</v>
      </c>
      <c r="Q10" s="51">
        <v>3.60</v>
      </c>
      <c r="R10" s="43"/>
      <c r="S10" s="43"/>
      <c r="T10" s="43"/>
      <c r="U10" s="43"/>
    </row>
    <row r="11" spans="1:21" s="11" customFormat="1" ht="15">
      <c r="A11" s="50" t="s">
        <v>423</v>
      </c>
      <c r="B11" s="51">
        <v>3.15</v>
      </c>
      <c r="C11" s="51">
        <v>8.2100000000000009</v>
      </c>
      <c r="D11" s="51">
        <v>11.30</v>
      </c>
      <c r="E11" s="51">
        <v>5.5</v>
      </c>
      <c r="F11" s="51">
        <v>0.52</v>
      </c>
      <c r="G11" s="53" t="s">
        <v>8</v>
      </c>
      <c r="H11" s="51">
        <v>1.63</v>
      </c>
      <c r="I11" s="51">
        <v>2.69</v>
      </c>
      <c r="J11" s="51">
        <v>0.95</v>
      </c>
      <c r="K11" s="51">
        <v>185.76</v>
      </c>
      <c r="L11" s="51">
        <v>39.60</v>
      </c>
      <c r="M11" s="51">
        <v>94.96</v>
      </c>
      <c r="N11" s="51">
        <v>15.20</v>
      </c>
      <c r="O11" s="51">
        <v>0</v>
      </c>
      <c r="P11" s="51">
        <v>3.34</v>
      </c>
      <c r="Q11" s="51">
        <v>3.62</v>
      </c>
      <c r="R11" s="43"/>
      <c r="S11" s="43"/>
      <c r="T11" s="43"/>
      <c r="U11" s="43"/>
    </row>
    <row r="12" spans="1:21" s="11" customFormat="1" ht="15">
      <c r="A12" s="50" t="s">
        <v>424</v>
      </c>
      <c r="B12" s="51">
        <v>2.75</v>
      </c>
      <c r="C12" s="51">
        <v>7.54</v>
      </c>
      <c r="D12" s="51">
        <v>10.19</v>
      </c>
      <c r="E12" s="51">
        <v>5.63</v>
      </c>
      <c r="F12" s="51">
        <v>0.41</v>
      </c>
      <c r="G12" s="53" t="s">
        <v>8</v>
      </c>
      <c r="H12" s="51">
        <v>1.61</v>
      </c>
      <c r="I12" s="51">
        <v>2.71</v>
      </c>
      <c r="J12" s="51">
        <v>0.56000000000000005</v>
      </c>
      <c r="K12" s="51">
        <v>196.93</v>
      </c>
      <c r="L12" s="51">
        <v>42.09</v>
      </c>
      <c r="M12" s="51">
        <v>92.09</v>
      </c>
      <c r="N12" s="51">
        <v>15.40</v>
      </c>
      <c r="O12" s="51">
        <v>0</v>
      </c>
      <c r="P12" s="51">
        <v>3.34</v>
      </c>
      <c r="Q12" s="51">
        <v>3.36</v>
      </c>
      <c r="R12" s="43"/>
      <c r="S12" s="43"/>
      <c r="T12" s="43"/>
      <c r="U12" s="43"/>
    </row>
    <row r="13" spans="1:21" s="11" customFormat="1" ht="15">
      <c r="A13" s="50" t="s">
        <v>425</v>
      </c>
      <c r="B13" s="51">
        <v>2.70</v>
      </c>
      <c r="C13" s="51">
        <v>7.44</v>
      </c>
      <c r="D13" s="51">
        <v>9.98</v>
      </c>
      <c r="E13" s="51">
        <v>5.94</v>
      </c>
      <c r="F13" s="51">
        <v>0.35</v>
      </c>
      <c r="G13" s="53" t="s">
        <v>8</v>
      </c>
      <c r="H13" s="51">
        <v>1.57</v>
      </c>
      <c r="I13" s="51">
        <v>2.74</v>
      </c>
      <c r="J13" s="51">
        <v>0.60</v>
      </c>
      <c r="K13" s="51">
        <v>184.78</v>
      </c>
      <c r="L13" s="51">
        <v>41.38</v>
      </c>
      <c r="M13" s="51">
        <v>93.46</v>
      </c>
      <c r="N13" s="51">
        <v>15.20</v>
      </c>
      <c r="O13" s="51">
        <v>0</v>
      </c>
      <c r="P13" s="51">
        <v>3.34</v>
      </c>
      <c r="Q13" s="51">
        <v>3.58</v>
      </c>
      <c r="R13" s="43"/>
      <c r="S13" s="43"/>
      <c r="T13" s="43"/>
      <c r="U13" s="43"/>
    </row>
    <row r="14" spans="1:21" s="11" customFormat="1" ht="15">
      <c r="A14" s="50" t="s">
        <v>426</v>
      </c>
      <c r="B14" s="51">
        <v>3.63</v>
      </c>
      <c r="C14" s="51">
        <v>7.75</v>
      </c>
      <c r="D14" s="51">
        <v>11.37</v>
      </c>
      <c r="E14" s="51">
        <v>6.39</v>
      </c>
      <c r="F14" s="51">
        <v>0.47</v>
      </c>
      <c r="G14" s="53" t="s">
        <v>8</v>
      </c>
      <c r="H14" s="51">
        <v>1.72</v>
      </c>
      <c r="I14" s="51">
        <v>2.92</v>
      </c>
      <c r="J14" s="51">
        <v>1.1200000000000001</v>
      </c>
      <c r="K14" s="51">
        <v>186.72</v>
      </c>
      <c r="L14" s="51">
        <v>32.54</v>
      </c>
      <c r="M14" s="51">
        <v>94.40</v>
      </c>
      <c r="N14" s="51">
        <v>34</v>
      </c>
      <c r="O14" s="51">
        <v>0</v>
      </c>
      <c r="P14" s="51">
        <v>3.34</v>
      </c>
      <c r="Q14" s="51">
        <v>4.1500000000000004</v>
      </c>
      <c r="R14" s="43"/>
      <c r="S14" s="43"/>
      <c r="T14" s="43"/>
      <c r="U14" s="43"/>
    </row>
    <row r="15" spans="1:21" s="11" customFormat="1" ht="15">
      <c r="A15" s="50" t="s">
        <v>427</v>
      </c>
      <c r="B15" s="51">
        <v>4.1500000000000004</v>
      </c>
      <c r="C15" s="51">
        <v>8.14</v>
      </c>
      <c r="D15" s="51">
        <v>12.30</v>
      </c>
      <c r="E15" s="51">
        <v>6.79</v>
      </c>
      <c r="F15" s="51">
        <v>0.28999999999999998</v>
      </c>
      <c r="G15" s="53" t="s">
        <v>8</v>
      </c>
      <c r="H15" s="51">
        <v>1.80</v>
      </c>
      <c r="I15" s="51">
        <v>3.16</v>
      </c>
      <c r="J15" s="51">
        <v>1.64</v>
      </c>
      <c r="K15" s="51">
        <v>161.29</v>
      </c>
      <c r="L15" s="51">
        <v>43.66</v>
      </c>
      <c r="M15" s="51">
        <v>92.39</v>
      </c>
      <c r="N15" s="51">
        <v>185.90</v>
      </c>
      <c r="O15" s="51">
        <v>0</v>
      </c>
      <c r="P15" s="51">
        <v>3.36</v>
      </c>
      <c r="Q15" s="51">
        <v>4.54</v>
      </c>
      <c r="R15" s="43"/>
      <c r="S15" s="43"/>
      <c r="T15" s="43"/>
      <c r="U15" s="43"/>
    </row>
    <row r="16" spans="1:21" s="11" customFormat="1" ht="15">
      <c r="A16" s="50" t="s">
        <v>428</v>
      </c>
      <c r="B16" s="51">
        <v>4.95</v>
      </c>
      <c r="C16" s="51">
        <v>9</v>
      </c>
      <c r="D16" s="51">
        <v>13.95</v>
      </c>
      <c r="E16" s="51">
        <v>6.68</v>
      </c>
      <c r="F16" s="51">
        <v>0.36</v>
      </c>
      <c r="G16" s="53" t="s">
        <v>8</v>
      </c>
      <c r="H16" s="51">
        <v>2.2200000000000002</v>
      </c>
      <c r="I16" s="51">
        <v>3.20</v>
      </c>
      <c r="J16" s="51">
        <v>0.94</v>
      </c>
      <c r="K16" s="51">
        <v>202.93</v>
      </c>
      <c r="L16" s="51">
        <v>48.08</v>
      </c>
      <c r="M16" s="51">
        <v>88.87</v>
      </c>
      <c r="N16" s="51">
        <v>443.30</v>
      </c>
      <c r="O16" s="51">
        <v>0</v>
      </c>
      <c r="P16" s="51">
        <v>3.37</v>
      </c>
      <c r="Q16" s="51">
        <v>4.8099999999999996</v>
      </c>
      <c r="R16" s="43"/>
      <c r="S16" s="43"/>
      <c r="T16" s="43"/>
      <c r="U16" s="43"/>
    </row>
    <row r="17" spans="1:21" s="11" customFormat="1" ht="15">
      <c r="A17" s="50" t="s">
        <v>429</v>
      </c>
      <c r="B17" s="51">
        <v>5.65</v>
      </c>
      <c r="C17" s="51">
        <v>11.07</v>
      </c>
      <c r="D17" s="51">
        <v>16.68</v>
      </c>
      <c r="E17" s="51">
        <v>3.95</v>
      </c>
      <c r="F17" s="51">
        <v>0.57999999999999996</v>
      </c>
      <c r="G17" s="53" t="s">
        <v>8</v>
      </c>
      <c r="H17" s="51">
        <v>2.23</v>
      </c>
      <c r="I17" s="51">
        <v>3.20</v>
      </c>
      <c r="J17" s="51">
        <v>0.77</v>
      </c>
      <c r="K17" s="51">
        <v>209.38</v>
      </c>
      <c r="L17" s="51">
        <v>52.19</v>
      </c>
      <c r="M17" s="51">
        <v>80.760000000000005</v>
      </c>
      <c r="N17" s="51">
        <v>565.20000000000005</v>
      </c>
      <c r="O17" s="51">
        <v>0</v>
      </c>
      <c r="P17" s="51">
        <v>3.37</v>
      </c>
      <c r="Q17" s="51">
        <v>5.33</v>
      </c>
      <c r="R17" s="43"/>
      <c r="S17" s="43"/>
      <c r="T17" s="43"/>
      <c r="U17" s="43"/>
    </row>
    <row r="18" spans="1:21" s="11" customFormat="1" ht="15">
      <c r="A18" s="50" t="s">
        <v>430</v>
      </c>
      <c r="B18" s="51">
        <v>4.84</v>
      </c>
      <c r="C18" s="51">
        <v>11.71</v>
      </c>
      <c r="D18" s="51">
        <v>16.13</v>
      </c>
      <c r="E18" s="51">
        <v>3.96</v>
      </c>
      <c r="F18" s="51">
        <v>0.83</v>
      </c>
      <c r="G18" s="53" t="s">
        <v>8</v>
      </c>
      <c r="H18" s="51">
        <v>2.25</v>
      </c>
      <c r="I18" s="51">
        <v>3.01</v>
      </c>
      <c r="J18" s="51">
        <v>0.60</v>
      </c>
      <c r="K18" s="51">
        <v>210.38</v>
      </c>
      <c r="L18" s="51">
        <v>48.32</v>
      </c>
      <c r="M18" s="51">
        <v>77.599999999999994</v>
      </c>
      <c r="N18" s="51">
        <v>577.5</v>
      </c>
      <c r="O18" s="51">
        <v>0</v>
      </c>
      <c r="P18" s="51">
        <v>3.38</v>
      </c>
      <c r="Q18" s="51">
        <v>5.12</v>
      </c>
      <c r="R18" s="43"/>
      <c r="S18" s="43"/>
      <c r="T18" s="43"/>
      <c r="U18" s="43"/>
    </row>
    <row r="19" spans="1:21" s="11" customFormat="1" ht="15">
      <c r="A19" s="50" t="s">
        <v>431</v>
      </c>
      <c r="B19" s="51">
        <v>2.99</v>
      </c>
      <c r="C19" s="51">
        <v>11.52</v>
      </c>
      <c r="D19" s="51">
        <v>14.51</v>
      </c>
      <c r="E19" s="51">
        <v>3.49</v>
      </c>
      <c r="F19" s="51">
        <v>0.94</v>
      </c>
      <c r="G19" s="53" t="s">
        <v>8</v>
      </c>
      <c r="H19" s="51">
        <v>2.86</v>
      </c>
      <c r="I19" s="51">
        <v>2.90</v>
      </c>
      <c r="J19" s="51">
        <v>0.54</v>
      </c>
      <c r="K19" s="51">
        <v>201.70</v>
      </c>
      <c r="L19" s="51">
        <v>49.89</v>
      </c>
      <c r="M19" s="51">
        <v>75</v>
      </c>
      <c r="N19" s="51">
        <v>902.40</v>
      </c>
      <c r="O19" s="51">
        <v>0</v>
      </c>
      <c r="P19" s="51">
        <v>3.40</v>
      </c>
      <c r="Q19" s="51">
        <v>4.51</v>
      </c>
      <c r="R19" s="43"/>
      <c r="S19" s="43"/>
      <c r="T19" s="43"/>
      <c r="U19" s="43"/>
    </row>
    <row r="20" spans="1:21" s="11" customFormat="1" ht="15">
      <c r="A20" s="50" t="s">
        <v>432</v>
      </c>
      <c r="B20" s="51">
        <v>2.71</v>
      </c>
      <c r="C20" s="51">
        <v>11.80</v>
      </c>
      <c r="D20" s="51">
        <v>14.51</v>
      </c>
      <c r="E20" s="51">
        <v>2.42</v>
      </c>
      <c r="F20" s="51">
        <v>1.1299999999999999</v>
      </c>
      <c r="G20" s="53" t="s">
        <v>8</v>
      </c>
      <c r="H20" s="51">
        <v>5.95</v>
      </c>
      <c r="I20" s="51">
        <v>3</v>
      </c>
      <c r="J20" s="51">
        <v>0.66</v>
      </c>
      <c r="K20" s="51">
        <v>266.36</v>
      </c>
      <c r="L20" s="51">
        <v>49.04</v>
      </c>
      <c r="M20" s="51">
        <v>69.05</v>
      </c>
      <c r="N20" s="51">
        <v>941.5</v>
      </c>
      <c r="O20" s="51">
        <v>0</v>
      </c>
      <c r="P20" s="51">
        <v>3.45</v>
      </c>
      <c r="Q20" s="51">
        <v>4.25</v>
      </c>
      <c r="R20" s="43"/>
      <c r="S20" s="43"/>
      <c r="T20" s="43"/>
      <c r="U20" s="43"/>
    </row>
    <row r="21" spans="1:21" s="11" customFormat="1" ht="15">
      <c r="A21" s="50" t="s">
        <v>433</v>
      </c>
      <c r="B21" s="51">
        <v>2.2400000000000002</v>
      </c>
      <c r="C21" s="51">
        <v>13.06</v>
      </c>
      <c r="D21" s="51">
        <v>15.20</v>
      </c>
      <c r="E21" s="51">
        <v>3.76</v>
      </c>
      <c r="F21" s="51">
        <v>0.93</v>
      </c>
      <c r="G21" s="53" t="s">
        <v>8</v>
      </c>
      <c r="H21" s="51">
        <v>7.19</v>
      </c>
      <c r="I21" s="51">
        <v>3</v>
      </c>
      <c r="J21" s="51">
        <v>0.51</v>
      </c>
      <c r="K21" s="51">
        <v>234.31</v>
      </c>
      <c r="L21" s="51">
        <v>52.33</v>
      </c>
      <c r="M21" s="51">
        <v>65.53</v>
      </c>
      <c r="N21" s="51">
        <v>904.30</v>
      </c>
      <c r="O21" s="51">
        <v>0</v>
      </c>
      <c r="P21" s="51">
        <v>3.47</v>
      </c>
      <c r="Q21" s="51">
        <v>4.21</v>
      </c>
      <c r="R21" s="43"/>
      <c r="S21" s="43"/>
      <c r="T21" s="43"/>
      <c r="U21" s="43"/>
    </row>
    <row r="22" spans="1:21" s="11" customFormat="1" ht="15">
      <c r="A22" s="50" t="s">
        <v>434</v>
      </c>
      <c r="B22" s="51">
        <v>2.02</v>
      </c>
      <c r="C22" s="51">
        <v>12.48</v>
      </c>
      <c r="D22" s="51">
        <v>14.41</v>
      </c>
      <c r="E22" s="51">
        <v>4.05</v>
      </c>
      <c r="F22" s="51">
        <v>1.08</v>
      </c>
      <c r="G22" s="53" t="s">
        <v>8</v>
      </c>
      <c r="H22" s="51">
        <v>7.01</v>
      </c>
      <c r="I22" s="51">
        <v>3.11</v>
      </c>
      <c r="J22" s="51">
        <v>0.87</v>
      </c>
      <c r="K22" s="51">
        <v>206.27</v>
      </c>
      <c r="L22" s="51">
        <v>50.83</v>
      </c>
      <c r="M22" s="51">
        <v>65.61</v>
      </c>
      <c r="N22" s="51">
        <v>862</v>
      </c>
      <c r="O22" s="51">
        <v>0</v>
      </c>
      <c r="P22" s="51">
        <v>3.45</v>
      </c>
      <c r="Q22" s="51">
        <v>4.17</v>
      </c>
      <c r="R22" s="43"/>
      <c r="S22" s="43"/>
      <c r="T22" s="43"/>
      <c r="U22" s="43"/>
    </row>
    <row r="23" spans="1:21" s="11" customFormat="1" ht="15">
      <c r="A23" s="50" t="s">
        <v>435</v>
      </c>
      <c r="B23" s="51">
        <v>2.63</v>
      </c>
      <c r="C23" s="51">
        <v>11.13</v>
      </c>
      <c r="D23" s="51">
        <v>13.76</v>
      </c>
      <c r="E23" s="51">
        <v>4.1900000000000004</v>
      </c>
      <c r="F23" s="51">
        <v>1.1599999999999999</v>
      </c>
      <c r="G23" s="53" t="s">
        <v>8</v>
      </c>
      <c r="H23" s="51">
        <v>7.47</v>
      </c>
      <c r="I23" s="51">
        <v>3.08</v>
      </c>
      <c r="J23" s="51">
        <v>0.41</v>
      </c>
      <c r="K23" s="51">
        <v>207.37</v>
      </c>
      <c r="L23" s="51">
        <v>48.88</v>
      </c>
      <c r="M23" s="51">
        <v>64.209999999999994</v>
      </c>
      <c r="N23" s="51">
        <v>643.10</v>
      </c>
      <c r="O23" s="51">
        <v>0</v>
      </c>
      <c r="P23" s="51">
        <v>3.47</v>
      </c>
      <c r="Q23" s="51">
        <v>4.05</v>
      </c>
      <c r="R23" s="43"/>
      <c r="S23" s="43"/>
      <c r="T23" s="43"/>
      <c r="U23" s="43"/>
    </row>
    <row r="24" spans="1:21" s="11" customFormat="1" ht="15">
      <c r="A24" s="50" t="s">
        <v>436</v>
      </c>
      <c r="B24" s="51">
        <v>3.35</v>
      </c>
      <c r="C24" s="51">
        <v>12.14</v>
      </c>
      <c r="D24" s="51">
        <v>15.43</v>
      </c>
      <c r="E24" s="51">
        <v>4.03</v>
      </c>
      <c r="F24" s="51">
        <v>0.88</v>
      </c>
      <c r="G24" s="53" t="s">
        <v>8</v>
      </c>
      <c r="H24" s="51">
        <v>7.13</v>
      </c>
      <c r="I24" s="51">
        <v>3.13</v>
      </c>
      <c r="J24" s="51">
        <v>0.52</v>
      </c>
      <c r="K24" s="51">
        <v>206.96</v>
      </c>
      <c r="L24" s="51">
        <v>50.01</v>
      </c>
      <c r="M24" s="51">
        <v>63.61</v>
      </c>
      <c r="N24" s="51">
        <v>588.40</v>
      </c>
      <c r="O24" s="51">
        <v>0</v>
      </c>
      <c r="P24" s="51">
        <v>3.48</v>
      </c>
      <c r="Q24" s="51">
        <v>4.5199999999999996</v>
      </c>
      <c r="R24" s="43"/>
      <c r="S24" s="43"/>
      <c r="T24" s="43"/>
      <c r="U24" s="43"/>
    </row>
    <row r="25" spans="1:21" s="11" customFormat="1" ht="15">
      <c r="A25" s="50" t="s">
        <v>437</v>
      </c>
      <c r="B25" s="51">
        <v>2.41</v>
      </c>
      <c r="C25" s="51">
        <v>11.72</v>
      </c>
      <c r="D25" s="51">
        <v>13.95</v>
      </c>
      <c r="E25" s="51">
        <v>5.19</v>
      </c>
      <c r="F25" s="51">
        <v>0.74</v>
      </c>
      <c r="G25" s="53" t="s">
        <v>8</v>
      </c>
      <c r="H25" s="51">
        <v>7.67</v>
      </c>
      <c r="I25" s="51">
        <v>3.20</v>
      </c>
      <c r="J25" s="51">
        <v>0.40</v>
      </c>
      <c r="K25" s="51">
        <v>197.56</v>
      </c>
      <c r="L25" s="51">
        <v>48.23</v>
      </c>
      <c r="M25" s="51">
        <v>64.80</v>
      </c>
      <c r="N25" s="51">
        <v>411.30</v>
      </c>
      <c r="O25" s="51">
        <v>0</v>
      </c>
      <c r="P25" s="51">
        <v>3.48</v>
      </c>
      <c r="Q25" s="51">
        <v>4.24</v>
      </c>
      <c r="R25" s="43"/>
      <c r="S25" s="43"/>
      <c r="T25" s="43"/>
      <c r="U25" s="43"/>
    </row>
    <row r="26" spans="1:21" s="11" customFormat="1" ht="15">
      <c r="A26" s="50" t="s">
        <v>438</v>
      </c>
      <c r="B26" s="51">
        <v>2.59</v>
      </c>
      <c r="C26" s="51">
        <v>11.19</v>
      </c>
      <c r="D26" s="51">
        <v>13.63</v>
      </c>
      <c r="E26" s="51">
        <v>5.96</v>
      </c>
      <c r="F26" s="51">
        <v>0.69</v>
      </c>
      <c r="G26" s="53" t="s">
        <v>8</v>
      </c>
      <c r="H26" s="51">
        <v>10.41</v>
      </c>
      <c r="I26" s="51">
        <v>3.37</v>
      </c>
      <c r="J26" s="51">
        <v>0.27</v>
      </c>
      <c r="K26" s="51">
        <v>228.08</v>
      </c>
      <c r="L26" s="51">
        <v>50.72</v>
      </c>
      <c r="M26" s="51">
        <v>67.12</v>
      </c>
      <c r="N26" s="51">
        <v>84.90</v>
      </c>
      <c r="O26" s="51">
        <v>0</v>
      </c>
      <c r="P26" s="51">
        <v>3.48</v>
      </c>
      <c r="Q26" s="51">
        <v>4.38</v>
      </c>
      <c r="R26" s="43"/>
      <c r="S26" s="43"/>
      <c r="T26" s="43"/>
      <c r="U26" s="43"/>
    </row>
    <row r="27" spans="1:21" s="11" customFormat="1" ht="15">
      <c r="A27" s="50" t="s">
        <v>439</v>
      </c>
      <c r="B27" s="51">
        <v>4.07</v>
      </c>
      <c r="C27" s="51">
        <v>12.73</v>
      </c>
      <c r="D27" s="51">
        <v>16.809999999999999</v>
      </c>
      <c r="E27" s="51">
        <v>6.01</v>
      </c>
      <c r="F27" s="51">
        <v>0.41</v>
      </c>
      <c r="G27" s="53" t="s">
        <v>8</v>
      </c>
      <c r="H27" s="51">
        <v>10.35</v>
      </c>
      <c r="I27" s="51">
        <v>3.90</v>
      </c>
      <c r="J27" s="51">
        <v>0.18</v>
      </c>
      <c r="K27" s="51">
        <v>235.65</v>
      </c>
      <c r="L27" s="51">
        <v>50.29</v>
      </c>
      <c r="M27" s="51">
        <v>75.64</v>
      </c>
      <c r="N27" s="51">
        <v>34.40</v>
      </c>
      <c r="O27" s="51">
        <v>0</v>
      </c>
      <c r="P27" s="51">
        <v>3.62</v>
      </c>
      <c r="Q27" s="51">
        <v>5.29</v>
      </c>
      <c r="R27" s="43"/>
      <c r="S27" s="43"/>
      <c r="T27" s="43"/>
      <c r="U27" s="43"/>
    </row>
    <row r="28" spans="1:21" s="11" customFormat="1" ht="15">
      <c r="A28" s="50" t="s">
        <v>440</v>
      </c>
      <c r="B28" s="51">
        <v>7.45</v>
      </c>
      <c r="C28" s="51">
        <v>12.65</v>
      </c>
      <c r="D28" s="51">
        <v>19.73</v>
      </c>
      <c r="E28" s="51">
        <v>6.25</v>
      </c>
      <c r="F28" s="51">
        <v>0.44</v>
      </c>
      <c r="G28" s="53" t="s">
        <v>8</v>
      </c>
      <c r="H28" s="51">
        <v>11.67</v>
      </c>
      <c r="I28" s="51">
        <v>6.59</v>
      </c>
      <c r="J28" s="51">
        <v>0.22</v>
      </c>
      <c r="K28" s="51">
        <v>267.27999999999997</v>
      </c>
      <c r="L28" s="51">
        <v>48.99</v>
      </c>
      <c r="M28" s="51">
        <v>77.510000000000005</v>
      </c>
      <c r="N28" s="51">
        <v>15</v>
      </c>
      <c r="O28" s="51">
        <v>0</v>
      </c>
      <c r="P28" s="51">
        <v>3.80</v>
      </c>
      <c r="Q28" s="51">
        <v>6.70</v>
      </c>
      <c r="R28" s="43"/>
      <c r="S28" s="43"/>
      <c r="T28" s="43"/>
      <c r="U28" s="43"/>
    </row>
    <row r="29" spans="1:21" s="11" customFormat="1" ht="15">
      <c r="A29" s="50" t="s">
        <v>441</v>
      </c>
      <c r="B29" s="51">
        <v>11.36</v>
      </c>
      <c r="C29" s="51">
        <v>12.43</v>
      </c>
      <c r="D29" s="51">
        <v>23.11</v>
      </c>
      <c r="E29" s="51">
        <v>5.75</v>
      </c>
      <c r="F29" s="51">
        <v>0.35</v>
      </c>
      <c r="G29" s="53" t="s">
        <v>8</v>
      </c>
      <c r="H29" s="51">
        <v>16.829999999999998</v>
      </c>
      <c r="I29" s="51">
        <v>7.28</v>
      </c>
      <c r="J29" s="51">
        <v>0.16</v>
      </c>
      <c r="K29" s="51">
        <v>286.93</v>
      </c>
      <c r="L29" s="51">
        <v>44.60</v>
      </c>
      <c r="M29" s="51">
        <v>82.49</v>
      </c>
      <c r="N29" s="51">
        <v>15</v>
      </c>
      <c r="O29" s="51">
        <v>0</v>
      </c>
      <c r="P29" s="51">
        <v>3.94</v>
      </c>
      <c r="Q29" s="51">
        <v>8.2899999999999991</v>
      </c>
      <c r="R29" s="43"/>
      <c r="S29" s="43"/>
      <c r="T29" s="43"/>
      <c r="U29" s="43"/>
    </row>
    <row r="30" spans="1:21" s="11" customFormat="1" ht="15">
      <c r="A30" s="50" t="s">
        <v>442</v>
      </c>
      <c r="B30" s="51">
        <v>13.45</v>
      </c>
      <c r="C30" s="51">
        <v>12.62</v>
      </c>
      <c r="D30" s="51">
        <v>26.06</v>
      </c>
      <c r="E30" s="51">
        <v>6.08</v>
      </c>
      <c r="F30" s="51">
        <v>0.24</v>
      </c>
      <c r="G30" s="53" t="s">
        <v>8</v>
      </c>
      <c r="H30" s="51">
        <v>20.47</v>
      </c>
      <c r="I30" s="51">
        <v>7.07</v>
      </c>
      <c r="J30" s="51">
        <v>0.31</v>
      </c>
      <c r="K30" s="51">
        <v>257.31</v>
      </c>
      <c r="L30" s="51">
        <v>45.78</v>
      </c>
      <c r="M30" s="51">
        <v>85.31</v>
      </c>
      <c r="N30" s="51">
        <v>14.90</v>
      </c>
      <c r="O30" s="51">
        <v>0</v>
      </c>
      <c r="P30" s="9" t="s">
        <v>15</v>
      </c>
      <c r="Q30" s="51">
        <v>9.32</v>
      </c>
      <c r="R30" s="43"/>
      <c r="S30" s="43"/>
      <c r="T30" s="43"/>
      <c r="U30" s="43"/>
    </row>
    <row r="31" spans="1:21" s="11" customFormat="1" ht="15">
      <c r="A31" s="50" t="s">
        <v>443</v>
      </c>
      <c r="B31" s="51">
        <v>24.08</v>
      </c>
      <c r="C31" s="51">
        <v>12.92</v>
      </c>
      <c r="D31" s="51">
        <v>36.40</v>
      </c>
      <c r="E31" s="51">
        <v>6.43</v>
      </c>
      <c r="F31" s="51">
        <v>0.36</v>
      </c>
      <c r="G31" s="53" t="s">
        <v>8</v>
      </c>
      <c r="H31" s="51">
        <v>19.59</v>
      </c>
      <c r="I31" s="51">
        <v>8.36</v>
      </c>
      <c r="J31" s="51">
        <v>0.33</v>
      </c>
      <c r="K31" s="51">
        <v>281.19</v>
      </c>
      <c r="L31" s="51">
        <v>44.07</v>
      </c>
      <c r="M31" s="51">
        <v>91.42</v>
      </c>
      <c r="N31" s="51">
        <v>15.10</v>
      </c>
      <c r="O31" s="51">
        <v>0</v>
      </c>
      <c r="P31" s="9" t="s">
        <v>15</v>
      </c>
      <c r="Q31" s="51">
        <v>13.55</v>
      </c>
      <c r="R31" s="43"/>
      <c r="S31" s="43"/>
      <c r="T31" s="43"/>
      <c r="U31" s="43"/>
    </row>
    <row r="32" spans="1:21" s="11" customFormat="1" ht="15">
      <c r="A32" s="50" t="s">
        <v>444</v>
      </c>
      <c r="B32" s="51">
        <v>24.78</v>
      </c>
      <c r="C32" s="51">
        <v>11.71</v>
      </c>
      <c r="D32" s="51">
        <v>36.14</v>
      </c>
      <c r="E32" s="51">
        <v>6.97</v>
      </c>
      <c r="F32" s="51">
        <v>0.44</v>
      </c>
      <c r="G32" s="53" t="s">
        <v>8</v>
      </c>
      <c r="H32" s="51">
        <v>17.63</v>
      </c>
      <c r="I32" s="51">
        <v>8.6999999999999993</v>
      </c>
      <c r="J32" s="51">
        <v>0.16</v>
      </c>
      <c r="K32" s="51">
        <v>285.24</v>
      </c>
      <c r="L32" s="51">
        <v>46.06</v>
      </c>
      <c r="M32" s="51">
        <v>93.73</v>
      </c>
      <c r="N32" s="51">
        <v>15</v>
      </c>
      <c r="O32" s="51">
        <v>0</v>
      </c>
      <c r="P32" s="9" t="s">
        <v>15</v>
      </c>
      <c r="Q32" s="51">
        <v>13.63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1.9399999999999999</v>
      </c>
      <c r="C34" s="28">
        <f t="shared" si="0"/>
        <v>7.4400000000000004</v>
      </c>
      <c r="D34" s="28">
        <f t="shared" si="0"/>
        <v>9.9800000000000004</v>
      </c>
      <c r="E34" s="28">
        <f t="shared" si="0"/>
        <v>2.4199999999999999</v>
      </c>
      <c r="F34" s="28">
        <f t="shared" si="0"/>
        <v>0.23999999999999999</v>
      </c>
      <c r="G34" s="28">
        <f t="shared" si="0"/>
        <v>0</v>
      </c>
      <c r="H34" s="28">
        <f t="shared" si="0"/>
        <v>1.5700000000000001</v>
      </c>
      <c r="I34" s="28">
        <f t="shared" si="0"/>
        <v>2.5099999999999998</v>
      </c>
      <c r="J34" s="28">
        <f t="shared" si="0"/>
        <v>0.16</v>
      </c>
      <c r="K34" s="28">
        <f t="shared" si="0"/>
        <v>161.28999999999999</v>
      </c>
      <c r="L34" s="28">
        <f t="shared" si="0"/>
        <v>32.539999999999999</v>
      </c>
      <c r="M34" s="28">
        <f t="shared" si="0"/>
        <v>63.609999999999999</v>
      </c>
      <c r="N34" s="28">
        <f t="shared" si="0"/>
        <v>14.9</v>
      </c>
      <c r="O34" s="28">
        <f t="shared" si="0"/>
        <v>0</v>
      </c>
      <c r="P34" s="28">
        <f t="shared" si="0"/>
        <v>3.3399999999999999</v>
      </c>
      <c r="Q34" s="28">
        <f t="shared" si="0"/>
        <v>3.0600000000000001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24.780000000000001</v>
      </c>
      <c r="C35" s="29">
        <f t="shared" si="1"/>
        <v>13.06</v>
      </c>
      <c r="D35" s="29">
        <f t="shared" si="1"/>
        <v>36.399999999999999</v>
      </c>
      <c r="E35" s="29">
        <f t="shared" si="1"/>
        <v>6.9699999999999998</v>
      </c>
      <c r="F35" s="29">
        <f t="shared" si="1"/>
        <v>1.1599999999999999</v>
      </c>
      <c r="G35" s="29">
        <f t="shared" si="1"/>
        <v>0</v>
      </c>
      <c r="H35" s="29">
        <f t="shared" si="1"/>
        <v>20.469999999999999</v>
      </c>
      <c r="I35" s="29">
        <f t="shared" si="1"/>
        <v>8.6999999999999993</v>
      </c>
      <c r="J35" s="29">
        <f t="shared" si="1"/>
        <v>1.8500000000000001</v>
      </c>
      <c r="K35" s="29">
        <f t="shared" si="1"/>
        <v>286.93000000000001</v>
      </c>
      <c r="L35" s="29">
        <f t="shared" si="1"/>
        <v>52.329999999999998</v>
      </c>
      <c r="M35" s="29">
        <f t="shared" si="1"/>
        <v>95.459999999999994</v>
      </c>
      <c r="N35" s="29">
        <f t="shared" si="1"/>
        <v>941.5</v>
      </c>
      <c r="O35" s="29">
        <f t="shared" si="1"/>
        <v>0</v>
      </c>
      <c r="P35" s="29">
        <f t="shared" si="1"/>
        <v>3.9399999999999999</v>
      </c>
      <c r="Q35" s="29">
        <f t="shared" si="1"/>
        <v>13.630000000000001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5.9575000000000005</v>
      </c>
      <c r="C36" s="28">
        <f t="shared" si="2"/>
        <v>10.719999999999999</v>
      </c>
      <c r="D36" s="28">
        <f t="shared" si="2"/>
        <v>16.537083333333332</v>
      </c>
      <c r="E36" s="28">
        <f t="shared" si="2"/>
        <v>5.2241666666666662</v>
      </c>
      <c r="F36" s="28">
        <f t="shared" si="2"/>
        <v>0.60333333333333328</v>
      </c>
      <c r="G36" s="28" t="e">
        <f t="shared" si="2"/>
        <v>#DIV/0!</v>
      </c>
      <c r="H36" s="28">
        <f t="shared" si="2"/>
        <v>7.105833333333333</v>
      </c>
      <c r="I36" s="28">
        <f t="shared" si="2"/>
        <v>3.9737500000000003</v>
      </c>
      <c r="J36" s="28">
        <f t="shared" si="2"/>
        <v>0.6695833333333332</v>
      </c>
      <c r="K36" s="28">
        <f t="shared" si="2"/>
        <v>217.89083333333335</v>
      </c>
      <c r="L36" s="28">
        <f t="shared" si="2"/>
        <v>46.10916666666666</v>
      </c>
      <c r="M36" s="28">
        <f t="shared" si="2"/>
        <v>81.092916666666653</v>
      </c>
      <c r="N36" s="28">
        <f t="shared" si="2"/>
        <v>305.4083333333333</v>
      </c>
      <c r="O36" s="28">
        <f t="shared" si="2"/>
        <v>0</v>
      </c>
      <c r="P36" s="28">
        <f t="shared" si="2"/>
        <v>3.4552380952380948</v>
      </c>
      <c r="Q36" s="28">
        <f t="shared" si="2"/>
        <v>5.5116666666666667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6.3536550589952263</v>
      </c>
      <c r="C37" s="28">
        <f t="shared" si="3" ref="C37:Q37">STDEV(C9:C32)</f>
        <v>2.0187210759807139</v>
      </c>
      <c r="D37" s="28">
        <f t="shared" si="3"/>
        <v>7.2035905776317541</v>
      </c>
      <c r="E37" s="28">
        <f t="shared" si="3"/>
        <v>1.2303513696313058</v>
      </c>
      <c r="F37" s="28">
        <f t="shared" si="3"/>
        <v>0.28654867811165413</v>
      </c>
      <c r="G37" s="28" t="e">
        <f t="shared" si="3"/>
        <v>#DIV/0!</v>
      </c>
      <c r="H37" s="28">
        <f t="shared" si="3"/>
        <v>6.188509630700703</v>
      </c>
      <c r="I37" s="28">
        <f t="shared" si="3"/>
        <v>1.9569093034014451</v>
      </c>
      <c r="J37" s="28">
        <f t="shared" si="3"/>
        <v>0.46725357761830111</v>
      </c>
      <c r="K37" s="28">
        <f t="shared" si="3"/>
        <v>38.549658873657499</v>
      </c>
      <c r="L37" s="28">
        <f t="shared" si="3"/>
        <v>4.9721738021554804</v>
      </c>
      <c r="M37" s="28">
        <f t="shared" si="3"/>
        <v>11.966434389272131</v>
      </c>
      <c r="N37" s="28">
        <f t="shared" si="3"/>
        <v>351.87728211219701</v>
      </c>
      <c r="O37" s="28">
        <f t="shared" si="3"/>
        <v>0</v>
      </c>
      <c r="P37" s="28">
        <f t="shared" si="3"/>
        <v>0.15737277552420073</v>
      </c>
      <c r="Q37" s="28">
        <f t="shared" si="3"/>
        <v>2.8847027827711367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21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&lt;90%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LESS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fe6694-4f43-48f7-aeda-3b8f59a84a10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L30" sqref="L30:L3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445</v>
      </c>
      <c r="B9" s="51">
        <v>27.11</v>
      </c>
      <c r="C9" s="51">
        <v>10.46</v>
      </c>
      <c r="D9" s="51">
        <v>37.5</v>
      </c>
      <c r="E9" s="51">
        <v>7.75</v>
      </c>
      <c r="F9" s="51">
        <v>0.25</v>
      </c>
      <c r="G9" s="53" t="s">
        <v>8</v>
      </c>
      <c r="H9" s="51">
        <v>18.03</v>
      </c>
      <c r="I9" s="51">
        <v>7.87</v>
      </c>
      <c r="J9" s="51">
        <v>0.17</v>
      </c>
      <c r="K9" s="51">
        <v>250.09</v>
      </c>
      <c r="L9" s="51">
        <v>45.66</v>
      </c>
      <c r="M9" s="51">
        <v>97.98</v>
      </c>
      <c r="N9" s="51">
        <v>15</v>
      </c>
      <c r="O9" s="51">
        <v>0</v>
      </c>
      <c r="P9" s="51">
        <v>4.21</v>
      </c>
      <c r="Q9" s="51">
        <v>14.72</v>
      </c>
      <c r="R9" s="43"/>
      <c r="S9" s="43"/>
      <c r="T9" s="43"/>
      <c r="U9" s="43"/>
    </row>
    <row r="10" spans="1:21" s="11" customFormat="1" ht="15">
      <c r="A10" s="50" t="s">
        <v>446</v>
      </c>
      <c r="B10" s="51">
        <v>26.03</v>
      </c>
      <c r="C10" s="51">
        <v>10.67</v>
      </c>
      <c r="D10" s="51">
        <v>36.700000000000003</v>
      </c>
      <c r="E10" s="51">
        <v>7.47</v>
      </c>
      <c r="F10" s="51">
        <v>0.30</v>
      </c>
      <c r="G10" s="53" t="s">
        <v>8</v>
      </c>
      <c r="H10" s="51">
        <v>18.440000000000001</v>
      </c>
      <c r="I10" s="51">
        <v>8.11</v>
      </c>
      <c r="J10" s="51">
        <v>0.22</v>
      </c>
      <c r="K10" s="51">
        <v>286.56</v>
      </c>
      <c r="L10" s="51">
        <v>42.81</v>
      </c>
      <c r="M10" s="51">
        <v>97.46</v>
      </c>
      <c r="N10" s="51">
        <v>14.90</v>
      </c>
      <c r="O10" s="51">
        <v>0</v>
      </c>
      <c r="P10" s="51">
        <v>4.1399999999999997</v>
      </c>
      <c r="Q10" s="51">
        <v>14.35</v>
      </c>
      <c r="R10" s="43"/>
      <c r="S10" s="43"/>
      <c r="T10" s="43"/>
      <c r="U10" s="43"/>
    </row>
    <row r="11" spans="1:21" s="11" customFormat="1" ht="15">
      <c r="A11" s="50" t="s">
        <v>447</v>
      </c>
      <c r="B11" s="51">
        <v>21.43</v>
      </c>
      <c r="C11" s="51">
        <v>10.050000000000001</v>
      </c>
      <c r="D11" s="51">
        <v>31.48</v>
      </c>
      <c r="E11" s="51">
        <v>7.79</v>
      </c>
      <c r="F11" s="51">
        <v>0.15</v>
      </c>
      <c r="G11" s="53" t="s">
        <v>8</v>
      </c>
      <c r="H11" s="51">
        <v>17.04</v>
      </c>
      <c r="I11" s="51">
        <v>7.34</v>
      </c>
      <c r="J11" s="51">
        <v>0.17</v>
      </c>
      <c r="K11" s="51">
        <v>330.69</v>
      </c>
      <c r="L11" s="51">
        <v>42.76</v>
      </c>
      <c r="M11" s="51">
        <v>97.96</v>
      </c>
      <c r="N11" s="51">
        <v>15.10</v>
      </c>
      <c r="O11" s="51">
        <v>0</v>
      </c>
      <c r="P11" s="51">
        <v>3.98</v>
      </c>
      <c r="Q11" s="51">
        <v>12.22</v>
      </c>
      <c r="R11" s="43"/>
      <c r="S11" s="43"/>
      <c r="T11" s="43"/>
      <c r="U11" s="43"/>
    </row>
    <row r="12" spans="1:21" s="11" customFormat="1" ht="15">
      <c r="A12" s="50" t="s">
        <v>448</v>
      </c>
      <c r="B12" s="51">
        <v>20.170000000000002</v>
      </c>
      <c r="C12" s="51">
        <v>8.90</v>
      </c>
      <c r="D12" s="51">
        <v>29.08</v>
      </c>
      <c r="E12" s="51">
        <v>8.32</v>
      </c>
      <c r="F12" s="51">
        <v>0.18</v>
      </c>
      <c r="G12" s="53" t="s">
        <v>8</v>
      </c>
      <c r="H12" s="51">
        <v>13.43</v>
      </c>
      <c r="I12" s="51">
        <v>5.16</v>
      </c>
      <c r="J12" s="51">
        <v>0.19</v>
      </c>
      <c r="K12" s="51">
        <v>231.90</v>
      </c>
      <c r="L12" s="51">
        <v>45.71</v>
      </c>
      <c r="M12" s="51">
        <v>95.23</v>
      </c>
      <c r="N12" s="51">
        <v>15.10</v>
      </c>
      <c r="O12" s="51">
        <v>0</v>
      </c>
      <c r="P12" s="51">
        <v>3.93</v>
      </c>
      <c r="Q12" s="51">
        <v>11.39</v>
      </c>
      <c r="R12" s="43"/>
      <c r="S12" s="43"/>
      <c r="T12" s="43"/>
      <c r="U12" s="43"/>
    </row>
    <row r="13" spans="1:21" s="11" customFormat="1" ht="15">
      <c r="A13" s="50" t="s">
        <v>449</v>
      </c>
      <c r="B13" s="51">
        <v>18.850000000000001</v>
      </c>
      <c r="C13" s="51">
        <v>8.8000000000000007</v>
      </c>
      <c r="D13" s="51">
        <v>27.30</v>
      </c>
      <c r="E13" s="51">
        <v>7.21</v>
      </c>
      <c r="F13" s="51">
        <v>0.18</v>
      </c>
      <c r="G13" s="53" t="s">
        <v>8</v>
      </c>
      <c r="H13" s="51">
        <v>12.05</v>
      </c>
      <c r="I13" s="51">
        <v>6.71</v>
      </c>
      <c r="J13" s="51">
        <v>0.46</v>
      </c>
      <c r="K13" s="51">
        <v>215.98</v>
      </c>
      <c r="L13" s="51">
        <v>45.69</v>
      </c>
      <c r="M13" s="51">
        <v>92.66</v>
      </c>
      <c r="N13" s="51">
        <v>15</v>
      </c>
      <c r="O13" s="51">
        <v>0</v>
      </c>
      <c r="P13" s="51">
        <v>3.89</v>
      </c>
      <c r="Q13" s="51">
        <v>11.01</v>
      </c>
      <c r="R13" s="43"/>
      <c r="S13" s="43"/>
      <c r="T13" s="43"/>
      <c r="U13" s="43"/>
    </row>
    <row r="14" spans="1:21" s="11" customFormat="1" ht="15">
      <c r="A14" s="50" t="s">
        <v>450</v>
      </c>
      <c r="B14" s="51">
        <v>15.32</v>
      </c>
      <c r="C14" s="51">
        <v>9.08</v>
      </c>
      <c r="D14" s="51">
        <v>24.11</v>
      </c>
      <c r="E14" s="51">
        <v>7.32</v>
      </c>
      <c r="F14" s="51">
        <v>0.16</v>
      </c>
      <c r="G14" s="53" t="s">
        <v>8</v>
      </c>
      <c r="H14" s="51">
        <v>8.7899999999999991</v>
      </c>
      <c r="I14" s="51">
        <v>6.39</v>
      </c>
      <c r="J14" s="51">
        <v>0.36</v>
      </c>
      <c r="K14" s="51">
        <v>266.91000000000003</v>
      </c>
      <c r="L14" s="51">
        <v>39.979999999999997</v>
      </c>
      <c r="M14" s="51">
        <v>95.16</v>
      </c>
      <c r="N14" s="51">
        <v>31.60</v>
      </c>
      <c r="O14" s="51">
        <v>0</v>
      </c>
      <c r="P14" s="51">
        <v>3.77</v>
      </c>
      <c r="Q14" s="51">
        <v>9.5500000000000007</v>
      </c>
      <c r="R14" s="43"/>
      <c r="S14" s="43"/>
      <c r="T14" s="43"/>
      <c r="U14" s="43"/>
    </row>
    <row r="15" spans="1:21" s="11" customFormat="1" ht="15">
      <c r="A15" s="50" t="s">
        <v>451</v>
      </c>
      <c r="B15" s="51">
        <v>15.22</v>
      </c>
      <c r="C15" s="51">
        <v>8.98</v>
      </c>
      <c r="D15" s="51">
        <v>23.84</v>
      </c>
      <c r="E15" s="51">
        <v>7.90</v>
      </c>
      <c r="F15" s="51">
        <v>0.76</v>
      </c>
      <c r="G15" s="53" t="s">
        <v>8</v>
      </c>
      <c r="H15" s="51">
        <v>6.42</v>
      </c>
      <c r="I15" s="51">
        <v>5.63</v>
      </c>
      <c r="J15" s="51">
        <v>0.49</v>
      </c>
      <c r="K15" s="51">
        <v>170.44</v>
      </c>
      <c r="L15" s="51">
        <v>42.79</v>
      </c>
      <c r="M15" s="51">
        <v>94.70</v>
      </c>
      <c r="N15" s="51">
        <v>208.5</v>
      </c>
      <c r="O15" s="51">
        <v>0</v>
      </c>
      <c r="P15" s="51">
        <v>3.71</v>
      </c>
      <c r="Q15" s="51">
        <v>9.5500000000000007</v>
      </c>
      <c r="R15" s="43"/>
      <c r="S15" s="43"/>
      <c r="T15" s="43"/>
      <c r="U15" s="43"/>
    </row>
    <row r="16" spans="1:21" s="11" customFormat="1" ht="15">
      <c r="A16" s="50" t="s">
        <v>452</v>
      </c>
      <c r="B16" s="51">
        <v>15.11</v>
      </c>
      <c r="C16" s="51">
        <v>9.6300000000000008</v>
      </c>
      <c r="D16" s="51">
        <v>23.83</v>
      </c>
      <c r="E16" s="51">
        <v>8.15</v>
      </c>
      <c r="F16" s="51">
        <v>0.30</v>
      </c>
      <c r="G16" s="53" t="s">
        <v>8</v>
      </c>
      <c r="H16" s="51">
        <v>7.31</v>
      </c>
      <c r="I16" s="51">
        <v>5.67</v>
      </c>
      <c r="J16" s="51">
        <v>0.46</v>
      </c>
      <c r="K16" s="51">
        <v>188.53</v>
      </c>
      <c r="L16" s="51">
        <v>46.15</v>
      </c>
      <c r="M16" s="51">
        <v>81.25</v>
      </c>
      <c r="N16" s="51">
        <v>448.20</v>
      </c>
      <c r="O16" s="51">
        <v>0</v>
      </c>
      <c r="P16" s="51">
        <v>3.70</v>
      </c>
      <c r="Q16" s="51">
        <v>9.51</v>
      </c>
      <c r="R16" s="43"/>
      <c r="S16" s="43"/>
      <c r="T16" s="43"/>
      <c r="U16" s="43"/>
    </row>
    <row r="17" spans="1:21" s="11" customFormat="1" ht="15">
      <c r="A17" s="50" t="s">
        <v>453</v>
      </c>
      <c r="B17" s="51">
        <v>11.62</v>
      </c>
      <c r="C17" s="51">
        <v>11.57</v>
      </c>
      <c r="D17" s="51">
        <v>21.65</v>
      </c>
      <c r="E17" s="51">
        <v>6.82</v>
      </c>
      <c r="F17" s="51">
        <v>0.37</v>
      </c>
      <c r="G17" s="53" t="s">
        <v>8</v>
      </c>
      <c r="H17" s="51">
        <v>6.97</v>
      </c>
      <c r="I17" s="51">
        <v>5.78</v>
      </c>
      <c r="J17" s="51">
        <v>0.57999999999999996</v>
      </c>
      <c r="K17" s="51">
        <v>245.71</v>
      </c>
      <c r="L17" s="51">
        <v>49.13</v>
      </c>
      <c r="M17" s="51">
        <v>74.900000000000006</v>
      </c>
      <c r="N17" s="51">
        <v>584.70000000000005</v>
      </c>
      <c r="O17" s="51">
        <v>0</v>
      </c>
      <c r="P17" s="51">
        <v>3.63</v>
      </c>
      <c r="Q17" s="51">
        <v>8.5399999999999991</v>
      </c>
      <c r="R17" s="43"/>
      <c r="S17" s="43"/>
      <c r="T17" s="43"/>
      <c r="U17" s="43"/>
    </row>
    <row r="18" spans="1:21" s="11" customFormat="1" ht="15">
      <c r="A18" s="50" t="s">
        <v>454</v>
      </c>
      <c r="B18" s="51">
        <v>6.40</v>
      </c>
      <c r="C18" s="51">
        <v>14.48</v>
      </c>
      <c r="D18" s="51">
        <v>19.25</v>
      </c>
      <c r="E18" s="51">
        <v>6</v>
      </c>
      <c r="F18" s="51">
        <v>0.79</v>
      </c>
      <c r="G18" s="53" t="s">
        <v>8</v>
      </c>
      <c r="H18" s="51">
        <v>7.06</v>
      </c>
      <c r="I18" s="51">
        <v>4.99</v>
      </c>
      <c r="J18" s="51">
        <v>0.18</v>
      </c>
      <c r="K18" s="51">
        <v>156.36000000000001</v>
      </c>
      <c r="L18" s="51">
        <v>52.15</v>
      </c>
      <c r="M18" s="51">
        <v>69.48</v>
      </c>
      <c r="N18" s="51">
        <v>745.70</v>
      </c>
      <c r="O18" s="51">
        <v>0</v>
      </c>
      <c r="P18" s="51">
        <v>3.58</v>
      </c>
      <c r="Q18" s="51">
        <v>6.67</v>
      </c>
      <c r="R18" s="43"/>
      <c r="S18" s="43"/>
      <c r="T18" s="43"/>
      <c r="U18" s="43"/>
    </row>
    <row r="19" spans="1:21" s="11" customFormat="1" ht="15">
      <c r="A19" s="50" t="s">
        <v>455</v>
      </c>
      <c r="B19" s="51">
        <v>3.45</v>
      </c>
      <c r="C19" s="51">
        <v>15.14</v>
      </c>
      <c r="D19" s="51">
        <v>18.39</v>
      </c>
      <c r="E19" s="51">
        <v>4.9400000000000004</v>
      </c>
      <c r="F19" s="51">
        <v>0.96</v>
      </c>
      <c r="G19" s="53" t="s">
        <v>8</v>
      </c>
      <c r="H19" s="51">
        <v>14.06</v>
      </c>
      <c r="I19" s="51">
        <v>4.4800000000000004</v>
      </c>
      <c r="J19" s="51">
        <v>0.48</v>
      </c>
      <c r="K19" s="51">
        <v>194.93</v>
      </c>
      <c r="L19" s="51">
        <v>49.86</v>
      </c>
      <c r="M19" s="51">
        <v>68.14</v>
      </c>
      <c r="N19" s="51">
        <v>861.70</v>
      </c>
      <c r="O19" s="51">
        <v>0</v>
      </c>
      <c r="P19" s="51">
        <v>3.59</v>
      </c>
      <c r="Q19" s="51">
        <v>5.76</v>
      </c>
      <c r="R19" s="43"/>
      <c r="S19" s="43"/>
      <c r="T19" s="43"/>
      <c r="U19" s="43"/>
    </row>
    <row r="20" spans="1:21" s="11" customFormat="1" ht="15">
      <c r="A20" s="50" t="s">
        <v>456</v>
      </c>
      <c r="B20" s="51">
        <v>2.83</v>
      </c>
      <c r="C20" s="51">
        <v>15.39</v>
      </c>
      <c r="D20" s="51">
        <v>18.22</v>
      </c>
      <c r="E20" s="51">
        <v>5.01</v>
      </c>
      <c r="F20" s="51">
        <v>1.05</v>
      </c>
      <c r="G20" s="53" t="s">
        <v>8</v>
      </c>
      <c r="H20" s="51">
        <v>13.55</v>
      </c>
      <c r="I20" s="51">
        <v>4.22</v>
      </c>
      <c r="J20" s="51">
        <v>0.28000000000000003</v>
      </c>
      <c r="K20" s="51">
        <v>340.32</v>
      </c>
      <c r="L20" s="9" t="s">
        <v>15</v>
      </c>
      <c r="M20" s="51">
        <v>64.78</v>
      </c>
      <c r="N20" s="51">
        <v>875.5</v>
      </c>
      <c r="O20" s="51">
        <v>0</v>
      </c>
      <c r="P20" s="51">
        <v>3.59</v>
      </c>
      <c r="Q20" s="51">
        <v>5.65</v>
      </c>
      <c r="R20" s="43"/>
      <c r="S20" s="43"/>
      <c r="T20" s="43"/>
      <c r="U20" s="43"/>
    </row>
    <row r="21" spans="1:21" s="11" customFormat="1" ht="15">
      <c r="A21" s="50" t="s">
        <v>457</v>
      </c>
      <c r="B21" s="51">
        <v>2.41</v>
      </c>
      <c r="C21" s="51">
        <v>13.89</v>
      </c>
      <c r="D21" s="51">
        <v>16.25</v>
      </c>
      <c r="E21" s="51">
        <v>4.67</v>
      </c>
      <c r="F21" s="51">
        <v>0.98</v>
      </c>
      <c r="G21" s="53" t="s">
        <v>8</v>
      </c>
      <c r="H21" s="51">
        <v>15.25</v>
      </c>
      <c r="I21" s="51">
        <v>4.1100000000000003</v>
      </c>
      <c r="J21" s="51">
        <v>0.22</v>
      </c>
      <c r="K21" s="51">
        <v>325.08</v>
      </c>
      <c r="L21" s="9" t="s">
        <v>15</v>
      </c>
      <c r="M21" s="51">
        <v>61.32</v>
      </c>
      <c r="N21" s="51">
        <v>941</v>
      </c>
      <c r="O21" s="51">
        <v>0</v>
      </c>
      <c r="P21" s="51">
        <v>3.60</v>
      </c>
      <c r="Q21" s="51">
        <v>5.14</v>
      </c>
      <c r="R21" s="43"/>
      <c r="S21" s="43"/>
      <c r="T21" s="43"/>
      <c r="U21" s="43"/>
    </row>
    <row r="22" spans="1:21" s="11" customFormat="1" ht="15">
      <c r="A22" s="50" t="s">
        <v>458</v>
      </c>
      <c r="B22" s="51">
        <v>2.08</v>
      </c>
      <c r="C22" s="51">
        <v>14.34</v>
      </c>
      <c r="D22" s="51">
        <v>16.37</v>
      </c>
      <c r="E22" s="51">
        <v>4.49</v>
      </c>
      <c r="F22" s="51">
        <v>1.5</v>
      </c>
      <c r="G22" s="53" t="s">
        <v>8</v>
      </c>
      <c r="H22" s="51">
        <v>14.49</v>
      </c>
      <c r="I22" s="51">
        <v>3.94</v>
      </c>
      <c r="J22" s="51">
        <v>0.24</v>
      </c>
      <c r="K22" s="51">
        <v>284.95</v>
      </c>
      <c r="L22" s="9" t="s">
        <v>15</v>
      </c>
      <c r="M22" s="51">
        <v>60.41</v>
      </c>
      <c r="N22" s="51">
        <v>786.60</v>
      </c>
      <c r="O22" s="51">
        <v>0</v>
      </c>
      <c r="P22" s="51">
        <v>3.60</v>
      </c>
      <c r="Q22" s="51">
        <v>4.75</v>
      </c>
      <c r="R22" s="43"/>
      <c r="S22" s="43"/>
      <c r="T22" s="43"/>
      <c r="U22" s="43"/>
    </row>
    <row r="23" spans="1:21" s="11" customFormat="1" ht="15">
      <c r="A23" s="50" t="s">
        <v>459</v>
      </c>
      <c r="B23" s="51">
        <v>2.38</v>
      </c>
      <c r="C23" s="51">
        <v>14.48</v>
      </c>
      <c r="D23" s="51">
        <v>16.72</v>
      </c>
      <c r="E23" s="51">
        <v>4.80</v>
      </c>
      <c r="F23" s="51">
        <v>0.97</v>
      </c>
      <c r="G23" s="53" t="s">
        <v>8</v>
      </c>
      <c r="H23" s="51">
        <v>12.05</v>
      </c>
      <c r="I23" s="51">
        <v>3.98</v>
      </c>
      <c r="J23" s="51">
        <v>0.13</v>
      </c>
      <c r="K23" s="51">
        <v>276.31</v>
      </c>
      <c r="L23" s="9" t="s">
        <v>15</v>
      </c>
      <c r="M23" s="51">
        <v>59.52</v>
      </c>
      <c r="N23" s="51">
        <v>830.10</v>
      </c>
      <c r="O23" s="51">
        <v>0</v>
      </c>
      <c r="P23" s="51">
        <v>3.63</v>
      </c>
      <c r="Q23" s="51">
        <v>4.88</v>
      </c>
      <c r="R23" s="43"/>
      <c r="S23" s="43"/>
      <c r="T23" s="43"/>
      <c r="U23" s="43"/>
    </row>
    <row r="24" spans="1:21" s="11" customFormat="1" ht="15">
      <c r="A24" s="50" t="s">
        <v>460</v>
      </c>
      <c r="B24" s="51">
        <v>2.1800000000000002</v>
      </c>
      <c r="C24" s="51">
        <v>14.33</v>
      </c>
      <c r="D24" s="51">
        <v>16.39</v>
      </c>
      <c r="E24" s="51">
        <v>4.5199999999999996</v>
      </c>
      <c r="F24" s="51">
        <v>1.1599999999999999</v>
      </c>
      <c r="G24" s="53" t="s">
        <v>8</v>
      </c>
      <c r="H24" s="51">
        <v>13.83</v>
      </c>
      <c r="I24" s="51">
        <v>4.84</v>
      </c>
      <c r="J24" s="51">
        <v>0.32</v>
      </c>
      <c r="K24" s="51">
        <v>310.77</v>
      </c>
      <c r="L24" s="9" t="s">
        <v>15</v>
      </c>
      <c r="M24" s="51">
        <v>63.28</v>
      </c>
      <c r="N24" s="51">
        <v>507.70</v>
      </c>
      <c r="O24" s="51">
        <v>0</v>
      </c>
      <c r="P24" s="51">
        <v>3.64</v>
      </c>
      <c r="Q24" s="51">
        <v>4.8899999999999997</v>
      </c>
      <c r="R24" s="43"/>
      <c r="S24" s="43"/>
      <c r="T24" s="43"/>
      <c r="U24" s="43"/>
    </row>
    <row r="25" spans="1:21" s="11" customFormat="1" ht="15">
      <c r="A25" s="50" t="s">
        <v>461</v>
      </c>
      <c r="B25" s="51">
        <v>3.35</v>
      </c>
      <c r="C25" s="51">
        <v>13.85</v>
      </c>
      <c r="D25" s="51">
        <v>17.20</v>
      </c>
      <c r="E25" s="51">
        <v>4.20</v>
      </c>
      <c r="F25" s="51">
        <v>0.84</v>
      </c>
      <c r="G25" s="53" t="s">
        <v>8</v>
      </c>
      <c r="H25" s="51">
        <v>13.30</v>
      </c>
      <c r="I25" s="51">
        <v>4.8600000000000003</v>
      </c>
      <c r="J25" s="51">
        <v>0.12</v>
      </c>
      <c r="K25" s="51">
        <v>332.31</v>
      </c>
      <c r="L25" s="9" t="s">
        <v>15</v>
      </c>
      <c r="M25" s="51">
        <v>64.489999999999995</v>
      </c>
      <c r="N25" s="51">
        <v>186.60</v>
      </c>
      <c r="O25" s="51">
        <v>0</v>
      </c>
      <c r="P25" s="51">
        <v>3.67</v>
      </c>
      <c r="Q25" s="51">
        <v>16.52</v>
      </c>
      <c r="R25" s="43"/>
      <c r="S25" s="43"/>
      <c r="T25" s="43"/>
      <c r="U25" s="43"/>
    </row>
    <row r="26" spans="1:21" s="11" customFormat="1" ht="15">
      <c r="A26" s="50" t="s">
        <v>462</v>
      </c>
      <c r="B26" s="51">
        <v>5.14</v>
      </c>
      <c r="C26" s="51">
        <v>25.21</v>
      </c>
      <c r="D26" s="51">
        <v>30.35</v>
      </c>
      <c r="E26" s="51">
        <v>13.29</v>
      </c>
      <c r="F26" s="51">
        <v>2.81</v>
      </c>
      <c r="G26" s="53" t="s">
        <v>8</v>
      </c>
      <c r="H26" s="51">
        <v>11.73</v>
      </c>
      <c r="I26" s="51">
        <v>5.91</v>
      </c>
      <c r="J26" s="51">
        <v>0.08</v>
      </c>
      <c r="K26" s="51">
        <v>261.56</v>
      </c>
      <c r="L26" s="9" t="s">
        <v>15</v>
      </c>
      <c r="M26" s="51">
        <v>67.69</v>
      </c>
      <c r="N26" s="51">
        <v>87.40</v>
      </c>
      <c r="O26" s="51">
        <v>0</v>
      </c>
      <c r="P26" s="51">
        <v>3.75</v>
      </c>
      <c r="Q26" s="51">
        <v>2649.18</v>
      </c>
      <c r="R26" s="43"/>
      <c r="S26" s="43"/>
      <c r="T26" s="43"/>
      <c r="U26" s="43"/>
    </row>
    <row r="27" spans="1:21" s="11" customFormat="1" ht="15">
      <c r="A27" s="50" t="s">
        <v>463</v>
      </c>
      <c r="B27" s="51">
        <v>9.99</v>
      </c>
      <c r="C27" s="51">
        <v>23.14</v>
      </c>
      <c r="D27" s="51">
        <v>29.54</v>
      </c>
      <c r="E27" s="51">
        <v>10.47</v>
      </c>
      <c r="F27" s="51">
        <v>0.62</v>
      </c>
      <c r="G27" s="53" t="s">
        <v>8</v>
      </c>
      <c r="H27" s="51">
        <v>11.06</v>
      </c>
      <c r="I27" s="53" t="s">
        <v>8</v>
      </c>
      <c r="J27" s="51">
        <v>0.14000000000000001</v>
      </c>
      <c r="K27" s="51">
        <v>347.97</v>
      </c>
      <c r="L27" s="9" t="s">
        <v>15</v>
      </c>
      <c r="M27" s="51">
        <v>72.86</v>
      </c>
      <c r="N27" s="51">
        <v>34.60</v>
      </c>
      <c r="O27" s="51">
        <v>0</v>
      </c>
      <c r="P27" s="51">
        <v>3.83</v>
      </c>
      <c r="Q27" s="51">
        <v>1573.56</v>
      </c>
      <c r="R27" s="43"/>
      <c r="S27" s="43"/>
      <c r="T27" s="43"/>
      <c r="U27" s="43"/>
    </row>
    <row r="28" spans="1:21" s="11" customFormat="1" ht="15">
      <c r="A28" s="50" t="s">
        <v>464</v>
      </c>
      <c r="B28" s="51">
        <v>11.16</v>
      </c>
      <c r="C28" s="51">
        <v>18.43</v>
      </c>
      <c r="D28" s="51">
        <v>29.45</v>
      </c>
      <c r="E28" s="51">
        <v>8.1199999999999992</v>
      </c>
      <c r="F28" s="51">
        <v>0.37</v>
      </c>
      <c r="G28" s="8" t="s">
        <v>8</v>
      </c>
      <c r="H28" s="51">
        <v>14.23</v>
      </c>
      <c r="I28" s="53" t="s">
        <v>8</v>
      </c>
      <c r="J28" s="51">
        <v>0.18</v>
      </c>
      <c r="K28" s="51">
        <v>341.72</v>
      </c>
      <c r="L28" s="9" t="s">
        <v>15</v>
      </c>
      <c r="M28" s="51">
        <v>77.16</v>
      </c>
      <c r="N28" s="51">
        <v>14.90</v>
      </c>
      <c r="O28" s="51">
        <v>0</v>
      </c>
      <c r="P28" s="51">
        <v>3.90</v>
      </c>
      <c r="Q28" s="51">
        <v>1133.74</v>
      </c>
      <c r="R28" s="43"/>
      <c r="S28" s="43"/>
      <c r="T28" s="43"/>
      <c r="U28" s="43"/>
    </row>
    <row r="29" spans="1:21" s="11" customFormat="1" ht="15">
      <c r="A29" s="50" t="s">
        <v>465</v>
      </c>
      <c r="B29" s="51">
        <v>11.92</v>
      </c>
      <c r="C29" s="51">
        <v>14.67</v>
      </c>
      <c r="D29" s="51">
        <v>25.83</v>
      </c>
      <c r="E29" s="51">
        <v>7.19</v>
      </c>
      <c r="F29" s="51">
        <v>0.23</v>
      </c>
      <c r="G29" s="53" t="s">
        <v>8</v>
      </c>
      <c r="H29" s="51">
        <v>16.82</v>
      </c>
      <c r="I29" s="53" t="s">
        <v>8</v>
      </c>
      <c r="J29" s="51">
        <v>0.15</v>
      </c>
      <c r="K29" s="51">
        <v>253.85</v>
      </c>
      <c r="L29" s="51">
        <v>48.38</v>
      </c>
      <c r="M29" s="51">
        <v>79.06</v>
      </c>
      <c r="N29" s="51">
        <v>14.80</v>
      </c>
      <c r="O29" s="51">
        <v>0</v>
      </c>
      <c r="P29" s="51">
        <v>3.93</v>
      </c>
      <c r="Q29" s="51">
        <v>813.84</v>
      </c>
      <c r="R29" s="43"/>
      <c r="S29" s="43"/>
      <c r="T29" s="43"/>
      <c r="U29" s="43"/>
    </row>
    <row r="30" spans="1:21" s="11" customFormat="1" ht="15">
      <c r="A30" s="50" t="s">
        <v>466</v>
      </c>
      <c r="B30" s="51">
        <v>12.61</v>
      </c>
      <c r="C30" s="51">
        <v>11.64</v>
      </c>
      <c r="D30" s="51">
        <v>23.87</v>
      </c>
      <c r="E30" s="51">
        <v>7.74</v>
      </c>
      <c r="F30" s="51">
        <v>0.53</v>
      </c>
      <c r="G30" s="53" t="s">
        <v>8</v>
      </c>
      <c r="H30" s="51">
        <v>15.77</v>
      </c>
      <c r="I30" s="53" t="s">
        <v>8</v>
      </c>
      <c r="J30" s="51">
        <v>0.21</v>
      </c>
      <c r="K30" s="51">
        <v>254.46</v>
      </c>
      <c r="L30" s="9" t="s">
        <v>15</v>
      </c>
      <c r="M30" s="51">
        <v>83.66</v>
      </c>
      <c r="N30" s="51">
        <v>14.90</v>
      </c>
      <c r="O30" s="51">
        <v>0</v>
      </c>
      <c r="P30" s="51">
        <v>3.93</v>
      </c>
      <c r="Q30" s="51">
        <v>716.85</v>
      </c>
      <c r="R30" s="43"/>
      <c r="S30" s="43"/>
      <c r="T30" s="43"/>
      <c r="U30" s="43"/>
    </row>
    <row r="31" spans="1:21" s="11" customFormat="1" ht="15">
      <c r="A31" s="50" t="s">
        <v>467</v>
      </c>
      <c r="B31" s="51">
        <v>13.27</v>
      </c>
      <c r="C31" s="51">
        <v>11.84</v>
      </c>
      <c r="D31" s="51">
        <v>25.11</v>
      </c>
      <c r="E31" s="51">
        <v>7.80</v>
      </c>
      <c r="F31" s="51">
        <v>0.34</v>
      </c>
      <c r="G31" s="53" t="s">
        <v>8</v>
      </c>
      <c r="H31" s="51">
        <v>14.54</v>
      </c>
      <c r="I31" s="53" t="s">
        <v>8</v>
      </c>
      <c r="J31" s="51">
        <v>0.08</v>
      </c>
      <c r="K31" s="51">
        <v>262.33999999999997</v>
      </c>
      <c r="L31" s="9" t="s">
        <v>15</v>
      </c>
      <c r="M31" s="51">
        <v>86.01</v>
      </c>
      <c r="N31" s="51">
        <v>14.90</v>
      </c>
      <c r="O31" s="51">
        <v>0</v>
      </c>
      <c r="P31" s="51">
        <v>3.89</v>
      </c>
      <c r="Q31" s="51">
        <v>604.02</v>
      </c>
      <c r="R31" s="43"/>
      <c r="S31" s="43"/>
      <c r="T31" s="43"/>
      <c r="U31" s="43"/>
    </row>
    <row r="32" spans="1:21" s="11" customFormat="1" ht="15">
      <c r="A32" s="50" t="s">
        <v>468</v>
      </c>
      <c r="B32" s="51">
        <v>13.59</v>
      </c>
      <c r="C32" s="51">
        <v>11.74</v>
      </c>
      <c r="D32" s="51">
        <v>25.33</v>
      </c>
      <c r="E32" s="51">
        <v>7.02</v>
      </c>
      <c r="F32" s="51">
        <v>0.33</v>
      </c>
      <c r="G32" s="53" t="s">
        <v>8</v>
      </c>
      <c r="H32" s="51">
        <v>17.37</v>
      </c>
      <c r="I32" s="53" t="s">
        <v>8</v>
      </c>
      <c r="J32" s="51">
        <v>0.070000000000000007</v>
      </c>
      <c r="K32" s="51">
        <v>155.72999999999999</v>
      </c>
      <c r="L32" s="51">
        <v>36.700000000000003</v>
      </c>
      <c r="M32" s="51">
        <v>86.53</v>
      </c>
      <c r="N32" s="51">
        <v>14.80</v>
      </c>
      <c r="O32" s="51">
        <v>0</v>
      </c>
      <c r="P32" s="51">
        <v>3.89</v>
      </c>
      <c r="Q32" s="51">
        <v>460.13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2.0800000000000001</v>
      </c>
      <c r="C34" s="28">
        <f t="shared" si="0"/>
        <v>8.8000000000000007</v>
      </c>
      <c r="D34" s="28">
        <f t="shared" si="0"/>
        <v>16.25</v>
      </c>
      <c r="E34" s="28">
        <f t="shared" si="0"/>
        <v>4.2000000000000002</v>
      </c>
      <c r="F34" s="28">
        <f t="shared" si="0"/>
        <v>0.14999999999999999</v>
      </c>
      <c r="G34" s="28">
        <f t="shared" si="0"/>
        <v>0</v>
      </c>
      <c r="H34" s="28">
        <f t="shared" si="0"/>
        <v>6.4199999999999999</v>
      </c>
      <c r="I34" s="28">
        <f t="shared" si="0"/>
        <v>3.9399999999999999</v>
      </c>
      <c r="J34" s="28">
        <f t="shared" si="0"/>
        <v>0.070000000000000007</v>
      </c>
      <c r="K34" s="28">
        <f t="shared" si="0"/>
        <v>155.72999999999999</v>
      </c>
      <c r="L34" s="28">
        <f t="shared" si="0"/>
        <v>36.700000000000003</v>
      </c>
      <c r="M34" s="28">
        <f t="shared" si="0"/>
        <v>59.520000000000003</v>
      </c>
      <c r="N34" s="28">
        <f t="shared" si="0"/>
        <v>14.800000000000001</v>
      </c>
      <c r="O34" s="28">
        <f t="shared" si="0"/>
        <v>0</v>
      </c>
      <c r="P34" s="28">
        <f t="shared" si="0"/>
        <v>3.5800000000000001</v>
      </c>
      <c r="Q34" s="28">
        <f t="shared" si="0"/>
        <v>4.75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27.109999999999999</v>
      </c>
      <c r="C35" s="29">
        <f t="shared" si="1"/>
        <v>25.210000000000001</v>
      </c>
      <c r="D35" s="29">
        <f t="shared" si="1"/>
        <v>37.5</v>
      </c>
      <c r="E35" s="29">
        <f t="shared" si="1"/>
        <v>13.289999999999999</v>
      </c>
      <c r="F35" s="29">
        <f t="shared" si="1"/>
        <v>2.8100000000000001</v>
      </c>
      <c r="G35" s="29">
        <f t="shared" si="1"/>
        <v>0</v>
      </c>
      <c r="H35" s="29">
        <f t="shared" si="1"/>
        <v>18.440000000000001</v>
      </c>
      <c r="I35" s="29">
        <f t="shared" si="1"/>
        <v>8.1099999999999994</v>
      </c>
      <c r="J35" s="29">
        <f t="shared" si="1"/>
        <v>0.57999999999999996</v>
      </c>
      <c r="K35" s="29">
        <f t="shared" si="1"/>
        <v>347.97000000000003</v>
      </c>
      <c r="L35" s="29">
        <f t="shared" si="1"/>
        <v>52.149999999999999</v>
      </c>
      <c r="M35" s="29">
        <f t="shared" si="1"/>
        <v>97.980000000000004</v>
      </c>
      <c r="N35" s="29">
        <f t="shared" si="1"/>
        <v>941</v>
      </c>
      <c r="O35" s="29">
        <f t="shared" si="1"/>
        <v>0</v>
      </c>
      <c r="P35" s="29">
        <f t="shared" si="1"/>
        <v>4.21</v>
      </c>
      <c r="Q35" s="29">
        <f t="shared" si="1"/>
        <v>2649.1799999999998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11.400833333333331</v>
      </c>
      <c r="C36" s="28">
        <f t="shared" si="2"/>
        <v>13.362916666666669</v>
      </c>
      <c r="D36" s="28">
        <f t="shared" si="2"/>
        <v>24.323333333333338</v>
      </c>
      <c r="E36" s="28">
        <f t="shared" si="2"/>
        <v>7.0412500000000007</v>
      </c>
      <c r="F36" s="28">
        <f t="shared" si="2"/>
        <v>0.67208333333333325</v>
      </c>
      <c r="G36" s="28" t="e">
        <f t="shared" si="2"/>
        <v>#DIV/0!</v>
      </c>
      <c r="H36" s="28">
        <f t="shared" si="2"/>
        <v>13.066250000000002</v>
      </c>
      <c r="I36" s="28">
        <f t="shared" si="2"/>
        <v>5.5550000000000006</v>
      </c>
      <c r="J36" s="28">
        <f t="shared" si="2"/>
        <v>0.24916666666666668</v>
      </c>
      <c r="K36" s="28">
        <f t="shared" si="2"/>
        <v>261.8945833333334</v>
      </c>
      <c r="L36" s="28">
        <f t="shared" si="2"/>
        <v>45.213076923076933</v>
      </c>
      <c r="M36" s="28">
        <f t="shared" si="2"/>
        <v>78.820416666666674</v>
      </c>
      <c r="N36" s="28">
        <f t="shared" si="2"/>
        <v>303.30416666666667</v>
      </c>
      <c r="O36" s="28">
        <f t="shared" si="2"/>
        <v>0</v>
      </c>
      <c r="P36" s="28">
        <f t="shared" si="2"/>
        <v>3.7908333333333348</v>
      </c>
      <c r="Q36" s="28">
        <f t="shared" si="2"/>
        <v>337.76750000000004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7.6595793485740149</v>
      </c>
      <c r="C37" s="28">
        <f t="shared" si="3" ref="C37:Q37">STDEV(C9:C32)</f>
        <v>4.1989258245067909</v>
      </c>
      <c r="D37" s="28">
        <f t="shared" si="3"/>
        <v>6.2874033256750668</v>
      </c>
      <c r="E37" s="28">
        <f t="shared" si="3"/>
        <v>2.0774886856804873</v>
      </c>
      <c r="F37" s="28">
        <f t="shared" si="3"/>
        <v>0.59181356616881409</v>
      </c>
      <c r="G37" s="28" t="e">
        <f t="shared" si="3"/>
        <v>#DIV/0!</v>
      </c>
      <c r="H37" s="28">
        <f t="shared" si="3"/>
        <v>3.6010418933124475</v>
      </c>
      <c r="I37" s="28">
        <f t="shared" si="3"/>
        <v>1.3034896601498769</v>
      </c>
      <c r="J37" s="28">
        <f t="shared" si="3"/>
        <v>0.14726245918107561</v>
      </c>
      <c r="K37" s="28">
        <f t="shared" si="3"/>
        <v>59.543661216985655</v>
      </c>
      <c r="L37" s="28">
        <f t="shared" si="3"/>
        <v>4.2245283456960898</v>
      </c>
      <c r="M37" s="28">
        <f t="shared" si="3"/>
        <v>13.580477509427125</v>
      </c>
      <c r="N37" s="28">
        <f t="shared" si="3"/>
        <v>357.61378423871776</v>
      </c>
      <c r="O37" s="28">
        <f t="shared" si="3"/>
        <v>0</v>
      </c>
      <c r="P37" s="28">
        <f t="shared" si="3"/>
        <v>0.17917483971921336</v>
      </c>
      <c r="Q37" s="28">
        <f t="shared" si="3"/>
        <v>652.61827273416247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>COUNT(I9:I32)+6</f>
        <v>24</v>
      </c>
      <c r="J38" s="32">
        <f t="shared" si="4"/>
        <v>24</v>
      </c>
      <c r="K38" s="32">
        <f t="shared" si="4"/>
        <v>24</v>
      </c>
      <c r="L38" s="32">
        <f t="shared" si="4"/>
        <v>13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fca9e2-1959-4e8c-a77f-6f6e21d963ab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L17" sqref="L17:L2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469</v>
      </c>
      <c r="B9" s="51">
        <v>12.95</v>
      </c>
      <c r="C9" s="51">
        <v>10.53</v>
      </c>
      <c r="D9" s="51">
        <v>23.48</v>
      </c>
      <c r="E9" s="51">
        <v>7.23</v>
      </c>
      <c r="F9" s="51">
        <v>0.34</v>
      </c>
      <c r="G9" s="53" t="s">
        <v>8</v>
      </c>
      <c r="H9" s="51">
        <v>16.04</v>
      </c>
      <c r="I9" s="56" t="s">
        <v>14</v>
      </c>
      <c r="J9" s="51">
        <v>0.09</v>
      </c>
      <c r="K9" s="51">
        <v>359.42</v>
      </c>
      <c r="L9" s="9" t="s">
        <v>15</v>
      </c>
      <c r="M9" s="51">
        <v>86.98</v>
      </c>
      <c r="N9" s="51">
        <v>14.80</v>
      </c>
      <c r="O9" s="51">
        <v>0</v>
      </c>
      <c r="P9" s="51">
        <v>3.85</v>
      </c>
      <c r="Q9" s="51">
        <v>366.95</v>
      </c>
      <c r="R9" s="43"/>
      <c r="S9" s="43"/>
      <c r="T9" s="43"/>
      <c r="U9" s="43"/>
    </row>
    <row r="10" spans="1:21" s="11" customFormat="1" ht="15">
      <c r="A10" s="50" t="s">
        <v>470</v>
      </c>
      <c r="B10" s="51">
        <v>11.62</v>
      </c>
      <c r="C10" s="51">
        <v>10.130000000000001</v>
      </c>
      <c r="D10" s="51">
        <v>21.75</v>
      </c>
      <c r="E10" s="51">
        <v>7.58</v>
      </c>
      <c r="F10" s="51">
        <v>0.49</v>
      </c>
      <c r="G10" s="53" t="s">
        <v>8</v>
      </c>
      <c r="H10" s="51">
        <v>12.42</v>
      </c>
      <c r="I10" s="56" t="s">
        <v>14</v>
      </c>
      <c r="J10" s="51">
        <v>0.16</v>
      </c>
      <c r="K10" s="51">
        <v>82.95</v>
      </c>
      <c r="L10" s="51">
        <v>37.090000000000003</v>
      </c>
      <c r="M10" s="51">
        <v>88.72</v>
      </c>
      <c r="N10" s="51">
        <v>14.80</v>
      </c>
      <c r="O10" s="51">
        <v>0</v>
      </c>
      <c r="P10" s="51">
        <v>3.78</v>
      </c>
      <c r="Q10" s="51">
        <v>323.35000000000002</v>
      </c>
      <c r="R10" s="43"/>
      <c r="S10" s="43"/>
      <c r="T10" s="43"/>
      <c r="U10" s="43"/>
    </row>
    <row r="11" spans="1:21" s="11" customFormat="1" ht="15">
      <c r="A11" s="50" t="s">
        <v>471</v>
      </c>
      <c r="B11" s="51">
        <v>8.8699999999999992</v>
      </c>
      <c r="C11" s="51">
        <v>10.43</v>
      </c>
      <c r="D11" s="51">
        <v>19</v>
      </c>
      <c r="E11" s="51">
        <v>7.17</v>
      </c>
      <c r="F11" s="51">
        <v>0.13</v>
      </c>
      <c r="G11" s="53" t="s">
        <v>8</v>
      </c>
      <c r="H11" s="51">
        <v>12.74</v>
      </c>
      <c r="I11" s="56" t="s">
        <v>14</v>
      </c>
      <c r="J11" s="51">
        <v>0.14000000000000001</v>
      </c>
      <c r="K11" s="51">
        <v>358.95</v>
      </c>
      <c r="L11" s="51">
        <v>49.74</v>
      </c>
      <c r="M11" s="51">
        <v>90.57</v>
      </c>
      <c r="N11" s="51">
        <v>14.80</v>
      </c>
      <c r="O11" s="51">
        <v>0</v>
      </c>
      <c r="P11" s="51">
        <v>3.69</v>
      </c>
      <c r="Q11" s="51">
        <v>263.20</v>
      </c>
      <c r="R11" s="43"/>
      <c r="S11" s="43"/>
      <c r="T11" s="43"/>
      <c r="U11" s="43"/>
    </row>
    <row r="12" spans="1:21" s="11" customFormat="1" ht="15">
      <c r="A12" s="50" t="s">
        <v>472</v>
      </c>
      <c r="B12" s="51">
        <v>6.10</v>
      </c>
      <c r="C12" s="51">
        <v>10.89</v>
      </c>
      <c r="D12" s="51">
        <v>16.989999999999998</v>
      </c>
      <c r="E12" s="51">
        <v>6.41</v>
      </c>
      <c r="F12" s="51">
        <v>0.26</v>
      </c>
      <c r="G12" s="53" t="s">
        <v>8</v>
      </c>
      <c r="H12" s="51">
        <v>13.55</v>
      </c>
      <c r="I12" s="56" t="s">
        <v>14</v>
      </c>
      <c r="J12" s="51">
        <v>0.10</v>
      </c>
      <c r="K12" s="51">
        <v>309.01</v>
      </c>
      <c r="L12" s="9" t="s">
        <v>15</v>
      </c>
      <c r="M12" s="51">
        <v>90.40</v>
      </c>
      <c r="N12" s="51">
        <v>14.80</v>
      </c>
      <c r="O12" s="51">
        <v>0</v>
      </c>
      <c r="P12" s="51">
        <v>3.64</v>
      </c>
      <c r="Q12" s="51">
        <v>200.87</v>
      </c>
      <c r="R12" s="43"/>
      <c r="S12" s="43"/>
      <c r="T12" s="43"/>
      <c r="U12" s="43"/>
    </row>
    <row r="13" spans="1:21" s="11" customFormat="1" ht="15">
      <c r="A13" s="50" t="s">
        <v>473</v>
      </c>
      <c r="B13" s="51">
        <v>6.65</v>
      </c>
      <c r="C13" s="51">
        <v>10.68</v>
      </c>
      <c r="D13" s="51">
        <v>17.329999999999998</v>
      </c>
      <c r="E13" s="51">
        <v>5.96</v>
      </c>
      <c r="F13" s="51">
        <v>0.27</v>
      </c>
      <c r="G13" s="53" t="s">
        <v>8</v>
      </c>
      <c r="H13" s="51">
        <v>12.65</v>
      </c>
      <c r="I13" s="56" t="s">
        <v>14</v>
      </c>
      <c r="J13" s="51">
        <v>0.09</v>
      </c>
      <c r="K13" s="51">
        <v>155.18</v>
      </c>
      <c r="L13" s="51">
        <v>49.39</v>
      </c>
      <c r="M13" s="51">
        <v>90.95</v>
      </c>
      <c r="N13" s="51">
        <v>14.70</v>
      </c>
      <c r="O13" s="51">
        <v>0</v>
      </c>
      <c r="P13" s="51">
        <v>3.60</v>
      </c>
      <c r="Q13" s="51">
        <v>171.75</v>
      </c>
      <c r="R13" s="43"/>
      <c r="S13" s="43"/>
      <c r="T13" s="43"/>
      <c r="U13" s="43"/>
    </row>
    <row r="14" spans="1:21" s="11" customFormat="1" ht="15">
      <c r="A14" s="50" t="s">
        <v>474</v>
      </c>
      <c r="B14" s="51">
        <v>6.68</v>
      </c>
      <c r="C14" s="51">
        <v>10.87</v>
      </c>
      <c r="D14" s="51">
        <v>17.47</v>
      </c>
      <c r="E14" s="51">
        <v>5.84</v>
      </c>
      <c r="F14" s="51">
        <v>0.17</v>
      </c>
      <c r="G14" s="53" t="s">
        <v>8</v>
      </c>
      <c r="H14" s="51">
        <v>10.09</v>
      </c>
      <c r="I14" s="56" t="s">
        <v>14</v>
      </c>
      <c r="J14" s="51">
        <v>0.070000000000000007</v>
      </c>
      <c r="K14" s="51">
        <v>339.85</v>
      </c>
      <c r="L14" s="51">
        <v>45.10</v>
      </c>
      <c r="M14" s="51">
        <v>92.13</v>
      </c>
      <c r="N14" s="51">
        <v>24.40</v>
      </c>
      <c r="O14" s="51">
        <v>0</v>
      </c>
      <c r="P14" s="51">
        <v>3.58</v>
      </c>
      <c r="Q14" s="51">
        <v>151.82</v>
      </c>
      <c r="R14" s="43"/>
      <c r="S14" s="43"/>
      <c r="T14" s="43"/>
      <c r="U14" s="43"/>
    </row>
    <row r="15" spans="1:21" s="11" customFormat="1" ht="15">
      <c r="A15" s="50" t="s">
        <v>475</v>
      </c>
      <c r="B15" s="51">
        <v>9.3800000000000008</v>
      </c>
      <c r="C15" s="51">
        <v>11.80</v>
      </c>
      <c r="D15" s="51">
        <v>21.18</v>
      </c>
      <c r="E15" s="51">
        <v>5.75</v>
      </c>
      <c r="F15" s="51">
        <v>0.24</v>
      </c>
      <c r="G15" s="53" t="s">
        <v>8</v>
      </c>
      <c r="H15" s="51">
        <v>10.72</v>
      </c>
      <c r="I15" s="56" t="s">
        <v>14</v>
      </c>
      <c r="J15" s="51">
        <v>0.13</v>
      </c>
      <c r="K15" s="51">
        <v>276.08</v>
      </c>
      <c r="L15" s="51">
        <v>43.25</v>
      </c>
      <c r="M15" s="51">
        <v>92.23</v>
      </c>
      <c r="N15" s="51">
        <v>121.30</v>
      </c>
      <c r="O15" s="51">
        <v>0</v>
      </c>
      <c r="P15" s="51">
        <v>3.58</v>
      </c>
      <c r="Q15" s="51">
        <v>124.74</v>
      </c>
      <c r="R15" s="43"/>
      <c r="S15" s="43"/>
      <c r="T15" s="43"/>
      <c r="U15" s="43"/>
    </row>
    <row r="16" spans="1:21" s="11" customFormat="1" ht="15">
      <c r="A16" s="50" t="s">
        <v>476</v>
      </c>
      <c r="B16" s="51">
        <v>11.42</v>
      </c>
      <c r="C16" s="51">
        <v>12.84</v>
      </c>
      <c r="D16" s="51">
        <v>24.24</v>
      </c>
      <c r="E16" s="51">
        <v>5.53</v>
      </c>
      <c r="F16" s="51">
        <v>0.31</v>
      </c>
      <c r="G16" s="53" t="s">
        <v>8</v>
      </c>
      <c r="H16" s="51">
        <v>10.23</v>
      </c>
      <c r="I16" s="56" t="s">
        <v>14</v>
      </c>
      <c r="J16" s="51">
        <v>0.20</v>
      </c>
      <c r="K16" s="51">
        <v>342.75</v>
      </c>
      <c r="L16" s="51">
        <v>46.53</v>
      </c>
      <c r="M16" s="51">
        <v>87.88</v>
      </c>
      <c r="N16" s="51">
        <v>390.30</v>
      </c>
      <c r="O16" s="51">
        <v>0</v>
      </c>
      <c r="P16" s="51">
        <v>3.64</v>
      </c>
      <c r="Q16" s="51">
        <v>101.67</v>
      </c>
      <c r="R16" s="43"/>
      <c r="S16" s="43"/>
      <c r="T16" s="43"/>
      <c r="U16" s="43"/>
    </row>
    <row r="17" spans="1:21" s="11" customFormat="1" ht="15">
      <c r="A17" s="50" t="s">
        <v>477</v>
      </c>
      <c r="B17" s="51">
        <v>11.91</v>
      </c>
      <c r="C17" s="51">
        <v>15.42</v>
      </c>
      <c r="D17" s="51">
        <v>26.75</v>
      </c>
      <c r="E17" s="51">
        <v>5.45</v>
      </c>
      <c r="F17" s="51">
        <v>0.64</v>
      </c>
      <c r="G17" s="53" t="s">
        <v>8</v>
      </c>
      <c r="H17" s="51">
        <v>12.08</v>
      </c>
      <c r="I17" s="56" t="s">
        <v>14</v>
      </c>
      <c r="J17" s="51">
        <v>0.32</v>
      </c>
      <c r="K17" s="51">
        <v>353.36</v>
      </c>
      <c r="L17" s="9" t="s">
        <v>15</v>
      </c>
      <c r="M17" s="51">
        <v>73.14</v>
      </c>
      <c r="N17" s="51">
        <v>519.29999999999995</v>
      </c>
      <c r="O17" s="51">
        <v>0</v>
      </c>
      <c r="P17" s="51">
        <v>3.72</v>
      </c>
      <c r="Q17" s="51">
        <v>84.15</v>
      </c>
      <c r="R17" s="43"/>
      <c r="S17" s="43"/>
      <c r="T17" s="43"/>
      <c r="U17" s="43"/>
    </row>
    <row r="18" spans="1:21" s="11" customFormat="1" ht="15">
      <c r="A18" s="50" t="s">
        <v>478</v>
      </c>
      <c r="B18" s="51">
        <v>11.19</v>
      </c>
      <c r="C18" s="51">
        <v>16.79</v>
      </c>
      <c r="D18" s="51">
        <v>27.04</v>
      </c>
      <c r="E18" s="51">
        <v>5.03</v>
      </c>
      <c r="F18" s="51">
        <v>0.45</v>
      </c>
      <c r="G18" s="53" t="s">
        <v>8</v>
      </c>
      <c r="H18" s="51">
        <v>11.75</v>
      </c>
      <c r="I18" s="56" t="s">
        <v>14</v>
      </c>
      <c r="J18" s="51">
        <v>0.79</v>
      </c>
      <c r="K18" s="51">
        <v>319.32</v>
      </c>
      <c r="L18" s="9" t="s">
        <v>15</v>
      </c>
      <c r="M18" s="51">
        <v>66.62</v>
      </c>
      <c r="N18" s="51">
        <v>773.5</v>
      </c>
      <c r="O18" s="51">
        <v>0</v>
      </c>
      <c r="P18" s="51">
        <v>3.72</v>
      </c>
      <c r="Q18" s="51">
        <v>66.19</v>
      </c>
      <c r="R18" s="43"/>
      <c r="S18" s="43"/>
      <c r="T18" s="43"/>
      <c r="U18" s="43"/>
    </row>
    <row r="19" spans="1:21" s="11" customFormat="1" ht="15">
      <c r="A19" s="50" t="s">
        <v>479</v>
      </c>
      <c r="B19" s="51">
        <v>7.55</v>
      </c>
      <c r="C19" s="51">
        <v>17.73</v>
      </c>
      <c r="D19" s="51">
        <v>24.74</v>
      </c>
      <c r="E19" s="51">
        <v>4.46</v>
      </c>
      <c r="F19" s="51">
        <v>1.17</v>
      </c>
      <c r="G19" s="53" t="s">
        <v>8</v>
      </c>
      <c r="H19" s="51">
        <v>15.90</v>
      </c>
      <c r="I19" s="56" t="s">
        <v>14</v>
      </c>
      <c r="J19" s="51">
        <v>0.95</v>
      </c>
      <c r="K19" s="51">
        <v>334.27</v>
      </c>
      <c r="L19" s="9" t="s">
        <v>15</v>
      </c>
      <c r="M19" s="51">
        <v>59.26</v>
      </c>
      <c r="N19" s="51">
        <v>821.80</v>
      </c>
      <c r="O19" s="51">
        <v>0</v>
      </c>
      <c r="P19" s="51">
        <v>3.74</v>
      </c>
      <c r="Q19" s="51">
        <v>47.33</v>
      </c>
      <c r="R19" s="43"/>
      <c r="S19" s="43"/>
      <c r="T19" s="43"/>
      <c r="U19" s="43"/>
    </row>
    <row r="20" spans="1:21" s="11" customFormat="1" ht="15">
      <c r="A20" s="50" t="s">
        <v>480</v>
      </c>
      <c r="B20" s="51">
        <v>4.75</v>
      </c>
      <c r="C20" s="51">
        <v>20.22</v>
      </c>
      <c r="D20" s="51">
        <v>23.85</v>
      </c>
      <c r="E20" s="51">
        <v>3.38</v>
      </c>
      <c r="F20" s="51">
        <v>2.80</v>
      </c>
      <c r="G20" s="53" t="s">
        <v>8</v>
      </c>
      <c r="H20" s="51">
        <v>14.71</v>
      </c>
      <c r="I20" s="56" t="s">
        <v>14</v>
      </c>
      <c r="J20" s="51">
        <v>1.44</v>
      </c>
      <c r="K20" s="51">
        <v>324.39999999999998</v>
      </c>
      <c r="L20" s="9" t="s">
        <v>15</v>
      </c>
      <c r="M20" s="51">
        <v>58.85</v>
      </c>
      <c r="N20" s="51">
        <v>894.70</v>
      </c>
      <c r="O20" s="51">
        <v>0</v>
      </c>
      <c r="P20" s="51">
        <v>3.70</v>
      </c>
      <c r="Q20" s="51">
        <v>30.85</v>
      </c>
      <c r="R20" s="43"/>
      <c r="S20" s="43"/>
      <c r="T20" s="43"/>
      <c r="U20" s="43"/>
    </row>
    <row r="21" spans="1:21" s="11" customFormat="1" ht="15">
      <c r="A21" s="50" t="s">
        <v>481</v>
      </c>
      <c r="B21" s="51">
        <v>2.77</v>
      </c>
      <c r="C21" s="51">
        <v>17.309999999999999</v>
      </c>
      <c r="D21" s="51">
        <v>18.91</v>
      </c>
      <c r="E21" s="51">
        <v>2.42</v>
      </c>
      <c r="F21" s="51">
        <v>3.45</v>
      </c>
      <c r="G21" s="53" t="s">
        <v>8</v>
      </c>
      <c r="H21" s="53" t="s">
        <v>8</v>
      </c>
      <c r="I21" s="51">
        <v>5.5</v>
      </c>
      <c r="J21" s="51">
        <v>1.48</v>
      </c>
      <c r="K21" s="51">
        <v>317.52</v>
      </c>
      <c r="L21" s="9" t="s">
        <v>15</v>
      </c>
      <c r="M21" s="51">
        <v>56.74</v>
      </c>
      <c r="N21" s="51">
        <v>994.20</v>
      </c>
      <c r="O21" s="51">
        <v>0</v>
      </c>
      <c r="P21" s="51">
        <v>3.64</v>
      </c>
      <c r="Q21" s="51">
        <v>13.42</v>
      </c>
      <c r="R21" s="43"/>
      <c r="S21" s="43"/>
      <c r="T21" s="43"/>
      <c r="U21" s="43"/>
    </row>
    <row r="22" spans="1:21" s="11" customFormat="1" ht="15">
      <c r="A22" s="50" t="s">
        <v>482</v>
      </c>
      <c r="B22" s="51">
        <v>2.36</v>
      </c>
      <c r="C22" s="51">
        <v>14.70</v>
      </c>
      <c r="D22" s="51">
        <v>17.05</v>
      </c>
      <c r="E22" s="51">
        <v>1.92</v>
      </c>
      <c r="F22" s="51">
        <v>2.99</v>
      </c>
      <c r="G22" s="53" t="s">
        <v>8</v>
      </c>
      <c r="H22" s="53" t="s">
        <v>8</v>
      </c>
      <c r="I22" s="51">
        <v>4.91</v>
      </c>
      <c r="J22" s="51">
        <v>1.20</v>
      </c>
      <c r="K22" s="51">
        <v>320.30</v>
      </c>
      <c r="L22" s="9" t="s">
        <v>15</v>
      </c>
      <c r="M22" s="51">
        <v>53.46</v>
      </c>
      <c r="N22" s="51">
        <v>911.30</v>
      </c>
      <c r="O22" s="51">
        <v>0</v>
      </c>
      <c r="P22" s="51">
        <v>3.60</v>
      </c>
      <c r="Q22" s="51">
        <v>10.17</v>
      </c>
      <c r="R22" s="43"/>
      <c r="S22" s="43"/>
      <c r="T22" s="43"/>
      <c r="U22" s="43"/>
    </row>
    <row r="23" spans="1:21" s="11" customFormat="1" ht="15">
      <c r="A23" s="50" t="s">
        <v>483</v>
      </c>
      <c r="B23" s="51">
        <v>2.71</v>
      </c>
      <c r="C23" s="51">
        <v>10.93</v>
      </c>
      <c r="D23" s="51">
        <v>13.64</v>
      </c>
      <c r="E23" s="51">
        <v>2.39</v>
      </c>
      <c r="F23" s="51">
        <v>1.31</v>
      </c>
      <c r="G23" s="53" t="s">
        <v>8</v>
      </c>
      <c r="H23" s="53" t="s">
        <v>8</v>
      </c>
      <c r="I23" s="51">
        <v>3.96</v>
      </c>
      <c r="J23" s="51">
        <v>0.88</v>
      </c>
      <c r="K23" s="51">
        <v>328.28</v>
      </c>
      <c r="L23" s="9" t="s">
        <v>15</v>
      </c>
      <c r="M23" s="51">
        <v>54.91</v>
      </c>
      <c r="N23" s="51">
        <v>600.60</v>
      </c>
      <c r="O23" s="51">
        <v>0</v>
      </c>
      <c r="P23" s="51">
        <v>3.59</v>
      </c>
      <c r="Q23" s="51">
        <v>12.88</v>
      </c>
      <c r="R23" s="43"/>
      <c r="S23" s="43"/>
      <c r="T23" s="43"/>
      <c r="U23" s="43"/>
    </row>
    <row r="24" spans="1:21" s="11" customFormat="1" ht="15">
      <c r="A24" s="50" t="s">
        <v>484</v>
      </c>
      <c r="B24" s="51">
        <v>3.81</v>
      </c>
      <c r="C24" s="51">
        <v>10.74</v>
      </c>
      <c r="D24" s="51">
        <v>13.86</v>
      </c>
      <c r="E24" s="51">
        <v>2.93</v>
      </c>
      <c r="F24" s="51">
        <v>1.1299999999999999</v>
      </c>
      <c r="G24" s="53" t="s">
        <v>8</v>
      </c>
      <c r="H24" s="53" t="s">
        <v>8</v>
      </c>
      <c r="I24" s="51">
        <v>4.07</v>
      </c>
      <c r="J24" s="51">
        <v>0.92</v>
      </c>
      <c r="K24" s="51">
        <v>340.53</v>
      </c>
      <c r="L24" s="9" t="s">
        <v>15</v>
      </c>
      <c r="M24" s="51">
        <v>57.47</v>
      </c>
      <c r="N24" s="51">
        <v>581.29999999999995</v>
      </c>
      <c r="O24" s="51">
        <v>0</v>
      </c>
      <c r="P24" s="51">
        <v>3.59</v>
      </c>
      <c r="Q24" s="51">
        <v>17.55</v>
      </c>
      <c r="R24" s="43"/>
      <c r="S24" s="43"/>
      <c r="T24" s="43"/>
      <c r="U24" s="43"/>
    </row>
    <row r="25" spans="1:21" s="11" customFormat="1" ht="15">
      <c r="A25" s="50" t="s">
        <v>485</v>
      </c>
      <c r="B25" s="51">
        <v>5.08</v>
      </c>
      <c r="C25" s="51">
        <v>12.94</v>
      </c>
      <c r="D25" s="51">
        <v>17.97</v>
      </c>
      <c r="E25" s="51">
        <v>2.4900000000000002</v>
      </c>
      <c r="F25" s="51">
        <v>0.99</v>
      </c>
      <c r="G25" s="53" t="s">
        <v>8</v>
      </c>
      <c r="H25" s="53" t="s">
        <v>8</v>
      </c>
      <c r="I25" s="51">
        <v>4.26</v>
      </c>
      <c r="J25" s="51">
        <v>0.39</v>
      </c>
      <c r="K25" s="51">
        <v>342.30</v>
      </c>
      <c r="L25" s="9" t="s">
        <v>15</v>
      </c>
      <c r="M25" s="51">
        <v>61.35</v>
      </c>
      <c r="N25" s="51">
        <v>302.80</v>
      </c>
      <c r="O25" s="51">
        <v>0</v>
      </c>
      <c r="P25" s="51">
        <v>3.61</v>
      </c>
      <c r="Q25" s="51">
        <v>20.350000000000001</v>
      </c>
      <c r="R25" s="43"/>
      <c r="S25" s="43"/>
      <c r="T25" s="43"/>
      <c r="U25" s="43"/>
    </row>
    <row r="26" spans="1:21" s="11" customFormat="1" ht="15">
      <c r="A26" s="50" t="s">
        <v>486</v>
      </c>
      <c r="B26" s="51">
        <v>4.8099999999999996</v>
      </c>
      <c r="C26" s="51">
        <v>16.510000000000002</v>
      </c>
      <c r="D26" s="51">
        <v>20.16</v>
      </c>
      <c r="E26" s="51">
        <v>2.77</v>
      </c>
      <c r="F26" s="51">
        <v>0.89</v>
      </c>
      <c r="G26" s="53" t="s">
        <v>8</v>
      </c>
      <c r="H26" s="51">
        <v>4.42</v>
      </c>
      <c r="I26" s="51">
        <v>4.78</v>
      </c>
      <c r="J26" s="51">
        <v>0.18</v>
      </c>
      <c r="K26" s="51">
        <v>358.14</v>
      </c>
      <c r="L26" s="51">
        <v>41.73</v>
      </c>
      <c r="M26" s="51">
        <v>66.92</v>
      </c>
      <c r="N26" s="51">
        <v>119.10</v>
      </c>
      <c r="O26" s="51">
        <v>0</v>
      </c>
      <c r="P26" s="51">
        <v>3.71</v>
      </c>
      <c r="Q26" s="51">
        <v>21.40</v>
      </c>
      <c r="R26" s="43"/>
      <c r="S26" s="43"/>
      <c r="T26" s="43"/>
      <c r="U26" s="43"/>
    </row>
    <row r="27" spans="1:21" s="11" customFormat="1" ht="15">
      <c r="A27" s="50" t="s">
        <v>487</v>
      </c>
      <c r="B27" s="51">
        <v>3.14</v>
      </c>
      <c r="C27" s="51">
        <v>15.89</v>
      </c>
      <c r="D27" s="51">
        <v>19.03</v>
      </c>
      <c r="E27" s="51">
        <v>2.97</v>
      </c>
      <c r="F27" s="51">
        <v>0.63</v>
      </c>
      <c r="G27" s="53" t="s">
        <v>8</v>
      </c>
      <c r="H27" s="51">
        <v>36.47</v>
      </c>
      <c r="I27" s="51">
        <v>5.43</v>
      </c>
      <c r="J27" s="51">
        <v>0.11</v>
      </c>
      <c r="K27" s="51">
        <v>199.71</v>
      </c>
      <c r="L27" s="51">
        <v>43.56</v>
      </c>
      <c r="M27" s="51">
        <v>70.31</v>
      </c>
      <c r="N27" s="51">
        <v>36.700000000000003</v>
      </c>
      <c r="O27" s="51">
        <v>0</v>
      </c>
      <c r="P27" s="51">
        <v>3.76</v>
      </c>
      <c r="Q27" s="51">
        <v>22.25</v>
      </c>
      <c r="R27" s="43"/>
      <c r="S27" s="43"/>
      <c r="T27" s="43"/>
      <c r="U27" s="43"/>
    </row>
    <row r="28" spans="1:21" s="11" customFormat="1" ht="15">
      <c r="A28" s="50" t="s">
        <v>488</v>
      </c>
      <c r="B28" s="51">
        <v>3.96</v>
      </c>
      <c r="C28" s="51">
        <v>14.62</v>
      </c>
      <c r="D28" s="51">
        <v>18.579999999999998</v>
      </c>
      <c r="E28" s="51">
        <v>3.08</v>
      </c>
      <c r="F28" s="51">
        <v>0.71</v>
      </c>
      <c r="G28" s="53" t="s">
        <v>8</v>
      </c>
      <c r="H28" s="51">
        <v>53.69</v>
      </c>
      <c r="I28" s="51">
        <v>6.02</v>
      </c>
      <c r="J28" s="51">
        <v>0.23</v>
      </c>
      <c r="K28" s="51">
        <v>38.200000000000003</v>
      </c>
      <c r="L28" s="51">
        <v>50.43</v>
      </c>
      <c r="M28" s="51">
        <v>72.790000000000006</v>
      </c>
      <c r="N28" s="51">
        <v>15</v>
      </c>
      <c r="O28" s="51">
        <v>0</v>
      </c>
      <c r="P28" s="51">
        <v>3.88</v>
      </c>
      <c r="Q28" s="51">
        <v>23.06</v>
      </c>
      <c r="R28" s="43"/>
      <c r="S28" s="43"/>
      <c r="T28" s="43"/>
      <c r="U28" s="43"/>
    </row>
    <row r="29" spans="1:21" s="11" customFormat="1" ht="15">
      <c r="A29" s="50" t="s">
        <v>489</v>
      </c>
      <c r="B29" s="51">
        <v>5.87</v>
      </c>
      <c r="C29" s="51">
        <v>15.33</v>
      </c>
      <c r="D29" s="51">
        <v>21.20</v>
      </c>
      <c r="E29" s="51">
        <v>4</v>
      </c>
      <c r="F29" s="51">
        <v>0.54</v>
      </c>
      <c r="G29" s="53" t="s">
        <v>8</v>
      </c>
      <c r="H29" s="51">
        <v>279.05</v>
      </c>
      <c r="I29" s="51">
        <v>7.36</v>
      </c>
      <c r="J29" s="51">
        <v>0.17</v>
      </c>
      <c r="K29" s="51">
        <v>351.15</v>
      </c>
      <c r="L29" s="51">
        <v>48.97</v>
      </c>
      <c r="M29" s="51">
        <v>77.489999999999995</v>
      </c>
      <c r="N29" s="51">
        <v>15</v>
      </c>
      <c r="O29" s="51">
        <v>0</v>
      </c>
      <c r="P29" s="51">
        <v>4.03</v>
      </c>
      <c r="Q29" s="51">
        <v>23.03</v>
      </c>
      <c r="R29" s="43"/>
      <c r="S29" s="43"/>
      <c r="T29" s="43"/>
      <c r="U29" s="43"/>
    </row>
    <row r="30" spans="1:21" s="11" customFormat="1" ht="15">
      <c r="A30" s="50" t="s">
        <v>490</v>
      </c>
      <c r="B30" s="51">
        <v>7.78</v>
      </c>
      <c r="C30" s="51">
        <v>16.47</v>
      </c>
      <c r="D30" s="51">
        <v>23.91</v>
      </c>
      <c r="E30" s="51">
        <v>4.0599999999999996</v>
      </c>
      <c r="F30" s="51">
        <v>0.37</v>
      </c>
      <c r="G30" s="53" t="s">
        <v>8</v>
      </c>
      <c r="H30" s="51">
        <v>399.29</v>
      </c>
      <c r="I30" s="51">
        <v>7.57</v>
      </c>
      <c r="J30" s="51">
        <v>0.21</v>
      </c>
      <c r="K30" s="51">
        <v>75.16</v>
      </c>
      <c r="L30" s="51">
        <v>34.979999999999997</v>
      </c>
      <c r="M30" s="51">
        <v>80.16</v>
      </c>
      <c r="N30" s="51">
        <v>15</v>
      </c>
      <c r="O30" s="51">
        <v>0</v>
      </c>
      <c r="P30" s="51">
        <v>4.0599999999999996</v>
      </c>
      <c r="Q30" s="51">
        <v>22.78</v>
      </c>
      <c r="R30" s="43"/>
      <c r="S30" s="43"/>
      <c r="T30" s="43"/>
      <c r="U30" s="43"/>
    </row>
    <row r="31" spans="1:21" s="11" customFormat="1" ht="15">
      <c r="A31" s="50" t="s">
        <v>491</v>
      </c>
      <c r="B31" s="51">
        <v>8.17</v>
      </c>
      <c r="C31" s="51">
        <v>15.24</v>
      </c>
      <c r="D31" s="51">
        <v>23.28</v>
      </c>
      <c r="E31" s="51">
        <v>4.55</v>
      </c>
      <c r="F31" s="51">
        <v>0.42</v>
      </c>
      <c r="G31" s="53" t="s">
        <v>8</v>
      </c>
      <c r="H31" s="51">
        <v>399.29</v>
      </c>
      <c r="I31" s="51">
        <v>7.54</v>
      </c>
      <c r="J31" s="51">
        <v>0.69</v>
      </c>
      <c r="K31" s="51">
        <v>359.84</v>
      </c>
      <c r="L31" s="51">
        <v>33.85</v>
      </c>
      <c r="M31" s="51">
        <v>83.23</v>
      </c>
      <c r="N31" s="51">
        <v>15</v>
      </c>
      <c r="O31" s="51">
        <v>0</v>
      </c>
      <c r="P31" s="51">
        <v>4.0599999999999996</v>
      </c>
      <c r="Q31" s="51">
        <v>23.75</v>
      </c>
      <c r="R31" s="43"/>
      <c r="S31" s="43"/>
      <c r="T31" s="43"/>
      <c r="U31" s="43"/>
    </row>
    <row r="32" spans="1:21" s="11" customFormat="1" ht="15">
      <c r="A32" s="50" t="s">
        <v>492</v>
      </c>
      <c r="B32" s="51">
        <v>7.92</v>
      </c>
      <c r="C32" s="51">
        <v>13.16</v>
      </c>
      <c r="D32" s="51">
        <v>21.08</v>
      </c>
      <c r="E32" s="51">
        <v>4.6900000000000004</v>
      </c>
      <c r="F32" s="51">
        <v>0.56999999999999995</v>
      </c>
      <c r="G32" s="53" t="s">
        <v>8</v>
      </c>
      <c r="H32" s="51">
        <v>242.98</v>
      </c>
      <c r="I32" s="51">
        <v>8.2799999999999994</v>
      </c>
      <c r="J32" s="51">
        <v>1.01</v>
      </c>
      <c r="K32" s="51">
        <v>317.73</v>
      </c>
      <c r="L32" s="51">
        <v>33.76</v>
      </c>
      <c r="M32" s="51">
        <v>85.70</v>
      </c>
      <c r="N32" s="51">
        <v>15.40</v>
      </c>
      <c r="O32" s="51">
        <v>0</v>
      </c>
      <c r="P32" s="51">
        <v>4.0199999999999996</v>
      </c>
      <c r="Q32" s="51">
        <v>23.70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2.3599999999999999</v>
      </c>
      <c r="C34" s="28">
        <f t="shared" si="0"/>
        <v>10.130000000000001</v>
      </c>
      <c r="D34" s="28">
        <f t="shared" si="0"/>
        <v>13.640000000000001</v>
      </c>
      <c r="E34" s="28">
        <f t="shared" si="0"/>
        <v>1.9199999999999999</v>
      </c>
      <c r="F34" s="28">
        <f t="shared" si="0"/>
        <v>0.13</v>
      </c>
      <c r="G34" s="28">
        <f t="shared" si="0"/>
        <v>0</v>
      </c>
      <c r="H34" s="28">
        <f t="shared" si="0"/>
        <v>4.4199999999999999</v>
      </c>
      <c r="I34" s="28">
        <f t="shared" si="0"/>
        <v>3.96</v>
      </c>
      <c r="J34" s="28">
        <f t="shared" si="0"/>
        <v>0.070000000000000007</v>
      </c>
      <c r="K34" s="28">
        <f t="shared" si="0"/>
        <v>38.200000000000003</v>
      </c>
      <c r="L34" s="28">
        <f t="shared" si="0"/>
        <v>33.759999999999998</v>
      </c>
      <c r="M34" s="28">
        <f t="shared" si="0"/>
        <v>53.460000000000001</v>
      </c>
      <c r="N34" s="28">
        <f t="shared" si="0"/>
        <v>14.699999999999999</v>
      </c>
      <c r="O34" s="28">
        <f t="shared" si="0"/>
        <v>0</v>
      </c>
      <c r="P34" s="28">
        <f t="shared" si="0"/>
        <v>3.5800000000000001</v>
      </c>
      <c r="Q34" s="28">
        <f t="shared" si="0"/>
        <v>10.17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12.949999999999999</v>
      </c>
      <c r="C35" s="29">
        <f t="shared" si="1"/>
        <v>20.219999999999999</v>
      </c>
      <c r="D35" s="29">
        <f t="shared" si="1"/>
        <v>27.039999999999999</v>
      </c>
      <c r="E35" s="29">
        <f t="shared" si="1"/>
        <v>7.5800000000000001</v>
      </c>
      <c r="F35" s="29">
        <f t="shared" si="1"/>
        <v>3.4500000000000002</v>
      </c>
      <c r="G35" s="29">
        <f t="shared" si="1"/>
        <v>0</v>
      </c>
      <c r="H35" s="29">
        <f t="shared" si="1"/>
        <v>399.29000000000002</v>
      </c>
      <c r="I35" s="29">
        <f t="shared" si="1"/>
        <v>8.2799999999999994</v>
      </c>
      <c r="J35" s="29">
        <f t="shared" si="1"/>
        <v>1.48</v>
      </c>
      <c r="K35" s="29">
        <f t="shared" si="1"/>
        <v>359.83999999999997</v>
      </c>
      <c r="L35" s="29">
        <f t="shared" si="1"/>
        <v>50.43</v>
      </c>
      <c r="M35" s="29">
        <f t="shared" si="1"/>
        <v>92.230000000000004</v>
      </c>
      <c r="N35" s="29">
        <f t="shared" si="1"/>
        <v>994.20000000000005</v>
      </c>
      <c r="O35" s="29">
        <f t="shared" si="1"/>
        <v>0</v>
      </c>
      <c r="P35" s="29">
        <f t="shared" si="1"/>
        <v>4.0599999999999996</v>
      </c>
      <c r="Q35" s="29">
        <f t="shared" si="1"/>
        <v>366.94999999999999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6.977083333333332</v>
      </c>
      <c r="C36" s="28">
        <f t="shared" si="2"/>
        <v>13.840416666666668</v>
      </c>
      <c r="D36" s="28">
        <f t="shared" si="2"/>
        <v>20.520416666666669</v>
      </c>
      <c r="E36" s="28">
        <f t="shared" si="2"/>
        <v>4.5024999999999995</v>
      </c>
      <c r="F36" s="28">
        <f t="shared" si="2"/>
        <v>0.88625000000000009</v>
      </c>
      <c r="G36" s="28" t="e">
        <f t="shared" si="2"/>
        <v>#DIV/0!</v>
      </c>
      <c r="H36" s="28">
        <f t="shared" si="2"/>
        <v>82.530000000000001</v>
      </c>
      <c r="I36" s="28">
        <f t="shared" si="2"/>
        <v>5.8066666666666675</v>
      </c>
      <c r="J36" s="28">
        <f t="shared" si="2"/>
        <v>0.49791666666666673</v>
      </c>
      <c r="K36" s="28">
        <f t="shared" si="2"/>
        <v>287.68333333333334</v>
      </c>
      <c r="L36" s="28">
        <f t="shared" si="2"/>
        <v>42.952307692307699</v>
      </c>
      <c r="M36" s="28">
        <f t="shared" si="2"/>
        <v>74.927500000000009</v>
      </c>
      <c r="N36" s="28">
        <f t="shared" si="2"/>
        <v>301.69166666666666</v>
      </c>
      <c r="O36" s="28">
        <f t="shared" si="2"/>
        <v>0</v>
      </c>
      <c r="P36" s="28">
        <f t="shared" si="2"/>
        <v>3.7412500000000004</v>
      </c>
      <c r="Q36" s="28">
        <f t="shared" si="2"/>
        <v>90.300416666666692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3.2183110331037175</v>
      </c>
      <c r="C37" s="28">
        <f t="shared" si="3" ref="C37:Q37">STDEV(C9:C32)</f>
        <v>2.8834014924506581</v>
      </c>
      <c r="D37" s="28">
        <f t="shared" si="3"/>
        <v>3.658483267535944</v>
      </c>
      <c r="E37" s="28">
        <f t="shared" si="3"/>
        <v>1.7001080528320409</v>
      </c>
      <c r="F37" s="28">
        <f t="shared" si="3"/>
        <v>0.91139554959747682</v>
      </c>
      <c r="G37" s="28" t="e">
        <f>STDEV(G9:G32)+24</f>
        <v>#DIV/0!</v>
      </c>
      <c r="H37" s="28">
        <f t="shared" si="3"/>
        <v>135.92984718433092</v>
      </c>
      <c r="I37" s="28">
        <f t="shared" si="3"/>
        <v>1.5255957604301382</v>
      </c>
      <c r="J37" s="28">
        <f t="shared" si="3"/>
        <v>0.46417743202981882</v>
      </c>
      <c r="K37" s="28">
        <f t="shared" si="3"/>
        <v>98.797272346904464</v>
      </c>
      <c r="L37" s="28">
        <f t="shared" si="3"/>
        <v>6.2201582962789965</v>
      </c>
      <c r="M37" s="28">
        <f t="shared" si="3"/>
        <v>13.840589724178715</v>
      </c>
      <c r="N37" s="28">
        <f t="shared" si="3"/>
        <v>358.37876843734284</v>
      </c>
      <c r="O37" s="28">
        <f t="shared" si="3"/>
        <v>0</v>
      </c>
      <c r="P37" s="28">
        <f t="shared" si="3"/>
        <v>0.16003566178661002</v>
      </c>
      <c r="Q37" s="28">
        <f t="shared" si="3"/>
        <v>104.47807548160797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>COUNT(H9:H32)+5</f>
        <v>24</v>
      </c>
      <c r="I38" s="32">
        <f>COUNT(I9:I32)+12</f>
        <v>24</v>
      </c>
      <c r="J38" s="32">
        <f t="shared" si="4"/>
        <v>24</v>
      </c>
      <c r="K38" s="32">
        <f t="shared" si="4"/>
        <v>24</v>
      </c>
      <c r="L38" s="32">
        <f t="shared" si="4"/>
        <v>13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1705eb-b8b6-4e6e-8cca-94ad5d168221}">
  <sheetPr codeName=""/>
  <dimension ref="A1:U119"/>
  <sheetViews>
    <sheetView zoomScale="85" zoomScaleNormal="85" workbookViewId="0" topLeftCell="A1">
      <pane xSplit="1" ySplit="8" topLeftCell="B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8" sqref="Q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493</v>
      </c>
      <c r="B9" s="51">
        <v>5.48</v>
      </c>
      <c r="C9" s="51">
        <v>12.39</v>
      </c>
      <c r="D9" s="51">
        <v>17.87</v>
      </c>
      <c r="E9" s="51">
        <v>4.16</v>
      </c>
      <c r="F9" s="51">
        <v>0.23</v>
      </c>
      <c r="G9" s="53" t="s">
        <v>8</v>
      </c>
      <c r="H9" s="51">
        <v>202.14</v>
      </c>
      <c r="I9" s="56" t="s">
        <v>14</v>
      </c>
      <c r="J9" s="51">
        <v>0.61</v>
      </c>
      <c r="K9" s="51">
        <v>321.87</v>
      </c>
      <c r="L9" s="51">
        <v>39.64</v>
      </c>
      <c r="M9" s="51">
        <v>91.12</v>
      </c>
      <c r="N9" s="51">
        <v>14.70</v>
      </c>
      <c r="O9" s="51">
        <v>0.20</v>
      </c>
      <c r="P9" s="51">
        <v>3.86</v>
      </c>
      <c r="Q9" s="51">
        <v>18.989999999999998</v>
      </c>
      <c r="R9" s="43"/>
      <c r="S9" s="43"/>
      <c r="T9" s="43"/>
      <c r="U9" s="43"/>
    </row>
    <row r="10" spans="1:21" s="11" customFormat="1" ht="15">
      <c r="A10" s="50" t="s">
        <v>494</v>
      </c>
      <c r="B10" s="51">
        <v>3.92</v>
      </c>
      <c r="C10" s="51">
        <v>10.92</v>
      </c>
      <c r="D10" s="51">
        <v>14.72</v>
      </c>
      <c r="E10" s="51">
        <v>4.28</v>
      </c>
      <c r="F10" s="51">
        <v>0.37</v>
      </c>
      <c r="G10" s="53" t="s">
        <v>8</v>
      </c>
      <c r="H10" s="51">
        <v>60.58</v>
      </c>
      <c r="I10" s="56" t="s">
        <v>14</v>
      </c>
      <c r="J10" s="51">
        <v>0.13</v>
      </c>
      <c r="K10" s="51">
        <v>306.27999999999997</v>
      </c>
      <c r="L10" s="51">
        <v>45.73</v>
      </c>
      <c r="M10" s="51">
        <v>94.61</v>
      </c>
      <c r="N10" s="51">
        <v>15.30</v>
      </c>
      <c r="O10" s="51">
        <v>0.20</v>
      </c>
      <c r="P10" s="51">
        <v>3.74</v>
      </c>
      <c r="Q10" s="51">
        <v>18.05</v>
      </c>
      <c r="R10" s="43"/>
      <c r="S10" s="43"/>
      <c r="T10" s="43"/>
      <c r="U10" s="43"/>
    </row>
    <row r="11" spans="1:21" s="11" customFormat="1" ht="15">
      <c r="A11" s="50" t="s">
        <v>495</v>
      </c>
      <c r="B11" s="51">
        <v>4.22</v>
      </c>
      <c r="C11" s="51">
        <v>8.91</v>
      </c>
      <c r="D11" s="51">
        <v>13.01</v>
      </c>
      <c r="E11" s="51">
        <v>4.78</v>
      </c>
      <c r="F11" s="51">
        <v>0.36</v>
      </c>
      <c r="G11" s="53" t="s">
        <v>8</v>
      </c>
      <c r="H11" s="51">
        <v>4.70</v>
      </c>
      <c r="I11" s="56" t="s">
        <v>14</v>
      </c>
      <c r="J11" s="51">
        <v>0.35</v>
      </c>
      <c r="K11" s="51">
        <v>352.58</v>
      </c>
      <c r="L11" s="51">
        <v>47.29</v>
      </c>
      <c r="M11" s="51">
        <v>94.26</v>
      </c>
      <c r="N11" s="51">
        <v>15.40</v>
      </c>
      <c r="O11" s="51">
        <v>0</v>
      </c>
      <c r="P11" s="51">
        <v>3.79</v>
      </c>
      <c r="Q11" s="51">
        <v>18.96</v>
      </c>
      <c r="R11" s="43"/>
      <c r="S11" s="43"/>
      <c r="T11" s="43"/>
      <c r="U11" s="43"/>
    </row>
    <row r="12" spans="1:21" s="11" customFormat="1" ht="15">
      <c r="A12" s="50" t="s">
        <v>496</v>
      </c>
      <c r="B12" s="51">
        <v>4.03</v>
      </c>
      <c r="C12" s="51">
        <v>8.9499999999999993</v>
      </c>
      <c r="D12" s="51">
        <v>12.96</v>
      </c>
      <c r="E12" s="51">
        <v>4.8099999999999996</v>
      </c>
      <c r="F12" s="51">
        <v>0.18</v>
      </c>
      <c r="G12" s="53" t="s">
        <v>8</v>
      </c>
      <c r="H12" s="51">
        <v>106.79</v>
      </c>
      <c r="I12" s="56" t="s">
        <v>14</v>
      </c>
      <c r="J12" s="51">
        <v>0.76</v>
      </c>
      <c r="K12" s="51">
        <v>210.01</v>
      </c>
      <c r="L12" s="51">
        <v>45.60</v>
      </c>
      <c r="M12" s="51">
        <v>96.93</v>
      </c>
      <c r="N12" s="51">
        <v>15.70</v>
      </c>
      <c r="O12" s="51">
        <v>0</v>
      </c>
      <c r="P12" s="51">
        <v>3.81</v>
      </c>
      <c r="Q12" s="51">
        <v>18.79</v>
      </c>
      <c r="R12" s="43"/>
      <c r="S12" s="43"/>
      <c r="T12" s="43"/>
      <c r="U12" s="43"/>
    </row>
    <row r="13" spans="1:21" s="11" customFormat="1" ht="15">
      <c r="A13" s="50" t="s">
        <v>497</v>
      </c>
      <c r="B13" s="51">
        <v>3.74</v>
      </c>
      <c r="C13" s="51">
        <v>8.18</v>
      </c>
      <c r="D13" s="51">
        <v>11.86</v>
      </c>
      <c r="E13" s="51">
        <v>5.27</v>
      </c>
      <c r="F13" s="51">
        <v>0.73</v>
      </c>
      <c r="G13" s="53" t="s">
        <v>8</v>
      </c>
      <c r="H13" s="51">
        <v>106.79</v>
      </c>
      <c r="I13" s="56" t="s">
        <v>14</v>
      </c>
      <c r="J13" s="51">
        <v>0.09</v>
      </c>
      <c r="K13" s="51">
        <v>245.38</v>
      </c>
      <c r="L13" s="51">
        <v>42.28</v>
      </c>
      <c r="M13" s="51">
        <v>97.19</v>
      </c>
      <c r="N13" s="51">
        <v>15</v>
      </c>
      <c r="O13" s="51">
        <v>0</v>
      </c>
      <c r="P13" s="51">
        <v>3.80</v>
      </c>
      <c r="Q13" s="51">
        <v>17.600000000000001</v>
      </c>
      <c r="R13" s="43"/>
      <c r="S13" s="43"/>
      <c r="T13" s="43"/>
      <c r="U13" s="43"/>
    </row>
    <row r="14" spans="1:21" s="11" customFormat="1" ht="15">
      <c r="A14" s="50" t="s">
        <v>498</v>
      </c>
      <c r="B14" s="51">
        <v>5.07</v>
      </c>
      <c r="C14" s="51">
        <v>7.92</v>
      </c>
      <c r="D14" s="51">
        <v>12.81</v>
      </c>
      <c r="E14" s="51">
        <v>6.13</v>
      </c>
      <c r="F14" s="51">
        <v>0.81</v>
      </c>
      <c r="G14" s="53" t="s">
        <v>8</v>
      </c>
      <c r="H14" s="51">
        <v>25.09</v>
      </c>
      <c r="I14" s="56" t="s">
        <v>14</v>
      </c>
      <c r="J14" s="51">
        <v>0.15</v>
      </c>
      <c r="K14" s="51">
        <v>219.82</v>
      </c>
      <c r="L14" s="51">
        <v>43.51</v>
      </c>
      <c r="M14" s="51">
        <v>95.26</v>
      </c>
      <c r="N14" s="51">
        <v>26.10</v>
      </c>
      <c r="O14" s="51">
        <v>0</v>
      </c>
      <c r="P14" s="51">
        <v>3.77</v>
      </c>
      <c r="Q14" s="51">
        <v>21.76</v>
      </c>
      <c r="R14" s="43"/>
      <c r="S14" s="43"/>
      <c r="T14" s="43"/>
      <c r="U14" s="43"/>
    </row>
    <row r="15" spans="1:21" s="11" customFormat="1" ht="15">
      <c r="A15" s="50" t="s">
        <v>499</v>
      </c>
      <c r="B15" s="51">
        <v>8.2100000000000009</v>
      </c>
      <c r="C15" s="51">
        <v>8.39</v>
      </c>
      <c r="D15" s="51">
        <v>16.600000000000001</v>
      </c>
      <c r="E15" s="51">
        <v>6.49</v>
      </c>
      <c r="F15" s="51">
        <v>0.53</v>
      </c>
      <c r="G15" s="53" t="s">
        <v>8</v>
      </c>
      <c r="H15" s="51">
        <v>224.36</v>
      </c>
      <c r="I15" s="56" t="s">
        <v>14</v>
      </c>
      <c r="J15" s="51">
        <v>0.25</v>
      </c>
      <c r="K15" s="51">
        <v>322.95</v>
      </c>
      <c r="L15" s="51">
        <v>43.66</v>
      </c>
      <c r="M15" s="51">
        <v>92.87</v>
      </c>
      <c r="N15" s="51">
        <v>111.80</v>
      </c>
      <c r="O15" s="51">
        <v>0</v>
      </c>
      <c r="P15" s="51">
        <v>3.81</v>
      </c>
      <c r="Q15" s="51">
        <v>24.82</v>
      </c>
      <c r="R15" s="43"/>
      <c r="S15" s="43"/>
      <c r="T15" s="43"/>
      <c r="U15" s="43"/>
    </row>
    <row r="16" spans="1:21" s="11" customFormat="1" ht="15">
      <c r="A16" s="50" t="s">
        <v>500</v>
      </c>
      <c r="B16" s="51">
        <v>10.90</v>
      </c>
      <c r="C16" s="51">
        <v>10.24</v>
      </c>
      <c r="D16" s="51">
        <v>21.13</v>
      </c>
      <c r="E16" s="51">
        <v>6.18</v>
      </c>
      <c r="F16" s="51">
        <v>0.94</v>
      </c>
      <c r="G16" s="53" t="s">
        <v>8</v>
      </c>
      <c r="H16" s="51">
        <v>238.74</v>
      </c>
      <c r="I16" s="56" t="s">
        <v>14</v>
      </c>
      <c r="J16" s="51">
        <v>0.42</v>
      </c>
      <c r="K16" s="51">
        <v>330.79</v>
      </c>
      <c r="L16" s="51">
        <v>47.83</v>
      </c>
      <c r="M16" s="51">
        <v>85.61</v>
      </c>
      <c r="N16" s="51">
        <v>223.70</v>
      </c>
      <c r="O16" s="51">
        <v>0</v>
      </c>
      <c r="P16" s="51">
        <v>3.84</v>
      </c>
      <c r="Q16" s="51">
        <v>24.5</v>
      </c>
      <c r="R16" s="43"/>
      <c r="S16" s="43"/>
      <c r="T16" s="43"/>
      <c r="U16" s="43"/>
    </row>
    <row r="17" spans="1:21" s="11" customFormat="1" ht="15">
      <c r="A17" s="50" t="s">
        <v>501</v>
      </c>
      <c r="B17" s="51">
        <v>11.05</v>
      </c>
      <c r="C17" s="51">
        <v>11.34</v>
      </c>
      <c r="D17" s="51">
        <v>22.05</v>
      </c>
      <c r="E17" s="51">
        <v>5.98</v>
      </c>
      <c r="F17" s="51">
        <v>0.54</v>
      </c>
      <c r="G17" s="53" t="s">
        <v>8</v>
      </c>
      <c r="H17" s="51">
        <v>238.74</v>
      </c>
      <c r="I17" s="56" t="s">
        <v>14</v>
      </c>
      <c r="J17" s="51">
        <v>1.04</v>
      </c>
      <c r="K17" s="51">
        <v>314.47000000000003</v>
      </c>
      <c r="L17" s="51">
        <v>32.82</v>
      </c>
      <c r="M17" s="51">
        <v>78.25</v>
      </c>
      <c r="N17" s="51">
        <v>409.70</v>
      </c>
      <c r="O17" s="51">
        <v>0</v>
      </c>
      <c r="P17" s="51">
        <v>3.83</v>
      </c>
      <c r="Q17" s="51">
        <v>21.33</v>
      </c>
      <c r="R17" s="43"/>
      <c r="S17" s="43"/>
      <c r="T17" s="43"/>
      <c r="U17" s="43"/>
    </row>
    <row r="18" spans="1:21" s="11" customFormat="1" ht="15">
      <c r="A18" s="50" t="s">
        <v>502</v>
      </c>
      <c r="B18" s="51">
        <v>10.85</v>
      </c>
      <c r="C18" s="51">
        <v>12.03</v>
      </c>
      <c r="D18" s="51">
        <v>22.89</v>
      </c>
      <c r="E18" s="51">
        <v>6.17</v>
      </c>
      <c r="F18" s="51">
        <v>0.73</v>
      </c>
      <c r="G18" s="53" t="s">
        <v>8</v>
      </c>
      <c r="H18" s="51">
        <v>227.89</v>
      </c>
      <c r="I18" s="56" t="s">
        <v>14</v>
      </c>
      <c r="J18" s="51">
        <v>0.74</v>
      </c>
      <c r="K18" s="51">
        <v>321.95999999999998</v>
      </c>
      <c r="L18" s="51">
        <v>32.869999999999997</v>
      </c>
      <c r="M18" s="51">
        <v>75.44</v>
      </c>
      <c r="N18" s="51">
        <v>348.20</v>
      </c>
      <c r="O18" s="51">
        <v>0</v>
      </c>
      <c r="P18" s="51">
        <v>3.78</v>
      </c>
      <c r="Q18" s="51">
        <v>18.84</v>
      </c>
      <c r="R18" s="43"/>
      <c r="S18" s="43"/>
      <c r="T18" s="43"/>
      <c r="U18" s="43"/>
    </row>
    <row r="19" spans="1:21" s="11" customFormat="1" ht="15">
      <c r="A19" s="50" t="s">
        <v>503</v>
      </c>
      <c r="B19" s="51">
        <v>10.54</v>
      </c>
      <c r="C19" s="51">
        <v>13.13</v>
      </c>
      <c r="D19" s="51">
        <v>22.87</v>
      </c>
      <c r="E19" s="51">
        <v>6.07</v>
      </c>
      <c r="F19" s="51">
        <v>0.5</v>
      </c>
      <c r="G19" s="53" t="s">
        <v>8</v>
      </c>
      <c r="H19" s="51">
        <v>158.41</v>
      </c>
      <c r="I19" s="56" t="s">
        <v>14</v>
      </c>
      <c r="J19" s="51">
        <v>0.87</v>
      </c>
      <c r="K19" s="51">
        <v>313.33999999999997</v>
      </c>
      <c r="L19" s="51">
        <v>44.03</v>
      </c>
      <c r="M19" s="51">
        <v>70.569999999999993</v>
      </c>
      <c r="N19" s="51">
        <v>473</v>
      </c>
      <c r="O19" s="51">
        <v>0</v>
      </c>
      <c r="P19" s="51">
        <v>3.78</v>
      </c>
      <c r="Q19" s="51">
        <v>16.97</v>
      </c>
      <c r="R19" s="43"/>
      <c r="S19" s="43"/>
      <c r="T19" s="43"/>
      <c r="U19" s="43"/>
    </row>
    <row r="20" spans="1:21" s="11" customFormat="1" ht="15">
      <c r="A20" s="50" t="s">
        <v>504</v>
      </c>
      <c r="B20" s="51">
        <v>8.86</v>
      </c>
      <c r="C20" s="51">
        <v>14.05</v>
      </c>
      <c r="D20" s="51">
        <v>22.47</v>
      </c>
      <c r="E20" s="51">
        <v>5.83</v>
      </c>
      <c r="F20" s="51">
        <v>0.36</v>
      </c>
      <c r="G20" s="53" t="s">
        <v>8</v>
      </c>
      <c r="H20" s="51">
        <v>158.41</v>
      </c>
      <c r="I20" s="56" t="s">
        <v>14</v>
      </c>
      <c r="J20" s="51">
        <v>1.49</v>
      </c>
      <c r="K20" s="51">
        <v>318.93</v>
      </c>
      <c r="L20" s="51">
        <v>52.37</v>
      </c>
      <c r="M20" s="51">
        <v>70.489999999999995</v>
      </c>
      <c r="N20" s="51">
        <v>467.80</v>
      </c>
      <c r="O20" s="51">
        <v>0</v>
      </c>
      <c r="P20" s="51">
        <v>3.79</v>
      </c>
      <c r="Q20" s="51">
        <v>13.97</v>
      </c>
      <c r="R20" s="43"/>
      <c r="S20" s="43"/>
      <c r="T20" s="43"/>
      <c r="U20" s="43"/>
    </row>
    <row r="21" spans="1:21" s="11" customFormat="1" ht="15">
      <c r="A21" s="50" t="s">
        <v>505</v>
      </c>
      <c r="B21" s="51">
        <v>7.15</v>
      </c>
      <c r="C21" s="51">
        <v>14.45</v>
      </c>
      <c r="D21" s="51">
        <v>21.59</v>
      </c>
      <c r="E21" s="51">
        <v>5.67</v>
      </c>
      <c r="F21" s="51">
        <v>0.38</v>
      </c>
      <c r="G21" s="53" t="s">
        <v>8</v>
      </c>
      <c r="H21" s="51">
        <v>204.58</v>
      </c>
      <c r="I21" s="56" t="s">
        <v>14</v>
      </c>
      <c r="J21" s="51">
        <v>1.0900000000000001</v>
      </c>
      <c r="K21" s="51">
        <v>318.91000000000003</v>
      </c>
      <c r="L21" s="51">
        <v>50.24</v>
      </c>
      <c r="M21" s="51">
        <v>65.819999999999993</v>
      </c>
      <c r="N21" s="51">
        <v>524.10</v>
      </c>
      <c r="O21" s="51">
        <v>0</v>
      </c>
      <c r="P21" s="51">
        <v>3.79</v>
      </c>
      <c r="Q21" s="51">
        <v>12.63</v>
      </c>
      <c r="R21" s="43"/>
      <c r="S21" s="43"/>
      <c r="T21" s="43"/>
      <c r="U21" s="43"/>
    </row>
    <row r="22" spans="1:21" s="11" customFormat="1" ht="15">
      <c r="A22" s="50" t="s">
        <v>506</v>
      </c>
      <c r="B22" s="51">
        <v>6.92</v>
      </c>
      <c r="C22" s="51">
        <v>13.99</v>
      </c>
      <c r="D22" s="51">
        <v>20.81</v>
      </c>
      <c r="E22" s="51">
        <v>5.51</v>
      </c>
      <c r="F22" s="51">
        <v>0.56000000000000005</v>
      </c>
      <c r="G22" s="53" t="s">
        <v>8</v>
      </c>
      <c r="H22" s="51">
        <v>204.58</v>
      </c>
      <c r="I22" s="56" t="s">
        <v>14</v>
      </c>
      <c r="J22" s="51">
        <v>1.58</v>
      </c>
      <c r="K22" s="51">
        <v>321.63</v>
      </c>
      <c r="L22" s="51">
        <v>54.40</v>
      </c>
      <c r="M22" s="51">
        <v>63.82</v>
      </c>
      <c r="N22" s="51">
        <v>654.40</v>
      </c>
      <c r="O22" s="51">
        <v>0</v>
      </c>
      <c r="P22" s="51">
        <v>3.81</v>
      </c>
      <c r="Q22" s="51">
        <v>13.02</v>
      </c>
      <c r="R22" s="43"/>
      <c r="S22" s="43"/>
      <c r="T22" s="43"/>
      <c r="U22" s="43"/>
    </row>
    <row r="23" spans="1:21" s="11" customFormat="1" ht="15">
      <c r="A23" s="50" t="s">
        <v>507</v>
      </c>
      <c r="B23" s="51">
        <v>5.98</v>
      </c>
      <c r="C23" s="51">
        <v>13.55</v>
      </c>
      <c r="D23" s="51">
        <v>19.53</v>
      </c>
      <c r="E23" s="51">
        <v>5.36</v>
      </c>
      <c r="F23" s="51">
        <v>0.83</v>
      </c>
      <c r="G23" s="53" t="s">
        <v>8</v>
      </c>
      <c r="H23" s="51">
        <v>67.84</v>
      </c>
      <c r="I23" s="56" t="s">
        <v>14</v>
      </c>
      <c r="J23" s="51">
        <v>1.80</v>
      </c>
      <c r="K23" s="51">
        <v>325.31</v>
      </c>
      <c r="L23" s="51">
        <v>52.5</v>
      </c>
      <c r="M23" s="51">
        <v>61.10</v>
      </c>
      <c r="N23" s="51">
        <v>669.70</v>
      </c>
      <c r="O23" s="51">
        <v>0</v>
      </c>
      <c r="P23" s="51">
        <v>3.78</v>
      </c>
      <c r="Q23" s="51">
        <v>12.39</v>
      </c>
      <c r="R23" s="43"/>
      <c r="S23" s="43"/>
      <c r="T23" s="43"/>
      <c r="U23" s="43"/>
    </row>
    <row r="24" spans="1:21" s="11" customFormat="1" ht="15">
      <c r="A24" s="50" t="s">
        <v>508</v>
      </c>
      <c r="B24" s="51">
        <v>5.80</v>
      </c>
      <c r="C24" s="51">
        <v>13.72</v>
      </c>
      <c r="D24" s="51">
        <v>19.46</v>
      </c>
      <c r="E24" s="51">
        <v>5.23</v>
      </c>
      <c r="F24" s="51">
        <v>0.30</v>
      </c>
      <c r="G24" s="53" t="s">
        <v>8</v>
      </c>
      <c r="H24" s="51">
        <v>127.31</v>
      </c>
      <c r="I24" s="56" t="s">
        <v>14</v>
      </c>
      <c r="J24" s="51">
        <v>1.94</v>
      </c>
      <c r="K24" s="51">
        <v>320.20999999999998</v>
      </c>
      <c r="L24" s="51">
        <v>50.62</v>
      </c>
      <c r="M24" s="51">
        <v>66.84</v>
      </c>
      <c r="N24" s="51">
        <v>266.60000000000002</v>
      </c>
      <c r="O24" s="51">
        <v>0</v>
      </c>
      <c r="P24" s="51">
        <v>3.78</v>
      </c>
      <c r="Q24" s="51">
        <v>9.90</v>
      </c>
      <c r="R24" s="43"/>
      <c r="S24" s="43"/>
      <c r="T24" s="43"/>
      <c r="U24" s="43"/>
    </row>
    <row r="25" spans="1:21" s="11" customFormat="1" ht="15">
      <c r="A25" s="50" t="s">
        <v>509</v>
      </c>
      <c r="B25" s="51">
        <v>6.25</v>
      </c>
      <c r="C25" s="51">
        <v>13.30</v>
      </c>
      <c r="D25" s="51">
        <v>19.329999999999998</v>
      </c>
      <c r="E25" s="51">
        <v>6.27</v>
      </c>
      <c r="F25" s="51">
        <v>0.37</v>
      </c>
      <c r="G25" s="53" t="s">
        <v>8</v>
      </c>
      <c r="H25" s="51">
        <v>172.41</v>
      </c>
      <c r="I25" s="56" t="s">
        <v>14</v>
      </c>
      <c r="J25" s="51">
        <v>1.94</v>
      </c>
      <c r="K25" s="51">
        <v>347.87</v>
      </c>
      <c r="L25" s="51">
        <v>50.18</v>
      </c>
      <c r="M25" s="51">
        <v>99.15</v>
      </c>
      <c r="N25" s="51">
        <v>152.10</v>
      </c>
      <c r="O25" s="51">
        <v>4.80</v>
      </c>
      <c r="P25" s="51">
        <v>3.80</v>
      </c>
      <c r="Q25" s="51">
        <v>10.88</v>
      </c>
      <c r="R25" s="43"/>
      <c r="S25" s="43"/>
      <c r="T25" s="43"/>
      <c r="U25" s="43"/>
    </row>
    <row r="26" spans="1:21" s="11" customFormat="1" ht="15">
      <c r="A26" s="50" t="s">
        <v>510</v>
      </c>
      <c r="B26" s="51">
        <v>10.58</v>
      </c>
      <c r="C26" s="51">
        <v>12.34</v>
      </c>
      <c r="D26" s="51">
        <v>22.14</v>
      </c>
      <c r="E26" s="51">
        <v>7.40</v>
      </c>
      <c r="F26" s="51">
        <v>0.25</v>
      </c>
      <c r="G26" s="53" t="s">
        <v>8</v>
      </c>
      <c r="H26" s="51">
        <v>172.41</v>
      </c>
      <c r="I26" s="56" t="s">
        <v>14</v>
      </c>
      <c r="J26" s="51">
        <v>0.57999999999999996</v>
      </c>
      <c r="K26" s="51">
        <v>356.58</v>
      </c>
      <c r="L26" s="51">
        <v>40.47</v>
      </c>
      <c r="M26" s="51">
        <v>99.15</v>
      </c>
      <c r="N26" s="51">
        <v>45.40</v>
      </c>
      <c r="O26" s="51">
        <v>0.40</v>
      </c>
      <c r="P26" s="51">
        <v>3.91</v>
      </c>
      <c r="Q26" s="51">
        <v>18.82</v>
      </c>
      <c r="R26" s="43"/>
      <c r="S26" s="43"/>
      <c r="T26" s="43"/>
      <c r="U26" s="43"/>
    </row>
    <row r="27" spans="1:21" s="11" customFormat="1" ht="15">
      <c r="A27" s="50" t="s">
        <v>511</v>
      </c>
      <c r="B27" s="51">
        <v>15.01</v>
      </c>
      <c r="C27" s="51">
        <v>12.91</v>
      </c>
      <c r="D27" s="51">
        <v>27.93</v>
      </c>
      <c r="E27" s="51">
        <v>7.84</v>
      </c>
      <c r="F27" s="51">
        <v>0.070000000000000007</v>
      </c>
      <c r="G27" s="53" t="s">
        <v>8</v>
      </c>
      <c r="H27" s="51">
        <v>254.54</v>
      </c>
      <c r="I27" s="56" t="s">
        <v>14</v>
      </c>
      <c r="J27" s="51">
        <v>0.32</v>
      </c>
      <c r="K27" s="51">
        <v>336.91</v>
      </c>
      <c r="L27" s="51">
        <v>34.97</v>
      </c>
      <c r="M27" s="51">
        <v>99.15</v>
      </c>
      <c r="N27" s="51">
        <v>16.899999999999999</v>
      </c>
      <c r="O27" s="51">
        <v>1.60</v>
      </c>
      <c r="P27" s="51">
        <v>4.05</v>
      </c>
      <c r="Q27" s="51">
        <v>20.60</v>
      </c>
      <c r="R27" s="43"/>
      <c r="S27" s="43"/>
      <c r="T27" s="43"/>
      <c r="U27" s="43"/>
    </row>
    <row r="28" spans="1:21" s="11" customFormat="1" ht="15">
      <c r="A28" s="50" t="s">
        <v>512</v>
      </c>
      <c r="B28" s="51">
        <v>15.01</v>
      </c>
      <c r="C28" s="51">
        <v>13.09</v>
      </c>
      <c r="D28" s="51">
        <v>28</v>
      </c>
      <c r="E28" s="51">
        <v>7.40</v>
      </c>
      <c r="F28" s="51">
        <v>0.24</v>
      </c>
      <c r="G28" s="53" t="s">
        <v>8</v>
      </c>
      <c r="H28" s="51">
        <v>254.54</v>
      </c>
      <c r="I28" s="56" t="s">
        <v>14</v>
      </c>
      <c r="J28" s="51">
        <v>0.09</v>
      </c>
      <c r="K28" s="51">
        <v>312.72000000000003</v>
      </c>
      <c r="L28" s="51">
        <v>28.67</v>
      </c>
      <c r="M28" s="51">
        <v>99.15</v>
      </c>
      <c r="N28" s="51">
        <v>15.70</v>
      </c>
      <c r="O28" s="51">
        <v>0</v>
      </c>
      <c r="P28" s="51">
        <v>4.0999999999999996</v>
      </c>
      <c r="Q28" s="51">
        <v>22.79</v>
      </c>
      <c r="R28" s="43"/>
      <c r="S28" s="43"/>
      <c r="T28" s="43"/>
      <c r="U28" s="43"/>
    </row>
    <row r="29" spans="1:21" s="11" customFormat="1" ht="15">
      <c r="A29" s="50" t="s">
        <v>513</v>
      </c>
      <c r="B29" s="51">
        <v>15.20</v>
      </c>
      <c r="C29" s="51">
        <v>11.38</v>
      </c>
      <c r="D29" s="51">
        <v>26.51</v>
      </c>
      <c r="E29" s="51">
        <v>6.31</v>
      </c>
      <c r="F29" s="51">
        <v>0.31</v>
      </c>
      <c r="G29" s="53" t="s">
        <v>8</v>
      </c>
      <c r="H29" s="51">
        <v>197.17</v>
      </c>
      <c r="I29" s="56" t="s">
        <v>14</v>
      </c>
      <c r="J29" s="51">
        <v>0.09</v>
      </c>
      <c r="K29" s="51">
        <v>332.44</v>
      </c>
      <c r="L29" s="51">
        <v>28.79</v>
      </c>
      <c r="M29" s="51">
        <v>98.89</v>
      </c>
      <c r="N29" s="51">
        <v>16</v>
      </c>
      <c r="O29" s="51">
        <v>0</v>
      </c>
      <c r="P29" s="51">
        <v>4.13</v>
      </c>
      <c r="Q29" s="51">
        <v>24.90</v>
      </c>
      <c r="R29" s="43"/>
      <c r="S29" s="43"/>
      <c r="T29" s="43"/>
      <c r="U29" s="43"/>
    </row>
    <row r="30" spans="1:21" s="11" customFormat="1" ht="15">
      <c r="A30" s="50" t="s">
        <v>514</v>
      </c>
      <c r="B30" s="51">
        <v>15.81</v>
      </c>
      <c r="C30" s="51">
        <v>11.28</v>
      </c>
      <c r="D30" s="51">
        <v>27.09</v>
      </c>
      <c r="E30" s="51">
        <v>6.16</v>
      </c>
      <c r="F30" s="51">
        <v>0.23</v>
      </c>
      <c r="G30" s="53" t="s">
        <v>8</v>
      </c>
      <c r="H30" s="51">
        <v>154.38999999999999</v>
      </c>
      <c r="I30" s="56" t="s">
        <v>14</v>
      </c>
      <c r="J30" s="51">
        <v>0.19</v>
      </c>
      <c r="K30" s="51">
        <v>44.53</v>
      </c>
      <c r="L30" s="51">
        <v>29.13</v>
      </c>
      <c r="M30" s="51">
        <v>99.06</v>
      </c>
      <c r="N30" s="51">
        <v>15.70</v>
      </c>
      <c r="O30" s="51">
        <v>0</v>
      </c>
      <c r="P30" s="51">
        <v>4.13</v>
      </c>
      <c r="Q30" s="51">
        <v>25.60</v>
      </c>
      <c r="R30" s="43"/>
      <c r="S30" s="43"/>
      <c r="T30" s="43"/>
      <c r="U30" s="43"/>
    </row>
    <row r="31" spans="1:21" s="11" customFormat="1" ht="15">
      <c r="A31" s="50" t="s">
        <v>515</v>
      </c>
      <c r="B31" s="51">
        <v>15.40</v>
      </c>
      <c r="C31" s="51">
        <v>11.46</v>
      </c>
      <c r="D31" s="51">
        <v>26.72</v>
      </c>
      <c r="E31" s="51">
        <v>5.84</v>
      </c>
      <c r="F31" s="51">
        <v>0.27</v>
      </c>
      <c r="G31" s="53" t="s">
        <v>8</v>
      </c>
      <c r="H31" s="51">
        <v>233.03</v>
      </c>
      <c r="I31" s="56" t="s">
        <v>14</v>
      </c>
      <c r="J31" s="51">
        <v>0.36</v>
      </c>
      <c r="K31" s="51">
        <v>335.63</v>
      </c>
      <c r="L31" s="51">
        <v>28.48</v>
      </c>
      <c r="M31" s="51">
        <v>99.02</v>
      </c>
      <c r="N31" s="51">
        <v>16</v>
      </c>
      <c r="O31" s="51">
        <v>0</v>
      </c>
      <c r="P31" s="51">
        <v>4.0999999999999996</v>
      </c>
      <c r="Q31" s="51">
        <v>22.46</v>
      </c>
      <c r="R31" s="43"/>
      <c r="S31" s="43"/>
      <c r="T31" s="43"/>
      <c r="U31" s="43"/>
    </row>
    <row r="32" spans="1:21" s="11" customFormat="1" ht="15">
      <c r="A32" s="50" t="s">
        <v>516</v>
      </c>
      <c r="B32" s="51">
        <v>12.88</v>
      </c>
      <c r="C32" s="51">
        <v>11.81</v>
      </c>
      <c r="D32" s="51">
        <v>24.44</v>
      </c>
      <c r="E32" s="51">
        <v>5.55</v>
      </c>
      <c r="F32" s="51">
        <v>0.09</v>
      </c>
      <c r="G32" s="53" t="s">
        <v>8</v>
      </c>
      <c r="H32" s="51">
        <v>233.03</v>
      </c>
      <c r="I32" s="56" t="s">
        <v>14</v>
      </c>
      <c r="J32" s="51">
        <v>0.18</v>
      </c>
      <c r="K32" s="51">
        <v>61.47</v>
      </c>
      <c r="L32" s="51">
        <v>30.39</v>
      </c>
      <c r="M32" s="51">
        <v>96.27</v>
      </c>
      <c r="N32" s="51">
        <v>15.90</v>
      </c>
      <c r="O32" s="51">
        <v>0</v>
      </c>
      <c r="P32" s="51">
        <v>4.03</v>
      </c>
      <c r="Q32" s="51">
        <v>19.010000000000002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3.7400000000000002</v>
      </c>
      <c r="C34" s="28">
        <f t="shared" si="0"/>
        <v>7.9199999999999999</v>
      </c>
      <c r="D34" s="28">
        <f t="shared" si="0"/>
        <v>11.859999999999999</v>
      </c>
      <c r="E34" s="28">
        <f t="shared" si="0"/>
        <v>4.1600000000000001</v>
      </c>
      <c r="F34" s="28">
        <f t="shared" si="0"/>
        <v>0.070000000000000007</v>
      </c>
      <c r="G34" s="28">
        <f t="shared" si="0"/>
        <v>0</v>
      </c>
      <c r="H34" s="28">
        <f t="shared" si="0"/>
        <v>4.7000000000000002</v>
      </c>
      <c r="I34" s="28">
        <f t="shared" si="0"/>
        <v>0</v>
      </c>
      <c r="J34" s="28">
        <f t="shared" si="0"/>
        <v>0.089999999999999997</v>
      </c>
      <c r="K34" s="28">
        <f t="shared" si="0"/>
        <v>44.530000000000001</v>
      </c>
      <c r="L34" s="28">
        <f t="shared" si="0"/>
        <v>28.48</v>
      </c>
      <c r="M34" s="28">
        <f t="shared" si="0"/>
        <v>61.100000000000001</v>
      </c>
      <c r="N34" s="28">
        <f t="shared" si="0"/>
        <v>14.699999999999999</v>
      </c>
      <c r="O34" s="28">
        <f t="shared" si="0"/>
        <v>0</v>
      </c>
      <c r="P34" s="28">
        <f t="shared" si="0"/>
        <v>3.7400000000000002</v>
      </c>
      <c r="Q34" s="28">
        <f t="shared" si="0"/>
        <v>9.9000000000000004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15.81</v>
      </c>
      <c r="C35" s="29">
        <f t="shared" si="1"/>
        <v>14.449999999999999</v>
      </c>
      <c r="D35" s="29">
        <f t="shared" si="1"/>
        <v>28</v>
      </c>
      <c r="E35" s="29">
        <f t="shared" si="1"/>
        <v>7.8399999999999999</v>
      </c>
      <c r="F35" s="29">
        <f t="shared" si="1"/>
        <v>0.93999999999999995</v>
      </c>
      <c r="G35" s="29">
        <f t="shared" si="1"/>
        <v>0</v>
      </c>
      <c r="H35" s="29">
        <f t="shared" si="1"/>
        <v>254.53999999999999</v>
      </c>
      <c r="I35" s="29">
        <f t="shared" si="1"/>
        <v>0</v>
      </c>
      <c r="J35" s="29">
        <f t="shared" si="1"/>
        <v>1.9399999999999999</v>
      </c>
      <c r="K35" s="29">
        <f t="shared" si="1"/>
        <v>356.57999999999998</v>
      </c>
      <c r="L35" s="29">
        <f t="shared" si="1"/>
        <v>54.399999999999999</v>
      </c>
      <c r="M35" s="29">
        <f t="shared" si="1"/>
        <v>99.150000000000006</v>
      </c>
      <c r="N35" s="29">
        <f t="shared" si="1"/>
        <v>669.70000000000005</v>
      </c>
      <c r="O35" s="29">
        <f t="shared" si="1"/>
        <v>4.7999999999999998</v>
      </c>
      <c r="P35" s="29">
        <f t="shared" si="1"/>
        <v>4.1299999999999999</v>
      </c>
      <c r="Q35" s="29">
        <f t="shared" si="1"/>
        <v>25.600000000000001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9.1191666666666666</v>
      </c>
      <c r="C36" s="28">
        <f t="shared" si="2"/>
        <v>11.655416666666666</v>
      </c>
      <c r="D36" s="28">
        <f t="shared" si="2"/>
        <v>20.616250000000001</v>
      </c>
      <c r="E36" s="28">
        <f t="shared" si="2"/>
        <v>5.8620833333333353</v>
      </c>
      <c r="F36" s="28">
        <f t="shared" si="2"/>
        <v>0.42416666666666675</v>
      </c>
      <c r="G36" s="28" t="e">
        <f t="shared" si="2"/>
        <v>#DIV/0!</v>
      </c>
      <c r="H36" s="28">
        <f t="shared" si="2"/>
        <v>167.85291666666669</v>
      </c>
      <c r="I36" s="28" t="e">
        <f t="shared" si="2"/>
        <v>#DIV/0!</v>
      </c>
      <c r="J36" s="28">
        <f t="shared" si="2"/>
        <v>0.71083333333333332</v>
      </c>
      <c r="K36" s="28">
        <f t="shared" si="2"/>
        <v>291.35791666666665</v>
      </c>
      <c r="L36" s="28">
        <f t="shared" si="2"/>
        <v>41.51958333333333</v>
      </c>
      <c r="M36" s="28">
        <f t="shared" si="2"/>
        <v>87.084166666666661</v>
      </c>
      <c r="N36" s="28">
        <f t="shared" si="2"/>
        <v>189.37083333333331</v>
      </c>
      <c r="O36" s="28">
        <f t="shared" si="2"/>
        <v>0.30000000000000004</v>
      </c>
      <c r="P36" s="28">
        <f t="shared" si="2"/>
        <v>3.8754166666666658</v>
      </c>
      <c r="Q36" s="28">
        <f t="shared" si="2"/>
        <v>18.649166666666666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4.1336739282298929</v>
      </c>
      <c r="C37" s="28">
        <f t="shared" si="3" ref="C37:Q37">STDEV(C9:C32)</f>
        <v>1.988877724107065</v>
      </c>
      <c r="D37" s="28">
        <f t="shared" si="3"/>
        <v>4.9892840058774262</v>
      </c>
      <c r="E37" s="28">
        <f t="shared" si="3"/>
        <v>0.90306713683045858</v>
      </c>
      <c r="F37" s="28">
        <f t="shared" si="3"/>
        <v>0.23958145871982409</v>
      </c>
      <c r="G37" s="28" t="e">
        <f t="shared" si="3"/>
        <v>#DIV/0!</v>
      </c>
      <c r="H37" s="28">
        <f t="shared" si="3"/>
        <v>73.163935311419749</v>
      </c>
      <c r="I37" s="28" t="e">
        <f t="shared" si="3"/>
        <v>#DIV/0!</v>
      </c>
      <c r="J37" s="28">
        <f t="shared" si="3"/>
        <v>0.62355165517113864</v>
      </c>
      <c r="K37" s="28">
        <f t="shared" si="3"/>
        <v>82.112796491441898</v>
      </c>
      <c r="L37" s="28">
        <f t="shared" si="3"/>
        <v>8.6817552218364451</v>
      </c>
      <c r="M37" s="28">
        <f t="shared" si="3"/>
        <v>13.76520847981446</v>
      </c>
      <c r="N37" s="28">
        <f t="shared" si="3"/>
        <v>226.94621366069879</v>
      </c>
      <c r="O37" s="28">
        <f t="shared" si="3"/>
        <v>1.0146749318827701</v>
      </c>
      <c r="P37" s="28">
        <f t="shared" si="3"/>
        <v>0.1321388981556797</v>
      </c>
      <c r="Q37" s="28">
        <f t="shared" si="3"/>
        <v>4.5808798439740341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226ddd-203c-4ace-aa83-93b66884d571}">
  <sheetPr codeName=""/>
  <dimension ref="A1:U119"/>
  <sheetViews>
    <sheetView zoomScale="85" zoomScaleNormal="85" workbookViewId="0" topLeftCell="A1">
      <pane xSplit="1" ySplit="8" topLeftCell="B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O38" sqref="O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517</v>
      </c>
      <c r="B9" s="51">
        <v>11.38</v>
      </c>
      <c r="C9" s="51">
        <v>11.70</v>
      </c>
      <c r="D9" s="51">
        <v>23.08</v>
      </c>
      <c r="E9" s="51">
        <v>6.06</v>
      </c>
      <c r="F9" s="51">
        <v>0.51</v>
      </c>
      <c r="G9" s="53" t="s">
        <v>8</v>
      </c>
      <c r="H9" s="51">
        <v>119.45</v>
      </c>
      <c r="I9" s="56" t="s">
        <v>14</v>
      </c>
      <c r="J9" s="51">
        <v>0.16</v>
      </c>
      <c r="K9" s="51">
        <v>351.28</v>
      </c>
      <c r="L9" s="51">
        <v>28.26</v>
      </c>
      <c r="M9" s="51">
        <v>96.30</v>
      </c>
      <c r="N9" s="51">
        <v>15.80</v>
      </c>
      <c r="O9" s="51">
        <v>0</v>
      </c>
      <c r="P9" s="51">
        <v>3.97</v>
      </c>
      <c r="Q9" s="51">
        <v>17.66</v>
      </c>
      <c r="R9" s="43"/>
      <c r="S9" s="43"/>
      <c r="T9" s="43"/>
      <c r="U9" s="43"/>
    </row>
    <row r="10" spans="1:21" s="11" customFormat="1" ht="15">
      <c r="A10" s="50" t="s">
        <v>518</v>
      </c>
      <c r="B10" s="51">
        <v>9.99</v>
      </c>
      <c r="C10" s="51">
        <v>10.31</v>
      </c>
      <c r="D10" s="51">
        <v>20.30</v>
      </c>
      <c r="E10" s="51">
        <v>6.13</v>
      </c>
      <c r="F10" s="51">
        <v>0.10</v>
      </c>
      <c r="G10" s="53" t="s">
        <v>8</v>
      </c>
      <c r="H10" s="51">
        <v>297.49</v>
      </c>
      <c r="I10" s="56" t="s">
        <v>14</v>
      </c>
      <c r="J10" s="51">
        <v>0.15</v>
      </c>
      <c r="K10" s="51">
        <v>315.52999999999997</v>
      </c>
      <c r="L10" s="51">
        <v>27.95</v>
      </c>
      <c r="M10" s="51">
        <v>98.94</v>
      </c>
      <c r="N10" s="51">
        <v>15.10</v>
      </c>
      <c r="O10" s="51">
        <v>0.20</v>
      </c>
      <c r="P10" s="51">
        <v>3.95</v>
      </c>
      <c r="Q10" s="51">
        <v>16.64</v>
      </c>
      <c r="R10" s="43"/>
      <c r="S10" s="43"/>
      <c r="T10" s="43"/>
      <c r="U10" s="43"/>
    </row>
    <row r="11" spans="1:21" s="11" customFormat="1" ht="15">
      <c r="A11" s="50" t="s">
        <v>519</v>
      </c>
      <c r="B11" s="51">
        <v>8.58</v>
      </c>
      <c r="C11" s="51">
        <v>10.24</v>
      </c>
      <c r="D11" s="51">
        <v>18.579999999999998</v>
      </c>
      <c r="E11" s="51">
        <v>6.36</v>
      </c>
      <c r="F11" s="51">
        <v>0.04</v>
      </c>
      <c r="G11" s="53" t="s">
        <v>8</v>
      </c>
      <c r="H11" s="51">
        <v>297.49</v>
      </c>
      <c r="I11" s="56" t="s">
        <v>14</v>
      </c>
      <c r="J11" s="51">
        <v>0.22</v>
      </c>
      <c r="K11" s="51">
        <v>359.03</v>
      </c>
      <c r="L11" s="51">
        <v>28</v>
      </c>
      <c r="M11" s="51">
        <v>98.99</v>
      </c>
      <c r="N11" s="51">
        <v>15.80</v>
      </c>
      <c r="O11" s="51">
        <v>0</v>
      </c>
      <c r="P11" s="51">
        <v>3.98</v>
      </c>
      <c r="Q11" s="51">
        <v>14</v>
      </c>
      <c r="R11" s="43"/>
      <c r="S11" s="43"/>
      <c r="T11" s="43"/>
      <c r="U11" s="43"/>
    </row>
    <row r="12" spans="1:21" s="11" customFormat="1" ht="15">
      <c r="A12" s="50" t="s">
        <v>520</v>
      </c>
      <c r="B12" s="51">
        <v>7.61</v>
      </c>
      <c r="C12" s="51">
        <v>9.89</v>
      </c>
      <c r="D12" s="51">
        <v>17.510000000000002</v>
      </c>
      <c r="E12" s="51">
        <v>6.14</v>
      </c>
      <c r="F12" s="51">
        <v>0.56000000000000005</v>
      </c>
      <c r="G12" s="53" t="s">
        <v>8</v>
      </c>
      <c r="H12" s="51">
        <v>71.69</v>
      </c>
      <c r="I12" s="56" t="s">
        <v>14</v>
      </c>
      <c r="J12" s="51">
        <v>0.18</v>
      </c>
      <c r="K12" s="51">
        <v>31.85</v>
      </c>
      <c r="L12" s="51">
        <v>27.99</v>
      </c>
      <c r="M12" s="51">
        <v>95.72</v>
      </c>
      <c r="N12" s="51">
        <v>15.80</v>
      </c>
      <c r="O12" s="51">
        <v>0</v>
      </c>
      <c r="P12" s="51">
        <v>3.93</v>
      </c>
      <c r="Q12" s="51">
        <v>13.04</v>
      </c>
      <c r="R12" s="43"/>
      <c r="S12" s="43"/>
      <c r="T12" s="43"/>
      <c r="U12" s="43"/>
    </row>
    <row r="13" spans="1:21" s="11" customFormat="1" ht="15">
      <c r="A13" s="50" t="s">
        <v>521</v>
      </c>
      <c r="B13" s="51">
        <v>6.83</v>
      </c>
      <c r="C13" s="51">
        <v>9.7100000000000009</v>
      </c>
      <c r="D13" s="51">
        <v>16.43</v>
      </c>
      <c r="E13" s="51">
        <v>5.47</v>
      </c>
      <c r="F13" s="51">
        <v>0.73</v>
      </c>
      <c r="G13" s="53" t="s">
        <v>8</v>
      </c>
      <c r="H13" s="51">
        <v>211.79</v>
      </c>
      <c r="I13" s="56" t="s">
        <v>14</v>
      </c>
      <c r="J13" s="51">
        <v>0.14000000000000001</v>
      </c>
      <c r="K13" s="51">
        <v>355.49</v>
      </c>
      <c r="L13" s="51">
        <v>27.97</v>
      </c>
      <c r="M13" s="51">
        <v>94.65</v>
      </c>
      <c r="N13" s="51">
        <v>15.80</v>
      </c>
      <c r="O13" s="51">
        <v>0</v>
      </c>
      <c r="P13" s="51">
        <v>3.84</v>
      </c>
      <c r="Q13" s="51">
        <v>12.12</v>
      </c>
      <c r="R13" s="43"/>
      <c r="S13" s="43"/>
      <c r="T13" s="43"/>
      <c r="U13" s="43"/>
    </row>
    <row r="14" spans="1:21" s="11" customFormat="1" ht="15">
      <c r="A14" s="50" t="s">
        <v>522</v>
      </c>
      <c r="B14" s="51">
        <v>6.93</v>
      </c>
      <c r="C14" s="51">
        <v>10.08</v>
      </c>
      <c r="D14" s="51">
        <v>17</v>
      </c>
      <c r="E14" s="51">
        <v>4.96</v>
      </c>
      <c r="F14" s="51">
        <v>0.45</v>
      </c>
      <c r="G14" s="53" t="s">
        <v>8</v>
      </c>
      <c r="H14" s="51">
        <v>211.79</v>
      </c>
      <c r="I14" s="56" t="s">
        <v>14</v>
      </c>
      <c r="J14" s="51">
        <v>0.24</v>
      </c>
      <c r="K14" s="51">
        <v>335.19</v>
      </c>
      <c r="L14" s="51">
        <v>28.05</v>
      </c>
      <c r="M14" s="51">
        <v>93.48</v>
      </c>
      <c r="N14" s="51">
        <v>19.70</v>
      </c>
      <c r="O14" s="51">
        <v>0</v>
      </c>
      <c r="P14" s="51">
        <v>3.77</v>
      </c>
      <c r="Q14" s="51">
        <v>10.68</v>
      </c>
      <c r="R14" s="43"/>
      <c r="S14" s="43"/>
      <c r="T14" s="43"/>
      <c r="U14" s="43"/>
    </row>
    <row r="15" spans="1:21" s="11" customFormat="1" ht="15">
      <c r="A15" s="50" t="s">
        <v>523</v>
      </c>
      <c r="B15" s="51">
        <v>8.1199999999999992</v>
      </c>
      <c r="C15" s="51">
        <v>10.30</v>
      </c>
      <c r="D15" s="51">
        <v>18.420000000000002</v>
      </c>
      <c r="E15" s="51">
        <v>4.99</v>
      </c>
      <c r="F15" s="51">
        <v>0.48</v>
      </c>
      <c r="G15" s="53" t="s">
        <v>8</v>
      </c>
      <c r="H15" s="51">
        <v>156.60</v>
      </c>
      <c r="I15" s="56" t="s">
        <v>14</v>
      </c>
      <c r="J15" s="51">
        <v>0.33</v>
      </c>
      <c r="K15" s="51">
        <v>337.02</v>
      </c>
      <c r="L15" s="51">
        <v>28.66</v>
      </c>
      <c r="M15" s="51">
        <v>91.34</v>
      </c>
      <c r="N15" s="51">
        <v>74.80</v>
      </c>
      <c r="O15" s="51">
        <v>0</v>
      </c>
      <c r="P15" s="51">
        <v>3.72</v>
      </c>
      <c r="Q15" s="51">
        <v>9.90</v>
      </c>
      <c r="R15" s="43"/>
      <c r="S15" s="43"/>
      <c r="T15" s="43"/>
      <c r="U15" s="43"/>
    </row>
    <row r="16" spans="1:21" s="11" customFormat="1" ht="15">
      <c r="A16" s="50" t="s">
        <v>524</v>
      </c>
      <c r="B16" s="51">
        <v>8.3800000000000008</v>
      </c>
      <c r="C16" s="51">
        <v>10.63</v>
      </c>
      <c r="D16" s="51">
        <v>18.87</v>
      </c>
      <c r="E16" s="51">
        <v>5.19</v>
      </c>
      <c r="F16" s="51">
        <v>0.10</v>
      </c>
      <c r="G16" s="53" t="s">
        <v>8</v>
      </c>
      <c r="H16" s="51">
        <v>156.60</v>
      </c>
      <c r="I16" s="56" t="s">
        <v>14</v>
      </c>
      <c r="J16" s="51">
        <v>0.43</v>
      </c>
      <c r="K16" s="51">
        <v>329.10</v>
      </c>
      <c r="L16" s="51">
        <v>28.69</v>
      </c>
      <c r="M16" s="51">
        <v>92.20</v>
      </c>
      <c r="N16" s="51">
        <v>74.099999999999994</v>
      </c>
      <c r="O16" s="51">
        <v>0.20</v>
      </c>
      <c r="P16" s="51">
        <v>3.69</v>
      </c>
      <c r="Q16" s="51">
        <v>9.77</v>
      </c>
      <c r="R16" s="43"/>
      <c r="S16" s="43"/>
      <c r="T16" s="43"/>
      <c r="U16" s="43"/>
    </row>
    <row r="17" spans="1:21" s="11" customFormat="1" ht="15">
      <c r="A17" s="50" t="s">
        <v>525</v>
      </c>
      <c r="B17" s="51">
        <v>9.16</v>
      </c>
      <c r="C17" s="51">
        <v>11.07</v>
      </c>
      <c r="D17" s="51">
        <v>20.239999999999998</v>
      </c>
      <c r="E17" s="51">
        <v>5.41</v>
      </c>
      <c r="F17" s="51">
        <v>0.13</v>
      </c>
      <c r="G17" s="53" t="s">
        <v>8</v>
      </c>
      <c r="H17" s="51">
        <v>187.97</v>
      </c>
      <c r="I17" s="56" t="s">
        <v>14</v>
      </c>
      <c r="J17" s="51">
        <v>1.1499999999999999</v>
      </c>
      <c r="K17" s="51">
        <v>314.11</v>
      </c>
      <c r="L17" s="51">
        <v>45.38</v>
      </c>
      <c r="M17" s="51">
        <v>90.73</v>
      </c>
      <c r="N17" s="51">
        <v>194.70</v>
      </c>
      <c r="O17" s="51">
        <v>0</v>
      </c>
      <c r="P17" s="51">
        <v>3.72</v>
      </c>
      <c r="Q17" s="51">
        <v>9.17</v>
      </c>
      <c r="R17" s="43"/>
      <c r="S17" s="43"/>
      <c r="T17" s="43"/>
      <c r="U17" s="43"/>
    </row>
    <row r="18" spans="1:21" s="11" customFormat="1" ht="15">
      <c r="A18" s="50" t="s">
        <v>526</v>
      </c>
      <c r="B18" s="51">
        <v>9.2799999999999994</v>
      </c>
      <c r="C18" s="51">
        <v>15.93</v>
      </c>
      <c r="D18" s="51">
        <v>22.39</v>
      </c>
      <c r="E18" s="51">
        <v>5.33</v>
      </c>
      <c r="F18" s="51">
        <v>1.1200000000000001</v>
      </c>
      <c r="G18" s="53" t="s">
        <v>8</v>
      </c>
      <c r="H18" s="51">
        <v>187.97</v>
      </c>
      <c r="I18" s="56" t="s">
        <v>14</v>
      </c>
      <c r="J18" s="51">
        <v>2.06</v>
      </c>
      <c r="K18" s="51">
        <v>315.45</v>
      </c>
      <c r="L18" s="51">
        <v>50.43</v>
      </c>
      <c r="M18" s="51">
        <v>85.35</v>
      </c>
      <c r="N18" s="51">
        <v>292</v>
      </c>
      <c r="O18" s="51">
        <v>0</v>
      </c>
      <c r="P18" s="51">
        <v>3.74</v>
      </c>
      <c r="Q18" s="51">
        <v>8.33</v>
      </c>
      <c r="R18" s="43"/>
      <c r="S18" s="43"/>
      <c r="T18" s="43"/>
      <c r="U18" s="43"/>
    </row>
    <row r="19" spans="1:21" s="11" customFormat="1" ht="15">
      <c r="A19" s="50" t="s">
        <v>527</v>
      </c>
      <c r="B19" s="51">
        <v>4.32</v>
      </c>
      <c r="C19" s="51">
        <v>20.76</v>
      </c>
      <c r="D19" s="51">
        <v>23.52</v>
      </c>
      <c r="E19" s="51">
        <v>3.67</v>
      </c>
      <c r="F19" s="51">
        <v>2.95</v>
      </c>
      <c r="G19" s="53" t="s">
        <v>8</v>
      </c>
      <c r="H19" s="51">
        <v>82.53</v>
      </c>
      <c r="I19" s="51">
        <v>4.5599999999999996</v>
      </c>
      <c r="J19" s="51">
        <v>1.44</v>
      </c>
      <c r="K19" s="51">
        <v>323.27</v>
      </c>
      <c r="L19" s="51">
        <v>43.34</v>
      </c>
      <c r="M19" s="51">
        <v>78.290000000000006</v>
      </c>
      <c r="N19" s="51">
        <v>348.20</v>
      </c>
      <c r="O19" s="51">
        <v>0</v>
      </c>
      <c r="P19" s="51">
        <v>3.70</v>
      </c>
      <c r="Q19" s="51">
        <v>6.62</v>
      </c>
      <c r="R19" s="43"/>
      <c r="S19" s="43"/>
      <c r="T19" s="43"/>
      <c r="U19" s="43"/>
    </row>
    <row r="20" spans="1:21" s="11" customFormat="1" ht="15">
      <c r="A20" s="50" t="s">
        <v>528</v>
      </c>
      <c r="B20" s="51">
        <v>3.06</v>
      </c>
      <c r="C20" s="51">
        <v>18.63</v>
      </c>
      <c r="D20" s="51">
        <v>21.39</v>
      </c>
      <c r="E20" s="51">
        <v>1.82</v>
      </c>
      <c r="F20" s="51">
        <v>2.16</v>
      </c>
      <c r="G20" s="53" t="s">
        <v>8</v>
      </c>
      <c r="H20" s="51">
        <v>33.99</v>
      </c>
      <c r="I20" s="51">
        <v>3.98</v>
      </c>
      <c r="J20" s="51">
        <v>0.98</v>
      </c>
      <c r="K20" s="51">
        <v>328.93</v>
      </c>
      <c r="L20" s="51">
        <v>34.78</v>
      </c>
      <c r="M20" s="51">
        <v>78.709999999999994</v>
      </c>
      <c r="N20" s="51">
        <v>567.60</v>
      </c>
      <c r="O20" s="51">
        <v>0</v>
      </c>
      <c r="P20" s="51">
        <v>3.70</v>
      </c>
      <c r="Q20" s="51">
        <v>4.93</v>
      </c>
      <c r="R20" s="43"/>
      <c r="S20" s="43"/>
      <c r="T20" s="43"/>
      <c r="U20" s="43"/>
    </row>
    <row r="21" spans="1:21" s="11" customFormat="1" ht="15">
      <c r="A21" s="50" t="s">
        <v>529</v>
      </c>
      <c r="B21" s="51">
        <v>3.28</v>
      </c>
      <c r="C21" s="51">
        <v>14.89</v>
      </c>
      <c r="D21" s="51">
        <v>18.05</v>
      </c>
      <c r="E21" s="51">
        <v>3.79</v>
      </c>
      <c r="F21" s="51">
        <v>1.42</v>
      </c>
      <c r="G21" s="53" t="s">
        <v>8</v>
      </c>
      <c r="H21" s="51">
        <v>127.67</v>
      </c>
      <c r="I21" s="51">
        <v>3.11</v>
      </c>
      <c r="J21" s="51">
        <v>1.37</v>
      </c>
      <c r="K21" s="51">
        <v>311.63</v>
      </c>
      <c r="L21" s="51">
        <v>36.24</v>
      </c>
      <c r="M21" s="51">
        <v>70.98</v>
      </c>
      <c r="N21" s="51">
        <v>678</v>
      </c>
      <c r="O21" s="51">
        <v>0</v>
      </c>
      <c r="P21" s="51">
        <v>3.67</v>
      </c>
      <c r="Q21" s="51">
        <v>4.3899999999999997</v>
      </c>
      <c r="R21" s="43"/>
      <c r="S21" s="43"/>
      <c r="T21" s="43"/>
      <c r="U21" s="43"/>
    </row>
    <row r="22" spans="1:21" s="11" customFormat="1" ht="15">
      <c r="A22" s="50" t="s">
        <v>530</v>
      </c>
      <c r="B22" s="51">
        <v>2.84</v>
      </c>
      <c r="C22" s="51">
        <v>16.88</v>
      </c>
      <c r="D22" s="51">
        <v>19.55</v>
      </c>
      <c r="E22" s="51">
        <v>3.34</v>
      </c>
      <c r="F22" s="51">
        <v>2.57</v>
      </c>
      <c r="G22" s="53" t="s">
        <v>8</v>
      </c>
      <c r="H22" s="51">
        <v>127.67</v>
      </c>
      <c r="I22" s="51">
        <v>3.04</v>
      </c>
      <c r="J22" s="51">
        <v>1.18</v>
      </c>
      <c r="K22" s="51">
        <v>315.25</v>
      </c>
      <c r="L22" s="51">
        <v>36.29</v>
      </c>
      <c r="M22" s="51">
        <v>71.540000000000006</v>
      </c>
      <c r="N22" s="51">
        <v>578.40</v>
      </c>
      <c r="O22" s="51">
        <v>0</v>
      </c>
      <c r="P22" s="51">
        <v>3.65</v>
      </c>
      <c r="Q22" s="51">
        <v>4.9400000000000004</v>
      </c>
      <c r="R22" s="43"/>
      <c r="S22" s="43"/>
      <c r="T22" s="43"/>
      <c r="U22" s="43"/>
    </row>
    <row r="23" spans="1:21" s="11" customFormat="1" ht="15">
      <c r="A23" s="50" t="s">
        <v>531</v>
      </c>
      <c r="B23" s="51">
        <v>2.93</v>
      </c>
      <c r="C23" s="51">
        <v>17.32</v>
      </c>
      <c r="D23" s="51">
        <v>20.079999999999998</v>
      </c>
      <c r="E23" s="51">
        <v>4.05</v>
      </c>
      <c r="F23" s="51">
        <v>1.67</v>
      </c>
      <c r="G23" s="53" t="s">
        <v>8</v>
      </c>
      <c r="H23" s="51">
        <v>32.729999999999997</v>
      </c>
      <c r="I23" s="51">
        <v>2.4900000000000002</v>
      </c>
      <c r="J23" s="51">
        <v>1.07</v>
      </c>
      <c r="K23" s="51">
        <v>329.52</v>
      </c>
      <c r="L23" s="51">
        <v>34.67</v>
      </c>
      <c r="M23" s="51">
        <v>73.209999999999994</v>
      </c>
      <c r="N23" s="51">
        <v>345.20</v>
      </c>
      <c r="O23" s="51">
        <v>0</v>
      </c>
      <c r="P23" s="51">
        <v>3.62</v>
      </c>
      <c r="Q23" s="51">
        <v>5.03</v>
      </c>
      <c r="R23" s="43"/>
      <c r="S23" s="43"/>
      <c r="T23" s="43"/>
      <c r="U23" s="43"/>
    </row>
    <row r="24" spans="1:21" s="11" customFormat="1" ht="15">
      <c r="A24" s="50" t="s">
        <v>532</v>
      </c>
      <c r="B24" s="51">
        <v>2.4700000000000002</v>
      </c>
      <c r="C24" s="51">
        <v>14.72</v>
      </c>
      <c r="D24" s="51">
        <v>17.190000000000001</v>
      </c>
      <c r="E24" s="51">
        <v>4.0199999999999996</v>
      </c>
      <c r="F24" s="51">
        <v>1.42</v>
      </c>
      <c r="G24" s="53" t="s">
        <v>8</v>
      </c>
      <c r="H24" s="51">
        <v>7.91</v>
      </c>
      <c r="I24" s="51">
        <v>2.38</v>
      </c>
      <c r="J24" s="51">
        <v>0.66</v>
      </c>
      <c r="K24" s="51">
        <v>349.52</v>
      </c>
      <c r="L24" s="51">
        <v>34.28</v>
      </c>
      <c r="M24" s="51">
        <v>74.83</v>
      </c>
      <c r="N24" s="51">
        <v>284.89999999999998</v>
      </c>
      <c r="O24" s="51">
        <v>0</v>
      </c>
      <c r="P24" s="51">
        <v>3.63</v>
      </c>
      <c r="Q24" s="51">
        <v>5.54</v>
      </c>
      <c r="R24" s="43"/>
      <c r="S24" s="43"/>
      <c r="T24" s="43"/>
      <c r="U24" s="43"/>
    </row>
    <row r="25" spans="1:21" s="11" customFormat="1" ht="15">
      <c r="A25" s="50" t="s">
        <v>533</v>
      </c>
      <c r="B25" s="51">
        <v>3.43</v>
      </c>
      <c r="C25" s="51">
        <v>13.91</v>
      </c>
      <c r="D25" s="51">
        <v>17.34</v>
      </c>
      <c r="E25" s="51">
        <v>5.33</v>
      </c>
      <c r="F25" s="51">
        <v>1.17</v>
      </c>
      <c r="G25" s="53" t="s">
        <v>8</v>
      </c>
      <c r="H25" s="51">
        <v>15.47</v>
      </c>
      <c r="I25" s="51">
        <v>2.52</v>
      </c>
      <c r="J25" s="51">
        <v>0.41</v>
      </c>
      <c r="K25" s="51">
        <v>341.89</v>
      </c>
      <c r="L25" s="51">
        <v>33.39</v>
      </c>
      <c r="M25" s="51">
        <v>78.08</v>
      </c>
      <c r="N25" s="51">
        <v>130.19999999999999</v>
      </c>
      <c r="O25" s="51">
        <v>0</v>
      </c>
      <c r="P25" s="51">
        <v>3.67</v>
      </c>
      <c r="Q25" s="51">
        <v>6.76</v>
      </c>
      <c r="R25" s="43"/>
      <c r="S25" s="43"/>
      <c r="T25" s="43"/>
      <c r="U25" s="43"/>
    </row>
    <row r="26" spans="1:21" s="11" customFormat="1" ht="15">
      <c r="A26" s="50" t="s">
        <v>534</v>
      </c>
      <c r="B26" s="51">
        <v>3.55</v>
      </c>
      <c r="C26" s="51">
        <v>14.85</v>
      </c>
      <c r="D26" s="51">
        <v>18.399999999999999</v>
      </c>
      <c r="E26" s="51">
        <v>5.21</v>
      </c>
      <c r="F26" s="51">
        <v>1.05</v>
      </c>
      <c r="G26" s="53" t="s">
        <v>8</v>
      </c>
      <c r="H26" s="51">
        <v>18.34</v>
      </c>
      <c r="I26" s="51">
        <v>2.86</v>
      </c>
      <c r="J26" s="51">
        <v>0.37</v>
      </c>
      <c r="K26" s="51">
        <v>352.57</v>
      </c>
      <c r="L26" s="51">
        <v>32.869999999999997</v>
      </c>
      <c r="M26" s="51">
        <v>78.540000000000006</v>
      </c>
      <c r="N26" s="51">
        <v>76.599999999999994</v>
      </c>
      <c r="O26" s="51">
        <v>0</v>
      </c>
      <c r="P26" s="51">
        <v>3.71</v>
      </c>
      <c r="Q26" s="51">
        <v>7.11</v>
      </c>
      <c r="R26" s="43"/>
      <c r="S26" s="43"/>
      <c r="T26" s="43"/>
      <c r="U26" s="43"/>
    </row>
    <row r="27" spans="1:21" s="11" customFormat="1" ht="15">
      <c r="A27" s="50" t="s">
        <v>535</v>
      </c>
      <c r="B27" s="51">
        <v>4.9400000000000004</v>
      </c>
      <c r="C27" s="51">
        <v>16.89</v>
      </c>
      <c r="D27" s="51">
        <v>21.83</v>
      </c>
      <c r="E27" s="51">
        <v>5.27</v>
      </c>
      <c r="F27" s="51">
        <v>0.37</v>
      </c>
      <c r="G27" s="53" t="s">
        <v>8</v>
      </c>
      <c r="H27" s="51">
        <v>38.19</v>
      </c>
      <c r="I27" s="51">
        <v>3.70</v>
      </c>
      <c r="J27" s="51">
        <v>0.35</v>
      </c>
      <c r="K27" s="51">
        <v>43.10</v>
      </c>
      <c r="L27" s="51">
        <v>32.47</v>
      </c>
      <c r="M27" s="51">
        <v>82.60</v>
      </c>
      <c r="N27" s="51">
        <v>19.100000000000001</v>
      </c>
      <c r="O27" s="51">
        <v>0.20</v>
      </c>
      <c r="P27" s="51">
        <v>3.87</v>
      </c>
      <c r="Q27" s="51">
        <v>7.74</v>
      </c>
      <c r="R27" s="43"/>
      <c r="S27" s="43"/>
      <c r="T27" s="43"/>
      <c r="U27" s="43"/>
    </row>
    <row r="28" spans="1:21" s="11" customFormat="1" ht="15">
      <c r="A28" s="50" t="s">
        <v>536</v>
      </c>
      <c r="B28" s="51">
        <v>5.18</v>
      </c>
      <c r="C28" s="51">
        <v>17.239999999999998</v>
      </c>
      <c r="D28" s="51">
        <v>22.15</v>
      </c>
      <c r="E28" s="51">
        <v>4.95</v>
      </c>
      <c r="F28" s="51">
        <v>0.77</v>
      </c>
      <c r="G28" s="53" t="s">
        <v>8</v>
      </c>
      <c r="H28" s="51">
        <v>38.19</v>
      </c>
      <c r="I28" s="51">
        <v>6</v>
      </c>
      <c r="J28" s="51">
        <v>0.36</v>
      </c>
      <c r="K28" s="51">
        <v>358.72</v>
      </c>
      <c r="L28" s="51">
        <v>31.24</v>
      </c>
      <c r="M28" s="51">
        <v>88.54</v>
      </c>
      <c r="N28" s="51">
        <v>15.90</v>
      </c>
      <c r="O28" s="51">
        <v>0.20</v>
      </c>
      <c r="P28" s="51">
        <v>3.93</v>
      </c>
      <c r="Q28" s="51">
        <v>8.6199999999999992</v>
      </c>
      <c r="R28" s="43"/>
      <c r="S28" s="43"/>
      <c r="T28" s="43"/>
      <c r="U28" s="43"/>
    </row>
    <row r="29" spans="1:21" s="11" customFormat="1" ht="15">
      <c r="A29" s="50" t="s">
        <v>537</v>
      </c>
      <c r="B29" s="51">
        <v>7.89</v>
      </c>
      <c r="C29" s="51">
        <v>15.29</v>
      </c>
      <c r="D29" s="51">
        <v>22.76</v>
      </c>
      <c r="E29" s="51">
        <v>3.55</v>
      </c>
      <c r="F29" s="51">
        <v>0.40</v>
      </c>
      <c r="G29" s="53" t="s">
        <v>8</v>
      </c>
      <c r="H29" s="51">
        <v>16.739999999999998</v>
      </c>
      <c r="I29" s="51">
        <v>7</v>
      </c>
      <c r="J29" s="51">
        <v>0.25</v>
      </c>
      <c r="K29" s="51">
        <v>71.02</v>
      </c>
      <c r="L29" s="51">
        <v>31.25</v>
      </c>
      <c r="M29" s="51">
        <v>88.11</v>
      </c>
      <c r="N29" s="51">
        <v>15.90</v>
      </c>
      <c r="O29" s="51">
        <v>0</v>
      </c>
      <c r="P29" s="51">
        <v>4.01</v>
      </c>
      <c r="Q29" s="51">
        <v>9.4499999999999993</v>
      </c>
      <c r="R29" s="43"/>
      <c r="S29" s="43"/>
      <c r="T29" s="43"/>
      <c r="U29" s="43"/>
    </row>
    <row r="30" spans="1:21" s="11" customFormat="1" ht="15">
      <c r="A30" s="50" t="s">
        <v>538</v>
      </c>
      <c r="B30" s="51">
        <v>7.15</v>
      </c>
      <c r="C30" s="51">
        <v>15.34</v>
      </c>
      <c r="D30" s="51">
        <v>22.39</v>
      </c>
      <c r="E30" s="51">
        <v>3.13</v>
      </c>
      <c r="F30" s="51">
        <v>0.25</v>
      </c>
      <c r="G30" s="53" t="s">
        <v>8</v>
      </c>
      <c r="H30" s="51">
        <v>202.71</v>
      </c>
      <c r="I30" s="51">
        <v>6.97</v>
      </c>
      <c r="J30" s="51">
        <v>0.17</v>
      </c>
      <c r="K30" s="51">
        <v>48.43</v>
      </c>
      <c r="L30" s="51">
        <v>30.68</v>
      </c>
      <c r="M30" s="51">
        <v>87.83</v>
      </c>
      <c r="N30" s="51">
        <v>15.5</v>
      </c>
      <c r="O30" s="51">
        <v>0</v>
      </c>
      <c r="P30" s="51">
        <v>3.98</v>
      </c>
      <c r="Q30" s="51">
        <v>8.81</v>
      </c>
      <c r="R30" s="43"/>
      <c r="S30" s="43"/>
      <c r="T30" s="43"/>
      <c r="U30" s="43"/>
    </row>
    <row r="31" spans="1:21" s="11" customFormat="1" ht="15">
      <c r="A31" s="50" t="s">
        <v>539</v>
      </c>
      <c r="B31" s="51">
        <v>6.12</v>
      </c>
      <c r="C31" s="51">
        <v>15.78</v>
      </c>
      <c r="D31" s="51">
        <v>21.87</v>
      </c>
      <c r="E31" s="51">
        <v>2.94</v>
      </c>
      <c r="F31" s="51">
        <v>0.28000000000000003</v>
      </c>
      <c r="G31" s="53" t="s">
        <v>8</v>
      </c>
      <c r="H31" s="51">
        <v>202.71</v>
      </c>
      <c r="I31" s="51">
        <v>6.05</v>
      </c>
      <c r="J31" s="51">
        <v>0.27</v>
      </c>
      <c r="K31" s="51">
        <v>48.82</v>
      </c>
      <c r="L31" s="51">
        <v>30.63</v>
      </c>
      <c r="M31" s="51">
        <v>91.13</v>
      </c>
      <c r="N31" s="51">
        <v>15.70</v>
      </c>
      <c r="O31" s="51">
        <v>0</v>
      </c>
      <c r="P31" s="51">
        <v>3.88</v>
      </c>
      <c r="Q31" s="51">
        <v>7.88</v>
      </c>
      <c r="R31" s="43"/>
      <c r="S31" s="43"/>
      <c r="T31" s="43"/>
      <c r="U31" s="43"/>
    </row>
    <row r="32" spans="1:21" s="11" customFormat="1" ht="15">
      <c r="A32" s="50" t="s">
        <v>540</v>
      </c>
      <c r="B32" s="51">
        <v>4.59</v>
      </c>
      <c r="C32" s="51">
        <v>13.67</v>
      </c>
      <c r="D32" s="51">
        <v>18.25</v>
      </c>
      <c r="E32" s="51">
        <v>2.90</v>
      </c>
      <c r="F32" s="51">
        <v>0.43</v>
      </c>
      <c r="G32" s="53" t="s">
        <v>8</v>
      </c>
      <c r="H32" s="51">
        <v>12.04</v>
      </c>
      <c r="I32" s="51">
        <v>4.80</v>
      </c>
      <c r="J32" s="51">
        <v>0.31</v>
      </c>
      <c r="K32" s="51">
        <v>50.44</v>
      </c>
      <c r="L32" s="51">
        <v>31.18</v>
      </c>
      <c r="M32" s="51">
        <v>98.69</v>
      </c>
      <c r="N32" s="51">
        <v>15.20</v>
      </c>
      <c r="O32" s="51">
        <v>0.40</v>
      </c>
      <c r="P32" s="51">
        <v>3.79</v>
      </c>
      <c r="Q32" s="51">
        <v>7.12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2.4700000000000002</v>
      </c>
      <c r="C34" s="28">
        <f t="shared" si="0"/>
        <v>9.7100000000000009</v>
      </c>
      <c r="D34" s="28">
        <f t="shared" si="0"/>
        <v>16.43</v>
      </c>
      <c r="E34" s="28">
        <f t="shared" si="0"/>
        <v>1.8200000000000001</v>
      </c>
      <c r="F34" s="28">
        <f t="shared" si="0"/>
        <v>0.040000000000000001</v>
      </c>
      <c r="G34" s="28">
        <f t="shared" si="0"/>
        <v>0</v>
      </c>
      <c r="H34" s="28">
        <f t="shared" si="0"/>
        <v>7.9100000000000001</v>
      </c>
      <c r="I34" s="28">
        <f t="shared" si="0"/>
        <v>2.3799999999999999</v>
      </c>
      <c r="J34" s="28">
        <f t="shared" si="0"/>
        <v>0.14000000000000001</v>
      </c>
      <c r="K34" s="28">
        <f t="shared" si="0"/>
        <v>31.850000000000001</v>
      </c>
      <c r="L34" s="28">
        <f t="shared" si="0"/>
        <v>27.949999999999999</v>
      </c>
      <c r="M34" s="28">
        <f t="shared" si="0"/>
        <v>70.980000000000004</v>
      </c>
      <c r="N34" s="28">
        <f t="shared" si="0"/>
        <v>15.1</v>
      </c>
      <c r="O34" s="28">
        <f t="shared" si="0"/>
        <v>0</v>
      </c>
      <c r="P34" s="28">
        <f t="shared" si="0"/>
        <v>3.6200000000000001</v>
      </c>
      <c r="Q34" s="28">
        <f t="shared" si="0"/>
        <v>4.3899999999999997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11.380000000000001</v>
      </c>
      <c r="C35" s="29">
        <f t="shared" si="1"/>
        <v>20.760000000000002</v>
      </c>
      <c r="D35" s="29">
        <f t="shared" si="1"/>
        <v>23.52</v>
      </c>
      <c r="E35" s="29">
        <f t="shared" si="1"/>
        <v>6.3600000000000003</v>
      </c>
      <c r="F35" s="29">
        <f t="shared" si="1"/>
        <v>2.9500000000000002</v>
      </c>
      <c r="G35" s="29">
        <f t="shared" si="1"/>
        <v>0</v>
      </c>
      <c r="H35" s="29">
        <f t="shared" si="1"/>
        <v>297.49000000000001</v>
      </c>
      <c r="I35" s="29">
        <f t="shared" si="1"/>
        <v>7</v>
      </c>
      <c r="J35" s="29">
        <f t="shared" si="1"/>
        <v>2.0600000000000001</v>
      </c>
      <c r="K35" s="29">
        <f t="shared" si="1"/>
        <v>359.02999999999997</v>
      </c>
      <c r="L35" s="29">
        <f t="shared" si="1"/>
        <v>50.43</v>
      </c>
      <c r="M35" s="29">
        <f t="shared" si="1"/>
        <v>98.989999999999995</v>
      </c>
      <c r="N35" s="29">
        <f t="shared" si="1"/>
        <v>678</v>
      </c>
      <c r="O35" s="29">
        <f t="shared" si="1"/>
        <v>0.40000000000000002</v>
      </c>
      <c r="P35" s="29">
        <f t="shared" si="1"/>
        <v>4.0099999999999998</v>
      </c>
      <c r="Q35" s="29">
        <f t="shared" si="1"/>
        <v>17.66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6.1670833333333333</v>
      </c>
      <c r="C36" s="28">
        <f t="shared" si="2"/>
        <v>14.001249999999999</v>
      </c>
      <c r="D36" s="28">
        <f t="shared" si="2"/>
        <v>19.899583333333329</v>
      </c>
      <c r="E36" s="28">
        <f t="shared" si="2"/>
        <v>4.5837499999999993</v>
      </c>
      <c r="F36" s="28">
        <f t="shared" si="2"/>
        <v>0.88041666666666696</v>
      </c>
      <c r="G36" s="28" t="e">
        <f t="shared" si="2"/>
        <v>#DIV/0!</v>
      </c>
      <c r="H36" s="28">
        <f t="shared" si="2"/>
        <v>118.98874999999998</v>
      </c>
      <c r="I36" s="28">
        <f t="shared" si="2"/>
        <v>4.2471428571428564</v>
      </c>
      <c r="J36" s="28">
        <f t="shared" si="2"/>
        <v>0.59375</v>
      </c>
      <c r="K36" s="28">
        <f t="shared" si="2"/>
        <v>263.21500000000003</v>
      </c>
      <c r="L36" s="28">
        <f t="shared" si="2"/>
        <v>33.112083333333331</v>
      </c>
      <c r="M36" s="28">
        <f t="shared" si="2"/>
        <v>86.615833333333327</v>
      </c>
      <c r="N36" s="28">
        <f t="shared" si="2"/>
        <v>159.99999999999997</v>
      </c>
      <c r="O36" s="28">
        <f t="shared" si="2"/>
        <v>0.05000000000000001</v>
      </c>
      <c r="P36" s="28">
        <f t="shared" si="2"/>
        <v>3.7966666666666682</v>
      </c>
      <c r="Q36" s="28">
        <f t="shared" si="2"/>
        <v>9.0104166666666661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2.6204537927065528</v>
      </c>
      <c r="C37" s="28">
        <f t="shared" si="3" ref="C37:Q37">STDEV(C9:C32)</f>
        <v>3.1974314589655695</v>
      </c>
      <c r="D37" s="28">
        <f t="shared" si="3"/>
        <v>2.2122671415986752</v>
      </c>
      <c r="E37" s="28">
        <f t="shared" si="3"/>
        <v>1.2224772159342168</v>
      </c>
      <c r="F37" s="28">
        <f t="shared" si="3"/>
        <v>0.7997525659018957</v>
      </c>
      <c r="G37" s="28" t="e">
        <f t="shared" si="3"/>
        <v>#DIV/0!</v>
      </c>
      <c r="H37" s="28">
        <f t="shared" si="3"/>
        <v>91.801129969009452</v>
      </c>
      <c r="I37" s="28">
        <f t="shared" si="3"/>
        <v>1.6714914048488325</v>
      </c>
      <c r="J37" s="28">
        <f t="shared" si="3"/>
        <v>0.52363123848090243</v>
      </c>
      <c r="K37" s="28">
        <f t="shared" si="3"/>
        <v>127.32736124548846</v>
      </c>
      <c r="L37" s="28">
        <f t="shared" si="3"/>
        <v>5.8932820848729319</v>
      </c>
      <c r="M37" s="28">
        <f t="shared" si="3"/>
        <v>9.1255751059588039</v>
      </c>
      <c r="N37" s="28">
        <f t="shared" si="3"/>
        <v>206.82433420028534</v>
      </c>
      <c r="O37" s="28">
        <f t="shared" si="3"/>
        <v>0.106321906614239</v>
      </c>
      <c r="P37" s="28">
        <f t="shared" si="3"/>
        <v>0.12886348242015375</v>
      </c>
      <c r="Q37" s="28">
        <f t="shared" si="3"/>
        <v>3.5641225265215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COUNT(G9:G32)+24</f>
        <v>24</v>
      </c>
      <c r="H38" s="32">
        <f t="shared" si="4"/>
        <v>24</v>
      </c>
      <c r="I38" s="32">
        <f>COUNT(I9:I32)+10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923806-8464-40ad-8970-967de639ffc9}">
  <sheetPr codeName=""/>
  <dimension ref="A1:U119"/>
  <sheetViews>
    <sheetView zoomScale="85" zoomScaleNormal="85" workbookViewId="0" topLeftCell="A1">
      <pane xSplit="1" ySplit="8" topLeftCell="B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P38" sqref="P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541</v>
      </c>
      <c r="B9" s="51">
        <v>3.56</v>
      </c>
      <c r="C9" s="51">
        <v>12.36</v>
      </c>
      <c r="D9" s="51">
        <v>15.92</v>
      </c>
      <c r="E9" s="51">
        <v>3.93</v>
      </c>
      <c r="F9" s="51">
        <v>0.5</v>
      </c>
      <c r="G9" s="9" t="s">
        <v>15</v>
      </c>
      <c r="H9" s="51">
        <v>20.25</v>
      </c>
      <c r="I9" s="51">
        <v>4.2300000000000004</v>
      </c>
      <c r="J9" s="51">
        <v>0.18</v>
      </c>
      <c r="K9" s="51">
        <v>211.88</v>
      </c>
      <c r="L9" s="51">
        <v>30.95</v>
      </c>
      <c r="M9" s="51">
        <v>99.05</v>
      </c>
      <c r="N9" s="51">
        <v>15.20</v>
      </c>
      <c r="O9" s="51">
        <v>0.40</v>
      </c>
      <c r="P9" s="51">
        <v>3.71</v>
      </c>
      <c r="Q9" s="51">
        <v>6.37</v>
      </c>
      <c r="R9" s="43"/>
      <c r="S9" s="43"/>
      <c r="T9" s="43"/>
      <c r="U9" s="43"/>
    </row>
    <row r="10" spans="1:21" s="11" customFormat="1" ht="15">
      <c r="A10" s="50" t="s">
        <v>542</v>
      </c>
      <c r="B10" s="51">
        <v>1.52</v>
      </c>
      <c r="C10" s="51">
        <v>10.17</v>
      </c>
      <c r="D10" s="51">
        <v>11.69</v>
      </c>
      <c r="E10" s="51">
        <v>3.86</v>
      </c>
      <c r="F10" s="51">
        <v>0.65</v>
      </c>
      <c r="G10" s="9" t="s">
        <v>15</v>
      </c>
      <c r="H10" s="51">
        <v>24.29</v>
      </c>
      <c r="I10" s="51">
        <v>3.57</v>
      </c>
      <c r="J10" s="51">
        <v>0.17</v>
      </c>
      <c r="K10" s="51">
        <v>66.86</v>
      </c>
      <c r="L10" s="51">
        <v>30.86</v>
      </c>
      <c r="M10" s="51">
        <v>99.15</v>
      </c>
      <c r="N10" s="51">
        <v>15.40</v>
      </c>
      <c r="O10" s="51">
        <v>0.40</v>
      </c>
      <c r="P10" s="51">
        <v>3.61</v>
      </c>
      <c r="Q10" s="51">
        <v>3.76</v>
      </c>
      <c r="R10" s="43"/>
      <c r="S10" s="43"/>
      <c r="T10" s="43"/>
      <c r="U10" s="43"/>
    </row>
    <row r="11" spans="1:21" s="11" customFormat="1" ht="15">
      <c r="A11" s="50" t="s">
        <v>543</v>
      </c>
      <c r="B11" s="51">
        <v>0.81</v>
      </c>
      <c r="C11" s="51">
        <v>8.85</v>
      </c>
      <c r="D11" s="51">
        <v>9.66</v>
      </c>
      <c r="E11" s="51">
        <v>3.97</v>
      </c>
      <c r="F11" s="51">
        <v>0.62</v>
      </c>
      <c r="G11" s="9" t="s">
        <v>15</v>
      </c>
      <c r="H11" s="51">
        <v>24.29</v>
      </c>
      <c r="I11" s="51">
        <v>2.96</v>
      </c>
      <c r="J11" s="51">
        <v>0.17</v>
      </c>
      <c r="K11" s="51">
        <v>42.24</v>
      </c>
      <c r="L11" s="51">
        <v>30.76</v>
      </c>
      <c r="M11" s="51">
        <v>99.15</v>
      </c>
      <c r="N11" s="51">
        <v>15.60</v>
      </c>
      <c r="O11" s="51">
        <v>0.40</v>
      </c>
      <c r="P11" s="51">
        <v>3.54</v>
      </c>
      <c r="Q11" s="51">
        <v>2.58</v>
      </c>
      <c r="R11" s="43"/>
      <c r="S11" s="43"/>
      <c r="T11" s="43"/>
      <c r="U11" s="43"/>
    </row>
    <row r="12" spans="1:21" s="11" customFormat="1" ht="15">
      <c r="A12" s="50" t="s">
        <v>544</v>
      </c>
      <c r="B12" s="51">
        <v>0.75</v>
      </c>
      <c r="C12" s="51">
        <v>8.0399999999999991</v>
      </c>
      <c r="D12" s="51">
        <v>8.74</v>
      </c>
      <c r="E12" s="51">
        <v>3.73</v>
      </c>
      <c r="F12" s="51">
        <v>0.45</v>
      </c>
      <c r="G12" s="9" t="s">
        <v>15</v>
      </c>
      <c r="H12" s="51">
        <v>22.39</v>
      </c>
      <c r="I12" s="51">
        <v>2.54</v>
      </c>
      <c r="J12" s="51">
        <v>0.09</v>
      </c>
      <c r="K12" s="51">
        <v>280.20</v>
      </c>
      <c r="L12" s="51">
        <v>30.17</v>
      </c>
      <c r="M12" s="51">
        <v>99.09</v>
      </c>
      <c r="N12" s="51">
        <v>15.40</v>
      </c>
      <c r="O12" s="51">
        <v>0.20</v>
      </c>
      <c r="P12" s="51">
        <v>3.53</v>
      </c>
      <c r="Q12" s="51">
        <v>2.52</v>
      </c>
      <c r="R12" s="43"/>
      <c r="S12" s="43"/>
      <c r="T12" s="43"/>
      <c r="U12" s="43"/>
    </row>
    <row r="13" spans="1:21" s="11" customFormat="1" ht="15">
      <c r="A13" s="50" t="s">
        <v>545</v>
      </c>
      <c r="B13" s="51">
        <v>0.77</v>
      </c>
      <c r="C13" s="51">
        <v>8.91</v>
      </c>
      <c r="D13" s="51">
        <v>9.5399999999999991</v>
      </c>
      <c r="E13" s="51">
        <v>4</v>
      </c>
      <c r="F13" s="51">
        <v>0.59</v>
      </c>
      <c r="G13" s="9" t="s">
        <v>15</v>
      </c>
      <c r="H13" s="51">
        <v>20.16</v>
      </c>
      <c r="I13" s="51">
        <v>2.4300000000000002</v>
      </c>
      <c r="J13" s="51">
        <v>0.14000000000000001</v>
      </c>
      <c r="K13" s="51">
        <v>351.85</v>
      </c>
      <c r="L13" s="51">
        <v>31.91</v>
      </c>
      <c r="M13" s="51">
        <v>95.64</v>
      </c>
      <c r="N13" s="51">
        <v>15.60</v>
      </c>
      <c r="O13" s="51">
        <v>0</v>
      </c>
      <c r="P13" s="51">
        <v>3.5</v>
      </c>
      <c r="Q13" s="51">
        <v>2.90</v>
      </c>
      <c r="R13" s="43"/>
      <c r="S13" s="43"/>
      <c r="T13" s="43"/>
      <c r="U13" s="43"/>
    </row>
    <row r="14" spans="1:21" s="11" customFormat="1" ht="15">
      <c r="A14" s="50" t="s">
        <v>546</v>
      </c>
      <c r="B14" s="51">
        <v>0.85</v>
      </c>
      <c r="C14" s="51">
        <v>9.85</v>
      </c>
      <c r="D14" s="51">
        <v>10.70</v>
      </c>
      <c r="E14" s="51">
        <v>4.2300000000000004</v>
      </c>
      <c r="F14" s="51">
        <v>0.66</v>
      </c>
      <c r="G14" s="9" t="s">
        <v>15</v>
      </c>
      <c r="H14" s="51">
        <v>87.43</v>
      </c>
      <c r="I14" s="51">
        <v>2.39</v>
      </c>
      <c r="J14" s="51">
        <v>0.11</v>
      </c>
      <c r="K14" s="51">
        <v>319.33</v>
      </c>
      <c r="L14" s="51">
        <v>32.35</v>
      </c>
      <c r="M14" s="51">
        <v>89.59</v>
      </c>
      <c r="N14" s="51">
        <v>19.20</v>
      </c>
      <c r="O14" s="51">
        <v>0</v>
      </c>
      <c r="P14" s="51">
        <v>3.5</v>
      </c>
      <c r="Q14" s="51">
        <v>2.59</v>
      </c>
      <c r="R14" s="43"/>
      <c r="S14" s="43"/>
      <c r="T14" s="43"/>
      <c r="U14" s="43"/>
    </row>
    <row r="15" spans="1:21" s="11" customFormat="1" ht="15">
      <c r="A15" s="50" t="s">
        <v>547</v>
      </c>
      <c r="B15" s="51">
        <v>1.26</v>
      </c>
      <c r="C15" s="51">
        <v>9.69</v>
      </c>
      <c r="D15" s="51">
        <v>10.78</v>
      </c>
      <c r="E15" s="51">
        <v>4.6399999999999997</v>
      </c>
      <c r="F15" s="51">
        <v>0.64</v>
      </c>
      <c r="G15" s="9" t="s">
        <v>15</v>
      </c>
      <c r="H15" s="51">
        <v>87.43</v>
      </c>
      <c r="I15" s="51">
        <v>2.44</v>
      </c>
      <c r="J15" s="51">
        <v>0.18</v>
      </c>
      <c r="K15" s="51">
        <v>227.91</v>
      </c>
      <c r="L15" s="51">
        <v>30.25</v>
      </c>
      <c r="M15" s="51">
        <v>87.16</v>
      </c>
      <c r="N15" s="51">
        <v>59.10</v>
      </c>
      <c r="O15" s="51">
        <v>0</v>
      </c>
      <c r="P15" s="51">
        <v>3.51</v>
      </c>
      <c r="Q15" s="51">
        <v>3.36</v>
      </c>
      <c r="R15" s="43"/>
      <c r="S15" s="43"/>
      <c r="T15" s="43"/>
      <c r="U15" s="43"/>
    </row>
    <row r="16" spans="1:21" s="11" customFormat="1" ht="15">
      <c r="A16" s="50" t="s">
        <v>548</v>
      </c>
      <c r="B16" s="51">
        <v>1.88</v>
      </c>
      <c r="C16" s="51">
        <v>10.01</v>
      </c>
      <c r="D16" s="51">
        <v>11.89</v>
      </c>
      <c r="E16" s="51">
        <v>4.4400000000000004</v>
      </c>
      <c r="F16" s="51">
        <v>0.57999999999999996</v>
      </c>
      <c r="G16" s="9" t="s">
        <v>15</v>
      </c>
      <c r="H16" s="51">
        <v>53.82</v>
      </c>
      <c r="I16" s="51">
        <v>2.68</v>
      </c>
      <c r="J16" s="51">
        <v>0.17</v>
      </c>
      <c r="K16" s="51">
        <v>248.77</v>
      </c>
      <c r="L16" s="51">
        <v>36.53</v>
      </c>
      <c r="M16" s="51">
        <v>87.39</v>
      </c>
      <c r="N16" s="51">
        <v>174.5</v>
      </c>
      <c r="O16" s="51">
        <v>0</v>
      </c>
      <c r="P16" s="51">
        <v>3.53</v>
      </c>
      <c r="Q16" s="51">
        <v>4.8099999999999996</v>
      </c>
      <c r="R16" s="43"/>
      <c r="S16" s="43"/>
      <c r="T16" s="43"/>
      <c r="U16" s="43"/>
    </row>
    <row r="17" spans="1:21" s="11" customFormat="1" ht="15">
      <c r="A17" s="50" t="s">
        <v>549</v>
      </c>
      <c r="B17" s="51">
        <v>1.89</v>
      </c>
      <c r="C17" s="51">
        <v>11.37</v>
      </c>
      <c r="D17" s="51">
        <v>12.97</v>
      </c>
      <c r="E17" s="51">
        <v>4.20</v>
      </c>
      <c r="F17" s="51">
        <v>0.71</v>
      </c>
      <c r="G17" s="9" t="s">
        <v>15</v>
      </c>
      <c r="H17" s="51">
        <v>53.82</v>
      </c>
      <c r="I17" s="51">
        <v>2.80</v>
      </c>
      <c r="J17" s="51">
        <v>0.21</v>
      </c>
      <c r="K17" s="51">
        <v>315.72000000000003</v>
      </c>
      <c r="L17" s="51">
        <v>30.17</v>
      </c>
      <c r="M17" s="51">
        <v>87.12</v>
      </c>
      <c r="N17" s="51">
        <v>158.10</v>
      </c>
      <c r="O17" s="51">
        <v>0.20</v>
      </c>
      <c r="P17" s="51">
        <v>3.55</v>
      </c>
      <c r="Q17" s="51">
        <v>5.67</v>
      </c>
      <c r="R17" s="43"/>
      <c r="S17" s="43"/>
      <c r="T17" s="43"/>
      <c r="U17" s="43"/>
    </row>
    <row r="18" spans="1:21" s="11" customFormat="1" ht="15">
      <c r="A18" s="50" t="s">
        <v>550</v>
      </c>
      <c r="B18" s="51">
        <v>2.1800000000000002</v>
      </c>
      <c r="C18" s="51">
        <v>11.95</v>
      </c>
      <c r="D18" s="51">
        <v>14.13</v>
      </c>
      <c r="E18" s="51">
        <v>3.56</v>
      </c>
      <c r="F18" s="51">
        <v>0.62</v>
      </c>
      <c r="G18" s="9" t="s">
        <v>15</v>
      </c>
      <c r="H18" s="51">
        <v>25.66</v>
      </c>
      <c r="I18" s="51">
        <v>2.91</v>
      </c>
      <c r="J18" s="51">
        <v>0.20</v>
      </c>
      <c r="K18" s="51">
        <v>252.29</v>
      </c>
      <c r="L18" s="51">
        <v>31.04</v>
      </c>
      <c r="M18" s="51">
        <v>90.01</v>
      </c>
      <c r="N18" s="51">
        <v>347.10</v>
      </c>
      <c r="O18" s="51">
        <v>0.20</v>
      </c>
      <c r="P18" s="51">
        <v>3.59</v>
      </c>
      <c r="Q18" s="51">
        <v>5.55</v>
      </c>
      <c r="R18" s="43"/>
      <c r="S18" s="43"/>
      <c r="T18" s="43"/>
      <c r="U18" s="43"/>
    </row>
    <row r="19" spans="1:21" s="11" customFormat="1" ht="15">
      <c r="A19" s="50" t="s">
        <v>551</v>
      </c>
      <c r="B19" s="51">
        <v>2.10</v>
      </c>
      <c r="C19" s="51">
        <v>11.67</v>
      </c>
      <c r="D19" s="51">
        <v>13.61</v>
      </c>
      <c r="E19" s="51">
        <v>3.54</v>
      </c>
      <c r="F19" s="51">
        <v>1.1100000000000001</v>
      </c>
      <c r="G19" s="9" t="s">
        <v>15</v>
      </c>
      <c r="H19" s="51">
        <v>27.67</v>
      </c>
      <c r="I19" s="51">
        <v>3.05</v>
      </c>
      <c r="J19" s="51">
        <v>0.10</v>
      </c>
      <c r="K19" s="51">
        <v>339.68</v>
      </c>
      <c r="L19" s="51">
        <v>30.81</v>
      </c>
      <c r="M19" s="51">
        <v>87.94</v>
      </c>
      <c r="N19" s="51">
        <v>354</v>
      </c>
      <c r="O19" s="51">
        <v>0</v>
      </c>
      <c r="P19" s="51">
        <v>3.63</v>
      </c>
      <c r="Q19" s="51">
        <v>5.54</v>
      </c>
      <c r="R19" s="43"/>
      <c r="S19" s="43"/>
      <c r="T19" s="43"/>
      <c r="U19" s="43"/>
    </row>
    <row r="20" spans="1:21" s="11" customFormat="1" ht="15">
      <c r="A20" s="50" t="s">
        <v>552</v>
      </c>
      <c r="B20" s="51">
        <v>1.78</v>
      </c>
      <c r="C20" s="51">
        <v>13.91</v>
      </c>
      <c r="D20" s="51">
        <v>15.40</v>
      </c>
      <c r="E20" s="51">
        <v>2.94</v>
      </c>
      <c r="F20" s="51">
        <v>1.67</v>
      </c>
      <c r="G20" s="9" t="s">
        <v>15</v>
      </c>
      <c r="H20" s="51">
        <v>44.59</v>
      </c>
      <c r="I20" s="51">
        <v>2.90</v>
      </c>
      <c r="J20" s="51">
        <v>0.14000000000000001</v>
      </c>
      <c r="K20" s="51">
        <v>39.28</v>
      </c>
      <c r="L20" s="51">
        <v>31.83</v>
      </c>
      <c r="M20" s="51">
        <v>82.87</v>
      </c>
      <c r="N20" s="51">
        <v>757.30</v>
      </c>
      <c r="O20" s="51">
        <v>0</v>
      </c>
      <c r="P20" s="51">
        <v>3.64</v>
      </c>
      <c r="Q20" s="51">
        <v>5.23</v>
      </c>
      <c r="R20" s="43"/>
      <c r="S20" s="43"/>
      <c r="T20" s="43"/>
      <c r="U20" s="43"/>
    </row>
    <row r="21" spans="1:21" s="11" customFormat="1" ht="15">
      <c r="A21" s="50" t="s">
        <v>553</v>
      </c>
      <c r="B21" s="51">
        <v>1.60</v>
      </c>
      <c r="C21" s="51">
        <v>14.39</v>
      </c>
      <c r="D21" s="51">
        <v>15.80</v>
      </c>
      <c r="E21" s="51">
        <v>1.92</v>
      </c>
      <c r="F21" s="51">
        <v>1.54</v>
      </c>
      <c r="G21" s="9" t="s">
        <v>15</v>
      </c>
      <c r="H21" s="51">
        <v>208.85</v>
      </c>
      <c r="I21" s="51">
        <v>2.61</v>
      </c>
      <c r="J21" s="51">
        <v>0.14000000000000001</v>
      </c>
      <c r="K21" s="51">
        <v>269.11</v>
      </c>
      <c r="L21" s="51">
        <v>31.25</v>
      </c>
      <c r="M21" s="51">
        <v>83.51</v>
      </c>
      <c r="N21" s="51">
        <v>266.39999999999998</v>
      </c>
      <c r="O21" s="51">
        <v>0</v>
      </c>
      <c r="P21" s="51">
        <v>3.66</v>
      </c>
      <c r="Q21" s="51">
        <v>4.4000000000000004</v>
      </c>
      <c r="R21" s="43"/>
      <c r="S21" s="43"/>
      <c r="T21" s="43"/>
      <c r="U21" s="43"/>
    </row>
    <row r="22" spans="1:21" s="11" customFormat="1" ht="15">
      <c r="A22" s="50" t="s">
        <v>554</v>
      </c>
      <c r="B22" s="51">
        <v>3.76</v>
      </c>
      <c r="C22" s="51">
        <v>14.78</v>
      </c>
      <c r="D22" s="51">
        <v>18.54</v>
      </c>
      <c r="E22" s="51">
        <v>1.97</v>
      </c>
      <c r="F22" s="51">
        <v>1.1100000000000001</v>
      </c>
      <c r="G22" s="9" t="s">
        <v>15</v>
      </c>
      <c r="H22" s="51">
        <v>208.85</v>
      </c>
      <c r="I22" s="51">
        <v>2.77</v>
      </c>
      <c r="J22" s="51">
        <v>0.12</v>
      </c>
      <c r="K22" s="51">
        <v>281.85000000000002</v>
      </c>
      <c r="L22" s="51">
        <v>31.79</v>
      </c>
      <c r="M22" s="51">
        <v>82.45</v>
      </c>
      <c r="N22" s="51">
        <v>272.20</v>
      </c>
      <c r="O22" s="51">
        <v>0</v>
      </c>
      <c r="P22" s="51">
        <v>3.71</v>
      </c>
      <c r="Q22" s="51">
        <v>4.91</v>
      </c>
      <c r="R22" s="43"/>
      <c r="S22" s="43"/>
      <c r="T22" s="43"/>
      <c r="U22" s="43"/>
    </row>
    <row r="23" spans="1:21" s="11" customFormat="1" ht="15">
      <c r="A23" s="50" t="s">
        <v>555</v>
      </c>
      <c r="B23" s="51">
        <v>3.37</v>
      </c>
      <c r="C23" s="51">
        <v>14.13</v>
      </c>
      <c r="D23" s="51">
        <v>17.5</v>
      </c>
      <c r="E23" s="51">
        <v>2.17</v>
      </c>
      <c r="F23" s="51">
        <v>2.14</v>
      </c>
      <c r="G23" s="9" t="s">
        <v>15</v>
      </c>
      <c r="H23" s="51">
        <v>4.5199999999999996</v>
      </c>
      <c r="I23" s="51">
        <v>2.85</v>
      </c>
      <c r="J23" s="51">
        <v>0.16</v>
      </c>
      <c r="K23" s="51">
        <v>276.72000000000003</v>
      </c>
      <c r="L23" s="51">
        <v>32.54</v>
      </c>
      <c r="M23" s="51">
        <v>87.24</v>
      </c>
      <c r="N23" s="51">
        <v>133.40</v>
      </c>
      <c r="O23" s="51">
        <v>0</v>
      </c>
      <c r="P23" s="51">
        <v>3.73</v>
      </c>
      <c r="Q23" s="51">
        <v>157.37</v>
      </c>
      <c r="R23" s="43"/>
      <c r="S23" s="43"/>
      <c r="T23" s="43"/>
      <c r="U23" s="43"/>
    </row>
    <row r="24" spans="1:21" s="11" customFormat="1" ht="15">
      <c r="A24" s="50" t="s">
        <v>556</v>
      </c>
      <c r="B24" s="51">
        <v>2.38</v>
      </c>
      <c r="C24" s="51">
        <v>13.30</v>
      </c>
      <c r="D24" s="51">
        <v>15.59</v>
      </c>
      <c r="E24" s="51">
        <v>1.30</v>
      </c>
      <c r="F24" s="51">
        <v>1.96</v>
      </c>
      <c r="G24" s="6" t="s">
        <v>20</v>
      </c>
      <c r="H24" s="51">
        <v>7.45</v>
      </c>
      <c r="I24" s="51">
        <v>2.56</v>
      </c>
      <c r="J24" s="51">
        <v>0.24</v>
      </c>
      <c r="K24" s="51">
        <v>260.70</v>
      </c>
      <c r="L24" s="51">
        <v>33.590000000000003</v>
      </c>
      <c r="M24" s="51">
        <v>83.79</v>
      </c>
      <c r="N24" s="51">
        <v>298.20</v>
      </c>
      <c r="O24" s="51">
        <v>0</v>
      </c>
      <c r="P24" s="51">
        <v>3.77</v>
      </c>
      <c r="Q24" s="51">
        <v>137.37</v>
      </c>
      <c r="R24" s="43"/>
      <c r="S24" s="43"/>
      <c r="T24" s="43"/>
      <c r="U24" s="43"/>
    </row>
    <row r="25" spans="1:21" s="11" customFormat="1" ht="15">
      <c r="A25" s="50" t="s">
        <v>557</v>
      </c>
      <c r="B25" s="51">
        <v>0.91</v>
      </c>
      <c r="C25" s="51">
        <v>12.11</v>
      </c>
      <c r="D25" s="51">
        <v>13.02</v>
      </c>
      <c r="E25" s="51">
        <v>1.41</v>
      </c>
      <c r="F25" s="51">
        <v>3.20</v>
      </c>
      <c r="G25" s="51">
        <v>33.78</v>
      </c>
      <c r="H25" s="51">
        <v>12.81</v>
      </c>
      <c r="I25" s="51">
        <v>2.2799999999999998</v>
      </c>
      <c r="J25" s="51">
        <v>0.37</v>
      </c>
      <c r="K25" s="51">
        <v>230.78</v>
      </c>
      <c r="L25" s="51">
        <v>39.29</v>
      </c>
      <c r="M25" s="51">
        <v>80.209999999999994</v>
      </c>
      <c r="N25" s="51">
        <v>168.20</v>
      </c>
      <c r="O25" s="51">
        <v>0</v>
      </c>
      <c r="P25" s="51">
        <v>3.66</v>
      </c>
      <c r="Q25" s="51">
        <v>77.62</v>
      </c>
      <c r="R25" s="43"/>
      <c r="S25" s="43"/>
      <c r="T25" s="43"/>
      <c r="U25" s="43"/>
    </row>
    <row r="26" spans="1:21" s="11" customFormat="1" ht="15">
      <c r="A26" s="50" t="s">
        <v>558</v>
      </c>
      <c r="B26" s="51">
        <v>0.94</v>
      </c>
      <c r="C26" s="51">
        <v>9.68</v>
      </c>
      <c r="D26" s="51">
        <v>10.26</v>
      </c>
      <c r="E26" s="51">
        <v>2.1800000000000002</v>
      </c>
      <c r="F26" s="51">
        <v>1.46</v>
      </c>
      <c r="G26" s="51">
        <v>34.979999999999997</v>
      </c>
      <c r="H26" s="51">
        <v>165.48</v>
      </c>
      <c r="I26" s="51">
        <v>2.15</v>
      </c>
      <c r="J26" s="51">
        <v>0.34</v>
      </c>
      <c r="K26" s="51">
        <v>345.93</v>
      </c>
      <c r="L26" s="51">
        <v>34.85</v>
      </c>
      <c r="M26" s="51">
        <v>81.06</v>
      </c>
      <c r="N26" s="51">
        <v>95.90</v>
      </c>
      <c r="O26" s="51">
        <v>0</v>
      </c>
      <c r="P26" s="51">
        <v>3.63</v>
      </c>
      <c r="Q26" s="51">
        <v>62.16</v>
      </c>
      <c r="R26" s="43"/>
      <c r="S26" s="43"/>
      <c r="T26" s="43"/>
      <c r="U26" s="43"/>
    </row>
    <row r="27" spans="1:21" s="11" customFormat="1" ht="15">
      <c r="A27" s="50" t="s">
        <v>559</v>
      </c>
      <c r="B27" s="51">
        <v>1.1299999999999999</v>
      </c>
      <c r="C27" s="51">
        <v>8.66</v>
      </c>
      <c r="D27" s="51">
        <v>9.74</v>
      </c>
      <c r="E27" s="51">
        <v>2.67</v>
      </c>
      <c r="F27" s="51">
        <v>0.94</v>
      </c>
      <c r="G27" s="51">
        <v>40.65</v>
      </c>
      <c r="H27" s="51">
        <v>270.01</v>
      </c>
      <c r="I27" s="51">
        <v>2.60</v>
      </c>
      <c r="J27" s="51">
        <v>0.19</v>
      </c>
      <c r="K27" s="51">
        <v>245.25</v>
      </c>
      <c r="L27" s="51">
        <v>40.549999999999997</v>
      </c>
      <c r="M27" s="51">
        <v>81.599999999999994</v>
      </c>
      <c r="N27" s="51">
        <v>27.90</v>
      </c>
      <c r="O27" s="51">
        <v>0</v>
      </c>
      <c r="P27" s="51">
        <v>3.67</v>
      </c>
      <c r="Q27" s="51">
        <v>56.87</v>
      </c>
      <c r="R27" s="43"/>
      <c r="S27" s="43"/>
      <c r="T27" s="43"/>
      <c r="U27" s="43"/>
    </row>
    <row r="28" spans="1:21" s="11" customFormat="1" ht="15">
      <c r="A28" s="50" t="s">
        <v>560</v>
      </c>
      <c r="B28" s="51">
        <v>1.02</v>
      </c>
      <c r="C28" s="51">
        <v>7.88</v>
      </c>
      <c r="D28" s="51">
        <v>8.81</v>
      </c>
      <c r="E28" s="51">
        <v>2.88</v>
      </c>
      <c r="F28" s="51">
        <v>1.01</v>
      </c>
      <c r="G28" s="51">
        <v>40.65</v>
      </c>
      <c r="H28" s="51">
        <v>270.01</v>
      </c>
      <c r="I28" s="51">
        <v>3.02</v>
      </c>
      <c r="J28" s="51">
        <v>0.31</v>
      </c>
      <c r="K28" s="51">
        <v>217.71</v>
      </c>
      <c r="L28" s="51">
        <v>43.65</v>
      </c>
      <c r="M28" s="51">
        <v>82.10</v>
      </c>
      <c r="N28" s="51">
        <v>15.30</v>
      </c>
      <c r="O28" s="51">
        <v>0</v>
      </c>
      <c r="P28" s="51">
        <v>3.67</v>
      </c>
      <c r="Q28" s="51">
        <v>55.89</v>
      </c>
      <c r="R28" s="43"/>
      <c r="S28" s="43"/>
      <c r="T28" s="43"/>
      <c r="U28" s="43"/>
    </row>
    <row r="29" spans="1:21" s="11" customFormat="1" ht="15">
      <c r="A29" s="50" t="s">
        <v>561</v>
      </c>
      <c r="B29" s="51">
        <v>1.01</v>
      </c>
      <c r="C29" s="51">
        <v>7.43</v>
      </c>
      <c r="D29" s="51">
        <v>8.44</v>
      </c>
      <c r="E29" s="51">
        <v>4.2300000000000004</v>
      </c>
      <c r="F29" s="51">
        <v>0.97</v>
      </c>
      <c r="G29" s="51">
        <v>36.75</v>
      </c>
      <c r="H29" s="51">
        <v>44.25</v>
      </c>
      <c r="I29" s="51">
        <v>3.37</v>
      </c>
      <c r="J29" s="51">
        <v>0.54</v>
      </c>
      <c r="K29" s="51">
        <v>220.10</v>
      </c>
      <c r="L29" s="51">
        <v>44.79</v>
      </c>
      <c r="M29" s="51">
        <v>82.87</v>
      </c>
      <c r="N29" s="51">
        <v>15.40</v>
      </c>
      <c r="O29" s="51">
        <v>0</v>
      </c>
      <c r="P29" s="51">
        <v>3.66</v>
      </c>
      <c r="Q29" s="51">
        <v>55.34</v>
      </c>
      <c r="R29" s="43"/>
      <c r="S29" s="43"/>
      <c r="T29" s="43"/>
      <c r="U29" s="43"/>
    </row>
    <row r="30" spans="1:21" s="11" customFormat="1" ht="15">
      <c r="A30" s="50" t="s">
        <v>562</v>
      </c>
      <c r="B30" s="51">
        <v>1.19</v>
      </c>
      <c r="C30" s="51">
        <v>6.91</v>
      </c>
      <c r="D30" s="51">
        <v>7.94</v>
      </c>
      <c r="E30" s="51">
        <v>4.4000000000000004</v>
      </c>
      <c r="F30" s="51">
        <v>0.89</v>
      </c>
      <c r="G30" s="51">
        <v>36.83</v>
      </c>
      <c r="H30" s="51">
        <v>201.73</v>
      </c>
      <c r="I30" s="51">
        <v>3.39</v>
      </c>
      <c r="J30" s="51">
        <v>0.45</v>
      </c>
      <c r="K30" s="51">
        <v>213.90</v>
      </c>
      <c r="L30" s="51">
        <v>42.43</v>
      </c>
      <c r="M30" s="51">
        <v>85.57</v>
      </c>
      <c r="N30" s="51">
        <v>15.20</v>
      </c>
      <c r="O30" s="51">
        <v>0</v>
      </c>
      <c r="P30" s="51">
        <v>3.64</v>
      </c>
      <c r="Q30" s="51">
        <v>52.48</v>
      </c>
      <c r="R30" s="43"/>
      <c r="S30" s="43"/>
      <c r="T30" s="43"/>
      <c r="U30" s="43"/>
    </row>
    <row r="31" spans="1:21" s="11" customFormat="1" ht="15">
      <c r="A31" s="50" t="s">
        <v>563</v>
      </c>
      <c r="B31" s="51">
        <v>1.58</v>
      </c>
      <c r="C31" s="51">
        <v>6.64</v>
      </c>
      <c r="D31" s="51">
        <v>7.90</v>
      </c>
      <c r="E31" s="51">
        <v>5.12</v>
      </c>
      <c r="F31" s="51">
        <v>0.61</v>
      </c>
      <c r="G31" s="51">
        <v>38.46</v>
      </c>
      <c r="H31" s="51">
        <v>201.73</v>
      </c>
      <c r="I31" s="51">
        <v>3.80</v>
      </c>
      <c r="J31" s="51">
        <v>0.45</v>
      </c>
      <c r="K31" s="51">
        <v>202.77</v>
      </c>
      <c r="L31" s="51">
        <v>37.770000000000003</v>
      </c>
      <c r="M31" s="51">
        <v>87.64</v>
      </c>
      <c r="N31" s="51">
        <v>15</v>
      </c>
      <c r="O31" s="51">
        <v>0</v>
      </c>
      <c r="P31" s="51">
        <v>3.64</v>
      </c>
      <c r="Q31" s="51">
        <v>54.51</v>
      </c>
      <c r="R31" s="43"/>
      <c r="S31" s="43"/>
      <c r="T31" s="43"/>
      <c r="U31" s="43"/>
    </row>
    <row r="32" spans="1:21" s="11" customFormat="1" ht="15">
      <c r="A32" s="50" t="s">
        <v>564</v>
      </c>
      <c r="B32" s="51">
        <v>1.67</v>
      </c>
      <c r="C32" s="51">
        <v>5.98</v>
      </c>
      <c r="D32" s="51">
        <v>7.60</v>
      </c>
      <c r="E32" s="51">
        <v>5.93</v>
      </c>
      <c r="F32" s="51">
        <v>0.55000000000000004</v>
      </c>
      <c r="G32" s="51">
        <v>38.46</v>
      </c>
      <c r="H32" s="51">
        <v>30.02</v>
      </c>
      <c r="I32" s="51">
        <v>4.88</v>
      </c>
      <c r="J32" s="51">
        <v>0.56000000000000005</v>
      </c>
      <c r="K32" s="51">
        <v>188.65</v>
      </c>
      <c r="L32" s="51">
        <v>37.72</v>
      </c>
      <c r="M32" s="51">
        <v>88.05</v>
      </c>
      <c r="N32" s="51">
        <v>15</v>
      </c>
      <c r="O32" s="51">
        <v>0</v>
      </c>
      <c r="P32" s="51">
        <v>3.63</v>
      </c>
      <c r="Q32" s="51">
        <v>56.92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0.75</v>
      </c>
      <c r="C34" s="28">
        <f t="shared" si="0"/>
        <v>5.9800000000000004</v>
      </c>
      <c r="D34" s="28">
        <f t="shared" si="0"/>
        <v>7.5999999999999996</v>
      </c>
      <c r="E34" s="28">
        <f t="shared" si="0"/>
        <v>1.3</v>
      </c>
      <c r="F34" s="28">
        <f t="shared" si="0"/>
        <v>0.45000000000000001</v>
      </c>
      <c r="G34" s="28">
        <f t="shared" si="0"/>
        <v>33.780000000000001</v>
      </c>
      <c r="H34" s="28">
        <f t="shared" si="0"/>
        <v>4.5199999999999996</v>
      </c>
      <c r="I34" s="28">
        <f t="shared" si="0"/>
        <v>2.1499999999999999</v>
      </c>
      <c r="J34" s="28">
        <f t="shared" si="0"/>
        <v>0.089999999999999997</v>
      </c>
      <c r="K34" s="28">
        <f t="shared" si="0"/>
        <v>39.280000000000001</v>
      </c>
      <c r="L34" s="28">
        <f t="shared" si="0"/>
        <v>30.170000000000002</v>
      </c>
      <c r="M34" s="28">
        <f t="shared" si="0"/>
        <v>80.209999999999994</v>
      </c>
      <c r="N34" s="28">
        <f t="shared" si="0"/>
        <v>15</v>
      </c>
      <c r="O34" s="28">
        <f t="shared" si="0"/>
        <v>0</v>
      </c>
      <c r="P34" s="28">
        <f t="shared" si="0"/>
        <v>3.5</v>
      </c>
      <c r="Q34" s="28">
        <f t="shared" si="0"/>
        <v>2.52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3.7599999999999998</v>
      </c>
      <c r="C35" s="29">
        <f t="shared" si="1"/>
        <v>14.779999999999999</v>
      </c>
      <c r="D35" s="29">
        <f t="shared" si="1"/>
        <v>18.539999999999999</v>
      </c>
      <c r="E35" s="29">
        <f t="shared" si="1"/>
        <v>5.9299999999999997</v>
      </c>
      <c r="F35" s="29">
        <f t="shared" si="1"/>
        <v>3.2000000000000002</v>
      </c>
      <c r="G35" s="29">
        <f t="shared" si="1"/>
        <v>40.649999999999999</v>
      </c>
      <c r="H35" s="29">
        <f t="shared" si="1"/>
        <v>270.00999999999999</v>
      </c>
      <c r="I35" s="29">
        <f t="shared" si="1"/>
        <v>4.8799999999999999</v>
      </c>
      <c r="J35" s="29">
        <f t="shared" si="1"/>
        <v>0.56000000000000005</v>
      </c>
      <c r="K35" s="29">
        <f t="shared" si="1"/>
        <v>351.85000000000002</v>
      </c>
      <c r="L35" s="29">
        <f t="shared" si="1"/>
        <v>44.789999999999999</v>
      </c>
      <c r="M35" s="29">
        <f t="shared" si="1"/>
        <v>99.150000000000006</v>
      </c>
      <c r="N35" s="29">
        <f t="shared" si="1"/>
        <v>757.29999999999995</v>
      </c>
      <c r="O35" s="29">
        <f t="shared" si="1"/>
        <v>0.40000000000000002</v>
      </c>
      <c r="P35" s="29">
        <f t="shared" si="1"/>
        <v>3.77</v>
      </c>
      <c r="Q35" s="29">
        <f t="shared" si="1"/>
        <v>157.37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1.6629166666666668</v>
      </c>
      <c r="C36" s="28">
        <f t="shared" si="2"/>
        <v>10.36125</v>
      </c>
      <c r="D36" s="28">
        <f t="shared" si="2"/>
        <v>11.92375</v>
      </c>
      <c r="E36" s="28">
        <f t="shared" si="2"/>
        <v>3.4675000000000011</v>
      </c>
      <c r="F36" s="28">
        <f t="shared" si="2"/>
        <v>1.0491666666666668</v>
      </c>
      <c r="G36" s="28">
        <f t="shared" si="2"/>
        <v>37.569999999999993</v>
      </c>
      <c r="H36" s="28">
        <f t="shared" si="2"/>
        <v>88.229583333333323</v>
      </c>
      <c r="I36" s="28">
        <f t="shared" si="2"/>
        <v>2.9658333333333338</v>
      </c>
      <c r="J36" s="28">
        <f t="shared" si="2"/>
        <v>0.23875000000000002</v>
      </c>
      <c r="K36" s="28">
        <f t="shared" si="2"/>
        <v>235.39500000000001</v>
      </c>
      <c r="L36" s="28">
        <f t="shared" si="2"/>
        <v>34.493749999999999</v>
      </c>
      <c r="M36" s="28">
        <f t="shared" si="2"/>
        <v>87.927083333333329</v>
      </c>
      <c r="N36" s="28">
        <f t="shared" si="2"/>
        <v>136.85833333333332</v>
      </c>
      <c r="O36" s="28">
        <f t="shared" si="2"/>
        <v>0.074999999999999997</v>
      </c>
      <c r="P36" s="28">
        <f t="shared" si="2"/>
        <v>3.6212499999999999</v>
      </c>
      <c r="Q36" s="28">
        <f t="shared" si="2"/>
        <v>34.446666666666665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0.87589198841085325</v>
      </c>
      <c r="C37" s="28">
        <f t="shared" si="3" ref="C37:Q37">STDEV(C9:C32)</f>
        <v>2.6144137467375823</v>
      </c>
      <c r="D37" s="28">
        <f t="shared" si="3"/>
        <v>3.2659425864918177</v>
      </c>
      <c r="E37" s="28">
        <f t="shared" si="3"/>
        <v>1.1949176795367762</v>
      </c>
      <c r="F37" s="28">
        <f t="shared" si="3"/>
        <v>0.6589973719461133</v>
      </c>
      <c r="G37" s="28">
        <f t="shared" si="3"/>
        <v>2.4741289953667098</v>
      </c>
      <c r="H37" s="28">
        <f t="shared" si="3"/>
        <v>89.705960224607367</v>
      </c>
      <c r="I37" s="28">
        <f t="shared" si="3"/>
        <v>0.64208841776805281</v>
      </c>
      <c r="J37" s="28">
        <f t="shared" si="3"/>
        <v>0.13972994139317152</v>
      </c>
      <c r="K37" s="28">
        <f t="shared" si="3"/>
        <v>85.319502077676233</v>
      </c>
      <c r="L37" s="28">
        <f t="shared" si="3"/>
        <v>4.6595640890538617</v>
      </c>
      <c r="M37" s="28">
        <f t="shared" si="3"/>
        <v>6.1607251684724016</v>
      </c>
      <c r="N37" s="28">
        <f t="shared" si="3"/>
        <v>177.11106296103699</v>
      </c>
      <c r="O37" s="28">
        <f t="shared" si="3"/>
        <v>0.14218787326754639</v>
      </c>
      <c r="P37" s="28">
        <f t="shared" si="3"/>
        <v>0.075602651207250821</v>
      </c>
      <c r="Q37" s="28">
        <f t="shared" si="3"/>
        <v>43.596133720346344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9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565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9b60f6-257b-4f2d-acc1-57f3bd921c7c}">
  <sheetPr codeName=""/>
  <dimension ref="A1:U119"/>
  <sheetViews>
    <sheetView zoomScale="85" zoomScaleNormal="85"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3" sqref="B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566</v>
      </c>
      <c r="B9" s="51">
        <v>1.67</v>
      </c>
      <c r="C9" s="51">
        <v>6.08</v>
      </c>
      <c r="D9" s="51">
        <v>7.70</v>
      </c>
      <c r="E9" s="51">
        <v>5.42</v>
      </c>
      <c r="F9" s="51">
        <v>0.53</v>
      </c>
      <c r="G9" s="51">
        <v>30.40</v>
      </c>
      <c r="H9" s="51">
        <v>30.02</v>
      </c>
      <c r="I9" s="51">
        <v>5.39</v>
      </c>
      <c r="J9" s="51">
        <v>0.48</v>
      </c>
      <c r="K9" s="51">
        <v>201.07</v>
      </c>
      <c r="L9" s="51">
        <v>44.93</v>
      </c>
      <c r="M9" s="51">
        <v>87.28</v>
      </c>
      <c r="N9" s="51">
        <v>14.90</v>
      </c>
      <c r="O9" s="51">
        <v>0</v>
      </c>
      <c r="P9" s="51">
        <v>3.61</v>
      </c>
      <c r="Q9" s="51">
        <v>57.27</v>
      </c>
      <c r="R9" s="43"/>
      <c r="S9" s="43"/>
      <c r="T9" s="43"/>
      <c r="U9" s="43"/>
    </row>
    <row r="10" spans="1:21" s="11" customFormat="1" ht="15">
      <c r="A10" s="50" t="s">
        <v>567</v>
      </c>
      <c r="B10" s="51">
        <v>1.36</v>
      </c>
      <c r="C10" s="51">
        <v>6.16</v>
      </c>
      <c r="D10" s="51">
        <v>7.52</v>
      </c>
      <c r="E10" s="51">
        <v>5.5</v>
      </c>
      <c r="F10" s="51">
        <v>0.72</v>
      </c>
      <c r="G10" s="51">
        <v>32.119999999999997</v>
      </c>
      <c r="H10" s="51">
        <v>217.80</v>
      </c>
      <c r="I10" s="51">
        <v>5.26</v>
      </c>
      <c r="J10" s="51">
        <v>0.40</v>
      </c>
      <c r="K10" s="51">
        <v>216.06</v>
      </c>
      <c r="L10" s="51">
        <v>44.95</v>
      </c>
      <c r="M10" s="51">
        <v>86.35</v>
      </c>
      <c r="N10" s="51">
        <v>15.30</v>
      </c>
      <c r="O10" s="51">
        <v>0</v>
      </c>
      <c r="P10" s="51">
        <v>3.59</v>
      </c>
      <c r="Q10" s="51">
        <v>55.95</v>
      </c>
      <c r="R10" s="43"/>
      <c r="S10" s="43"/>
      <c r="T10" s="43"/>
      <c r="U10" s="43"/>
    </row>
    <row r="11" spans="1:21" s="11" customFormat="1" ht="15">
      <c r="A11" s="50" t="s">
        <v>568</v>
      </c>
      <c r="B11" s="51">
        <v>1.1000000000000001</v>
      </c>
      <c r="C11" s="51">
        <v>5.85</v>
      </c>
      <c r="D11" s="51">
        <v>6.95</v>
      </c>
      <c r="E11" s="51">
        <v>6</v>
      </c>
      <c r="F11" s="51">
        <v>0.57999999999999996</v>
      </c>
      <c r="G11" s="51">
        <v>32.119999999999997</v>
      </c>
      <c r="H11" s="51">
        <v>217.80</v>
      </c>
      <c r="I11" s="51">
        <v>5.03</v>
      </c>
      <c r="J11" s="51">
        <v>0.32</v>
      </c>
      <c r="K11" s="51">
        <v>205.14</v>
      </c>
      <c r="L11" s="51">
        <v>40.82</v>
      </c>
      <c r="M11" s="51">
        <v>88.83</v>
      </c>
      <c r="N11" s="51">
        <v>15.30</v>
      </c>
      <c r="O11" s="51">
        <v>0</v>
      </c>
      <c r="P11" s="51">
        <v>3.57</v>
      </c>
      <c r="Q11" s="51">
        <v>55.99</v>
      </c>
      <c r="R11" s="43"/>
      <c r="S11" s="43"/>
      <c r="T11" s="43"/>
      <c r="U11" s="43"/>
    </row>
    <row r="12" spans="1:21" s="11" customFormat="1" ht="15">
      <c r="A12" s="50" t="s">
        <v>569</v>
      </c>
      <c r="B12" s="51">
        <v>1.61</v>
      </c>
      <c r="C12" s="51">
        <v>6.22</v>
      </c>
      <c r="D12" s="51">
        <v>7.83</v>
      </c>
      <c r="E12" s="51">
        <v>6.25</v>
      </c>
      <c r="F12" s="51">
        <v>0.82</v>
      </c>
      <c r="G12" s="51">
        <v>24.71</v>
      </c>
      <c r="H12" s="51">
        <v>5.90</v>
      </c>
      <c r="I12" s="51">
        <v>5.52</v>
      </c>
      <c r="J12" s="51">
        <v>0.99</v>
      </c>
      <c r="K12" s="51">
        <v>200.89</v>
      </c>
      <c r="L12" s="51">
        <v>40.229999999999997</v>
      </c>
      <c r="M12" s="51">
        <v>89.45</v>
      </c>
      <c r="N12" s="51">
        <v>15.10</v>
      </c>
      <c r="O12" s="51">
        <v>0</v>
      </c>
      <c r="P12" s="51">
        <v>3.57</v>
      </c>
      <c r="Q12" s="51">
        <v>59.74</v>
      </c>
      <c r="R12" s="43"/>
      <c r="S12" s="43"/>
      <c r="T12" s="43"/>
      <c r="U12" s="43"/>
    </row>
    <row r="13" spans="1:21" s="11" customFormat="1" ht="15">
      <c r="A13" s="50" t="s">
        <v>570</v>
      </c>
      <c r="B13" s="51">
        <v>1.82</v>
      </c>
      <c r="C13" s="51">
        <v>6.10</v>
      </c>
      <c r="D13" s="51">
        <v>7.90</v>
      </c>
      <c r="E13" s="51">
        <v>5.14</v>
      </c>
      <c r="F13" s="51">
        <v>1.06</v>
      </c>
      <c r="G13" s="51">
        <v>24.71</v>
      </c>
      <c r="H13" s="51">
        <v>12</v>
      </c>
      <c r="I13" s="51">
        <v>4.13</v>
      </c>
      <c r="J13" s="51">
        <v>1.45</v>
      </c>
      <c r="K13" s="51">
        <v>181.36</v>
      </c>
      <c r="L13" s="51">
        <v>37.96</v>
      </c>
      <c r="M13" s="51">
        <v>93.30</v>
      </c>
      <c r="N13" s="51">
        <v>15.20</v>
      </c>
      <c r="O13" s="51">
        <v>0</v>
      </c>
      <c r="P13" s="51">
        <v>3.56</v>
      </c>
      <c r="Q13" s="51">
        <v>57.18</v>
      </c>
      <c r="R13" s="43"/>
      <c r="S13" s="43"/>
      <c r="T13" s="43"/>
      <c r="U13" s="43"/>
    </row>
    <row r="14" spans="1:21" s="11" customFormat="1" ht="15">
      <c r="A14" s="50" t="s">
        <v>571</v>
      </c>
      <c r="B14" s="51">
        <v>2.15</v>
      </c>
      <c r="C14" s="51">
        <v>6.29</v>
      </c>
      <c r="D14" s="51">
        <v>8.44</v>
      </c>
      <c r="E14" s="51">
        <v>5.64</v>
      </c>
      <c r="F14" s="51">
        <v>0.23</v>
      </c>
      <c r="G14" s="51">
        <v>24.10</v>
      </c>
      <c r="H14" s="51">
        <v>84.89</v>
      </c>
      <c r="I14" s="51">
        <v>5.73</v>
      </c>
      <c r="J14" s="51">
        <v>1.5</v>
      </c>
      <c r="K14" s="51">
        <v>175.19</v>
      </c>
      <c r="L14" s="51">
        <v>44.76</v>
      </c>
      <c r="M14" s="51">
        <v>93.58</v>
      </c>
      <c r="N14" s="51">
        <v>32.10</v>
      </c>
      <c r="O14" s="51">
        <v>0</v>
      </c>
      <c r="P14" s="51">
        <v>3.57</v>
      </c>
      <c r="Q14" s="51">
        <v>56.67</v>
      </c>
      <c r="R14" s="43"/>
      <c r="S14" s="43"/>
      <c r="T14" s="43"/>
      <c r="U14" s="43"/>
    </row>
    <row r="15" spans="1:21" s="11" customFormat="1" ht="15">
      <c r="A15" s="50" t="s">
        <v>572</v>
      </c>
      <c r="B15" s="51">
        <v>2.77</v>
      </c>
      <c r="C15" s="51">
        <v>6.87</v>
      </c>
      <c r="D15" s="51">
        <v>9.64</v>
      </c>
      <c r="E15" s="51">
        <v>5.84</v>
      </c>
      <c r="F15" s="51">
        <v>0.45</v>
      </c>
      <c r="G15" s="51">
        <v>28.31</v>
      </c>
      <c r="H15" s="51">
        <v>104.5</v>
      </c>
      <c r="I15" s="51">
        <v>5.82</v>
      </c>
      <c r="J15" s="51">
        <v>0.64</v>
      </c>
      <c r="K15" s="51">
        <v>201.20</v>
      </c>
      <c r="L15" s="51">
        <v>44.21</v>
      </c>
      <c r="M15" s="51">
        <v>91.88</v>
      </c>
      <c r="N15" s="51">
        <v>74.900000000000006</v>
      </c>
      <c r="O15" s="51">
        <v>0</v>
      </c>
      <c r="P15" s="51">
        <v>3.56</v>
      </c>
      <c r="Q15" s="51">
        <v>57.69</v>
      </c>
      <c r="R15" s="43"/>
      <c r="S15" s="43"/>
      <c r="T15" s="43"/>
      <c r="U15" s="43"/>
    </row>
    <row r="16" spans="1:21" s="11" customFormat="1" ht="15">
      <c r="A16" s="50" t="s">
        <v>573</v>
      </c>
      <c r="B16" s="51">
        <v>3.10</v>
      </c>
      <c r="C16" s="51">
        <v>7.34</v>
      </c>
      <c r="D16" s="51">
        <v>10.37</v>
      </c>
      <c r="E16" s="51">
        <v>5.74</v>
      </c>
      <c r="F16" s="51">
        <v>0.76</v>
      </c>
      <c r="G16" s="51">
        <v>28.31</v>
      </c>
      <c r="H16" s="51">
        <v>104.5</v>
      </c>
      <c r="I16" s="51">
        <v>5.93</v>
      </c>
      <c r="J16" s="51">
        <v>0.60</v>
      </c>
      <c r="K16" s="51">
        <v>215.85</v>
      </c>
      <c r="L16" s="51">
        <v>45.60</v>
      </c>
      <c r="M16" s="51">
        <v>87.77</v>
      </c>
      <c r="N16" s="51">
        <v>159.40</v>
      </c>
      <c r="O16" s="51">
        <v>0</v>
      </c>
      <c r="P16" s="51">
        <v>3.57</v>
      </c>
      <c r="Q16" s="51">
        <v>57.60</v>
      </c>
      <c r="R16" s="43"/>
      <c r="S16" s="43"/>
      <c r="T16" s="43"/>
      <c r="U16" s="43"/>
    </row>
    <row r="17" spans="1:21" s="11" customFormat="1" ht="15">
      <c r="A17" s="50" t="s">
        <v>574</v>
      </c>
      <c r="B17" s="51">
        <v>3.28</v>
      </c>
      <c r="C17" s="51">
        <v>7.75</v>
      </c>
      <c r="D17" s="51">
        <v>10.95</v>
      </c>
      <c r="E17" s="51">
        <v>5.82</v>
      </c>
      <c r="F17" s="51">
        <v>0.40</v>
      </c>
      <c r="G17" s="51">
        <v>34.53</v>
      </c>
      <c r="H17" s="51">
        <v>228.58</v>
      </c>
      <c r="I17" s="51">
        <v>5.76</v>
      </c>
      <c r="J17" s="51">
        <v>0.62</v>
      </c>
      <c r="K17" s="51">
        <v>225.84</v>
      </c>
      <c r="L17" s="51">
        <v>44.73</v>
      </c>
      <c r="M17" s="51">
        <v>94.48</v>
      </c>
      <c r="N17" s="51">
        <v>169.90</v>
      </c>
      <c r="O17" s="51">
        <v>0.20</v>
      </c>
      <c r="P17" s="51">
        <v>3.59</v>
      </c>
      <c r="Q17" s="51">
        <v>54.62</v>
      </c>
      <c r="R17" s="43"/>
      <c r="S17" s="43"/>
      <c r="T17" s="43"/>
      <c r="U17" s="43"/>
    </row>
    <row r="18" spans="1:21" s="11" customFormat="1" ht="15">
      <c r="A18" s="50" t="s">
        <v>575</v>
      </c>
      <c r="B18" s="51">
        <v>3.46</v>
      </c>
      <c r="C18" s="51">
        <v>8.84</v>
      </c>
      <c r="D18" s="51">
        <v>12.29</v>
      </c>
      <c r="E18" s="51">
        <v>5.89</v>
      </c>
      <c r="F18" s="51">
        <v>0.30</v>
      </c>
      <c r="G18" s="51">
        <v>34.53</v>
      </c>
      <c r="H18" s="51">
        <v>228.58</v>
      </c>
      <c r="I18" s="51">
        <v>5.36</v>
      </c>
      <c r="J18" s="51">
        <v>0.25</v>
      </c>
      <c r="K18" s="51">
        <v>218.13</v>
      </c>
      <c r="L18" s="51">
        <v>46.62</v>
      </c>
      <c r="M18" s="51">
        <v>91.14</v>
      </c>
      <c r="N18" s="51">
        <v>635.70000000000005</v>
      </c>
      <c r="O18" s="51">
        <v>0</v>
      </c>
      <c r="P18" s="51">
        <v>3.61</v>
      </c>
      <c r="Q18" s="51">
        <v>54.52</v>
      </c>
      <c r="R18" s="43"/>
      <c r="S18" s="43"/>
      <c r="T18" s="43"/>
      <c r="U18" s="43"/>
    </row>
    <row r="19" spans="1:21" s="11" customFormat="1" ht="15">
      <c r="A19" s="50" t="s">
        <v>576</v>
      </c>
      <c r="B19" s="51">
        <v>3.71</v>
      </c>
      <c r="C19" s="51">
        <v>12.17</v>
      </c>
      <c r="D19" s="51">
        <v>15.10</v>
      </c>
      <c r="E19" s="51">
        <v>5.51</v>
      </c>
      <c r="F19" s="51">
        <v>0.74</v>
      </c>
      <c r="G19" s="51">
        <v>51.90</v>
      </c>
      <c r="H19" s="51">
        <v>90.53</v>
      </c>
      <c r="I19" s="51">
        <v>5.38</v>
      </c>
      <c r="J19" s="51">
        <v>0.19</v>
      </c>
      <c r="K19" s="51">
        <v>215.41</v>
      </c>
      <c r="L19" s="51">
        <v>44.68</v>
      </c>
      <c r="M19" s="51">
        <v>82.28</v>
      </c>
      <c r="N19" s="51">
        <v>864.10</v>
      </c>
      <c r="O19" s="51">
        <v>0</v>
      </c>
      <c r="P19" s="51">
        <v>3.68</v>
      </c>
      <c r="Q19" s="51">
        <v>53.97</v>
      </c>
      <c r="R19" s="43"/>
      <c r="S19" s="43"/>
      <c r="T19" s="43"/>
      <c r="U19" s="43"/>
    </row>
    <row r="20" spans="1:21" s="11" customFormat="1" ht="15">
      <c r="A20" s="50" t="s">
        <v>577</v>
      </c>
      <c r="B20" s="51">
        <v>2.77</v>
      </c>
      <c r="C20" s="51">
        <v>13.66</v>
      </c>
      <c r="D20" s="51">
        <v>16.43</v>
      </c>
      <c r="E20" s="51">
        <v>4.42</v>
      </c>
      <c r="F20" s="51">
        <v>1.39</v>
      </c>
      <c r="G20" s="51">
        <v>53.89</v>
      </c>
      <c r="H20" s="51">
        <v>126.24</v>
      </c>
      <c r="I20" s="51">
        <v>4.9000000000000004</v>
      </c>
      <c r="J20" s="51">
        <v>0.20</v>
      </c>
      <c r="K20" s="51">
        <v>277.70</v>
      </c>
      <c r="L20" s="51">
        <v>45.53</v>
      </c>
      <c r="M20" s="51">
        <v>70.56</v>
      </c>
      <c r="N20" s="51">
        <v>1027.20</v>
      </c>
      <c r="O20" s="51">
        <v>0</v>
      </c>
      <c r="P20" s="51">
        <v>3.71</v>
      </c>
      <c r="Q20" s="51">
        <v>52.17</v>
      </c>
      <c r="R20" s="43"/>
      <c r="S20" s="43"/>
      <c r="T20" s="43"/>
      <c r="U20" s="43"/>
    </row>
    <row r="21" spans="1:21" s="11" customFormat="1" ht="15">
      <c r="A21" s="50" t="s">
        <v>578</v>
      </c>
      <c r="B21" s="51">
        <v>2.4500000000000002</v>
      </c>
      <c r="C21" s="51">
        <v>13.93</v>
      </c>
      <c r="D21" s="51">
        <v>16.239999999999998</v>
      </c>
      <c r="E21" s="51">
        <v>2.84</v>
      </c>
      <c r="F21" s="51">
        <v>1.56</v>
      </c>
      <c r="G21" s="51">
        <v>62.18</v>
      </c>
      <c r="H21" s="51">
        <v>170.09</v>
      </c>
      <c r="I21" s="51">
        <v>3.95</v>
      </c>
      <c r="J21" s="51">
        <v>0.23</v>
      </c>
      <c r="K21" s="51">
        <v>357.19</v>
      </c>
      <c r="L21" s="51">
        <v>44.64</v>
      </c>
      <c r="M21" s="51">
        <v>65.760000000000005</v>
      </c>
      <c r="N21" s="51">
        <v>1007</v>
      </c>
      <c r="O21" s="51">
        <v>0</v>
      </c>
      <c r="P21" s="51">
        <v>3.71</v>
      </c>
      <c r="Q21" s="51">
        <v>45.77</v>
      </c>
      <c r="R21" s="43"/>
      <c r="S21" s="43"/>
      <c r="T21" s="43"/>
      <c r="U21" s="43"/>
    </row>
    <row r="22" spans="1:21" s="11" customFormat="1" ht="15">
      <c r="A22" s="50" t="s">
        <v>579</v>
      </c>
      <c r="B22" s="51">
        <v>1.98</v>
      </c>
      <c r="C22" s="51">
        <v>14.10</v>
      </c>
      <c r="D22" s="51">
        <v>16.09</v>
      </c>
      <c r="E22" s="51">
        <v>2.21</v>
      </c>
      <c r="F22" s="51">
        <v>1.51</v>
      </c>
      <c r="G22" s="51">
        <v>62.58</v>
      </c>
      <c r="H22" s="51">
        <v>170.09</v>
      </c>
      <c r="I22" s="51">
        <v>3.29</v>
      </c>
      <c r="J22" s="51">
        <v>0.52</v>
      </c>
      <c r="K22" s="51">
        <v>206.66</v>
      </c>
      <c r="L22" s="51">
        <v>49.02</v>
      </c>
      <c r="M22" s="51">
        <v>65.489999999999995</v>
      </c>
      <c r="N22" s="51">
        <v>753.40</v>
      </c>
      <c r="O22" s="51">
        <v>0</v>
      </c>
      <c r="P22" s="51">
        <v>3.69</v>
      </c>
      <c r="Q22" s="51">
        <v>45.66</v>
      </c>
      <c r="R22" s="43"/>
      <c r="S22" s="43"/>
      <c r="T22" s="43"/>
      <c r="U22" s="43"/>
    </row>
    <row r="23" spans="1:21" s="11" customFormat="1" ht="15">
      <c r="A23" s="50" t="s">
        <v>580</v>
      </c>
      <c r="B23" s="51">
        <v>1.46</v>
      </c>
      <c r="C23" s="51">
        <v>13.18</v>
      </c>
      <c r="D23" s="51">
        <v>14.64</v>
      </c>
      <c r="E23" s="51">
        <v>2.73</v>
      </c>
      <c r="F23" s="51">
        <v>1.47</v>
      </c>
      <c r="G23" s="51">
        <v>62.58</v>
      </c>
      <c r="H23" s="51">
        <v>215.81</v>
      </c>
      <c r="I23" s="51">
        <v>3.07</v>
      </c>
      <c r="J23" s="51">
        <v>0.28999999999999998</v>
      </c>
      <c r="K23" s="51">
        <v>203.91</v>
      </c>
      <c r="L23" s="51">
        <v>50.02</v>
      </c>
      <c r="M23" s="51">
        <v>65.02</v>
      </c>
      <c r="N23" s="51">
        <v>774.20</v>
      </c>
      <c r="O23" s="51">
        <v>0</v>
      </c>
      <c r="P23" s="51">
        <v>3.68</v>
      </c>
      <c r="Q23" s="51">
        <v>45.62</v>
      </c>
      <c r="R23" s="43"/>
      <c r="S23" s="43"/>
      <c r="T23" s="43"/>
      <c r="U23" s="43"/>
    </row>
    <row r="24" spans="1:21" s="11" customFormat="1" ht="15">
      <c r="A24" s="50" t="s">
        <v>581</v>
      </c>
      <c r="B24" s="51">
        <v>1.39</v>
      </c>
      <c r="C24" s="51">
        <v>11.32</v>
      </c>
      <c r="D24" s="51">
        <v>12.70</v>
      </c>
      <c r="E24" s="51">
        <v>2.64</v>
      </c>
      <c r="F24" s="51">
        <v>1.35</v>
      </c>
      <c r="G24" s="51">
        <v>68.92</v>
      </c>
      <c r="H24" s="51">
        <v>215.81</v>
      </c>
      <c r="I24" s="51">
        <v>2.95</v>
      </c>
      <c r="J24" s="51">
        <v>0.57999999999999996</v>
      </c>
      <c r="K24" s="51">
        <v>210.22</v>
      </c>
      <c r="L24" s="51">
        <v>35.94</v>
      </c>
      <c r="M24" s="51">
        <v>66.22</v>
      </c>
      <c r="N24" s="51">
        <v>533.90</v>
      </c>
      <c r="O24" s="51">
        <v>0</v>
      </c>
      <c r="P24" s="51">
        <v>3.67</v>
      </c>
      <c r="Q24" s="51">
        <v>44.31</v>
      </c>
      <c r="R24" s="43"/>
      <c r="S24" s="43"/>
      <c r="T24" s="43"/>
      <c r="U24" s="43"/>
    </row>
    <row r="25" spans="1:21" s="11" customFormat="1" ht="15">
      <c r="A25" s="50" t="s">
        <v>582</v>
      </c>
      <c r="B25" s="51">
        <v>0.98</v>
      </c>
      <c r="C25" s="51">
        <v>9.7799999999999994</v>
      </c>
      <c r="D25" s="51">
        <v>10.69</v>
      </c>
      <c r="E25" s="51">
        <v>3.29</v>
      </c>
      <c r="F25" s="51">
        <v>1.06</v>
      </c>
      <c r="G25" s="51">
        <v>68.92</v>
      </c>
      <c r="H25" s="51">
        <v>150.94999999999999</v>
      </c>
      <c r="I25" s="51">
        <v>3.04</v>
      </c>
      <c r="J25" s="51">
        <v>0.57999999999999996</v>
      </c>
      <c r="K25" s="51">
        <v>203.74</v>
      </c>
      <c r="L25" s="51">
        <v>35.380000000000003</v>
      </c>
      <c r="M25" s="51">
        <v>67.349999999999994</v>
      </c>
      <c r="N25" s="51">
        <v>219.90</v>
      </c>
      <c r="O25" s="51">
        <v>0</v>
      </c>
      <c r="P25" s="51">
        <v>3.64</v>
      </c>
      <c r="Q25" s="51">
        <v>45.03</v>
      </c>
      <c r="R25" s="43"/>
      <c r="S25" s="43"/>
      <c r="T25" s="43"/>
      <c r="U25" s="43"/>
    </row>
    <row r="26" spans="1:21" s="11" customFormat="1" ht="15">
      <c r="A26" s="50" t="s">
        <v>583</v>
      </c>
      <c r="B26" s="51">
        <v>0.92</v>
      </c>
      <c r="C26" s="51">
        <v>9.66</v>
      </c>
      <c r="D26" s="51">
        <v>10.45</v>
      </c>
      <c r="E26" s="51">
        <v>3.34</v>
      </c>
      <c r="F26" s="51">
        <v>1.34</v>
      </c>
      <c r="G26" s="51">
        <v>64.30</v>
      </c>
      <c r="H26" s="51">
        <v>94.56</v>
      </c>
      <c r="I26" s="51">
        <v>3.26</v>
      </c>
      <c r="J26" s="51">
        <v>0.64</v>
      </c>
      <c r="K26" s="51">
        <v>193.86</v>
      </c>
      <c r="L26" s="51">
        <v>34.78</v>
      </c>
      <c r="M26" s="51">
        <v>73.52</v>
      </c>
      <c r="N26" s="51">
        <v>101.40</v>
      </c>
      <c r="O26" s="51">
        <v>0</v>
      </c>
      <c r="P26" s="51">
        <v>3.62</v>
      </c>
      <c r="Q26" s="51">
        <v>45.92</v>
      </c>
      <c r="R26" s="43"/>
      <c r="S26" s="43"/>
      <c r="T26" s="43"/>
      <c r="U26" s="43"/>
    </row>
    <row r="27" spans="1:21" s="11" customFormat="1" ht="15">
      <c r="A27" s="50" t="s">
        <v>584</v>
      </c>
      <c r="B27" s="51">
        <v>1.84</v>
      </c>
      <c r="C27" s="51">
        <v>9.4499999999999993</v>
      </c>
      <c r="D27" s="51">
        <v>11.17</v>
      </c>
      <c r="E27" s="51">
        <v>3.75</v>
      </c>
      <c r="F27" s="51">
        <v>0.64</v>
      </c>
      <c r="G27" s="51">
        <v>60.48</v>
      </c>
      <c r="H27" s="51">
        <v>94.56</v>
      </c>
      <c r="I27" s="51">
        <v>4.01</v>
      </c>
      <c r="J27" s="51">
        <v>0.96</v>
      </c>
      <c r="K27" s="51">
        <v>203.81</v>
      </c>
      <c r="L27" s="51">
        <v>32.950000000000003</v>
      </c>
      <c r="M27" s="51">
        <v>78.63</v>
      </c>
      <c r="N27" s="51">
        <v>25.5</v>
      </c>
      <c r="O27" s="51">
        <v>0</v>
      </c>
      <c r="P27" s="51">
        <v>3.65</v>
      </c>
      <c r="Q27" s="51">
        <v>47.85</v>
      </c>
      <c r="R27" s="43"/>
      <c r="S27" s="43"/>
      <c r="T27" s="43"/>
      <c r="U27" s="43"/>
    </row>
    <row r="28" spans="1:21" s="11" customFormat="1" ht="15">
      <c r="A28" s="50" t="s">
        <v>585</v>
      </c>
      <c r="B28" s="51">
        <v>2.88</v>
      </c>
      <c r="C28" s="51">
        <v>9.76</v>
      </c>
      <c r="D28" s="51">
        <v>12.37</v>
      </c>
      <c r="E28" s="51">
        <v>3.92</v>
      </c>
      <c r="F28" s="51">
        <v>0.56999999999999995</v>
      </c>
      <c r="G28" s="51">
        <v>59.73</v>
      </c>
      <c r="H28" s="51">
        <v>159.16999999999999</v>
      </c>
      <c r="I28" s="51">
        <v>4.53</v>
      </c>
      <c r="J28" s="51">
        <v>0.56999999999999995</v>
      </c>
      <c r="K28" s="51">
        <v>223.76</v>
      </c>
      <c r="L28" s="51">
        <v>32.18</v>
      </c>
      <c r="M28" s="51">
        <v>82.20</v>
      </c>
      <c r="N28" s="51">
        <v>15</v>
      </c>
      <c r="O28" s="51">
        <v>0</v>
      </c>
      <c r="P28" s="51">
        <v>3.70</v>
      </c>
      <c r="Q28" s="51">
        <v>48.70</v>
      </c>
      <c r="R28" s="43"/>
      <c r="S28" s="43"/>
      <c r="T28" s="43"/>
      <c r="U28" s="43"/>
    </row>
    <row r="29" spans="1:21" s="11" customFormat="1" ht="15">
      <c r="A29" s="50" t="s">
        <v>586</v>
      </c>
      <c r="B29" s="51">
        <v>4.97</v>
      </c>
      <c r="C29" s="51">
        <v>10.51</v>
      </c>
      <c r="D29" s="51">
        <v>15.31</v>
      </c>
      <c r="E29" s="51">
        <v>4.49</v>
      </c>
      <c r="F29" s="51">
        <v>0.25</v>
      </c>
      <c r="G29" s="51">
        <v>59.73</v>
      </c>
      <c r="H29" s="51">
        <v>168.95</v>
      </c>
      <c r="I29" s="51">
        <v>5.29</v>
      </c>
      <c r="J29" s="51">
        <v>0.23</v>
      </c>
      <c r="K29" s="51">
        <v>237.35</v>
      </c>
      <c r="L29" s="51">
        <v>31.92</v>
      </c>
      <c r="M29" s="51">
        <v>83.59</v>
      </c>
      <c r="N29" s="51">
        <v>14.80</v>
      </c>
      <c r="O29" s="51">
        <v>0</v>
      </c>
      <c r="P29" s="51">
        <v>3.77</v>
      </c>
      <c r="Q29" s="51">
        <v>52.13</v>
      </c>
      <c r="R29" s="43"/>
      <c r="S29" s="43"/>
      <c r="T29" s="43"/>
      <c r="U29" s="43"/>
    </row>
    <row r="30" spans="1:21" s="11" customFormat="1" ht="15">
      <c r="A30" s="50" t="s">
        <v>587</v>
      </c>
      <c r="B30" s="51">
        <v>5.0999999999999996</v>
      </c>
      <c r="C30" s="51">
        <v>9.85</v>
      </c>
      <c r="D30" s="51">
        <v>14.91</v>
      </c>
      <c r="E30" s="51">
        <v>4.93</v>
      </c>
      <c r="F30" s="51">
        <v>0.81</v>
      </c>
      <c r="G30" s="51">
        <v>40.909999999999997</v>
      </c>
      <c r="H30" s="51">
        <v>168.95</v>
      </c>
      <c r="I30" s="51">
        <v>6.74</v>
      </c>
      <c r="J30" s="51">
        <v>0.31</v>
      </c>
      <c r="K30" s="51">
        <v>220.02</v>
      </c>
      <c r="L30" s="51">
        <v>31.63</v>
      </c>
      <c r="M30" s="51">
        <v>82.86</v>
      </c>
      <c r="N30" s="51">
        <v>14.80</v>
      </c>
      <c r="O30" s="51">
        <v>0</v>
      </c>
      <c r="P30" s="51">
        <v>3.79</v>
      </c>
      <c r="Q30" s="51">
        <v>54.60</v>
      </c>
      <c r="R30" s="43"/>
      <c r="S30" s="43"/>
      <c r="T30" s="43"/>
      <c r="U30" s="43"/>
    </row>
    <row r="31" spans="1:21" s="11" customFormat="1" ht="15">
      <c r="A31" s="50" t="s">
        <v>588</v>
      </c>
      <c r="B31" s="51">
        <v>4.97</v>
      </c>
      <c r="C31" s="51">
        <v>9.0399999999999991</v>
      </c>
      <c r="D31" s="51">
        <v>13.85</v>
      </c>
      <c r="E31" s="51">
        <v>5.33</v>
      </c>
      <c r="F31" s="51">
        <v>0.37</v>
      </c>
      <c r="G31" s="51">
        <v>32.15</v>
      </c>
      <c r="H31" s="51">
        <v>126.87</v>
      </c>
      <c r="I31" s="51">
        <v>7.14</v>
      </c>
      <c r="J31" s="51">
        <v>0.26</v>
      </c>
      <c r="K31" s="51">
        <v>237.47</v>
      </c>
      <c r="L31" s="51">
        <v>31.57</v>
      </c>
      <c r="M31" s="51">
        <v>83.72</v>
      </c>
      <c r="N31" s="51">
        <v>15.20</v>
      </c>
      <c r="O31" s="51">
        <v>0</v>
      </c>
      <c r="P31" s="51">
        <v>3.78</v>
      </c>
      <c r="Q31" s="51">
        <v>54.34</v>
      </c>
      <c r="R31" s="43"/>
      <c r="S31" s="43"/>
      <c r="T31" s="43"/>
      <c r="U31" s="43"/>
    </row>
    <row r="32" spans="1:21" s="11" customFormat="1" ht="15">
      <c r="A32" s="50" t="s">
        <v>589</v>
      </c>
      <c r="B32" s="51">
        <v>3.51</v>
      </c>
      <c r="C32" s="51">
        <v>8.51</v>
      </c>
      <c r="D32" s="51">
        <v>12.02</v>
      </c>
      <c r="E32" s="51">
        <v>5.32</v>
      </c>
      <c r="F32" s="51">
        <v>0.63</v>
      </c>
      <c r="G32" s="51">
        <v>30.16</v>
      </c>
      <c r="H32" s="51">
        <v>63.92</v>
      </c>
      <c r="I32" s="51">
        <v>6.70</v>
      </c>
      <c r="J32" s="51">
        <v>0.45</v>
      </c>
      <c r="K32" s="51">
        <v>208.67</v>
      </c>
      <c r="L32" s="51">
        <v>33.69</v>
      </c>
      <c r="M32" s="51">
        <v>88.72</v>
      </c>
      <c r="N32" s="51">
        <v>15</v>
      </c>
      <c r="O32" s="51">
        <v>0</v>
      </c>
      <c r="P32" s="51">
        <v>3.73</v>
      </c>
      <c r="Q32" s="51">
        <v>53.05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0.92000000000000004</v>
      </c>
      <c r="C34" s="28">
        <f t="shared" si="0"/>
        <v>5.8499999999999996</v>
      </c>
      <c r="D34" s="28">
        <f t="shared" si="0"/>
        <v>6.9500000000000002</v>
      </c>
      <c r="E34" s="28">
        <f t="shared" si="0"/>
        <v>2.21</v>
      </c>
      <c r="F34" s="28">
        <f t="shared" si="0"/>
        <v>0.23000000000000001</v>
      </c>
      <c r="G34" s="28">
        <f t="shared" si="0"/>
        <v>24.100000000000001</v>
      </c>
      <c r="H34" s="28">
        <f t="shared" si="0"/>
        <v>5.9000000000000004</v>
      </c>
      <c r="I34" s="28">
        <f t="shared" si="0"/>
        <v>2.9500000000000002</v>
      </c>
      <c r="J34" s="28">
        <f t="shared" si="0"/>
        <v>0.19</v>
      </c>
      <c r="K34" s="28">
        <f t="shared" si="0"/>
        <v>175.19</v>
      </c>
      <c r="L34" s="28">
        <f t="shared" si="0"/>
        <v>31.57</v>
      </c>
      <c r="M34" s="28">
        <f t="shared" si="0"/>
        <v>65.019999999999996</v>
      </c>
      <c r="N34" s="28">
        <f t="shared" si="0"/>
        <v>14.800000000000001</v>
      </c>
      <c r="O34" s="28">
        <f t="shared" si="0"/>
        <v>0</v>
      </c>
      <c r="P34" s="28">
        <f t="shared" si="0"/>
        <v>3.5600000000000001</v>
      </c>
      <c r="Q34" s="28">
        <f t="shared" si="0"/>
        <v>44.310000000000002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5.0999999999999996</v>
      </c>
      <c r="C35" s="29">
        <f t="shared" si="1"/>
        <v>14.1</v>
      </c>
      <c r="D35" s="29">
        <f t="shared" si="1"/>
        <v>16.43</v>
      </c>
      <c r="E35" s="29">
        <f t="shared" si="1"/>
        <v>6.25</v>
      </c>
      <c r="F35" s="29">
        <f t="shared" si="1"/>
        <v>1.5600000000000001</v>
      </c>
      <c r="G35" s="29">
        <f t="shared" si="1"/>
        <v>68.920000000000002</v>
      </c>
      <c r="H35" s="29">
        <f t="shared" si="1"/>
        <v>228.58000000000001</v>
      </c>
      <c r="I35" s="29">
        <f t="shared" si="1"/>
        <v>7.1399999999999997</v>
      </c>
      <c r="J35" s="29">
        <f t="shared" si="1"/>
        <v>1.5</v>
      </c>
      <c r="K35" s="29">
        <f t="shared" si="1"/>
        <v>357.19</v>
      </c>
      <c r="L35" s="29">
        <f t="shared" si="1"/>
        <v>50.020000000000003</v>
      </c>
      <c r="M35" s="29">
        <f t="shared" si="1"/>
        <v>94.480000000000004</v>
      </c>
      <c r="N35" s="29">
        <f t="shared" si="1"/>
        <v>1027.2</v>
      </c>
      <c r="O35" s="29">
        <f t="shared" si="1"/>
        <v>0.20000000000000001</v>
      </c>
      <c r="P35" s="29">
        <f t="shared" si="1"/>
        <v>3.79</v>
      </c>
      <c r="Q35" s="29">
        <f t="shared" si="1"/>
        <v>59.740000000000002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2.5520833333333335</v>
      </c>
      <c r="C36" s="28">
        <f t="shared" si="2"/>
        <v>9.2674999999999965</v>
      </c>
      <c r="D36" s="28">
        <f t="shared" si="2"/>
        <v>11.731666666666667</v>
      </c>
      <c r="E36" s="28">
        <f t="shared" si="2"/>
        <v>4.665</v>
      </c>
      <c r="F36" s="28">
        <f t="shared" si="2"/>
        <v>0.81416666666666659</v>
      </c>
      <c r="G36" s="28">
        <f t="shared" si="2"/>
        <v>44.677916666666668</v>
      </c>
      <c r="H36" s="28">
        <f t="shared" si="2"/>
        <v>135.46124999999998</v>
      </c>
      <c r="I36" s="28">
        <f t="shared" si="2"/>
        <v>4.9241666666666672</v>
      </c>
      <c r="J36" s="28">
        <f t="shared" si="2"/>
        <v>0.5525000000000001</v>
      </c>
      <c r="K36" s="28">
        <f t="shared" si="2"/>
        <v>218.35416666666671</v>
      </c>
      <c r="L36" s="28">
        <f t="shared" si="2"/>
        <v>40.364166666666655</v>
      </c>
      <c r="M36" s="28">
        <f t="shared" si="2"/>
        <v>81.665833333333325</v>
      </c>
      <c r="N36" s="28">
        <f t="shared" si="2"/>
        <v>272.04999999999995</v>
      </c>
      <c r="O36" s="28">
        <f t="shared" si="2"/>
        <v>0.0083333333333333332</v>
      </c>
      <c r="P36" s="28">
        <f t="shared" si="2"/>
        <v>3.6508333333333343</v>
      </c>
      <c r="Q36" s="28">
        <f t="shared" si="2"/>
        <v>52.347916666666663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1.2634596367210102</v>
      </c>
      <c r="C37" s="28">
        <f t="shared" si="3" ref="C37:Q37">STDEV(C9:C32)</f>
        <v>2.6959135742823817</v>
      </c>
      <c r="D37" s="28">
        <f t="shared" si="3"/>
        <v>3.0773515810877394</v>
      </c>
      <c r="E37" s="28">
        <f t="shared" si="3"/>
        <v>1.2527534890583307</v>
      </c>
      <c r="F37" s="28">
        <f t="shared" si="3"/>
        <v>0.4267563877585826</v>
      </c>
      <c r="G37" s="28">
        <f t="shared" si="3"/>
        <v>16.433494158383443</v>
      </c>
      <c r="H37" s="28">
        <f t="shared" si="3"/>
        <v>68.372262066635656</v>
      </c>
      <c r="I37" s="28">
        <f t="shared" si="3"/>
        <v>1.2273545842022613</v>
      </c>
      <c r="J37" s="28">
        <f t="shared" si="3"/>
        <v>0.35796830075835767</v>
      </c>
      <c r="K37" s="28">
        <f t="shared" si="3"/>
        <v>35.793247106203978</v>
      </c>
      <c r="L37" s="28">
        <f t="shared" si="3"/>
        <v>6.1374820758911284</v>
      </c>
      <c r="M37" s="28">
        <f t="shared" si="3"/>
        <v>10.069689307700882</v>
      </c>
      <c r="N37" s="28">
        <f t="shared" si="3"/>
        <v>362.25267784889553</v>
      </c>
      <c r="O37" s="28">
        <f t="shared" si="3"/>
        <v>0.040824829046386311</v>
      </c>
      <c r="P37" s="28">
        <f t="shared" si="3"/>
        <v>0.073420567351015015</v>
      </c>
      <c r="Q37" s="28">
        <f t="shared" si="3"/>
        <v>4.8974873585887106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565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1a1773-a13d-42e4-b882-d5d8f4a09fed}">
  <sheetPr codeName=""/>
  <dimension ref="A1:U119"/>
  <sheetViews>
    <sheetView zoomScale="85" zoomScaleNormal="85" workbookViewId="0" topLeftCell="A1">
      <pane xSplit="1" ySplit="8" topLeftCell="B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3" sqref="B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590</v>
      </c>
      <c r="B9" s="51">
        <v>2.91</v>
      </c>
      <c r="C9" s="51">
        <v>8.19</v>
      </c>
      <c r="D9" s="51">
        <v>11.10</v>
      </c>
      <c r="E9" s="51">
        <v>5.24</v>
      </c>
      <c r="F9" s="51">
        <v>0.45</v>
      </c>
      <c r="G9" s="51">
        <v>23.66</v>
      </c>
      <c r="H9" s="51">
        <v>36.92</v>
      </c>
      <c r="I9" s="51">
        <v>6.94</v>
      </c>
      <c r="J9" s="51">
        <v>0.34</v>
      </c>
      <c r="K9" s="51">
        <v>200.38</v>
      </c>
      <c r="L9" s="51">
        <v>30.35</v>
      </c>
      <c r="M9" s="51">
        <v>89.10</v>
      </c>
      <c r="N9" s="51">
        <v>14.90</v>
      </c>
      <c r="O9" s="51">
        <v>0</v>
      </c>
      <c r="P9" s="51">
        <v>3.70</v>
      </c>
      <c r="Q9" s="51">
        <v>54.64</v>
      </c>
      <c r="R9" s="43"/>
      <c r="S9" s="43"/>
      <c r="T9" s="43"/>
      <c r="U9" s="43"/>
    </row>
    <row r="10" spans="1:21" s="11" customFormat="1" ht="15">
      <c r="A10" s="50" t="s">
        <v>591</v>
      </c>
      <c r="B10" s="51">
        <v>3.08</v>
      </c>
      <c r="C10" s="51">
        <v>7.52</v>
      </c>
      <c r="D10" s="51">
        <v>10.60</v>
      </c>
      <c r="E10" s="51">
        <v>5.85</v>
      </c>
      <c r="F10" s="51">
        <v>0.31</v>
      </c>
      <c r="G10" s="51">
        <v>19</v>
      </c>
      <c r="H10" s="51">
        <v>36.92</v>
      </c>
      <c r="I10" s="51">
        <v>7.76</v>
      </c>
      <c r="J10" s="51">
        <v>0.63</v>
      </c>
      <c r="K10" s="51">
        <v>209.79</v>
      </c>
      <c r="L10" s="51">
        <v>29.59</v>
      </c>
      <c r="M10" s="51">
        <v>90.20</v>
      </c>
      <c r="N10" s="51">
        <v>15</v>
      </c>
      <c r="O10" s="51">
        <v>0</v>
      </c>
      <c r="P10" s="51">
        <v>3.68</v>
      </c>
      <c r="Q10" s="51">
        <v>57.31</v>
      </c>
      <c r="R10" s="43"/>
      <c r="S10" s="43"/>
      <c r="T10" s="43"/>
      <c r="U10" s="43"/>
    </row>
    <row r="11" spans="1:21" s="11" customFormat="1" ht="15">
      <c r="A11" s="50" t="s">
        <v>592</v>
      </c>
      <c r="B11" s="51">
        <v>2.88</v>
      </c>
      <c r="C11" s="51">
        <v>7.26</v>
      </c>
      <c r="D11" s="51">
        <v>9.8800000000000008</v>
      </c>
      <c r="E11" s="51">
        <v>5.88</v>
      </c>
      <c r="F11" s="51">
        <v>0.21</v>
      </c>
      <c r="G11" s="51">
        <v>16.73</v>
      </c>
      <c r="H11" s="51">
        <v>29.08</v>
      </c>
      <c r="I11" s="51">
        <v>7.92</v>
      </c>
      <c r="J11" s="51">
        <v>1.05</v>
      </c>
      <c r="K11" s="51">
        <v>172.63</v>
      </c>
      <c r="L11" s="51">
        <v>30.13</v>
      </c>
      <c r="M11" s="51">
        <v>92.54</v>
      </c>
      <c r="N11" s="51">
        <v>14.90</v>
      </c>
      <c r="O11" s="51">
        <v>0</v>
      </c>
      <c r="P11" s="51">
        <v>3.66</v>
      </c>
      <c r="Q11" s="51">
        <v>56.05</v>
      </c>
      <c r="R11" s="43"/>
      <c r="S11" s="43"/>
      <c r="T11" s="43"/>
      <c r="U11" s="43"/>
    </row>
    <row r="12" spans="1:21" s="11" customFormat="1" ht="15">
      <c r="A12" s="50" t="s">
        <v>593</v>
      </c>
      <c r="B12" s="51">
        <v>2.3199999999999998</v>
      </c>
      <c r="C12" s="51">
        <v>7.18</v>
      </c>
      <c r="D12" s="51">
        <v>9.40</v>
      </c>
      <c r="E12" s="51">
        <v>5.91</v>
      </c>
      <c r="F12" s="51">
        <v>0.40</v>
      </c>
      <c r="G12" s="51">
        <v>12.36</v>
      </c>
      <c r="H12" s="51">
        <v>83.54</v>
      </c>
      <c r="I12" s="51">
        <v>7.41</v>
      </c>
      <c r="J12" s="51">
        <v>1.38</v>
      </c>
      <c r="K12" s="51">
        <v>196.96</v>
      </c>
      <c r="L12" s="51">
        <v>29.93</v>
      </c>
      <c r="M12" s="51">
        <v>94.92</v>
      </c>
      <c r="N12" s="51">
        <v>14.80</v>
      </c>
      <c r="O12" s="51">
        <v>0</v>
      </c>
      <c r="P12" s="51">
        <v>3.62</v>
      </c>
      <c r="Q12" s="51">
        <v>54.80</v>
      </c>
      <c r="R12" s="43"/>
      <c r="S12" s="43"/>
      <c r="T12" s="43"/>
      <c r="U12" s="43"/>
    </row>
    <row r="13" spans="1:21" s="11" customFormat="1" ht="15">
      <c r="A13" s="50" t="s">
        <v>594</v>
      </c>
      <c r="B13" s="51">
        <v>2.54</v>
      </c>
      <c r="C13" s="51">
        <v>7.10</v>
      </c>
      <c r="D13" s="51">
        <v>9.64</v>
      </c>
      <c r="E13" s="51">
        <v>5.48</v>
      </c>
      <c r="F13" s="51">
        <v>0.18</v>
      </c>
      <c r="G13" s="51">
        <v>10.81</v>
      </c>
      <c r="H13" s="51">
        <v>83.54</v>
      </c>
      <c r="I13" s="51">
        <v>7.03</v>
      </c>
      <c r="J13" s="51">
        <v>0.84</v>
      </c>
      <c r="K13" s="51">
        <v>183.89</v>
      </c>
      <c r="L13" s="51">
        <v>31.98</v>
      </c>
      <c r="M13" s="51">
        <v>96.12</v>
      </c>
      <c r="N13" s="51">
        <v>14.70</v>
      </c>
      <c r="O13" s="51">
        <v>0</v>
      </c>
      <c r="P13" s="51">
        <v>3.60</v>
      </c>
      <c r="Q13" s="51">
        <v>54.78</v>
      </c>
      <c r="R13" s="43"/>
      <c r="S13" s="43"/>
      <c r="T13" s="43"/>
      <c r="U13" s="43"/>
    </row>
    <row r="14" spans="1:21" s="11" customFormat="1" ht="15">
      <c r="A14" s="50" t="s">
        <v>595</v>
      </c>
      <c r="B14" s="51">
        <v>3.24</v>
      </c>
      <c r="C14" s="51">
        <v>7.36</v>
      </c>
      <c r="D14" s="51">
        <v>10.60</v>
      </c>
      <c r="E14" s="51">
        <v>5.64</v>
      </c>
      <c r="F14" s="51">
        <v>0.30</v>
      </c>
      <c r="G14" s="51">
        <v>16.68</v>
      </c>
      <c r="H14" s="51">
        <v>41.63</v>
      </c>
      <c r="I14" s="51">
        <v>7.03</v>
      </c>
      <c r="J14" s="51">
        <v>0.47</v>
      </c>
      <c r="K14" s="51">
        <v>206.70</v>
      </c>
      <c r="L14" s="51">
        <v>33.46</v>
      </c>
      <c r="M14" s="51">
        <v>96.77</v>
      </c>
      <c r="N14" s="51">
        <v>26.40</v>
      </c>
      <c r="O14" s="51">
        <v>0</v>
      </c>
      <c r="P14" s="51">
        <v>3.60</v>
      </c>
      <c r="Q14" s="51">
        <v>54.97</v>
      </c>
      <c r="R14" s="43"/>
      <c r="S14" s="43"/>
      <c r="T14" s="43"/>
      <c r="U14" s="43"/>
    </row>
    <row r="15" spans="1:21" s="11" customFormat="1" ht="15">
      <c r="A15" s="50" t="s">
        <v>596</v>
      </c>
      <c r="B15" s="51">
        <v>3.81</v>
      </c>
      <c r="C15" s="51">
        <v>7.76</v>
      </c>
      <c r="D15" s="51">
        <v>11.44</v>
      </c>
      <c r="E15" s="51">
        <v>5.84</v>
      </c>
      <c r="F15" s="51">
        <v>0.25</v>
      </c>
      <c r="G15" s="51">
        <v>16.68</v>
      </c>
      <c r="H15" s="51">
        <v>44.74</v>
      </c>
      <c r="I15" s="51">
        <v>6.95</v>
      </c>
      <c r="J15" s="51">
        <v>0.36</v>
      </c>
      <c r="K15" s="51">
        <v>192.27</v>
      </c>
      <c r="L15" s="51">
        <v>38.83</v>
      </c>
      <c r="M15" s="51">
        <v>95.45</v>
      </c>
      <c r="N15" s="51">
        <v>95.90</v>
      </c>
      <c r="O15" s="51">
        <v>0</v>
      </c>
      <c r="P15" s="51">
        <v>3.60</v>
      </c>
      <c r="Q15" s="51">
        <v>53.38</v>
      </c>
      <c r="R15" s="43"/>
      <c r="S15" s="43"/>
      <c r="T15" s="43"/>
      <c r="U15" s="43"/>
    </row>
    <row r="16" spans="1:21" s="11" customFormat="1" ht="15">
      <c r="A16" s="50" t="s">
        <v>597</v>
      </c>
      <c r="B16" s="51">
        <v>4.97</v>
      </c>
      <c r="C16" s="51">
        <v>7.92</v>
      </c>
      <c r="D16" s="51">
        <v>12.89</v>
      </c>
      <c r="E16" s="51">
        <v>5.79</v>
      </c>
      <c r="F16" s="51">
        <v>0.32</v>
      </c>
      <c r="G16" s="51">
        <v>15.70</v>
      </c>
      <c r="H16" s="51">
        <v>48.30</v>
      </c>
      <c r="I16" s="51">
        <v>6.97</v>
      </c>
      <c r="J16" s="51">
        <v>0.59</v>
      </c>
      <c r="K16" s="51">
        <v>175.13</v>
      </c>
      <c r="L16" s="51">
        <v>40.42</v>
      </c>
      <c r="M16" s="51">
        <v>87.76</v>
      </c>
      <c r="N16" s="51">
        <v>329.10</v>
      </c>
      <c r="O16" s="51">
        <v>0</v>
      </c>
      <c r="P16" s="51">
        <v>3.63</v>
      </c>
      <c r="Q16" s="51">
        <v>55.86</v>
      </c>
      <c r="R16" s="43"/>
      <c r="S16" s="43"/>
      <c r="T16" s="43"/>
      <c r="U16" s="43"/>
    </row>
    <row r="17" spans="1:21" s="11" customFormat="1" ht="15">
      <c r="A17" s="50" t="s">
        <v>598</v>
      </c>
      <c r="B17" s="51">
        <v>5.21</v>
      </c>
      <c r="C17" s="51">
        <v>8.76</v>
      </c>
      <c r="D17" s="51">
        <v>13.92</v>
      </c>
      <c r="E17" s="51">
        <v>6.28</v>
      </c>
      <c r="F17" s="51">
        <v>0.47</v>
      </c>
      <c r="G17" s="51">
        <v>15.70</v>
      </c>
      <c r="H17" s="51">
        <v>182.40</v>
      </c>
      <c r="I17" s="51">
        <v>7.52</v>
      </c>
      <c r="J17" s="51">
        <v>0.46</v>
      </c>
      <c r="K17" s="51">
        <v>208.47</v>
      </c>
      <c r="L17" s="51">
        <v>36.01</v>
      </c>
      <c r="M17" s="51">
        <v>80.77</v>
      </c>
      <c r="N17" s="51">
        <v>627.90</v>
      </c>
      <c r="O17" s="51">
        <v>0</v>
      </c>
      <c r="P17" s="51">
        <v>3.66</v>
      </c>
      <c r="Q17" s="51">
        <v>56.42</v>
      </c>
      <c r="R17" s="43"/>
      <c r="S17" s="43"/>
      <c r="T17" s="43"/>
      <c r="U17" s="43"/>
    </row>
    <row r="18" spans="1:21" s="11" customFormat="1" ht="15">
      <c r="A18" s="50" t="s">
        <v>599</v>
      </c>
      <c r="B18" s="51">
        <v>5.16</v>
      </c>
      <c r="C18" s="51">
        <v>10.65</v>
      </c>
      <c r="D18" s="51">
        <v>14.97</v>
      </c>
      <c r="E18" s="51">
        <v>5.96</v>
      </c>
      <c r="F18" s="51">
        <v>0.77</v>
      </c>
      <c r="G18" s="51">
        <v>26.51</v>
      </c>
      <c r="H18" s="51">
        <v>284.20999999999998</v>
      </c>
      <c r="I18" s="51">
        <v>7.82</v>
      </c>
      <c r="J18" s="51">
        <v>0.74</v>
      </c>
      <c r="K18" s="51">
        <v>340.23</v>
      </c>
      <c r="L18" s="51">
        <v>36.82</v>
      </c>
      <c r="M18" s="51">
        <v>69.680000000000007</v>
      </c>
      <c r="N18" s="51">
        <v>759.10</v>
      </c>
      <c r="O18" s="51">
        <v>0</v>
      </c>
      <c r="P18" s="51">
        <v>3.72</v>
      </c>
      <c r="Q18" s="51">
        <v>55.07</v>
      </c>
      <c r="R18" s="43"/>
      <c r="S18" s="43"/>
      <c r="T18" s="43"/>
      <c r="U18" s="43"/>
    </row>
    <row r="19" spans="1:21" s="11" customFormat="1" ht="15">
      <c r="A19" s="50" t="s">
        <v>600</v>
      </c>
      <c r="B19" s="51">
        <v>3.48</v>
      </c>
      <c r="C19" s="51">
        <v>11.73</v>
      </c>
      <c r="D19" s="51">
        <v>14.36</v>
      </c>
      <c r="E19" s="51">
        <v>5.61</v>
      </c>
      <c r="F19" s="51">
        <v>0.94</v>
      </c>
      <c r="G19" s="51">
        <v>28.20</v>
      </c>
      <c r="H19" s="51">
        <v>284.20999999999998</v>
      </c>
      <c r="I19" s="51">
        <v>7.41</v>
      </c>
      <c r="J19" s="51">
        <v>0.35</v>
      </c>
      <c r="K19" s="51">
        <v>234.21</v>
      </c>
      <c r="L19" s="51">
        <v>38.67</v>
      </c>
      <c r="M19" s="51">
        <v>67.55</v>
      </c>
      <c r="N19" s="51">
        <v>966.90</v>
      </c>
      <c r="O19" s="51">
        <v>0</v>
      </c>
      <c r="P19" s="51">
        <v>3.70</v>
      </c>
      <c r="Q19" s="51">
        <v>51.86</v>
      </c>
      <c r="R19" s="43"/>
      <c r="S19" s="43"/>
      <c r="T19" s="43"/>
      <c r="U19" s="43"/>
    </row>
    <row r="20" spans="1:21" s="11" customFormat="1" ht="15">
      <c r="A20" s="50" t="s">
        <v>601</v>
      </c>
      <c r="B20" s="51">
        <v>1.82</v>
      </c>
      <c r="C20" s="51">
        <v>11.49</v>
      </c>
      <c r="D20" s="51">
        <v>13.30</v>
      </c>
      <c r="E20" s="51">
        <v>4.4800000000000004</v>
      </c>
      <c r="F20" s="51">
        <v>1.23</v>
      </c>
      <c r="G20" s="51">
        <v>28.75</v>
      </c>
      <c r="H20" s="51">
        <v>107.77</v>
      </c>
      <c r="I20" s="51">
        <v>6.27</v>
      </c>
      <c r="J20" s="51">
        <v>0.44</v>
      </c>
      <c r="K20" s="51">
        <v>188.57</v>
      </c>
      <c r="L20" s="51">
        <v>36.64</v>
      </c>
      <c r="M20" s="51">
        <v>67.680000000000007</v>
      </c>
      <c r="N20" s="51">
        <v>963</v>
      </c>
      <c r="O20" s="51">
        <v>0</v>
      </c>
      <c r="P20" s="51">
        <v>3.68</v>
      </c>
      <c r="Q20" s="51">
        <v>48.63</v>
      </c>
      <c r="R20" s="43"/>
      <c r="S20" s="43"/>
      <c r="T20" s="43"/>
      <c r="U20" s="43"/>
    </row>
    <row r="21" spans="1:21" s="11" customFormat="1" ht="15">
      <c r="A21" s="50" t="s">
        <v>602</v>
      </c>
      <c r="B21" s="51">
        <v>1.77</v>
      </c>
      <c r="C21" s="51">
        <v>11.45</v>
      </c>
      <c r="D21" s="51">
        <v>13.22</v>
      </c>
      <c r="E21" s="51">
        <v>3.94</v>
      </c>
      <c r="F21" s="51">
        <v>0.96</v>
      </c>
      <c r="G21" s="51">
        <v>38.159999999999997</v>
      </c>
      <c r="H21" s="51">
        <v>267.23</v>
      </c>
      <c r="I21" s="51">
        <v>5.74</v>
      </c>
      <c r="J21" s="51">
        <v>0.56000000000000005</v>
      </c>
      <c r="K21" s="51">
        <v>355.32</v>
      </c>
      <c r="L21" s="51">
        <v>37.380000000000003</v>
      </c>
      <c r="M21" s="51">
        <v>70.56</v>
      </c>
      <c r="N21" s="51">
        <v>971</v>
      </c>
      <c r="O21" s="51">
        <v>0</v>
      </c>
      <c r="P21" s="51">
        <v>3.70</v>
      </c>
      <c r="Q21" s="51">
        <v>49.24</v>
      </c>
      <c r="R21" s="43"/>
      <c r="S21" s="43"/>
      <c r="T21" s="43"/>
      <c r="U21" s="43"/>
    </row>
    <row r="22" spans="1:21" s="11" customFormat="1" ht="15">
      <c r="A22" s="50" t="s">
        <v>603</v>
      </c>
      <c r="B22" s="51">
        <v>1.70</v>
      </c>
      <c r="C22" s="51">
        <v>10.88</v>
      </c>
      <c r="D22" s="51">
        <v>12.42</v>
      </c>
      <c r="E22" s="51">
        <v>3.76</v>
      </c>
      <c r="F22" s="51">
        <v>1.22</v>
      </c>
      <c r="G22" s="51">
        <v>38.159999999999997</v>
      </c>
      <c r="H22" s="51">
        <v>267.23</v>
      </c>
      <c r="I22" s="51">
        <v>5.66</v>
      </c>
      <c r="J22" s="51">
        <v>0.63</v>
      </c>
      <c r="K22" s="51">
        <v>164.55</v>
      </c>
      <c r="L22" s="51">
        <v>37.60</v>
      </c>
      <c r="M22" s="51">
        <v>63.41</v>
      </c>
      <c r="N22" s="51">
        <v>918.90</v>
      </c>
      <c r="O22" s="51">
        <v>0</v>
      </c>
      <c r="P22" s="51">
        <v>3.69</v>
      </c>
      <c r="Q22" s="51">
        <v>47.08</v>
      </c>
      <c r="R22" s="43"/>
      <c r="S22" s="43"/>
      <c r="T22" s="43"/>
      <c r="U22" s="43"/>
    </row>
    <row r="23" spans="1:21" s="11" customFormat="1" ht="15">
      <c r="A23" s="50" t="s">
        <v>604</v>
      </c>
      <c r="B23" s="51">
        <v>1.88</v>
      </c>
      <c r="C23" s="51">
        <v>11.45</v>
      </c>
      <c r="D23" s="51">
        <v>13.34</v>
      </c>
      <c r="E23" s="51">
        <v>3.82</v>
      </c>
      <c r="F23" s="51">
        <v>0.86</v>
      </c>
      <c r="G23" s="51">
        <v>34.130000000000003</v>
      </c>
      <c r="H23" s="51">
        <v>89.34</v>
      </c>
      <c r="I23" s="51">
        <v>5.48</v>
      </c>
      <c r="J23" s="51">
        <v>0.19</v>
      </c>
      <c r="K23" s="51">
        <v>347.41</v>
      </c>
      <c r="L23" s="51">
        <v>37.92</v>
      </c>
      <c r="M23" s="51">
        <v>59.88</v>
      </c>
      <c r="N23" s="51">
        <v>767.20</v>
      </c>
      <c r="O23" s="51">
        <v>0</v>
      </c>
      <c r="P23" s="51">
        <v>3.72</v>
      </c>
      <c r="Q23" s="51">
        <v>47.05</v>
      </c>
      <c r="R23" s="43"/>
      <c r="S23" s="43"/>
      <c r="T23" s="43"/>
      <c r="U23" s="43"/>
    </row>
    <row r="24" spans="1:21" s="11" customFormat="1" ht="15">
      <c r="A24" s="50" t="s">
        <v>605</v>
      </c>
      <c r="B24" s="51">
        <v>3.44</v>
      </c>
      <c r="C24" s="51">
        <v>13.19</v>
      </c>
      <c r="D24" s="51">
        <v>16.64</v>
      </c>
      <c r="E24" s="51">
        <v>3.48</v>
      </c>
      <c r="F24" s="51">
        <v>1.0900000000000001</v>
      </c>
      <c r="G24" s="51">
        <v>43.53</v>
      </c>
      <c r="H24" s="51">
        <v>367.02</v>
      </c>
      <c r="I24" s="51">
        <v>5.53</v>
      </c>
      <c r="J24" s="51">
        <v>0.61</v>
      </c>
      <c r="K24" s="51">
        <v>312.52999999999997</v>
      </c>
      <c r="L24" s="51">
        <v>37.96</v>
      </c>
      <c r="M24" s="51">
        <v>63.63</v>
      </c>
      <c r="N24" s="51">
        <v>437.60</v>
      </c>
      <c r="O24" s="51">
        <v>0</v>
      </c>
      <c r="P24" s="51">
        <v>3.82</v>
      </c>
      <c r="Q24" s="51">
        <v>47.79</v>
      </c>
      <c r="R24" s="43"/>
      <c r="S24" s="43"/>
      <c r="T24" s="43"/>
      <c r="U24" s="43"/>
    </row>
    <row r="25" spans="1:21" s="11" customFormat="1" ht="15">
      <c r="A25" s="50" t="s">
        <v>606</v>
      </c>
      <c r="B25" s="51">
        <v>5.96</v>
      </c>
      <c r="C25" s="51">
        <v>24.14</v>
      </c>
      <c r="D25" s="51">
        <v>29.65</v>
      </c>
      <c r="E25" s="51">
        <v>5.45</v>
      </c>
      <c r="F25" s="51">
        <v>1.78</v>
      </c>
      <c r="G25" s="51">
        <v>43.53</v>
      </c>
      <c r="H25" s="51">
        <v>367.02</v>
      </c>
      <c r="I25" s="51">
        <v>6.16</v>
      </c>
      <c r="J25" s="51">
        <v>0.67</v>
      </c>
      <c r="K25" s="51">
        <v>317.83999999999997</v>
      </c>
      <c r="L25" s="51">
        <v>38.08</v>
      </c>
      <c r="M25" s="51">
        <v>63.02</v>
      </c>
      <c r="N25" s="51">
        <v>226.40</v>
      </c>
      <c r="O25" s="51">
        <v>0</v>
      </c>
      <c r="P25" s="51">
        <v>4.01</v>
      </c>
      <c r="Q25" s="51">
        <v>52.48</v>
      </c>
      <c r="R25" s="43"/>
      <c r="S25" s="43"/>
      <c r="T25" s="43"/>
      <c r="U25" s="43"/>
    </row>
    <row r="26" spans="1:21" s="11" customFormat="1" ht="15">
      <c r="A26" s="50" t="s">
        <v>607</v>
      </c>
      <c r="B26" s="51">
        <v>6.30</v>
      </c>
      <c r="C26" s="51">
        <v>23.76</v>
      </c>
      <c r="D26" s="51">
        <v>29.54</v>
      </c>
      <c r="E26" s="51">
        <v>3.95</v>
      </c>
      <c r="F26" s="51">
        <v>1.1499999999999999</v>
      </c>
      <c r="G26" s="18" t="s">
        <v>12</v>
      </c>
      <c r="H26" s="18" t="s">
        <v>12</v>
      </c>
      <c r="I26" s="51">
        <v>5.84</v>
      </c>
      <c r="J26" s="51">
        <v>0.10</v>
      </c>
      <c r="K26" s="51">
        <v>216.96</v>
      </c>
      <c r="L26" s="51">
        <v>40.47</v>
      </c>
      <c r="M26" s="51">
        <v>67.290000000000006</v>
      </c>
      <c r="N26" s="51">
        <v>125.30</v>
      </c>
      <c r="O26" s="51">
        <v>0</v>
      </c>
      <c r="P26" s="51">
        <v>3.96</v>
      </c>
      <c r="Q26" s="51">
        <v>60.56</v>
      </c>
      <c r="R26" s="43"/>
      <c r="S26" s="43"/>
      <c r="T26" s="43"/>
      <c r="U26" s="43"/>
    </row>
    <row r="27" spans="1:21" s="11" customFormat="1" ht="15">
      <c r="A27" s="50" t="s">
        <v>608</v>
      </c>
      <c r="B27" s="51">
        <v>12.17</v>
      </c>
      <c r="C27" s="51">
        <v>22.72</v>
      </c>
      <c r="D27" s="51">
        <v>33.130000000000003</v>
      </c>
      <c r="E27" s="51">
        <v>3.29</v>
      </c>
      <c r="F27" s="51">
        <v>0.48</v>
      </c>
      <c r="G27" s="51">
        <v>56.61</v>
      </c>
      <c r="H27" s="51">
        <v>24.31</v>
      </c>
      <c r="I27" s="51">
        <v>4.71</v>
      </c>
      <c r="J27" s="51">
        <v>0.11</v>
      </c>
      <c r="K27" s="51">
        <v>337.36</v>
      </c>
      <c r="L27" s="51">
        <v>46.89</v>
      </c>
      <c r="M27" s="51">
        <v>73.27</v>
      </c>
      <c r="N27" s="51">
        <v>31.80</v>
      </c>
      <c r="O27" s="51">
        <v>0</v>
      </c>
      <c r="P27" s="51">
        <v>3.36</v>
      </c>
      <c r="Q27" s="51">
        <v>63.02</v>
      </c>
      <c r="R27" s="43"/>
      <c r="S27" s="43"/>
      <c r="T27" s="43"/>
      <c r="U27" s="43"/>
    </row>
    <row r="28" spans="1:21" s="11" customFormat="1" ht="15">
      <c r="A28" s="50" t="s">
        <v>609</v>
      </c>
      <c r="B28" s="51">
        <v>20.90</v>
      </c>
      <c r="C28" s="51">
        <v>30.89</v>
      </c>
      <c r="D28" s="51">
        <v>51.47</v>
      </c>
      <c r="E28" s="51">
        <v>3.72</v>
      </c>
      <c r="F28" s="51">
        <v>0.15</v>
      </c>
      <c r="G28" s="51">
        <v>56.61</v>
      </c>
      <c r="H28" s="51">
        <v>27.13</v>
      </c>
      <c r="I28" s="51">
        <v>5.84</v>
      </c>
      <c r="J28" s="51">
        <v>0.16</v>
      </c>
      <c r="K28" s="51">
        <v>230.78</v>
      </c>
      <c r="L28" s="51">
        <v>48.12</v>
      </c>
      <c r="M28" s="51">
        <v>76.63</v>
      </c>
      <c r="N28" s="51">
        <v>15</v>
      </c>
      <c r="O28" s="51">
        <v>0</v>
      </c>
      <c r="P28" s="51">
        <v>3.29</v>
      </c>
      <c r="Q28" s="51">
        <v>74.03</v>
      </c>
      <c r="R28" s="43"/>
      <c r="S28" s="43"/>
      <c r="T28" s="43"/>
      <c r="U28" s="43"/>
    </row>
    <row r="29" spans="1:21" s="11" customFormat="1" ht="15">
      <c r="A29" s="50" t="s">
        <v>610</v>
      </c>
      <c r="B29" s="51">
        <v>19.149999999999999</v>
      </c>
      <c r="C29" s="51">
        <v>18.739999999999998</v>
      </c>
      <c r="D29" s="51">
        <v>37.89</v>
      </c>
      <c r="E29" s="51">
        <v>3.54</v>
      </c>
      <c r="F29" s="51">
        <v>0.32</v>
      </c>
      <c r="G29" s="51">
        <v>52.47</v>
      </c>
      <c r="H29" s="51">
        <v>27.13</v>
      </c>
      <c r="I29" s="51">
        <v>6.99</v>
      </c>
      <c r="J29" s="51">
        <v>0.5</v>
      </c>
      <c r="K29" s="51">
        <v>230.08</v>
      </c>
      <c r="L29" s="51">
        <v>45.08</v>
      </c>
      <c r="M29" s="51">
        <v>79.819999999999993</v>
      </c>
      <c r="N29" s="51">
        <v>14.90</v>
      </c>
      <c r="O29" s="51">
        <v>0</v>
      </c>
      <c r="P29" s="51">
        <v>3.29</v>
      </c>
      <c r="Q29" s="51">
        <v>68.30</v>
      </c>
      <c r="R29" s="43"/>
      <c r="S29" s="43"/>
      <c r="T29" s="43"/>
      <c r="U29" s="43"/>
    </row>
    <row r="30" spans="1:21" s="11" customFormat="1" ht="15">
      <c r="A30" s="50" t="s">
        <v>611</v>
      </c>
      <c r="B30" s="51">
        <v>20.04</v>
      </c>
      <c r="C30" s="51">
        <v>12.13</v>
      </c>
      <c r="D30" s="51">
        <v>31.13</v>
      </c>
      <c r="E30" s="51">
        <v>4.03</v>
      </c>
      <c r="F30" s="51">
        <v>0.11</v>
      </c>
      <c r="G30" s="51">
        <v>55.79</v>
      </c>
      <c r="H30" s="51">
        <v>24.21</v>
      </c>
      <c r="I30" s="51">
        <v>7.68</v>
      </c>
      <c r="J30" s="51">
        <v>0.28999999999999998</v>
      </c>
      <c r="K30" s="51">
        <v>350.75</v>
      </c>
      <c r="L30" s="51">
        <v>44.37</v>
      </c>
      <c r="M30" s="51">
        <v>85.68</v>
      </c>
      <c r="N30" s="51">
        <v>15.10</v>
      </c>
      <c r="O30" s="51">
        <v>0</v>
      </c>
      <c r="P30" s="51">
        <v>3.37</v>
      </c>
      <c r="Q30" s="51">
        <v>71.06</v>
      </c>
      <c r="R30" s="43"/>
      <c r="S30" s="43"/>
      <c r="T30" s="43"/>
      <c r="U30" s="43"/>
    </row>
    <row r="31" spans="1:21" s="11" customFormat="1" ht="15">
      <c r="A31" s="50" t="s">
        <v>612</v>
      </c>
      <c r="B31" s="51">
        <v>24.59</v>
      </c>
      <c r="C31" s="51">
        <v>10.51</v>
      </c>
      <c r="D31" s="51">
        <v>33.82</v>
      </c>
      <c r="E31" s="51">
        <v>5.07</v>
      </c>
      <c r="F31" s="51">
        <v>0.11</v>
      </c>
      <c r="G31" s="51">
        <v>74.59</v>
      </c>
      <c r="H31" s="51">
        <v>25.84</v>
      </c>
      <c r="I31" s="51">
        <v>10.10</v>
      </c>
      <c r="J31" s="51">
        <v>0.84</v>
      </c>
      <c r="K31" s="51">
        <v>202.60</v>
      </c>
      <c r="L31" s="51">
        <v>40.35</v>
      </c>
      <c r="M31" s="51">
        <v>84.44</v>
      </c>
      <c r="N31" s="51">
        <v>14.80</v>
      </c>
      <c r="O31" s="51">
        <v>0</v>
      </c>
      <c r="P31" s="51">
        <v>3.42</v>
      </c>
      <c r="Q31" s="51">
        <v>75.02</v>
      </c>
      <c r="R31" s="43"/>
      <c r="S31" s="43"/>
      <c r="T31" s="43"/>
      <c r="U31" s="43"/>
    </row>
    <row r="32" spans="1:21" s="11" customFormat="1" ht="15">
      <c r="A32" s="50" t="s">
        <v>613</v>
      </c>
      <c r="B32" s="51">
        <v>23.85</v>
      </c>
      <c r="C32" s="51">
        <v>8.3000000000000007</v>
      </c>
      <c r="D32" s="51">
        <v>32.14</v>
      </c>
      <c r="E32" s="51">
        <v>5.55</v>
      </c>
      <c r="F32" s="51">
        <v>0.26</v>
      </c>
      <c r="G32" s="51">
        <v>74.59</v>
      </c>
      <c r="H32" s="51">
        <v>25.84</v>
      </c>
      <c r="I32" s="51">
        <v>10.85</v>
      </c>
      <c r="J32" s="51">
        <v>0.56000000000000005</v>
      </c>
      <c r="K32" s="51">
        <v>217.82</v>
      </c>
      <c r="L32" s="51">
        <v>41.51</v>
      </c>
      <c r="M32" s="51">
        <v>89.63</v>
      </c>
      <c r="N32" s="51">
        <v>15.20</v>
      </c>
      <c r="O32" s="51">
        <v>0</v>
      </c>
      <c r="P32" s="51">
        <v>3.39</v>
      </c>
      <c r="Q32" s="51">
        <v>75.38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1.7</v>
      </c>
      <c r="C34" s="28">
        <f t="shared" si="0"/>
        <v>7.0999999999999996</v>
      </c>
      <c r="D34" s="28">
        <f t="shared" si="0"/>
        <v>9.4000000000000004</v>
      </c>
      <c r="E34" s="28">
        <f t="shared" si="0"/>
        <v>3.29</v>
      </c>
      <c r="F34" s="28">
        <f t="shared" si="0"/>
        <v>0.11</v>
      </c>
      <c r="G34" s="28">
        <f t="shared" si="0"/>
        <v>10.81</v>
      </c>
      <c r="H34" s="28">
        <f t="shared" si="0"/>
        <v>24.210000000000001</v>
      </c>
      <c r="I34" s="28">
        <f t="shared" si="0"/>
        <v>4.71</v>
      </c>
      <c r="J34" s="28">
        <f t="shared" si="0"/>
        <v>0.10000000000000001</v>
      </c>
      <c r="K34" s="28">
        <f t="shared" si="0"/>
        <v>164.55000000000001</v>
      </c>
      <c r="L34" s="28">
        <f t="shared" si="0"/>
        <v>29.59</v>
      </c>
      <c r="M34" s="28">
        <f t="shared" si="0"/>
        <v>59.880000000000003</v>
      </c>
      <c r="N34" s="28">
        <f t="shared" si="0"/>
        <v>14.699999999999999</v>
      </c>
      <c r="O34" s="28">
        <f t="shared" si="0"/>
        <v>0</v>
      </c>
      <c r="P34" s="28">
        <f t="shared" si="0"/>
        <v>3.29</v>
      </c>
      <c r="Q34" s="28">
        <f t="shared" si="0"/>
        <v>47.049999999999997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24.59</v>
      </c>
      <c r="C35" s="29">
        <f t="shared" si="1"/>
        <v>30.890000000000001</v>
      </c>
      <c r="D35" s="29">
        <f t="shared" si="1"/>
        <v>51.469999999999999</v>
      </c>
      <c r="E35" s="29">
        <f t="shared" si="1"/>
        <v>6.2800000000000002</v>
      </c>
      <c r="F35" s="29">
        <f t="shared" si="1"/>
        <v>1.78</v>
      </c>
      <c r="G35" s="29">
        <f t="shared" si="1"/>
        <v>74.590000000000003</v>
      </c>
      <c r="H35" s="29">
        <f t="shared" si="1"/>
        <v>367.01999999999998</v>
      </c>
      <c r="I35" s="29">
        <f t="shared" si="1"/>
        <v>10.85</v>
      </c>
      <c r="J35" s="29">
        <f t="shared" si="1"/>
        <v>1.3799999999999999</v>
      </c>
      <c r="K35" s="29">
        <f t="shared" si="1"/>
        <v>355.31999999999999</v>
      </c>
      <c r="L35" s="29">
        <f t="shared" si="1"/>
        <v>48.119999999999997</v>
      </c>
      <c r="M35" s="29">
        <f t="shared" si="1"/>
        <v>96.769999999999996</v>
      </c>
      <c r="N35" s="29">
        <f t="shared" si="1"/>
        <v>971</v>
      </c>
      <c r="O35" s="29">
        <f t="shared" si="1"/>
        <v>0</v>
      </c>
      <c r="P35" s="29">
        <f t="shared" si="1"/>
        <v>4.0099999999999998</v>
      </c>
      <c r="Q35" s="29">
        <f t="shared" si="1"/>
        <v>75.379999999999995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7.6320833333333331</v>
      </c>
      <c r="C36" s="28">
        <f t="shared" si="2"/>
        <v>12.545</v>
      </c>
      <c r="D36" s="28">
        <f t="shared" si="2"/>
        <v>19.853749999999998</v>
      </c>
      <c r="E36" s="28">
        <f t="shared" si="2"/>
        <v>4.8983333333333343</v>
      </c>
      <c r="F36" s="28">
        <f t="shared" si="2"/>
        <v>0.59666666666666657</v>
      </c>
      <c r="G36" s="28">
        <f t="shared" si="2"/>
        <v>34.736956521739124</v>
      </c>
      <c r="H36" s="28">
        <f t="shared" si="2"/>
        <v>120.67652173913045</v>
      </c>
      <c r="I36" s="28">
        <f t="shared" si="2"/>
        <v>6.9837499999999997</v>
      </c>
      <c r="J36" s="28">
        <f t="shared" si="2"/>
        <v>0.53625</v>
      </c>
      <c r="K36" s="28">
        <f t="shared" si="2"/>
        <v>241.38458333333332</v>
      </c>
      <c r="L36" s="28">
        <f t="shared" si="2"/>
        <v>37.856666666666676</v>
      </c>
      <c r="M36" s="28">
        <f t="shared" si="2"/>
        <v>79.40833333333336</v>
      </c>
      <c r="N36" s="28">
        <f t="shared" si="2"/>
        <v>308.15833333333336</v>
      </c>
      <c r="O36" s="28">
        <f t="shared" si="2"/>
        <v>0</v>
      </c>
      <c r="P36" s="28">
        <f t="shared" si="2"/>
        <v>3.6195833333333343</v>
      </c>
      <c r="Q36" s="28">
        <f t="shared" si="2"/>
        <v>57.699166666666656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7.7525799235489652</v>
      </c>
      <c r="C37" s="28">
        <f t="shared" si="3" ref="C37:Q37">STDEV(C9:C32)</f>
        <v>6.554229965051781</v>
      </c>
      <c r="D37" s="28">
        <f t="shared" si="3"/>
        <v>11.662977773428125</v>
      </c>
      <c r="E37" s="28">
        <f t="shared" si="3"/>
        <v>0.99821870334618579</v>
      </c>
      <c r="F37" s="28">
        <f t="shared" si="3"/>
        <v>0.45357197469848609</v>
      </c>
      <c r="G37" s="28">
        <f t="shared" si="3"/>
        <v>19.494201337083577</v>
      </c>
      <c r="H37" s="28">
        <f t="shared" si="3"/>
        <v>120.46962625902069</v>
      </c>
      <c r="I37" s="28">
        <f t="shared" si="3"/>
        <v>1.3929755842299925</v>
      </c>
      <c r="J37" s="28">
        <f t="shared" si="3"/>
        <v>0.29970728473251873</v>
      </c>
      <c r="K37" s="28">
        <f t="shared" si="3"/>
        <v>65.768788816790206</v>
      </c>
      <c r="L37" s="28">
        <f t="shared" si="3"/>
        <v>5.2066835532023168</v>
      </c>
      <c r="M37" s="28">
        <f t="shared" si="3"/>
        <v>12.336912680762122</v>
      </c>
      <c r="N37" s="28">
        <f t="shared" si="3"/>
        <v>379.32344568886759</v>
      </c>
      <c r="O37" s="28">
        <f t="shared" si="3"/>
        <v>0</v>
      </c>
      <c r="P37" s="28">
        <f t="shared" si="3"/>
        <v>0.18700102689015111</v>
      </c>
      <c r="Q37" s="28">
        <f t="shared" si="3"/>
        <v>8.8793888923422433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23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565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3f63e7-d3ec-4aea-a4cd-8d4a5ad56c06}">
  <sheetPr codeName=""/>
  <dimension ref="A1:U119"/>
  <sheetViews>
    <sheetView zoomScale="85" zoomScaleNormal="85"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8" sqref="Q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614</v>
      </c>
      <c r="B9" s="51">
        <v>20.440000000000001</v>
      </c>
      <c r="C9" s="51">
        <v>6.71</v>
      </c>
      <c r="D9" s="51">
        <v>27.15</v>
      </c>
      <c r="E9" s="51">
        <v>5.36</v>
      </c>
      <c r="F9" s="51">
        <v>1.54</v>
      </c>
      <c r="G9" s="51">
        <v>52.72</v>
      </c>
      <c r="H9" s="51">
        <v>25.67</v>
      </c>
      <c r="I9" s="51">
        <v>10.76</v>
      </c>
      <c r="J9" s="51">
        <v>0.67</v>
      </c>
      <c r="K9" s="51">
        <v>262.08999999999997</v>
      </c>
      <c r="L9" s="51">
        <v>44.13</v>
      </c>
      <c r="M9" s="51">
        <v>93.69</v>
      </c>
      <c r="N9" s="51">
        <v>15</v>
      </c>
      <c r="O9" s="51">
        <v>0</v>
      </c>
      <c r="P9" s="51">
        <v>3.28</v>
      </c>
      <c r="Q9" s="51">
        <v>72.45</v>
      </c>
      <c r="R9" s="43"/>
      <c r="S9" s="43"/>
      <c r="T9" s="43"/>
      <c r="U9" s="43"/>
    </row>
    <row r="10" spans="1:21" s="11" customFormat="1" ht="15">
      <c r="A10" s="50" t="s">
        <v>615</v>
      </c>
      <c r="B10" s="51">
        <v>16.64</v>
      </c>
      <c r="C10" s="51">
        <v>6.39</v>
      </c>
      <c r="D10" s="51">
        <v>22.79</v>
      </c>
      <c r="E10" s="51">
        <v>5.67</v>
      </c>
      <c r="F10" s="51">
        <v>0.78</v>
      </c>
      <c r="G10" s="51">
        <v>49.35</v>
      </c>
      <c r="H10" s="51">
        <v>24.19</v>
      </c>
      <c r="I10" s="51">
        <v>10.10</v>
      </c>
      <c r="J10" s="51">
        <v>0.51</v>
      </c>
      <c r="K10" s="51">
        <v>228.79</v>
      </c>
      <c r="L10" s="51">
        <v>31.29</v>
      </c>
      <c r="M10" s="51">
        <v>96.32</v>
      </c>
      <c r="N10" s="51">
        <v>15</v>
      </c>
      <c r="O10" s="51">
        <v>0</v>
      </c>
      <c r="P10" s="51">
        <v>3.19</v>
      </c>
      <c r="Q10" s="51">
        <v>71.98</v>
      </c>
      <c r="R10" s="43"/>
      <c r="S10" s="43"/>
      <c r="T10" s="43"/>
      <c r="U10" s="43"/>
    </row>
    <row r="11" spans="1:21" s="11" customFormat="1" ht="15">
      <c r="A11" s="50" t="s">
        <v>616</v>
      </c>
      <c r="B11" s="51">
        <v>15.44</v>
      </c>
      <c r="C11" s="51">
        <v>5.90</v>
      </c>
      <c r="D11" s="51">
        <v>21.34</v>
      </c>
      <c r="E11" s="51">
        <v>6.29</v>
      </c>
      <c r="F11" s="51">
        <v>0.26</v>
      </c>
      <c r="G11" s="51">
        <v>32</v>
      </c>
      <c r="H11" s="51">
        <v>17.54</v>
      </c>
      <c r="I11" s="51">
        <v>10.86</v>
      </c>
      <c r="J11" s="51">
        <v>0.22</v>
      </c>
      <c r="K11" s="51">
        <v>306.88</v>
      </c>
      <c r="L11" s="51">
        <v>30.81</v>
      </c>
      <c r="M11" s="51">
        <v>97.94</v>
      </c>
      <c r="N11" s="51">
        <v>15</v>
      </c>
      <c r="O11" s="51">
        <v>0</v>
      </c>
      <c r="P11" s="51">
        <v>3.14</v>
      </c>
      <c r="Q11" s="51">
        <v>72.83</v>
      </c>
      <c r="R11" s="43"/>
      <c r="S11" s="43"/>
      <c r="T11" s="43"/>
      <c r="U11" s="43"/>
    </row>
    <row r="12" spans="1:21" s="11" customFormat="1" ht="15">
      <c r="A12" s="50" t="s">
        <v>617</v>
      </c>
      <c r="B12" s="51">
        <v>14.04</v>
      </c>
      <c r="C12" s="51">
        <v>5.17</v>
      </c>
      <c r="D12" s="51">
        <v>19.21</v>
      </c>
      <c r="E12" s="51">
        <v>6.60</v>
      </c>
      <c r="F12" s="51">
        <v>0.46</v>
      </c>
      <c r="G12" s="51">
        <v>25.74</v>
      </c>
      <c r="H12" s="51">
        <v>16.010000000000002</v>
      </c>
      <c r="I12" s="51">
        <v>11.17</v>
      </c>
      <c r="J12" s="51">
        <v>0.17</v>
      </c>
      <c r="K12" s="51">
        <v>242.94</v>
      </c>
      <c r="L12" s="51">
        <v>30.73</v>
      </c>
      <c r="M12" s="51">
        <v>91.79</v>
      </c>
      <c r="N12" s="51">
        <v>15.10</v>
      </c>
      <c r="O12" s="51">
        <v>0</v>
      </c>
      <c r="P12" s="51">
        <v>3.10</v>
      </c>
      <c r="Q12" s="51">
        <v>72.78</v>
      </c>
      <c r="R12" s="43"/>
      <c r="S12" s="43"/>
      <c r="T12" s="43"/>
      <c r="U12" s="43"/>
    </row>
    <row r="13" spans="1:21" s="11" customFormat="1" ht="15">
      <c r="A13" s="50" t="s">
        <v>618</v>
      </c>
      <c r="B13" s="51">
        <v>11.99</v>
      </c>
      <c r="C13" s="51">
        <v>6.41</v>
      </c>
      <c r="D13" s="51">
        <v>17.760000000000002</v>
      </c>
      <c r="E13" s="51">
        <v>6.63</v>
      </c>
      <c r="F13" s="51">
        <v>0.69</v>
      </c>
      <c r="G13" s="51">
        <v>27.34</v>
      </c>
      <c r="H13" s="51">
        <v>15</v>
      </c>
      <c r="I13" s="51">
        <v>10.70</v>
      </c>
      <c r="J13" s="51">
        <v>0.15</v>
      </c>
      <c r="K13" s="51">
        <v>335.52</v>
      </c>
      <c r="L13" s="51">
        <v>30.39</v>
      </c>
      <c r="M13" s="51">
        <v>90.12</v>
      </c>
      <c r="N13" s="51">
        <v>15.10</v>
      </c>
      <c r="O13" s="51">
        <v>0</v>
      </c>
      <c r="P13" s="51">
        <v>3.04</v>
      </c>
      <c r="Q13" s="51">
        <v>69.510000000000005</v>
      </c>
      <c r="R13" s="43"/>
      <c r="S13" s="43"/>
      <c r="T13" s="43"/>
      <c r="U13" s="43"/>
    </row>
    <row r="14" spans="1:21" s="11" customFormat="1" ht="15">
      <c r="A14" s="50" t="s">
        <v>619</v>
      </c>
      <c r="B14" s="51">
        <v>11.04</v>
      </c>
      <c r="C14" s="51">
        <v>6.53</v>
      </c>
      <c r="D14" s="51">
        <v>17.52</v>
      </c>
      <c r="E14" s="51">
        <v>7.33</v>
      </c>
      <c r="F14" s="51">
        <v>0.20</v>
      </c>
      <c r="G14" s="51">
        <v>27.34</v>
      </c>
      <c r="H14" s="51">
        <v>15</v>
      </c>
      <c r="I14" s="51">
        <v>10.38</v>
      </c>
      <c r="J14" s="51">
        <v>0.18</v>
      </c>
      <c r="K14" s="51">
        <v>353</v>
      </c>
      <c r="L14" s="51">
        <v>30.41</v>
      </c>
      <c r="M14" s="51">
        <v>85.42</v>
      </c>
      <c r="N14" s="51">
        <v>29.10</v>
      </c>
      <c r="O14" s="51">
        <v>0</v>
      </c>
      <c r="P14" s="51">
        <v>3.02</v>
      </c>
      <c r="Q14" s="51">
        <v>69.77</v>
      </c>
      <c r="R14" s="43"/>
      <c r="S14" s="43"/>
      <c r="T14" s="43"/>
      <c r="U14" s="43"/>
    </row>
    <row r="15" spans="1:21" s="11" customFormat="1" ht="15">
      <c r="A15" s="50" t="s">
        <v>620</v>
      </c>
      <c r="B15" s="51">
        <v>11.61</v>
      </c>
      <c r="C15" s="51">
        <v>7.80</v>
      </c>
      <c r="D15" s="51">
        <v>19.41</v>
      </c>
      <c r="E15" s="51">
        <v>7.59</v>
      </c>
      <c r="F15" s="51">
        <v>0.40</v>
      </c>
      <c r="G15" s="51">
        <v>19.14</v>
      </c>
      <c r="H15" s="51">
        <v>15.60</v>
      </c>
      <c r="I15" s="51">
        <v>10.56</v>
      </c>
      <c r="J15" s="51">
        <v>0.28999999999999998</v>
      </c>
      <c r="K15" s="51">
        <v>345.26</v>
      </c>
      <c r="L15" s="51">
        <v>30.78</v>
      </c>
      <c r="M15" s="51">
        <v>84.29</v>
      </c>
      <c r="N15" s="51">
        <v>102.80</v>
      </c>
      <c r="O15" s="51">
        <v>0</v>
      </c>
      <c r="P15" s="51">
        <v>3.01</v>
      </c>
      <c r="Q15" s="51">
        <v>69.09</v>
      </c>
      <c r="R15" s="43"/>
      <c r="S15" s="43"/>
      <c r="T15" s="43"/>
      <c r="U15" s="43"/>
    </row>
    <row r="16" spans="1:21" s="11" customFormat="1" ht="15">
      <c r="A16" s="50" t="s">
        <v>621</v>
      </c>
      <c r="B16" s="51">
        <v>12.63</v>
      </c>
      <c r="C16" s="51">
        <v>9.82</v>
      </c>
      <c r="D16" s="51">
        <v>22.45</v>
      </c>
      <c r="E16" s="51">
        <v>6.89</v>
      </c>
      <c r="F16" s="51">
        <v>0.38</v>
      </c>
      <c r="G16" s="51">
        <v>13.40</v>
      </c>
      <c r="H16" s="51">
        <v>19.79</v>
      </c>
      <c r="I16" s="51">
        <v>10.43</v>
      </c>
      <c r="J16" s="51">
        <v>0.25</v>
      </c>
      <c r="K16" s="51">
        <v>340.63</v>
      </c>
      <c r="L16" s="51">
        <v>33.15</v>
      </c>
      <c r="M16" s="51">
        <v>80.599999999999994</v>
      </c>
      <c r="N16" s="51">
        <v>299.89999999999998</v>
      </c>
      <c r="O16" s="51">
        <v>0</v>
      </c>
      <c r="P16" s="51">
        <v>3.06</v>
      </c>
      <c r="Q16" s="51">
        <v>66.62</v>
      </c>
      <c r="R16" s="43"/>
      <c r="S16" s="43"/>
      <c r="T16" s="43"/>
      <c r="U16" s="43"/>
    </row>
    <row r="17" spans="1:21" s="11" customFormat="1" ht="15">
      <c r="A17" s="50" t="s">
        <v>622</v>
      </c>
      <c r="B17" s="51">
        <v>12.64</v>
      </c>
      <c r="C17" s="51">
        <v>11.83</v>
      </c>
      <c r="D17" s="51">
        <v>23.47</v>
      </c>
      <c r="E17" s="51">
        <v>5.87</v>
      </c>
      <c r="F17" s="51">
        <v>0.28999999999999998</v>
      </c>
      <c r="G17" s="51">
        <v>2754.01</v>
      </c>
      <c r="H17" s="51">
        <v>22.46</v>
      </c>
      <c r="I17" s="51">
        <v>10.15</v>
      </c>
      <c r="J17" s="51">
        <v>0.17</v>
      </c>
      <c r="K17" s="51">
        <v>359.49</v>
      </c>
      <c r="L17" s="51">
        <v>32.869999999999997</v>
      </c>
      <c r="M17" s="51">
        <v>81.03</v>
      </c>
      <c r="N17" s="51">
        <v>363</v>
      </c>
      <c r="O17" s="51">
        <v>0</v>
      </c>
      <c r="P17" s="51">
        <v>3.10</v>
      </c>
      <c r="Q17" s="51">
        <v>63.77</v>
      </c>
      <c r="R17" s="43"/>
      <c r="S17" s="43"/>
      <c r="T17" s="43"/>
      <c r="U17" s="43"/>
    </row>
    <row r="18" spans="1:21" s="11" customFormat="1" ht="15">
      <c r="A18" s="50" t="s">
        <v>623</v>
      </c>
      <c r="B18" s="51">
        <v>11.29</v>
      </c>
      <c r="C18" s="51">
        <v>12.97</v>
      </c>
      <c r="D18" s="51">
        <v>24.01</v>
      </c>
      <c r="E18" s="51">
        <v>5.97</v>
      </c>
      <c r="F18" s="51">
        <v>0.20</v>
      </c>
      <c r="G18" s="51">
        <v>2754.01</v>
      </c>
      <c r="H18" s="51">
        <v>30.26</v>
      </c>
      <c r="I18" s="51">
        <v>9.34</v>
      </c>
      <c r="J18" s="51">
        <v>0.63</v>
      </c>
      <c r="K18" s="51">
        <v>349.45</v>
      </c>
      <c r="L18" s="51">
        <v>38.799999999999997</v>
      </c>
      <c r="M18" s="51">
        <v>70.64</v>
      </c>
      <c r="N18" s="51">
        <v>769.80</v>
      </c>
      <c r="O18" s="51">
        <v>0</v>
      </c>
      <c r="P18" s="51">
        <v>3.19</v>
      </c>
      <c r="Q18" s="51">
        <v>62.01</v>
      </c>
      <c r="R18" s="43"/>
      <c r="S18" s="43"/>
      <c r="T18" s="43"/>
      <c r="U18" s="43"/>
    </row>
    <row r="19" spans="1:21" s="11" customFormat="1" ht="15">
      <c r="A19" s="50" t="s">
        <v>624</v>
      </c>
      <c r="B19" s="51">
        <v>9.59</v>
      </c>
      <c r="C19" s="51">
        <v>22.96</v>
      </c>
      <c r="D19" s="51">
        <v>27.52</v>
      </c>
      <c r="E19" s="51">
        <v>5.07</v>
      </c>
      <c r="F19" s="51">
        <v>2.34</v>
      </c>
      <c r="G19" s="51">
        <v>104.13</v>
      </c>
      <c r="H19" s="51">
        <v>30.26</v>
      </c>
      <c r="I19" s="51">
        <v>9.34</v>
      </c>
      <c r="J19" s="51">
        <v>1.17</v>
      </c>
      <c r="K19" s="51">
        <v>328.27</v>
      </c>
      <c r="L19" s="9" t="s">
        <v>15</v>
      </c>
      <c r="M19" s="51">
        <v>57.20</v>
      </c>
      <c r="N19" s="51">
        <v>848</v>
      </c>
      <c r="O19" s="51">
        <v>0</v>
      </c>
      <c r="P19" s="51">
        <v>3.22</v>
      </c>
      <c r="Q19" s="51">
        <v>60.34</v>
      </c>
      <c r="R19" s="43"/>
      <c r="S19" s="43"/>
      <c r="T19" s="43"/>
      <c r="U19" s="43"/>
    </row>
    <row r="20" spans="1:21" s="11" customFormat="1" ht="15">
      <c r="A20" s="50" t="s">
        <v>625</v>
      </c>
      <c r="B20" s="51">
        <v>3.78</v>
      </c>
      <c r="C20" s="51">
        <v>20.75</v>
      </c>
      <c r="D20" s="51">
        <v>24.31</v>
      </c>
      <c r="E20" s="51">
        <v>3.29</v>
      </c>
      <c r="F20" s="51">
        <v>2.74</v>
      </c>
      <c r="G20" s="51">
        <v>66.34</v>
      </c>
      <c r="H20" s="51">
        <v>27.18</v>
      </c>
      <c r="I20" s="51">
        <v>98.12</v>
      </c>
      <c r="J20" s="51">
        <v>1.08</v>
      </c>
      <c r="K20" s="51">
        <v>317.89</v>
      </c>
      <c r="L20" s="9" t="s">
        <v>15</v>
      </c>
      <c r="M20" s="51">
        <v>70.33</v>
      </c>
      <c r="N20" s="51">
        <v>541.90</v>
      </c>
      <c r="O20" s="51">
        <v>0</v>
      </c>
      <c r="P20" s="51">
        <v>7.38</v>
      </c>
      <c r="Q20" s="53" t="s">
        <v>8</v>
      </c>
      <c r="R20" s="43"/>
      <c r="S20" s="43"/>
      <c r="T20" s="43"/>
      <c r="U20" s="43"/>
    </row>
    <row r="21" spans="1:21" s="11" customFormat="1" ht="15">
      <c r="A21" s="50" t="s">
        <v>626</v>
      </c>
      <c r="B21" s="51">
        <v>1.88</v>
      </c>
      <c r="C21" s="51">
        <v>19.739999999999998</v>
      </c>
      <c r="D21" s="51">
        <v>21.62</v>
      </c>
      <c r="E21" s="51">
        <v>3.46</v>
      </c>
      <c r="F21" s="51">
        <v>1.47</v>
      </c>
      <c r="G21" s="51">
        <v>84.65</v>
      </c>
      <c r="H21" s="51">
        <v>25.35</v>
      </c>
      <c r="I21" s="53" t="s">
        <v>8</v>
      </c>
      <c r="J21" s="51">
        <v>0.91</v>
      </c>
      <c r="K21" s="51">
        <v>174.03</v>
      </c>
      <c r="L21" s="9" t="s">
        <v>15</v>
      </c>
      <c r="M21" s="51">
        <v>75.680000000000007</v>
      </c>
      <c r="N21" s="51">
        <v>211.30</v>
      </c>
      <c r="O21" s="51">
        <v>0</v>
      </c>
      <c r="P21" s="51">
        <v>1.06</v>
      </c>
      <c r="Q21" s="53" t="s">
        <v>8</v>
      </c>
      <c r="R21" s="43"/>
      <c r="S21" s="43"/>
      <c r="T21" s="43"/>
      <c r="U21" s="43"/>
    </row>
    <row r="22" spans="1:21" s="11" customFormat="1" ht="15">
      <c r="A22" s="50" t="s">
        <v>627</v>
      </c>
      <c r="B22" s="51">
        <v>1.45</v>
      </c>
      <c r="C22" s="51">
        <v>14.89</v>
      </c>
      <c r="D22" s="51">
        <v>16.34</v>
      </c>
      <c r="E22" s="51">
        <v>3.10</v>
      </c>
      <c r="F22" s="51">
        <v>1.78</v>
      </c>
      <c r="G22" s="57" t="s">
        <v>20</v>
      </c>
      <c r="H22" s="57" t="s">
        <v>20</v>
      </c>
      <c r="I22" s="53" t="s">
        <v>8</v>
      </c>
      <c r="J22" s="51">
        <v>0.94</v>
      </c>
      <c r="K22" s="51">
        <v>184.57</v>
      </c>
      <c r="L22" s="9" t="s">
        <v>15</v>
      </c>
      <c r="M22" s="51">
        <v>73.239999999999995</v>
      </c>
      <c r="N22" s="51">
        <v>730.60</v>
      </c>
      <c r="O22" s="51">
        <v>0</v>
      </c>
      <c r="P22" s="51">
        <v>0.63</v>
      </c>
      <c r="Q22" s="53" t="s">
        <v>8</v>
      </c>
      <c r="R22" s="43"/>
      <c r="S22" s="43"/>
      <c r="T22" s="43"/>
      <c r="U22" s="43"/>
    </row>
    <row r="23" spans="1:21" s="11" customFormat="1" ht="15">
      <c r="A23" s="50" t="s">
        <v>628</v>
      </c>
      <c r="B23" s="51">
        <v>2.77</v>
      </c>
      <c r="C23" s="51">
        <v>17.28</v>
      </c>
      <c r="D23" s="51">
        <v>20.05</v>
      </c>
      <c r="E23" s="56" t="s">
        <v>14</v>
      </c>
      <c r="F23" s="51">
        <v>1.95</v>
      </c>
      <c r="G23" s="51">
        <v>22.19</v>
      </c>
      <c r="H23" s="51">
        <v>11.10</v>
      </c>
      <c r="I23" s="53" t="s">
        <v>8</v>
      </c>
      <c r="J23" s="51">
        <v>0.23</v>
      </c>
      <c r="K23" s="51">
        <v>352.88</v>
      </c>
      <c r="L23" s="9" t="s">
        <v>15</v>
      </c>
      <c r="M23" s="51">
        <v>65.63</v>
      </c>
      <c r="N23" s="51">
        <v>469.10</v>
      </c>
      <c r="O23" s="51">
        <v>0</v>
      </c>
      <c r="P23" s="51">
        <v>0.67</v>
      </c>
      <c r="Q23" s="51">
        <v>11.70</v>
      </c>
      <c r="R23" s="43"/>
      <c r="S23" s="43"/>
      <c r="T23" s="43"/>
      <c r="U23" s="43"/>
    </row>
    <row r="24" spans="1:21" s="11" customFormat="1" ht="15">
      <c r="A24" s="50" t="s">
        <v>629</v>
      </c>
      <c r="B24" s="51">
        <v>9.06</v>
      </c>
      <c r="C24" s="51">
        <v>22.90</v>
      </c>
      <c r="D24" s="51">
        <v>31.97</v>
      </c>
      <c r="E24" s="56" t="s">
        <v>14</v>
      </c>
      <c r="F24" s="51">
        <v>1.86</v>
      </c>
      <c r="G24" s="51">
        <v>62.55</v>
      </c>
      <c r="H24" s="51">
        <v>30.42</v>
      </c>
      <c r="I24" s="53" t="s">
        <v>8</v>
      </c>
      <c r="J24" s="51">
        <v>0.89</v>
      </c>
      <c r="K24" s="51">
        <v>349.75</v>
      </c>
      <c r="L24" s="9" t="s">
        <v>15</v>
      </c>
      <c r="M24" s="51">
        <v>62.84</v>
      </c>
      <c r="N24" s="51">
        <v>167.30</v>
      </c>
      <c r="O24" s="51">
        <v>0</v>
      </c>
      <c r="P24" s="51">
        <v>0.95</v>
      </c>
      <c r="Q24" s="51">
        <v>25.62</v>
      </c>
      <c r="R24" s="43"/>
      <c r="S24" s="43"/>
      <c r="T24" s="43"/>
      <c r="U24" s="43"/>
    </row>
    <row r="25" spans="1:21" s="11" customFormat="1" ht="15">
      <c r="A25" s="50" t="s">
        <v>630</v>
      </c>
      <c r="B25" s="51">
        <v>16.97</v>
      </c>
      <c r="C25" s="51">
        <v>31.72</v>
      </c>
      <c r="D25" s="51">
        <v>48.69</v>
      </c>
      <c r="E25" s="56" t="s">
        <v>14</v>
      </c>
      <c r="F25" s="51">
        <v>0.83</v>
      </c>
      <c r="G25" s="51">
        <v>75.89</v>
      </c>
      <c r="H25" s="51">
        <v>36.159999999999997</v>
      </c>
      <c r="I25" s="53" t="s">
        <v>8</v>
      </c>
      <c r="J25" s="51">
        <v>0.79</v>
      </c>
      <c r="K25" s="51">
        <v>175.45</v>
      </c>
      <c r="L25" s="9" t="s">
        <v>15</v>
      </c>
      <c r="M25" s="51">
        <v>79.099999999999994</v>
      </c>
      <c r="N25" s="51">
        <v>60.90</v>
      </c>
      <c r="O25" s="51">
        <v>0</v>
      </c>
      <c r="P25" s="51">
        <v>1.26</v>
      </c>
      <c r="Q25" s="51">
        <v>33.82</v>
      </c>
      <c r="R25" s="43"/>
      <c r="S25" s="43"/>
      <c r="T25" s="43"/>
      <c r="U25" s="43"/>
    </row>
    <row r="26" spans="1:21" s="11" customFormat="1" ht="15">
      <c r="A26" s="50" t="s">
        <v>631</v>
      </c>
      <c r="B26" s="51">
        <v>9.2200000000000006</v>
      </c>
      <c r="C26" s="51">
        <v>28.40</v>
      </c>
      <c r="D26" s="51">
        <v>37.619999999999997</v>
      </c>
      <c r="E26" s="51">
        <v>12.14</v>
      </c>
      <c r="F26" s="51">
        <v>1.1399999999999999</v>
      </c>
      <c r="G26" s="51">
        <v>87.51</v>
      </c>
      <c r="H26" s="51">
        <v>45.64</v>
      </c>
      <c r="I26" s="53" t="s">
        <v>8</v>
      </c>
      <c r="J26" s="51">
        <v>0.46</v>
      </c>
      <c r="K26" s="51">
        <v>341.36</v>
      </c>
      <c r="L26" s="9" t="s">
        <v>15</v>
      </c>
      <c r="M26" s="51">
        <v>86.46</v>
      </c>
      <c r="N26" s="51">
        <v>48.20</v>
      </c>
      <c r="O26" s="51">
        <v>2.60</v>
      </c>
      <c r="P26" s="51">
        <v>1.03</v>
      </c>
      <c r="Q26" s="51">
        <v>33.880000000000003</v>
      </c>
      <c r="R26" s="43"/>
      <c r="S26" s="43"/>
      <c r="T26" s="43"/>
      <c r="U26" s="43"/>
    </row>
    <row r="27" spans="1:21" s="11" customFormat="1" ht="15">
      <c r="A27" s="50" t="s">
        <v>632</v>
      </c>
      <c r="B27" s="51">
        <v>5.26</v>
      </c>
      <c r="C27" s="51">
        <v>22.66</v>
      </c>
      <c r="D27" s="51">
        <v>27.92</v>
      </c>
      <c r="E27" s="51">
        <v>8.24</v>
      </c>
      <c r="F27" s="51">
        <v>1.01</v>
      </c>
      <c r="G27" s="51">
        <v>86.53</v>
      </c>
      <c r="H27" s="51">
        <v>27.39</v>
      </c>
      <c r="I27" s="53" t="s">
        <v>8</v>
      </c>
      <c r="J27" s="51">
        <v>0.95</v>
      </c>
      <c r="K27" s="51">
        <v>208.58</v>
      </c>
      <c r="L27" s="9" t="s">
        <v>15</v>
      </c>
      <c r="M27" s="51">
        <v>95.78</v>
      </c>
      <c r="N27" s="51">
        <v>18.5</v>
      </c>
      <c r="O27" s="51">
        <v>0.40</v>
      </c>
      <c r="P27" s="51">
        <v>0.87</v>
      </c>
      <c r="Q27" s="51">
        <v>22.42</v>
      </c>
      <c r="R27" s="43"/>
      <c r="S27" s="43"/>
      <c r="T27" s="43"/>
      <c r="U27" s="43"/>
    </row>
    <row r="28" spans="1:21" s="11" customFormat="1" ht="15">
      <c r="A28" s="50" t="s">
        <v>633</v>
      </c>
      <c r="B28" s="51">
        <v>4.6900000000000004</v>
      </c>
      <c r="C28" s="51">
        <v>16.55</v>
      </c>
      <c r="D28" s="51">
        <v>19.79</v>
      </c>
      <c r="E28" s="51">
        <v>3.55</v>
      </c>
      <c r="F28" s="51">
        <v>0.02</v>
      </c>
      <c r="G28" s="51">
        <v>66.489999999999995</v>
      </c>
      <c r="H28" s="51">
        <v>27.11</v>
      </c>
      <c r="I28" s="53" t="s">
        <v>8</v>
      </c>
      <c r="J28" s="51">
        <v>0.77</v>
      </c>
      <c r="K28" s="51">
        <v>344.67</v>
      </c>
      <c r="L28" s="51">
        <v>27.27</v>
      </c>
      <c r="M28" s="51">
        <v>91.59</v>
      </c>
      <c r="N28" s="51">
        <v>16.30</v>
      </c>
      <c r="O28" s="51">
        <v>0</v>
      </c>
      <c r="P28" s="51">
        <v>0.88</v>
      </c>
      <c r="Q28" s="51">
        <v>25.03</v>
      </c>
      <c r="R28" s="43"/>
      <c r="S28" s="43"/>
      <c r="T28" s="43"/>
      <c r="U28" s="43"/>
    </row>
    <row r="29" spans="1:21" s="11" customFormat="1" ht="15">
      <c r="A29" s="50" t="s">
        <v>634</v>
      </c>
      <c r="B29" s="51">
        <v>8.61</v>
      </c>
      <c r="C29" s="51">
        <v>11.64</v>
      </c>
      <c r="D29" s="51">
        <v>19.04</v>
      </c>
      <c r="E29" s="51">
        <v>4.93</v>
      </c>
      <c r="F29" s="51">
        <v>0.13</v>
      </c>
      <c r="G29" s="51">
        <v>39.89</v>
      </c>
      <c r="H29" s="51">
        <v>23.32</v>
      </c>
      <c r="I29" s="53" t="s">
        <v>8</v>
      </c>
      <c r="J29" s="51">
        <v>1.64</v>
      </c>
      <c r="K29" s="51">
        <v>99.42</v>
      </c>
      <c r="L29" s="51">
        <v>44.41</v>
      </c>
      <c r="M29" s="51">
        <v>98.60</v>
      </c>
      <c r="N29" s="51">
        <v>16.30</v>
      </c>
      <c r="O29" s="51">
        <v>0.80</v>
      </c>
      <c r="P29" s="51">
        <v>0.99</v>
      </c>
      <c r="Q29" s="51">
        <v>37.42</v>
      </c>
      <c r="R29" s="43"/>
      <c r="S29" s="43"/>
      <c r="T29" s="43"/>
      <c r="U29" s="43"/>
    </row>
    <row r="30" spans="1:21" s="11" customFormat="1" ht="15">
      <c r="A30" s="50" t="s">
        <v>635</v>
      </c>
      <c r="B30" s="51">
        <v>8.92</v>
      </c>
      <c r="C30" s="51">
        <v>9.77</v>
      </c>
      <c r="D30" s="51">
        <v>18.68</v>
      </c>
      <c r="E30" s="51">
        <v>5.84</v>
      </c>
      <c r="F30" s="51">
        <v>0.51</v>
      </c>
      <c r="G30" s="51">
        <v>37.020000000000003</v>
      </c>
      <c r="H30" s="51">
        <v>18.07</v>
      </c>
      <c r="I30" s="53" t="s">
        <v>8</v>
      </c>
      <c r="J30" s="51">
        <v>2.14</v>
      </c>
      <c r="K30" s="51">
        <v>164.16</v>
      </c>
      <c r="L30" s="51">
        <v>42.52</v>
      </c>
      <c r="M30" s="51">
        <v>99.12</v>
      </c>
      <c r="N30" s="51">
        <v>15.5</v>
      </c>
      <c r="O30" s="51">
        <v>1.40</v>
      </c>
      <c r="P30" s="51">
        <v>0.98</v>
      </c>
      <c r="Q30" s="51">
        <v>43.30</v>
      </c>
      <c r="R30" s="43"/>
      <c r="S30" s="43"/>
      <c r="T30" s="43"/>
      <c r="U30" s="43"/>
    </row>
    <row r="31" spans="1:21" s="11" customFormat="1" ht="15">
      <c r="A31" s="50" t="s">
        <v>636</v>
      </c>
      <c r="B31" s="51">
        <v>7.79</v>
      </c>
      <c r="C31" s="51">
        <v>9.85</v>
      </c>
      <c r="D31" s="51">
        <v>17.64</v>
      </c>
      <c r="E31" s="51">
        <v>5.68</v>
      </c>
      <c r="F31" s="51">
        <v>0.32</v>
      </c>
      <c r="G31" s="51">
        <v>28.49</v>
      </c>
      <c r="H31" s="51">
        <v>15.93</v>
      </c>
      <c r="I31" s="53" t="s">
        <v>8</v>
      </c>
      <c r="J31" s="51">
        <v>1.99</v>
      </c>
      <c r="K31" s="51">
        <v>164.35</v>
      </c>
      <c r="L31" s="51">
        <v>39.06</v>
      </c>
      <c r="M31" s="51">
        <v>98.86</v>
      </c>
      <c r="N31" s="51">
        <v>15.60</v>
      </c>
      <c r="O31" s="51">
        <v>0.20</v>
      </c>
      <c r="P31" s="51">
        <v>0.92</v>
      </c>
      <c r="Q31" s="51">
        <v>35.39</v>
      </c>
      <c r="R31" s="43"/>
      <c r="S31" s="43"/>
      <c r="T31" s="43"/>
      <c r="U31" s="43"/>
    </row>
    <row r="32" spans="1:21" s="11" customFormat="1" ht="15">
      <c r="A32" s="50" t="s">
        <v>637</v>
      </c>
      <c r="B32" s="51">
        <v>5.15</v>
      </c>
      <c r="C32" s="51">
        <v>9.01</v>
      </c>
      <c r="D32" s="51">
        <v>14.16</v>
      </c>
      <c r="E32" s="51">
        <v>5.86</v>
      </c>
      <c r="F32" s="51">
        <v>0.19</v>
      </c>
      <c r="G32" s="51">
        <v>24.57</v>
      </c>
      <c r="H32" s="51">
        <v>18.53</v>
      </c>
      <c r="I32" s="51">
        <v>156.13</v>
      </c>
      <c r="J32" s="51">
        <v>1.08</v>
      </c>
      <c r="K32" s="51">
        <v>167.90</v>
      </c>
      <c r="L32" s="51">
        <v>37.229999999999997</v>
      </c>
      <c r="M32" s="51">
        <v>99.13</v>
      </c>
      <c r="N32" s="51">
        <v>15.5</v>
      </c>
      <c r="O32" s="51">
        <v>0</v>
      </c>
      <c r="P32" s="51">
        <v>0.83</v>
      </c>
      <c r="Q32" s="51">
        <v>32.96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1.45</v>
      </c>
      <c r="C34" s="28">
        <f t="shared" si="0"/>
        <v>5.1699999999999999</v>
      </c>
      <c r="D34" s="28">
        <f t="shared" si="0"/>
        <v>14.16</v>
      </c>
      <c r="E34" s="28">
        <f t="shared" si="0"/>
        <v>3.1000000000000001</v>
      </c>
      <c r="F34" s="28">
        <f t="shared" si="0"/>
        <v>0.02</v>
      </c>
      <c r="G34" s="28">
        <f t="shared" si="0"/>
        <v>13.4</v>
      </c>
      <c r="H34" s="28">
        <f t="shared" si="0"/>
        <v>11.1</v>
      </c>
      <c r="I34" s="28">
        <f t="shared" si="0"/>
        <v>9.3399999999999999</v>
      </c>
      <c r="J34" s="28">
        <f t="shared" si="0"/>
        <v>0.14999999999999999</v>
      </c>
      <c r="K34" s="28">
        <f t="shared" si="0"/>
        <v>99.420000000000002</v>
      </c>
      <c r="L34" s="28">
        <f t="shared" si="0"/>
        <v>27.27</v>
      </c>
      <c r="M34" s="28">
        <f t="shared" si="0"/>
        <v>57.200000000000003</v>
      </c>
      <c r="N34" s="28">
        <f t="shared" si="0"/>
        <v>15</v>
      </c>
      <c r="O34" s="28">
        <f t="shared" si="0"/>
        <v>0</v>
      </c>
      <c r="P34" s="28">
        <f t="shared" si="0"/>
        <v>0.63</v>
      </c>
      <c r="Q34" s="28">
        <f t="shared" si="0"/>
        <v>11.699999999999999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20.440000000000001</v>
      </c>
      <c r="C35" s="29">
        <f t="shared" si="1"/>
        <v>31.719999999999999</v>
      </c>
      <c r="D35" s="29">
        <f t="shared" si="1"/>
        <v>48.689999999999998</v>
      </c>
      <c r="E35" s="29">
        <f t="shared" si="1"/>
        <v>12.140000000000001</v>
      </c>
      <c r="F35" s="29">
        <f t="shared" si="1"/>
        <v>2.7400000000000002</v>
      </c>
      <c r="G35" s="29">
        <f t="shared" si="1"/>
        <v>2754.0100000000002</v>
      </c>
      <c r="H35" s="29">
        <f t="shared" si="1"/>
        <v>45.640000000000001</v>
      </c>
      <c r="I35" s="29">
        <f t="shared" si="1"/>
        <v>156.13</v>
      </c>
      <c r="J35" s="29">
        <f t="shared" si="1"/>
        <v>2.1400000000000001</v>
      </c>
      <c r="K35" s="29">
        <f t="shared" si="1"/>
        <v>359.49000000000001</v>
      </c>
      <c r="L35" s="29">
        <f t="shared" si="1"/>
        <v>44.409999999999997</v>
      </c>
      <c r="M35" s="29">
        <f t="shared" si="1"/>
        <v>99.129999999999995</v>
      </c>
      <c r="N35" s="29">
        <f t="shared" si="1"/>
        <v>848</v>
      </c>
      <c r="O35" s="29">
        <f t="shared" si="1"/>
        <v>2.6000000000000001</v>
      </c>
      <c r="P35" s="29">
        <f t="shared" si="1"/>
        <v>7.3799999999999999</v>
      </c>
      <c r="Q35" s="29">
        <f t="shared" si="1"/>
        <v>72.829999999999998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9.7041666666666639</v>
      </c>
      <c r="C36" s="28">
        <f t="shared" si="2"/>
        <v>14.068750000000001</v>
      </c>
      <c r="D36" s="28">
        <f t="shared" si="2"/>
        <v>23.352499999999996</v>
      </c>
      <c r="E36" s="28">
        <f t="shared" si="2"/>
        <v>5.9695238095238095</v>
      </c>
      <c r="F36" s="28">
        <f t="shared" si="2"/>
        <v>0.89541666666666675</v>
      </c>
      <c r="G36" s="28">
        <f t="shared" si="2"/>
        <v>284.40434782608702</v>
      </c>
      <c r="H36" s="28">
        <f t="shared" si="2"/>
        <v>23.39043478260869</v>
      </c>
      <c r="I36" s="28">
        <f t="shared" si="2"/>
        <v>28.310769230769232</v>
      </c>
      <c r="J36" s="28">
        <f t="shared" si="2"/>
        <v>0.76166666666666671</v>
      </c>
      <c r="K36" s="28">
        <f t="shared" si="2"/>
        <v>270.72208333333333</v>
      </c>
      <c r="L36" s="28">
        <f t="shared" si="2"/>
        <v>34.923333333333325</v>
      </c>
      <c r="M36" s="28">
        <f t="shared" si="2"/>
        <v>84.391666666666652</v>
      </c>
      <c r="N36" s="28">
        <f t="shared" si="2"/>
        <v>200.6166666666667</v>
      </c>
      <c r="O36" s="28">
        <f t="shared" si="2"/>
        <v>0.22499999999999998</v>
      </c>
      <c r="P36" s="28">
        <f t="shared" si="2"/>
        <v>2.2000000000000006</v>
      </c>
      <c r="Q36" s="28">
        <f t="shared" si="2"/>
        <v>50.128095238095227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5.0324615091006653</v>
      </c>
      <c r="C37" s="28">
        <f t="shared" si="3" ref="C37:Q37">STDEV(C9:C32)</f>
        <v>7.6545146169916656</v>
      </c>
      <c r="D37" s="28">
        <f t="shared" si="3"/>
        <v>7.5479448685804913</v>
      </c>
      <c r="E37" s="28">
        <f t="shared" si="3"/>
        <v>1.9941125248853837</v>
      </c>
      <c r="F37" s="28">
        <f t="shared" si="3"/>
        <v>0.77908518910582414</v>
      </c>
      <c r="G37" s="28">
        <f t="shared" si="3"/>
        <v>779.69188271466976</v>
      </c>
      <c r="H37" s="28">
        <f t="shared" si="3"/>
        <v>8.0295909995810835</v>
      </c>
      <c r="I37" s="28">
        <f t="shared" si="3"/>
        <v>45.428642297845975</v>
      </c>
      <c r="J37" s="28">
        <f t="shared" si="3"/>
        <v>0.56372724415013098</v>
      </c>
      <c r="K37" s="28">
        <f t="shared" si="3"/>
        <v>83.585018835505849</v>
      </c>
      <c r="L37" s="28">
        <f t="shared" si="3"/>
        <v>5.6166699166304248</v>
      </c>
      <c r="M37" s="28">
        <f t="shared" si="3"/>
        <v>12.732516287619426</v>
      </c>
      <c r="N37" s="28">
        <f t="shared" si="3"/>
        <v>272.49051785124664</v>
      </c>
      <c r="O37" s="28">
        <f t="shared" si="3"/>
        <v>0.60235046854511676</v>
      </c>
      <c r="P37" s="28">
        <f t="shared" si="3"/>
        <v>1.5628318777977583</v>
      </c>
      <c r="Q37" s="28">
        <f t="shared" si="3"/>
        <v>20.680749894297271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>COUNT(E9:E32)+3</f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>COUNT(I9:I32)+11</f>
        <v>24</v>
      </c>
      <c r="J38" s="32">
        <f t="shared" si="4"/>
        <v>24</v>
      </c>
      <c r="K38" s="32">
        <f t="shared" si="4"/>
        <v>24</v>
      </c>
      <c r="L38" s="32">
        <f t="shared" si="4"/>
        <v>15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COUNT(Q9:Q32)+3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88deec-7933-4385-a8b2-f69434ef3d98}">
  <sheetPr codeName=""/>
  <dimension ref="A1:U119"/>
  <sheetViews>
    <sheetView zoomScale="85" zoomScaleNormal="85" workbookViewId="0" topLeftCell="A1">
      <pane xSplit="1" ySplit="8" topLeftCell="B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15" sqref="G12:G1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638</v>
      </c>
      <c r="B9" s="51">
        <v>3.71</v>
      </c>
      <c r="C9" s="51">
        <v>7.41</v>
      </c>
      <c r="D9" s="51">
        <v>11.11</v>
      </c>
      <c r="E9" s="51">
        <v>6.02</v>
      </c>
      <c r="F9" s="51">
        <v>0.32</v>
      </c>
      <c r="G9" s="51">
        <v>20.70</v>
      </c>
      <c r="H9" s="51">
        <v>13.23</v>
      </c>
      <c r="I9" s="51">
        <v>132.05000000000001</v>
      </c>
      <c r="J9" s="51">
        <v>0.83</v>
      </c>
      <c r="K9" s="51">
        <v>189.82</v>
      </c>
      <c r="L9" s="51">
        <v>38.659999999999997</v>
      </c>
      <c r="M9" s="51">
        <v>99</v>
      </c>
      <c r="N9" s="51">
        <v>15.40</v>
      </c>
      <c r="O9" s="51">
        <v>0</v>
      </c>
      <c r="P9" s="51">
        <v>0.78</v>
      </c>
      <c r="Q9" s="51">
        <v>30.10</v>
      </c>
      <c r="R9" s="43"/>
      <c r="S9" s="43"/>
      <c r="T9" s="43"/>
      <c r="U9" s="43"/>
    </row>
    <row r="10" spans="1:21" s="11" customFormat="1" ht="15">
      <c r="A10" s="50" t="s">
        <v>639</v>
      </c>
      <c r="B10" s="51">
        <v>2.96</v>
      </c>
      <c r="C10" s="51">
        <v>6.13</v>
      </c>
      <c r="D10" s="51">
        <v>9.0500000000000007</v>
      </c>
      <c r="E10" s="51">
        <v>6.75</v>
      </c>
      <c r="F10" s="51">
        <v>0.54</v>
      </c>
      <c r="G10" s="51">
        <v>18.70</v>
      </c>
      <c r="H10" s="51">
        <v>11.29</v>
      </c>
      <c r="I10" s="51">
        <v>115.64</v>
      </c>
      <c r="J10" s="51">
        <v>0.72</v>
      </c>
      <c r="K10" s="51">
        <v>211.98</v>
      </c>
      <c r="L10" s="51">
        <v>40.619999999999997</v>
      </c>
      <c r="M10" s="51">
        <v>99.01</v>
      </c>
      <c r="N10" s="51">
        <v>15.40</v>
      </c>
      <c r="O10" s="51">
        <v>0</v>
      </c>
      <c r="P10" s="51">
        <v>0.88</v>
      </c>
      <c r="Q10" s="51">
        <v>23.56</v>
      </c>
      <c r="R10" s="43"/>
      <c r="S10" s="43"/>
      <c r="T10" s="43"/>
      <c r="U10" s="43"/>
    </row>
    <row r="11" spans="1:21" s="11" customFormat="1" ht="15">
      <c r="A11" s="50" t="s">
        <v>640</v>
      </c>
      <c r="B11" s="51">
        <v>1.97</v>
      </c>
      <c r="C11" s="51">
        <v>8.16</v>
      </c>
      <c r="D11" s="51">
        <v>9.98</v>
      </c>
      <c r="E11" s="51">
        <v>6.57</v>
      </c>
      <c r="F11" s="51">
        <v>0.21</v>
      </c>
      <c r="G11" s="51">
        <v>13.80</v>
      </c>
      <c r="H11" s="51">
        <v>10.48</v>
      </c>
      <c r="I11" s="51">
        <v>99.08</v>
      </c>
      <c r="J11" s="51">
        <v>0.65</v>
      </c>
      <c r="K11" s="51">
        <v>195.86</v>
      </c>
      <c r="L11" s="51">
        <v>37.299999999999997</v>
      </c>
      <c r="M11" s="51">
        <v>99.15</v>
      </c>
      <c r="N11" s="51">
        <v>15.70</v>
      </c>
      <c r="O11" s="51">
        <v>0</v>
      </c>
      <c r="P11" s="51">
        <v>0.82</v>
      </c>
      <c r="Q11" s="51">
        <v>25.67</v>
      </c>
      <c r="R11" s="43"/>
      <c r="S11" s="43"/>
      <c r="T11" s="43"/>
      <c r="U11" s="43"/>
    </row>
    <row r="12" spans="1:21" s="11" customFormat="1" ht="15">
      <c r="A12" s="50" t="s">
        <v>641</v>
      </c>
      <c r="B12" s="51">
        <v>2.35</v>
      </c>
      <c r="C12" s="51">
        <v>7.88</v>
      </c>
      <c r="D12" s="51">
        <v>9.81</v>
      </c>
      <c r="E12" s="51">
        <v>6.91</v>
      </c>
      <c r="F12" s="51">
        <v>0.23</v>
      </c>
      <c r="G12" s="51">
        <v>14.25</v>
      </c>
      <c r="H12" s="51">
        <v>9.58</v>
      </c>
      <c r="I12" s="51">
        <v>85.58</v>
      </c>
      <c r="J12" s="51">
        <v>0.67</v>
      </c>
      <c r="K12" s="51">
        <v>78.290000000000006</v>
      </c>
      <c r="L12" s="51">
        <v>38.909999999999997</v>
      </c>
      <c r="M12" s="51">
        <v>99.11</v>
      </c>
      <c r="N12" s="51">
        <v>15.5</v>
      </c>
      <c r="O12" s="51">
        <v>0.40</v>
      </c>
      <c r="P12" s="51">
        <v>0.72</v>
      </c>
      <c r="Q12" s="51">
        <v>32.94</v>
      </c>
      <c r="R12" s="43"/>
      <c r="S12" s="43"/>
      <c r="T12" s="43"/>
      <c r="U12" s="43"/>
    </row>
    <row r="13" spans="1:21" s="11" customFormat="1" ht="15">
      <c r="A13" s="50" t="s">
        <v>642</v>
      </c>
      <c r="B13" s="51">
        <v>2.91</v>
      </c>
      <c r="C13" s="51">
        <v>6.71</v>
      </c>
      <c r="D13" s="51">
        <v>9.6199999999999992</v>
      </c>
      <c r="E13" s="51">
        <v>8.58</v>
      </c>
      <c r="F13" s="51">
        <v>0.78</v>
      </c>
      <c r="G13" s="51">
        <v>11.31</v>
      </c>
      <c r="H13" s="51">
        <v>6.85</v>
      </c>
      <c r="I13" s="51">
        <v>77.84</v>
      </c>
      <c r="J13" s="51">
        <v>0.96</v>
      </c>
      <c r="K13" s="51">
        <v>125.10</v>
      </c>
      <c r="L13" s="51">
        <v>36.090000000000003</v>
      </c>
      <c r="M13" s="51">
        <v>99.15</v>
      </c>
      <c r="N13" s="51">
        <v>16</v>
      </c>
      <c r="O13" s="51">
        <v>8.60</v>
      </c>
      <c r="P13" s="51">
        <v>0.70</v>
      </c>
      <c r="Q13" s="51">
        <v>35.28</v>
      </c>
      <c r="R13" s="43"/>
      <c r="S13" s="43"/>
      <c r="T13" s="43"/>
      <c r="U13" s="43"/>
    </row>
    <row r="14" spans="1:21" s="11" customFormat="1" ht="15">
      <c r="A14" s="50" t="s">
        <v>643</v>
      </c>
      <c r="B14" s="51">
        <v>4.63</v>
      </c>
      <c r="C14" s="51">
        <v>8.9700000000000006</v>
      </c>
      <c r="D14" s="51">
        <v>13.60</v>
      </c>
      <c r="E14" s="51">
        <v>8.3699999999999992</v>
      </c>
      <c r="F14" s="51">
        <v>0.40</v>
      </c>
      <c r="G14" s="51">
        <v>13.5</v>
      </c>
      <c r="H14" s="51">
        <v>6.44</v>
      </c>
      <c r="I14" s="51">
        <v>68.52</v>
      </c>
      <c r="J14" s="51">
        <v>1.01</v>
      </c>
      <c r="K14" s="51">
        <v>348.83</v>
      </c>
      <c r="L14" s="51">
        <v>34.56</v>
      </c>
      <c r="M14" s="51">
        <v>99.15</v>
      </c>
      <c r="N14" s="51">
        <v>17.30</v>
      </c>
      <c r="O14" s="51">
        <v>1.80</v>
      </c>
      <c r="P14" s="51">
        <v>0.67</v>
      </c>
      <c r="Q14" s="51">
        <v>37.200000000000003</v>
      </c>
      <c r="R14" s="43"/>
      <c r="S14" s="43"/>
      <c r="T14" s="43"/>
      <c r="U14" s="43"/>
    </row>
    <row r="15" spans="1:21" s="11" customFormat="1" ht="15">
      <c r="A15" s="50" t="s">
        <v>644</v>
      </c>
      <c r="B15" s="51">
        <v>5.48</v>
      </c>
      <c r="C15" s="51">
        <v>9.52</v>
      </c>
      <c r="D15" s="51">
        <v>14.74</v>
      </c>
      <c r="E15" s="51">
        <v>9.0399999999999991</v>
      </c>
      <c r="F15" s="51">
        <v>0.15</v>
      </c>
      <c r="G15" s="51">
        <v>11.10</v>
      </c>
      <c r="H15" s="51">
        <v>9.06</v>
      </c>
      <c r="I15" s="51">
        <v>57</v>
      </c>
      <c r="J15" s="51">
        <v>1.19</v>
      </c>
      <c r="K15" s="51">
        <v>177.41</v>
      </c>
      <c r="L15" s="51">
        <v>35.909999999999997</v>
      </c>
      <c r="M15" s="51">
        <v>99.15</v>
      </c>
      <c r="N15" s="51">
        <v>70.80</v>
      </c>
      <c r="O15" s="51">
        <v>1</v>
      </c>
      <c r="P15" s="51">
        <v>0.70</v>
      </c>
      <c r="Q15" s="51">
        <v>42.07</v>
      </c>
      <c r="R15" s="43"/>
      <c r="S15" s="43"/>
      <c r="T15" s="43"/>
      <c r="U15" s="43"/>
    </row>
    <row r="16" spans="1:21" s="11" customFormat="1" ht="15">
      <c r="A16" s="50" t="s">
        <v>645</v>
      </c>
      <c r="B16" s="51">
        <v>6.65</v>
      </c>
      <c r="C16" s="51">
        <v>10.46</v>
      </c>
      <c r="D16" s="51">
        <v>17.11</v>
      </c>
      <c r="E16" s="51">
        <v>9.1300000000000008</v>
      </c>
      <c r="F16" s="51">
        <v>0.26</v>
      </c>
      <c r="G16" s="9" t="s">
        <v>15</v>
      </c>
      <c r="H16" s="51">
        <v>10.27</v>
      </c>
      <c r="I16" s="51">
        <v>50.54</v>
      </c>
      <c r="J16" s="51">
        <v>1.56</v>
      </c>
      <c r="K16" s="51">
        <v>167.64</v>
      </c>
      <c r="L16" s="51">
        <v>35.729999999999997</v>
      </c>
      <c r="M16" s="51">
        <v>99.15</v>
      </c>
      <c r="N16" s="51">
        <v>212.60</v>
      </c>
      <c r="O16" s="51">
        <v>0</v>
      </c>
      <c r="P16" s="51">
        <v>0.63</v>
      </c>
      <c r="Q16" s="51">
        <v>42.46</v>
      </c>
      <c r="R16" s="43"/>
      <c r="S16" s="43"/>
      <c r="T16" s="43"/>
      <c r="U16" s="43"/>
    </row>
    <row r="17" spans="1:21" s="11" customFormat="1" ht="15">
      <c r="A17" s="50" t="s">
        <v>646</v>
      </c>
      <c r="B17" s="51">
        <v>6.75</v>
      </c>
      <c r="C17" s="51">
        <v>10.14</v>
      </c>
      <c r="D17" s="51">
        <v>16.89</v>
      </c>
      <c r="E17" s="51">
        <v>7.77</v>
      </c>
      <c r="F17" s="51">
        <v>0.40</v>
      </c>
      <c r="G17" s="9" t="s">
        <v>15</v>
      </c>
      <c r="H17" s="51">
        <v>9.91</v>
      </c>
      <c r="I17" s="51">
        <v>44.86</v>
      </c>
      <c r="J17" s="51">
        <v>1.66</v>
      </c>
      <c r="K17" s="51">
        <v>167.18</v>
      </c>
      <c r="L17" s="51">
        <v>27.37</v>
      </c>
      <c r="M17" s="51">
        <v>98.43</v>
      </c>
      <c r="N17" s="51">
        <v>554.10</v>
      </c>
      <c r="O17" s="51">
        <v>0</v>
      </c>
      <c r="P17" s="51">
        <v>0.62</v>
      </c>
      <c r="Q17" s="51">
        <v>38.270000000000003</v>
      </c>
      <c r="R17" s="43"/>
      <c r="S17" s="43"/>
      <c r="T17" s="43"/>
      <c r="U17" s="43"/>
    </row>
    <row r="18" spans="1:21" s="11" customFormat="1" ht="15">
      <c r="A18" s="50" t="s">
        <v>647</v>
      </c>
      <c r="B18" s="51">
        <v>5.71</v>
      </c>
      <c r="C18" s="51">
        <v>10.73</v>
      </c>
      <c r="D18" s="51">
        <v>15</v>
      </c>
      <c r="E18" s="51">
        <v>7.61</v>
      </c>
      <c r="F18" s="51">
        <v>0.43</v>
      </c>
      <c r="G18" s="9" t="s">
        <v>15</v>
      </c>
      <c r="H18" s="51">
        <v>11.71</v>
      </c>
      <c r="I18" s="51">
        <v>38.770000000000003</v>
      </c>
      <c r="J18" s="51">
        <v>1.55</v>
      </c>
      <c r="K18" s="51">
        <v>187.19</v>
      </c>
      <c r="L18" s="51">
        <v>30.18</v>
      </c>
      <c r="M18" s="51">
        <v>87.26</v>
      </c>
      <c r="N18" s="51">
        <v>846.5</v>
      </c>
      <c r="O18" s="51">
        <v>0</v>
      </c>
      <c r="P18" s="51">
        <v>0.61</v>
      </c>
      <c r="Q18" s="51">
        <v>29.26</v>
      </c>
      <c r="R18" s="43"/>
      <c r="S18" s="43"/>
      <c r="T18" s="43"/>
      <c r="U18" s="43"/>
    </row>
    <row r="19" spans="1:21" s="11" customFormat="1" ht="15">
      <c r="A19" s="50" t="s">
        <v>648</v>
      </c>
      <c r="B19" s="51">
        <v>3.84</v>
      </c>
      <c r="C19" s="51">
        <v>11.20</v>
      </c>
      <c r="D19" s="51">
        <v>14.97</v>
      </c>
      <c r="E19" s="51">
        <v>7.06</v>
      </c>
      <c r="F19" s="51">
        <v>0.54</v>
      </c>
      <c r="G19" s="9" t="s">
        <v>15</v>
      </c>
      <c r="H19" s="51">
        <v>9.65</v>
      </c>
      <c r="I19" s="51">
        <v>32.5</v>
      </c>
      <c r="J19" s="51">
        <v>0.71</v>
      </c>
      <c r="K19" s="51">
        <v>190.88</v>
      </c>
      <c r="L19" s="9" t="s">
        <v>15</v>
      </c>
      <c r="M19" s="51">
        <v>76.650000000000006</v>
      </c>
      <c r="N19" s="51">
        <v>921.90</v>
      </c>
      <c r="O19" s="51">
        <v>0</v>
      </c>
      <c r="P19" s="51">
        <v>0.60</v>
      </c>
      <c r="Q19" s="51">
        <v>29</v>
      </c>
      <c r="R19" s="43"/>
      <c r="S19" s="43"/>
      <c r="T19" s="43"/>
      <c r="U19" s="43"/>
    </row>
    <row r="20" spans="1:21" s="11" customFormat="1" ht="15">
      <c r="A20" s="50" t="s">
        <v>649</v>
      </c>
      <c r="B20" s="51">
        <v>3.39</v>
      </c>
      <c r="C20" s="51">
        <v>12.55</v>
      </c>
      <c r="D20" s="51">
        <v>15.83</v>
      </c>
      <c r="E20" s="51">
        <v>6.54</v>
      </c>
      <c r="F20" s="51">
        <v>1.1200000000000001</v>
      </c>
      <c r="G20" s="9" t="s">
        <v>15</v>
      </c>
      <c r="H20" s="51">
        <v>11.29</v>
      </c>
      <c r="I20" s="51">
        <v>27.64</v>
      </c>
      <c r="J20" s="51">
        <v>0.81</v>
      </c>
      <c r="K20" s="51">
        <v>323.36</v>
      </c>
      <c r="L20" s="9" t="s">
        <v>15</v>
      </c>
      <c r="M20" s="51">
        <v>68.88</v>
      </c>
      <c r="N20" s="51">
        <v>1021.20</v>
      </c>
      <c r="O20" s="51">
        <v>0</v>
      </c>
      <c r="P20" s="51">
        <v>0.69</v>
      </c>
      <c r="Q20" s="51">
        <v>26.33</v>
      </c>
      <c r="R20" s="43"/>
      <c r="S20" s="43"/>
      <c r="T20" s="43"/>
      <c r="U20" s="43"/>
    </row>
    <row r="21" spans="1:21" s="11" customFormat="1" ht="15">
      <c r="A21" s="50" t="s">
        <v>650</v>
      </c>
      <c r="B21" s="51">
        <v>4</v>
      </c>
      <c r="C21" s="51">
        <v>14.05</v>
      </c>
      <c r="D21" s="51">
        <v>17.809999999999999</v>
      </c>
      <c r="E21" s="51">
        <v>6.17</v>
      </c>
      <c r="F21" s="51">
        <v>1.35</v>
      </c>
      <c r="G21" s="51">
        <v>20.80</v>
      </c>
      <c r="H21" s="51">
        <v>15.37</v>
      </c>
      <c r="I21" s="51">
        <v>23.69</v>
      </c>
      <c r="J21" s="51">
        <v>1.05</v>
      </c>
      <c r="K21" s="51">
        <v>347.95</v>
      </c>
      <c r="L21" s="9" t="s">
        <v>15</v>
      </c>
      <c r="M21" s="51">
        <v>63.80</v>
      </c>
      <c r="N21" s="51">
        <v>829.70</v>
      </c>
      <c r="O21" s="51">
        <v>0</v>
      </c>
      <c r="P21" s="51">
        <v>0.80</v>
      </c>
      <c r="Q21" s="51">
        <v>16.64</v>
      </c>
      <c r="R21" s="43"/>
      <c r="S21" s="43"/>
      <c r="T21" s="43"/>
      <c r="U21" s="43"/>
    </row>
    <row r="22" spans="1:21" s="11" customFormat="1" ht="15">
      <c r="A22" s="50" t="s">
        <v>651</v>
      </c>
      <c r="B22" s="51">
        <v>3.53</v>
      </c>
      <c r="C22" s="51">
        <v>14.64</v>
      </c>
      <c r="D22" s="51">
        <v>17.86</v>
      </c>
      <c r="E22" s="51">
        <v>6.35</v>
      </c>
      <c r="F22" s="51">
        <v>1.1100000000000001</v>
      </c>
      <c r="G22" s="51">
        <v>26.01</v>
      </c>
      <c r="H22" s="51">
        <v>18.600000000000001</v>
      </c>
      <c r="I22" s="51">
        <v>20.61</v>
      </c>
      <c r="J22" s="51">
        <v>0.44</v>
      </c>
      <c r="K22" s="51">
        <v>330.07</v>
      </c>
      <c r="L22" s="51">
        <v>37.770000000000003</v>
      </c>
      <c r="M22" s="51">
        <v>63.08</v>
      </c>
      <c r="N22" s="51">
        <v>931.40</v>
      </c>
      <c r="O22" s="51">
        <v>0</v>
      </c>
      <c r="P22" s="51">
        <v>0.74</v>
      </c>
      <c r="Q22" s="51">
        <v>20.83</v>
      </c>
      <c r="R22" s="43"/>
      <c r="S22" s="43"/>
      <c r="T22" s="43"/>
      <c r="U22" s="43"/>
    </row>
    <row r="23" spans="1:21" s="11" customFormat="1" ht="15">
      <c r="A23" s="50" t="s">
        <v>652</v>
      </c>
      <c r="B23" s="51">
        <v>4.5</v>
      </c>
      <c r="C23" s="51">
        <v>14.26</v>
      </c>
      <c r="D23" s="51">
        <v>18.649999999999999</v>
      </c>
      <c r="E23" s="51">
        <v>6.26</v>
      </c>
      <c r="F23" s="51">
        <v>0.89</v>
      </c>
      <c r="G23" s="51">
        <v>27.14</v>
      </c>
      <c r="H23" s="51">
        <v>20.14</v>
      </c>
      <c r="I23" s="51">
        <v>18.989999999999998</v>
      </c>
      <c r="J23" s="51">
        <v>0.56000000000000005</v>
      </c>
      <c r="K23" s="51">
        <v>316.11</v>
      </c>
      <c r="L23" s="51">
        <v>39.19</v>
      </c>
      <c r="M23" s="51">
        <v>66.91</v>
      </c>
      <c r="N23" s="51">
        <v>578.10</v>
      </c>
      <c r="O23" s="51">
        <v>0</v>
      </c>
      <c r="P23" s="51">
        <v>0.63</v>
      </c>
      <c r="Q23" s="51">
        <v>22.54</v>
      </c>
      <c r="R23" s="43"/>
      <c r="S23" s="43"/>
      <c r="T23" s="43"/>
      <c r="U23" s="43"/>
    </row>
    <row r="24" spans="1:21" s="11" customFormat="1" ht="15">
      <c r="A24" s="50" t="s">
        <v>653</v>
      </c>
      <c r="B24" s="51">
        <v>4.1900000000000004</v>
      </c>
      <c r="C24" s="51">
        <v>13.35</v>
      </c>
      <c r="D24" s="51">
        <v>17.54</v>
      </c>
      <c r="E24" s="51">
        <v>6.06</v>
      </c>
      <c r="F24" s="51">
        <v>1.75</v>
      </c>
      <c r="G24" s="51">
        <v>30.41</v>
      </c>
      <c r="H24" s="51">
        <v>20.14</v>
      </c>
      <c r="I24" s="51">
        <v>18.5</v>
      </c>
      <c r="J24" s="51">
        <v>3.31</v>
      </c>
      <c r="K24" s="51">
        <v>335.30</v>
      </c>
      <c r="L24" s="51">
        <v>37.42</v>
      </c>
      <c r="M24" s="51">
        <v>71.20</v>
      </c>
      <c r="N24" s="51">
        <v>370.60</v>
      </c>
      <c r="O24" s="51">
        <v>0</v>
      </c>
      <c r="P24" s="51">
        <v>0.64</v>
      </c>
      <c r="Q24" s="51">
        <v>22.38</v>
      </c>
      <c r="R24" s="43"/>
      <c r="S24" s="43"/>
      <c r="T24" s="43"/>
      <c r="U24" s="43"/>
    </row>
    <row r="25" spans="1:21" s="11" customFormat="1" ht="15">
      <c r="A25" s="50" t="s">
        <v>654</v>
      </c>
      <c r="B25" s="51">
        <v>4.46</v>
      </c>
      <c r="C25" s="51">
        <v>15.49</v>
      </c>
      <c r="D25" s="51">
        <v>19.95</v>
      </c>
      <c r="E25" s="51">
        <v>5.77</v>
      </c>
      <c r="F25" s="51">
        <v>1.75</v>
      </c>
      <c r="G25" s="51">
        <v>38.82</v>
      </c>
      <c r="H25" s="51">
        <v>18.309999999999999</v>
      </c>
      <c r="I25" s="51">
        <v>17.809999999999999</v>
      </c>
      <c r="J25" s="51">
        <v>3.31</v>
      </c>
      <c r="K25" s="51">
        <v>353.63</v>
      </c>
      <c r="L25" s="51">
        <v>34.31</v>
      </c>
      <c r="M25" s="51">
        <v>83.33</v>
      </c>
      <c r="N25" s="51">
        <v>105.30</v>
      </c>
      <c r="O25" s="51">
        <v>0</v>
      </c>
      <c r="P25" s="51">
        <v>0.64</v>
      </c>
      <c r="Q25" s="51">
        <v>13.92</v>
      </c>
      <c r="R25" s="43"/>
      <c r="S25" s="43"/>
      <c r="T25" s="43"/>
      <c r="U25" s="43"/>
    </row>
    <row r="26" spans="1:21" s="11" customFormat="1" ht="15">
      <c r="A26" s="50" t="s">
        <v>655</v>
      </c>
      <c r="B26" s="51">
        <v>5.16</v>
      </c>
      <c r="C26" s="51">
        <v>17.02</v>
      </c>
      <c r="D26" s="51">
        <v>21.54</v>
      </c>
      <c r="E26" s="51">
        <v>6</v>
      </c>
      <c r="F26" s="51">
        <v>0.28000000000000003</v>
      </c>
      <c r="G26" s="51">
        <v>35.090000000000003</v>
      </c>
      <c r="H26" s="51">
        <v>16.16</v>
      </c>
      <c r="I26" s="51">
        <v>11.42</v>
      </c>
      <c r="J26" s="51">
        <v>1.02</v>
      </c>
      <c r="K26" s="51">
        <v>348.51</v>
      </c>
      <c r="L26" s="51">
        <v>30.78</v>
      </c>
      <c r="M26" s="51">
        <v>82.40</v>
      </c>
      <c r="N26" s="51">
        <v>33.700000000000003</v>
      </c>
      <c r="O26" s="51">
        <v>0</v>
      </c>
      <c r="P26" s="51">
        <v>0.64</v>
      </c>
      <c r="Q26" s="51">
        <v>18.48</v>
      </c>
      <c r="R26" s="43"/>
      <c r="S26" s="43"/>
      <c r="T26" s="43"/>
      <c r="U26" s="43"/>
    </row>
    <row r="27" spans="1:21" s="11" customFormat="1" ht="15">
      <c r="A27" s="50" t="s">
        <v>656</v>
      </c>
      <c r="B27" s="51">
        <v>7.86</v>
      </c>
      <c r="C27" s="51">
        <v>13.20</v>
      </c>
      <c r="D27" s="51">
        <v>19.25</v>
      </c>
      <c r="E27" s="51">
        <v>7.01</v>
      </c>
      <c r="F27" s="51">
        <v>0.25</v>
      </c>
      <c r="G27" s="51">
        <v>33.26</v>
      </c>
      <c r="H27" s="51">
        <v>18.48</v>
      </c>
      <c r="I27" s="51">
        <v>13.24</v>
      </c>
      <c r="J27" s="51">
        <v>0.47</v>
      </c>
      <c r="K27" s="51">
        <v>197.63</v>
      </c>
      <c r="L27" s="51">
        <v>30.92</v>
      </c>
      <c r="M27" s="51">
        <v>85.39</v>
      </c>
      <c r="N27" s="51">
        <v>20.100000000000001</v>
      </c>
      <c r="O27" s="51">
        <v>0</v>
      </c>
      <c r="P27" s="51">
        <v>0.71</v>
      </c>
      <c r="Q27" s="51">
        <v>26.83</v>
      </c>
      <c r="R27" s="43"/>
      <c r="S27" s="43"/>
      <c r="T27" s="43"/>
      <c r="U27" s="43"/>
    </row>
    <row r="28" spans="1:21" s="11" customFormat="1" ht="15">
      <c r="A28" s="50" t="s">
        <v>657</v>
      </c>
      <c r="B28" s="51">
        <v>7.78</v>
      </c>
      <c r="C28" s="51">
        <v>9.5399999999999991</v>
      </c>
      <c r="D28" s="51">
        <v>17.309999999999999</v>
      </c>
      <c r="E28" s="51">
        <v>6.87</v>
      </c>
      <c r="F28" s="51">
        <v>0.78</v>
      </c>
      <c r="G28" s="51">
        <v>34.74</v>
      </c>
      <c r="H28" s="51">
        <v>16.809999999999999</v>
      </c>
      <c r="I28" s="51">
        <v>13.71</v>
      </c>
      <c r="J28" s="51">
        <v>0.56999999999999995</v>
      </c>
      <c r="K28" s="51">
        <v>212.18</v>
      </c>
      <c r="L28" s="51">
        <v>30.35</v>
      </c>
      <c r="M28" s="51">
        <v>90.01</v>
      </c>
      <c r="N28" s="51">
        <v>15.40</v>
      </c>
      <c r="O28" s="51">
        <v>0</v>
      </c>
      <c r="P28" s="51">
        <v>0.80</v>
      </c>
      <c r="Q28" s="51">
        <v>22.39</v>
      </c>
      <c r="R28" s="43"/>
      <c r="S28" s="43"/>
      <c r="T28" s="43"/>
      <c r="U28" s="43"/>
    </row>
    <row r="29" spans="1:21" s="11" customFormat="1" ht="15">
      <c r="A29" s="50" t="s">
        <v>658</v>
      </c>
      <c r="B29" s="51">
        <v>6.55</v>
      </c>
      <c r="C29" s="51">
        <v>10.26</v>
      </c>
      <c r="D29" s="51">
        <v>16.350000000000001</v>
      </c>
      <c r="E29" s="51">
        <v>6.71</v>
      </c>
      <c r="F29" s="51">
        <v>0.22</v>
      </c>
      <c r="G29" s="51">
        <v>31.02</v>
      </c>
      <c r="H29" s="51">
        <v>17.21</v>
      </c>
      <c r="I29" s="51">
        <v>13.09</v>
      </c>
      <c r="J29" s="51">
        <v>0.40</v>
      </c>
      <c r="K29" s="51">
        <v>184.84</v>
      </c>
      <c r="L29" s="51">
        <v>29.79</v>
      </c>
      <c r="M29" s="51">
        <v>89.17</v>
      </c>
      <c r="N29" s="51">
        <v>15</v>
      </c>
      <c r="O29" s="51">
        <v>0</v>
      </c>
      <c r="P29" s="51">
        <v>0.77</v>
      </c>
      <c r="Q29" s="51">
        <v>20.74</v>
      </c>
      <c r="R29" s="43"/>
      <c r="S29" s="43"/>
      <c r="T29" s="43"/>
      <c r="U29" s="43"/>
    </row>
    <row r="30" spans="1:21" s="11" customFormat="1" ht="15">
      <c r="A30" s="50" t="s">
        <v>659</v>
      </c>
      <c r="B30" s="51">
        <v>6.39</v>
      </c>
      <c r="C30" s="51">
        <v>10.06</v>
      </c>
      <c r="D30" s="51">
        <v>16.28</v>
      </c>
      <c r="E30" s="51">
        <v>7.33</v>
      </c>
      <c r="F30" s="51">
        <v>0.17</v>
      </c>
      <c r="G30" s="51">
        <v>22.30</v>
      </c>
      <c r="H30" s="51">
        <v>12.35</v>
      </c>
      <c r="I30" s="51">
        <v>13.62</v>
      </c>
      <c r="J30" s="51">
        <v>0.37</v>
      </c>
      <c r="K30" s="51">
        <v>232.06</v>
      </c>
      <c r="L30" s="51">
        <v>29.63</v>
      </c>
      <c r="M30" s="51">
        <v>90.16</v>
      </c>
      <c r="N30" s="51">
        <v>15</v>
      </c>
      <c r="O30" s="51">
        <v>0</v>
      </c>
      <c r="P30" s="51">
        <v>0.77</v>
      </c>
      <c r="Q30" s="51">
        <v>23.65</v>
      </c>
      <c r="R30" s="43"/>
      <c r="S30" s="43"/>
      <c r="T30" s="43"/>
      <c r="U30" s="43"/>
    </row>
    <row r="31" spans="1:21" s="11" customFormat="1" ht="15">
      <c r="A31" s="50" t="s">
        <v>660</v>
      </c>
      <c r="B31" s="51">
        <v>6.48</v>
      </c>
      <c r="C31" s="51">
        <v>9.16</v>
      </c>
      <c r="D31" s="51">
        <v>15.56</v>
      </c>
      <c r="E31" s="51">
        <v>7.24</v>
      </c>
      <c r="F31" s="51">
        <v>0.59</v>
      </c>
      <c r="G31" s="51">
        <v>21.49</v>
      </c>
      <c r="H31" s="51">
        <v>12.23</v>
      </c>
      <c r="I31" s="51">
        <v>14.5</v>
      </c>
      <c r="J31" s="51">
        <v>0.70</v>
      </c>
      <c r="K31" s="51">
        <v>198.11</v>
      </c>
      <c r="L31" s="51">
        <v>29.59</v>
      </c>
      <c r="M31" s="51">
        <v>95.53</v>
      </c>
      <c r="N31" s="51">
        <v>15</v>
      </c>
      <c r="O31" s="51">
        <v>0</v>
      </c>
      <c r="P31" s="51">
        <v>0.77</v>
      </c>
      <c r="Q31" s="51">
        <v>24.62</v>
      </c>
      <c r="R31" s="43"/>
      <c r="S31" s="43"/>
      <c r="T31" s="43"/>
      <c r="U31" s="43"/>
    </row>
    <row r="32" spans="1:21" s="11" customFormat="1" ht="15">
      <c r="A32" s="50" t="s">
        <v>661</v>
      </c>
      <c r="B32" s="51">
        <v>6.32</v>
      </c>
      <c r="C32" s="51">
        <v>8.81</v>
      </c>
      <c r="D32" s="51">
        <v>15.08</v>
      </c>
      <c r="E32" s="51">
        <v>7.35</v>
      </c>
      <c r="F32" s="51">
        <v>0.32</v>
      </c>
      <c r="G32" s="51">
        <v>20.5</v>
      </c>
      <c r="H32" s="51">
        <v>13.51</v>
      </c>
      <c r="I32" s="51">
        <v>14.30</v>
      </c>
      <c r="J32" s="51">
        <v>0.26</v>
      </c>
      <c r="K32" s="51">
        <v>213.72</v>
      </c>
      <c r="L32" s="51">
        <v>29.59</v>
      </c>
      <c r="M32" s="51">
        <v>96.76</v>
      </c>
      <c r="N32" s="51">
        <v>15</v>
      </c>
      <c r="O32" s="51">
        <v>0</v>
      </c>
      <c r="P32" s="51">
        <v>0.77</v>
      </c>
      <c r="Q32" s="51">
        <v>19.89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1.97</v>
      </c>
      <c r="C34" s="28">
        <f t="shared" si="0"/>
        <v>6.1299999999999999</v>
      </c>
      <c r="D34" s="28">
        <f t="shared" si="0"/>
        <v>9.0500000000000007</v>
      </c>
      <c r="E34" s="28">
        <f t="shared" si="0"/>
        <v>5.7699999999999996</v>
      </c>
      <c r="F34" s="28">
        <f t="shared" si="0"/>
        <v>0.14999999999999999</v>
      </c>
      <c r="G34" s="28">
        <f t="shared" si="0"/>
        <v>11.1</v>
      </c>
      <c r="H34" s="28">
        <f t="shared" si="0"/>
        <v>6.4400000000000004</v>
      </c>
      <c r="I34" s="28">
        <f t="shared" si="0"/>
        <v>11.42</v>
      </c>
      <c r="J34" s="28">
        <f t="shared" si="0"/>
        <v>0.26000000000000001</v>
      </c>
      <c r="K34" s="28">
        <f t="shared" si="0"/>
        <v>78.290000000000006</v>
      </c>
      <c r="L34" s="28">
        <f t="shared" si="0"/>
        <v>27.370000000000001</v>
      </c>
      <c r="M34" s="28">
        <f t="shared" si="0"/>
        <v>63.079999999999998</v>
      </c>
      <c r="N34" s="28">
        <f t="shared" si="0"/>
        <v>15</v>
      </c>
      <c r="O34" s="28">
        <f t="shared" si="0"/>
        <v>0</v>
      </c>
      <c r="P34" s="28">
        <f t="shared" si="0"/>
        <v>0.59999999999999998</v>
      </c>
      <c r="Q34" s="28">
        <f t="shared" si="0"/>
        <v>13.92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7.8600000000000003</v>
      </c>
      <c r="C35" s="29">
        <f t="shared" si="1"/>
        <v>17.02</v>
      </c>
      <c r="D35" s="29">
        <f t="shared" si="1"/>
        <v>21.539999999999999</v>
      </c>
      <c r="E35" s="29">
        <f t="shared" si="1"/>
        <v>9.1300000000000008</v>
      </c>
      <c r="F35" s="29">
        <f t="shared" si="1"/>
        <v>1.75</v>
      </c>
      <c r="G35" s="29">
        <f t="shared" si="1"/>
        <v>38.82</v>
      </c>
      <c r="H35" s="29">
        <f t="shared" si="1"/>
        <v>20.140000000000001</v>
      </c>
      <c r="I35" s="29">
        <f t="shared" si="1"/>
        <v>132.05000000000001</v>
      </c>
      <c r="J35" s="29">
        <f t="shared" si="1"/>
        <v>3.3100000000000001</v>
      </c>
      <c r="K35" s="29">
        <f t="shared" si="1"/>
        <v>353.63</v>
      </c>
      <c r="L35" s="29">
        <f t="shared" si="1"/>
        <v>40.619999999999997</v>
      </c>
      <c r="M35" s="29">
        <f t="shared" si="1"/>
        <v>99.150000000000006</v>
      </c>
      <c r="N35" s="29">
        <f t="shared" si="1"/>
        <v>1021.2</v>
      </c>
      <c r="O35" s="29">
        <f t="shared" si="1"/>
        <v>8.5999999999999996</v>
      </c>
      <c r="P35" s="29">
        <f t="shared" si="1"/>
        <v>0.88</v>
      </c>
      <c r="Q35" s="29">
        <f t="shared" si="1"/>
        <v>42.460000000000001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4.8987499999999997</v>
      </c>
      <c r="C36" s="28">
        <f t="shared" si="2"/>
        <v>10.820833333333333</v>
      </c>
      <c r="D36" s="28">
        <f t="shared" si="2"/>
        <v>15.453749999999999</v>
      </c>
      <c r="E36" s="28">
        <f t="shared" si="2"/>
        <v>7.0612500000000011</v>
      </c>
      <c r="F36" s="28">
        <f t="shared" si="2"/>
        <v>0.61833333333333329</v>
      </c>
      <c r="G36" s="28">
        <f t="shared" si="2"/>
        <v>23.417894736842104</v>
      </c>
      <c r="H36" s="28">
        <f t="shared" si="2"/>
        <v>13.294583333333334</v>
      </c>
      <c r="I36" s="28">
        <f t="shared" si="2"/>
        <v>42.645833333333329</v>
      </c>
      <c r="J36" s="28">
        <f t="shared" si="2"/>
        <v>1.0325</v>
      </c>
      <c r="K36" s="28">
        <f t="shared" si="2"/>
        <v>234.73541666666674</v>
      </c>
      <c r="L36" s="28">
        <f t="shared" si="2"/>
        <v>34.031904761904762</v>
      </c>
      <c r="M36" s="28">
        <f t="shared" si="2"/>
        <v>87.576250000000016</v>
      </c>
      <c r="N36" s="28">
        <f t="shared" si="2"/>
        <v>277.77916666666664</v>
      </c>
      <c r="O36" s="28">
        <f t="shared" si="2"/>
        <v>0.4916666666666667</v>
      </c>
      <c r="P36" s="28">
        <f t="shared" si="2"/>
        <v>0.71250000000000002</v>
      </c>
      <c r="Q36" s="28">
        <f t="shared" si="2"/>
        <v>26.877083333333331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1.6850346725886955</v>
      </c>
      <c r="C37" s="28">
        <f t="shared" si="3" ref="C37:Q37">STDEV(C9:C32)</f>
        <v>2.9011525695633598</v>
      </c>
      <c r="D37" s="28">
        <f t="shared" si="3"/>
        <v>3.4117390854161962</v>
      </c>
      <c r="E37" s="28">
        <f t="shared" si="3"/>
        <v>0.95150824209914175</v>
      </c>
      <c r="F37" s="28">
        <f t="shared" si="3"/>
        <v>0.48063062438992527</v>
      </c>
      <c r="G37" s="28">
        <f t="shared" si="3"/>
        <v>8.657060431903977</v>
      </c>
      <c r="H37" s="28">
        <f t="shared" si="3"/>
        <v>4.1114706764354327</v>
      </c>
      <c r="I37" s="28">
        <f t="shared" si="3"/>
        <v>35.793495391185843</v>
      </c>
      <c r="J37" s="28">
        <f t="shared" si="3"/>
        <v>0.79579465343440348</v>
      </c>
      <c r="K37" s="28">
        <f t="shared" si="3"/>
        <v>80.71320160210648</v>
      </c>
      <c r="L37" s="28">
        <f t="shared" si="3"/>
        <v>4.075688431477082</v>
      </c>
      <c r="M37" s="28">
        <f t="shared" si="3"/>
        <v>12.724254761640411</v>
      </c>
      <c r="N37" s="28">
        <f t="shared" si="3"/>
        <v>370.51154177782337</v>
      </c>
      <c r="O37" s="28">
        <f t="shared" si="3"/>
        <v>1.7761503722735685</v>
      </c>
      <c r="P37" s="28">
        <f t="shared" si="3"/>
        <v>0.077248891929578789</v>
      </c>
      <c r="Q37" s="28">
        <f t="shared" si="3"/>
        <v>7.7785566332772396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19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21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e4612e-1d13-49fd-92ad-d21aa55e0ddd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L23" sqref="L23:L2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662</v>
      </c>
      <c r="B9" s="51">
        <v>6.16</v>
      </c>
      <c r="C9" s="51">
        <v>9.73</v>
      </c>
      <c r="D9" s="51">
        <v>15.78</v>
      </c>
      <c r="E9" s="51">
        <v>7.08</v>
      </c>
      <c r="F9" s="51">
        <v>0.13</v>
      </c>
      <c r="G9" s="51">
        <v>20.67</v>
      </c>
      <c r="H9" s="51">
        <v>12.44</v>
      </c>
      <c r="I9" s="51">
        <v>13.17</v>
      </c>
      <c r="J9" s="51">
        <v>0.08</v>
      </c>
      <c r="K9" s="51">
        <v>353.38</v>
      </c>
      <c r="L9" s="51">
        <v>29.52</v>
      </c>
      <c r="M9" s="51">
        <v>94.52</v>
      </c>
      <c r="N9" s="51">
        <v>14.90</v>
      </c>
      <c r="O9" s="51">
        <v>0</v>
      </c>
      <c r="P9" s="51">
        <v>0.75</v>
      </c>
      <c r="Q9" s="51">
        <v>22.07</v>
      </c>
      <c r="R9" s="43"/>
      <c r="S9" s="43"/>
      <c r="T9" s="43"/>
      <c r="U9" s="43"/>
    </row>
    <row r="10" spans="1:21" s="11" customFormat="1" ht="15">
      <c r="A10" s="50" t="s">
        <v>663</v>
      </c>
      <c r="B10" s="51">
        <v>5.84</v>
      </c>
      <c r="C10" s="51">
        <v>9.25</v>
      </c>
      <c r="D10" s="51">
        <v>14.97</v>
      </c>
      <c r="E10" s="51">
        <v>7.15</v>
      </c>
      <c r="F10" s="51">
        <v>0.11</v>
      </c>
      <c r="G10" s="51">
        <v>14.96</v>
      </c>
      <c r="H10" s="51">
        <v>12.75</v>
      </c>
      <c r="I10" s="51">
        <v>13.61</v>
      </c>
      <c r="J10" s="51">
        <v>0.18</v>
      </c>
      <c r="K10" s="51">
        <v>237.49</v>
      </c>
      <c r="L10" s="51">
        <v>29.57</v>
      </c>
      <c r="M10" s="51">
        <v>95.80</v>
      </c>
      <c r="N10" s="51">
        <v>15</v>
      </c>
      <c r="O10" s="51">
        <v>0</v>
      </c>
      <c r="P10" s="51">
        <v>0.72</v>
      </c>
      <c r="Q10" s="51">
        <v>24.87</v>
      </c>
      <c r="R10" s="43"/>
      <c r="S10" s="43"/>
      <c r="T10" s="43"/>
      <c r="U10" s="43"/>
    </row>
    <row r="11" spans="1:21" s="11" customFormat="1" ht="15">
      <c r="A11" s="50" t="s">
        <v>664</v>
      </c>
      <c r="B11" s="51">
        <v>5.86</v>
      </c>
      <c r="C11" s="51">
        <v>8.0500000000000007</v>
      </c>
      <c r="D11" s="51">
        <v>13.91</v>
      </c>
      <c r="E11" s="51">
        <v>7.49</v>
      </c>
      <c r="F11" s="51">
        <v>0.61</v>
      </c>
      <c r="G11" s="51">
        <v>20.41</v>
      </c>
      <c r="H11" s="51">
        <v>11.79</v>
      </c>
      <c r="I11" s="51">
        <v>14.07</v>
      </c>
      <c r="J11" s="51">
        <v>0.15</v>
      </c>
      <c r="K11" s="51">
        <v>346.12</v>
      </c>
      <c r="L11" s="51">
        <v>29.47</v>
      </c>
      <c r="M11" s="51">
        <v>98.99</v>
      </c>
      <c r="N11" s="51">
        <v>14.80</v>
      </c>
      <c r="O11" s="51">
        <v>0</v>
      </c>
      <c r="P11" s="51">
        <v>0.76</v>
      </c>
      <c r="Q11" s="51">
        <v>25.54</v>
      </c>
      <c r="R11" s="43"/>
      <c r="S11" s="43"/>
      <c r="T11" s="43"/>
      <c r="U11" s="43"/>
    </row>
    <row r="12" spans="1:21" s="11" customFormat="1" ht="15">
      <c r="A12" s="50" t="s">
        <v>665</v>
      </c>
      <c r="B12" s="51">
        <v>5.0599999999999996</v>
      </c>
      <c r="C12" s="51">
        <v>8.34</v>
      </c>
      <c r="D12" s="51">
        <v>13.08</v>
      </c>
      <c r="E12" s="51">
        <v>7.36</v>
      </c>
      <c r="F12" s="51">
        <v>0.28999999999999998</v>
      </c>
      <c r="G12" s="51">
        <v>29.74</v>
      </c>
      <c r="H12" s="51">
        <v>8.74</v>
      </c>
      <c r="I12" s="51">
        <v>13.34</v>
      </c>
      <c r="J12" s="51">
        <v>0.54</v>
      </c>
      <c r="K12" s="51">
        <v>319.75</v>
      </c>
      <c r="L12" s="51">
        <v>29.03</v>
      </c>
      <c r="M12" s="51">
        <v>99.09</v>
      </c>
      <c r="N12" s="51">
        <v>14.80</v>
      </c>
      <c r="O12" s="51">
        <v>0</v>
      </c>
      <c r="P12" s="51">
        <v>0.73</v>
      </c>
      <c r="Q12" s="51">
        <v>18.63</v>
      </c>
      <c r="R12" s="43"/>
      <c r="S12" s="43"/>
      <c r="T12" s="43"/>
      <c r="U12" s="43"/>
    </row>
    <row r="13" spans="1:21" s="11" customFormat="1" ht="15">
      <c r="A13" s="50" t="s">
        <v>666</v>
      </c>
      <c r="B13" s="51">
        <v>5.16</v>
      </c>
      <c r="C13" s="51">
        <v>8.60</v>
      </c>
      <c r="D13" s="51">
        <v>13.37</v>
      </c>
      <c r="E13" s="51">
        <v>6.92</v>
      </c>
      <c r="F13" s="51">
        <v>0.10</v>
      </c>
      <c r="G13" s="51">
        <v>26.13</v>
      </c>
      <c r="H13" s="51">
        <v>9.09</v>
      </c>
      <c r="I13" s="51">
        <v>12.58</v>
      </c>
      <c r="J13" s="51">
        <v>0.74</v>
      </c>
      <c r="K13" s="51">
        <v>308.81</v>
      </c>
      <c r="L13" s="51">
        <v>28.99</v>
      </c>
      <c r="M13" s="51">
        <v>96.56</v>
      </c>
      <c r="N13" s="51">
        <v>14.90</v>
      </c>
      <c r="O13" s="51">
        <v>0</v>
      </c>
      <c r="P13" s="51">
        <v>0.72</v>
      </c>
      <c r="Q13" s="51">
        <v>20.84</v>
      </c>
      <c r="R13" s="43"/>
      <c r="S13" s="43"/>
      <c r="T13" s="43"/>
      <c r="U13" s="43"/>
    </row>
    <row r="14" spans="1:21" s="11" customFormat="1" ht="15">
      <c r="A14" s="50" t="s">
        <v>667</v>
      </c>
      <c r="B14" s="51">
        <v>7.71</v>
      </c>
      <c r="C14" s="51">
        <v>8.19</v>
      </c>
      <c r="D14" s="51">
        <v>15.42</v>
      </c>
      <c r="E14" s="51">
        <v>7.72</v>
      </c>
      <c r="F14" s="51">
        <v>0.5</v>
      </c>
      <c r="G14" s="51">
        <v>27.03</v>
      </c>
      <c r="H14" s="51">
        <v>12.57</v>
      </c>
      <c r="I14" s="51">
        <v>13</v>
      </c>
      <c r="J14" s="51">
        <v>0.21</v>
      </c>
      <c r="K14" s="51">
        <v>321.95</v>
      </c>
      <c r="L14" s="51">
        <v>28.71</v>
      </c>
      <c r="M14" s="51">
        <v>97.62</v>
      </c>
      <c r="N14" s="51">
        <v>30.10</v>
      </c>
      <c r="O14" s="51">
        <v>0</v>
      </c>
      <c r="P14" s="51">
        <v>0.73</v>
      </c>
      <c r="Q14" s="51">
        <v>22.78</v>
      </c>
      <c r="R14" s="43"/>
      <c r="S14" s="43"/>
      <c r="T14" s="43"/>
      <c r="U14" s="43"/>
    </row>
    <row r="15" spans="1:21" s="11" customFormat="1" ht="15">
      <c r="A15" s="50" t="s">
        <v>668</v>
      </c>
      <c r="B15" s="51">
        <v>11.18</v>
      </c>
      <c r="C15" s="51">
        <v>8.59</v>
      </c>
      <c r="D15" s="51">
        <v>19.78</v>
      </c>
      <c r="E15" s="51">
        <v>7.12</v>
      </c>
      <c r="F15" s="51">
        <v>0.26</v>
      </c>
      <c r="G15" s="51">
        <v>27.75</v>
      </c>
      <c r="H15" s="51">
        <v>14.29</v>
      </c>
      <c r="I15" s="51">
        <v>13.05</v>
      </c>
      <c r="J15" s="51">
        <v>0.17</v>
      </c>
      <c r="K15" s="51">
        <v>341.45</v>
      </c>
      <c r="L15" s="51">
        <v>31.68</v>
      </c>
      <c r="M15" s="51">
        <v>95.40</v>
      </c>
      <c r="N15" s="51">
        <v>160.19999999999999</v>
      </c>
      <c r="O15" s="51">
        <v>0</v>
      </c>
      <c r="P15" s="51">
        <v>0.75</v>
      </c>
      <c r="Q15" s="51">
        <v>18.920000000000002</v>
      </c>
      <c r="R15" s="43"/>
      <c r="S15" s="43"/>
      <c r="T15" s="43"/>
      <c r="U15" s="43"/>
    </row>
    <row r="16" spans="1:21" s="11" customFormat="1" ht="15">
      <c r="A16" s="50" t="s">
        <v>669</v>
      </c>
      <c r="B16" s="51">
        <v>13.44</v>
      </c>
      <c r="C16" s="51">
        <v>11.02</v>
      </c>
      <c r="D16" s="51">
        <v>24.46</v>
      </c>
      <c r="E16" s="51">
        <v>7.15</v>
      </c>
      <c r="F16" s="51">
        <v>0.28000000000000003</v>
      </c>
      <c r="G16" s="51">
        <v>30.88</v>
      </c>
      <c r="H16" s="51">
        <v>16.66</v>
      </c>
      <c r="I16" s="51">
        <v>12.02</v>
      </c>
      <c r="J16" s="51">
        <v>0.98</v>
      </c>
      <c r="K16" s="51">
        <v>318.08999999999997</v>
      </c>
      <c r="L16" s="51">
        <v>36.22</v>
      </c>
      <c r="M16" s="51">
        <v>80.48</v>
      </c>
      <c r="N16" s="51">
        <v>405.30</v>
      </c>
      <c r="O16" s="51">
        <v>0</v>
      </c>
      <c r="P16" s="51">
        <v>0.71</v>
      </c>
      <c r="Q16" s="51">
        <v>20.059999999999999</v>
      </c>
      <c r="R16" s="43"/>
      <c r="S16" s="43"/>
      <c r="T16" s="43"/>
      <c r="U16" s="43"/>
    </row>
    <row r="17" spans="1:21" s="11" customFormat="1" ht="15">
      <c r="A17" s="50" t="s">
        <v>670</v>
      </c>
      <c r="B17" s="51">
        <v>13.63</v>
      </c>
      <c r="C17" s="51">
        <v>12.31</v>
      </c>
      <c r="D17" s="51">
        <v>25.89</v>
      </c>
      <c r="E17" s="51">
        <v>7.28</v>
      </c>
      <c r="F17" s="51">
        <v>0.19</v>
      </c>
      <c r="G17" s="51">
        <v>34.29</v>
      </c>
      <c r="H17" s="51">
        <v>20.65</v>
      </c>
      <c r="I17" s="51">
        <v>11.26</v>
      </c>
      <c r="J17" s="51">
        <v>1.24</v>
      </c>
      <c r="K17" s="51">
        <v>328.58</v>
      </c>
      <c r="L17" s="51">
        <v>39.31</v>
      </c>
      <c r="M17" s="51">
        <v>64.19</v>
      </c>
      <c r="N17" s="51">
        <v>650.20000000000005</v>
      </c>
      <c r="O17" s="51">
        <v>0</v>
      </c>
      <c r="P17" s="51">
        <v>0.74</v>
      </c>
      <c r="Q17" s="51">
        <v>21.43</v>
      </c>
      <c r="R17" s="43"/>
      <c r="S17" s="43"/>
      <c r="T17" s="43"/>
      <c r="U17" s="43"/>
    </row>
    <row r="18" spans="1:21" s="11" customFormat="1" ht="15">
      <c r="A18" s="50" t="s">
        <v>671</v>
      </c>
      <c r="B18" s="51">
        <v>13.89</v>
      </c>
      <c r="C18" s="51">
        <v>13.28</v>
      </c>
      <c r="D18" s="51">
        <v>27.17</v>
      </c>
      <c r="E18" s="51">
        <v>7.25</v>
      </c>
      <c r="F18" s="51">
        <v>0.81</v>
      </c>
      <c r="G18" s="51">
        <v>34.450000000000003</v>
      </c>
      <c r="H18" s="51">
        <v>17.22</v>
      </c>
      <c r="I18" s="51">
        <v>10.62</v>
      </c>
      <c r="J18" s="51">
        <v>1.29</v>
      </c>
      <c r="K18" s="51">
        <v>337.81</v>
      </c>
      <c r="L18" s="51">
        <v>46.19</v>
      </c>
      <c r="M18" s="51">
        <v>56.58</v>
      </c>
      <c r="N18" s="51">
        <v>833.10</v>
      </c>
      <c r="O18" s="51">
        <v>0</v>
      </c>
      <c r="P18" s="51">
        <v>0.82</v>
      </c>
      <c r="Q18" s="51">
        <v>21.13</v>
      </c>
      <c r="R18" s="43"/>
      <c r="S18" s="43"/>
      <c r="T18" s="43"/>
      <c r="U18" s="43"/>
    </row>
    <row r="19" spans="1:21" s="11" customFormat="1" ht="15">
      <c r="A19" s="50" t="s">
        <v>672</v>
      </c>
      <c r="B19" s="51">
        <v>13.80</v>
      </c>
      <c r="C19" s="51">
        <v>16.62</v>
      </c>
      <c r="D19" s="51">
        <v>29.13</v>
      </c>
      <c r="E19" s="51">
        <v>6.74</v>
      </c>
      <c r="F19" s="51">
        <v>0.69</v>
      </c>
      <c r="G19" s="51">
        <v>37.07</v>
      </c>
      <c r="H19" s="51">
        <v>22.48</v>
      </c>
      <c r="I19" s="51">
        <v>10.15</v>
      </c>
      <c r="J19" s="51">
        <v>0.93</v>
      </c>
      <c r="K19" s="51">
        <v>336.51</v>
      </c>
      <c r="L19" s="51">
        <v>48</v>
      </c>
      <c r="M19" s="51">
        <v>53.53</v>
      </c>
      <c r="N19" s="51">
        <v>912.60</v>
      </c>
      <c r="O19" s="51">
        <v>0</v>
      </c>
      <c r="P19" s="51">
        <v>0.90</v>
      </c>
      <c r="Q19" s="51">
        <v>17.12</v>
      </c>
      <c r="R19" s="43"/>
      <c r="S19" s="43"/>
      <c r="T19" s="43"/>
      <c r="U19" s="43"/>
    </row>
    <row r="20" spans="1:21" s="11" customFormat="1" ht="15">
      <c r="A20" s="50" t="s">
        <v>673</v>
      </c>
      <c r="B20" s="51">
        <v>11.61</v>
      </c>
      <c r="C20" s="51">
        <v>17.82</v>
      </c>
      <c r="D20" s="51">
        <v>29.44</v>
      </c>
      <c r="E20" s="51">
        <v>6.64</v>
      </c>
      <c r="F20" s="51">
        <v>0.25</v>
      </c>
      <c r="G20" s="51">
        <v>42.40</v>
      </c>
      <c r="H20" s="51">
        <v>27.37</v>
      </c>
      <c r="I20" s="51">
        <v>9.7799999999999994</v>
      </c>
      <c r="J20" s="51">
        <v>0.62</v>
      </c>
      <c r="K20" s="51">
        <v>339.33</v>
      </c>
      <c r="L20" s="51">
        <v>47.77</v>
      </c>
      <c r="M20" s="51">
        <v>55.58</v>
      </c>
      <c r="N20" s="51">
        <v>1029</v>
      </c>
      <c r="O20" s="51">
        <v>0</v>
      </c>
      <c r="P20" s="51">
        <v>0.90</v>
      </c>
      <c r="Q20" s="51">
        <v>21.87</v>
      </c>
      <c r="R20" s="43"/>
      <c r="S20" s="43"/>
      <c r="T20" s="43"/>
      <c r="U20" s="43"/>
    </row>
    <row r="21" spans="1:21" s="11" customFormat="1" ht="15">
      <c r="A21" s="50" t="s">
        <v>674</v>
      </c>
      <c r="B21" s="51">
        <v>8.25</v>
      </c>
      <c r="C21" s="51">
        <v>17.079999999999998</v>
      </c>
      <c r="D21" s="51">
        <v>24.84</v>
      </c>
      <c r="E21" s="51">
        <v>5.71</v>
      </c>
      <c r="F21" s="51">
        <v>0.84</v>
      </c>
      <c r="G21" s="51">
        <v>44.54</v>
      </c>
      <c r="H21" s="51">
        <v>23.26</v>
      </c>
      <c r="I21" s="51">
        <v>9.59</v>
      </c>
      <c r="J21" s="51">
        <v>0.63</v>
      </c>
      <c r="K21" s="51">
        <v>330.08</v>
      </c>
      <c r="L21" s="51">
        <v>44.70</v>
      </c>
      <c r="M21" s="51">
        <v>55.99</v>
      </c>
      <c r="N21" s="51">
        <v>779.10</v>
      </c>
      <c r="O21" s="51">
        <v>0</v>
      </c>
      <c r="P21" s="51">
        <v>0.88</v>
      </c>
      <c r="Q21" s="51">
        <v>21.74</v>
      </c>
      <c r="R21" s="43"/>
      <c r="S21" s="43"/>
      <c r="T21" s="43"/>
      <c r="U21" s="43"/>
    </row>
    <row r="22" spans="1:21" s="11" customFormat="1" ht="15">
      <c r="A22" s="50" t="s">
        <v>675</v>
      </c>
      <c r="B22" s="51">
        <v>6.17</v>
      </c>
      <c r="C22" s="51">
        <v>16.84</v>
      </c>
      <c r="D22" s="51">
        <v>23.01</v>
      </c>
      <c r="E22" s="51">
        <v>6.15</v>
      </c>
      <c r="F22" s="51">
        <v>1.28</v>
      </c>
      <c r="G22" s="51">
        <v>45.27</v>
      </c>
      <c r="H22" s="51">
        <v>23.97</v>
      </c>
      <c r="I22" s="51">
        <v>9.42</v>
      </c>
      <c r="J22" s="51">
        <v>0.5</v>
      </c>
      <c r="K22" s="51">
        <v>273.89999999999998</v>
      </c>
      <c r="L22" s="51">
        <v>45.84</v>
      </c>
      <c r="M22" s="51">
        <v>58.82</v>
      </c>
      <c r="N22" s="51">
        <v>923.90</v>
      </c>
      <c r="O22" s="51">
        <v>0</v>
      </c>
      <c r="P22" s="51">
        <v>0.82</v>
      </c>
      <c r="Q22" s="51">
        <v>18.55</v>
      </c>
      <c r="R22" s="43"/>
      <c r="S22" s="43"/>
      <c r="T22" s="43"/>
      <c r="U22" s="43"/>
    </row>
    <row r="23" spans="1:21" s="11" customFormat="1" ht="15">
      <c r="A23" s="50" t="s">
        <v>676</v>
      </c>
      <c r="B23" s="51">
        <v>2.63</v>
      </c>
      <c r="C23" s="51">
        <v>17.34</v>
      </c>
      <c r="D23" s="51">
        <v>19.59</v>
      </c>
      <c r="E23" s="51">
        <v>5.15</v>
      </c>
      <c r="F23" s="51">
        <v>1.70</v>
      </c>
      <c r="G23" s="51">
        <v>43.84</v>
      </c>
      <c r="H23" s="51">
        <v>25.37</v>
      </c>
      <c r="I23" s="51">
        <v>8.5299999999999994</v>
      </c>
      <c r="J23" s="51">
        <v>0.28000000000000003</v>
      </c>
      <c r="K23" s="51">
        <v>320.82</v>
      </c>
      <c r="L23" s="9" t="s">
        <v>15</v>
      </c>
      <c r="M23" s="51">
        <v>58.60</v>
      </c>
      <c r="N23" s="51">
        <v>803.90</v>
      </c>
      <c r="O23" s="51">
        <v>0</v>
      </c>
      <c r="P23" s="51">
        <v>0.81</v>
      </c>
      <c r="Q23" s="51">
        <v>10.78</v>
      </c>
      <c r="R23" s="43"/>
      <c r="S23" s="43"/>
      <c r="T23" s="43"/>
      <c r="U23" s="43"/>
    </row>
    <row r="24" spans="1:21" s="11" customFormat="1" ht="15">
      <c r="A24" s="50" t="s">
        <v>677</v>
      </c>
      <c r="B24" s="51">
        <v>1.03</v>
      </c>
      <c r="C24" s="51">
        <v>17.23</v>
      </c>
      <c r="D24" s="51">
        <v>18.260000000000002</v>
      </c>
      <c r="E24" s="51">
        <v>4.29</v>
      </c>
      <c r="F24" s="51">
        <v>0.97</v>
      </c>
      <c r="G24" s="51">
        <v>42.69</v>
      </c>
      <c r="H24" s="51">
        <v>23.43</v>
      </c>
      <c r="I24" s="53" t="s">
        <v>8</v>
      </c>
      <c r="J24" s="51">
        <v>0.51</v>
      </c>
      <c r="K24" s="51">
        <v>238.34</v>
      </c>
      <c r="L24" s="9" t="s">
        <v>15</v>
      </c>
      <c r="M24" s="51">
        <v>69.61</v>
      </c>
      <c r="N24" s="51">
        <v>365.5</v>
      </c>
      <c r="O24" s="51">
        <v>0</v>
      </c>
      <c r="P24" s="51">
        <v>0.78</v>
      </c>
      <c r="Q24" s="51">
        <v>13.47</v>
      </c>
      <c r="R24" s="43"/>
      <c r="S24" s="43"/>
      <c r="T24" s="43"/>
      <c r="U24" s="43"/>
    </row>
    <row r="25" spans="1:21" s="11" customFormat="1" ht="15">
      <c r="A25" s="50" t="s">
        <v>678</v>
      </c>
      <c r="B25" s="51">
        <v>1.42</v>
      </c>
      <c r="C25" s="51">
        <v>14.21</v>
      </c>
      <c r="D25" s="51">
        <v>14.98</v>
      </c>
      <c r="E25" s="51">
        <v>4.59</v>
      </c>
      <c r="F25" s="51">
        <v>0.84</v>
      </c>
      <c r="G25" s="51">
        <v>39.07</v>
      </c>
      <c r="H25" s="51">
        <v>21.82</v>
      </c>
      <c r="I25" s="53" t="s">
        <v>8</v>
      </c>
      <c r="J25" s="51">
        <v>0.55000000000000004</v>
      </c>
      <c r="K25" s="51">
        <v>198.60</v>
      </c>
      <c r="L25" s="9" t="s">
        <v>15</v>
      </c>
      <c r="M25" s="51">
        <v>73.87</v>
      </c>
      <c r="N25" s="51">
        <v>132.40</v>
      </c>
      <c r="O25" s="51">
        <v>0</v>
      </c>
      <c r="P25" s="51">
        <v>0.70</v>
      </c>
      <c r="Q25" s="51">
        <v>13.70</v>
      </c>
      <c r="R25" s="43"/>
      <c r="S25" s="43"/>
      <c r="T25" s="43"/>
      <c r="U25" s="43"/>
    </row>
    <row r="26" spans="1:21" s="11" customFormat="1" ht="15">
      <c r="A26" s="50" t="s">
        <v>679</v>
      </c>
      <c r="B26" s="51">
        <v>5.22</v>
      </c>
      <c r="C26" s="51">
        <v>15.49</v>
      </c>
      <c r="D26" s="51">
        <v>20.70</v>
      </c>
      <c r="E26" s="51">
        <v>4.92</v>
      </c>
      <c r="F26" s="51">
        <v>1</v>
      </c>
      <c r="G26" s="51">
        <v>32.409999999999997</v>
      </c>
      <c r="H26" s="51">
        <v>20.43</v>
      </c>
      <c r="I26" s="53" t="s">
        <v>8</v>
      </c>
      <c r="J26" s="51">
        <v>0.5</v>
      </c>
      <c r="K26" s="51">
        <v>346.84</v>
      </c>
      <c r="L26" s="9" t="s">
        <v>15</v>
      </c>
      <c r="M26" s="51">
        <v>70.099999999999994</v>
      </c>
      <c r="N26" s="51">
        <v>97.20</v>
      </c>
      <c r="O26" s="51">
        <v>0</v>
      </c>
      <c r="P26" s="51">
        <v>0.76</v>
      </c>
      <c r="Q26" s="51">
        <v>9.5299999999999994</v>
      </c>
      <c r="R26" s="43"/>
      <c r="S26" s="43"/>
      <c r="T26" s="43"/>
      <c r="U26" s="43"/>
    </row>
    <row r="27" spans="1:21" s="11" customFormat="1" ht="15">
      <c r="A27" s="50" t="s">
        <v>680</v>
      </c>
      <c r="B27" s="51">
        <v>8.67</v>
      </c>
      <c r="C27" s="51">
        <v>16.61</v>
      </c>
      <c r="D27" s="51">
        <v>24.5</v>
      </c>
      <c r="E27" s="51">
        <v>4.54</v>
      </c>
      <c r="F27" s="51">
        <v>0.60</v>
      </c>
      <c r="G27" s="51">
        <v>26.27</v>
      </c>
      <c r="H27" s="51">
        <v>20.420000000000002</v>
      </c>
      <c r="I27" s="53" t="s">
        <v>8</v>
      </c>
      <c r="J27" s="51">
        <v>0.52</v>
      </c>
      <c r="K27" s="51">
        <v>345.98</v>
      </c>
      <c r="L27" s="51">
        <v>44.55</v>
      </c>
      <c r="M27" s="51">
        <v>73.58</v>
      </c>
      <c r="N27" s="51">
        <v>29.5</v>
      </c>
      <c r="O27" s="51">
        <v>0</v>
      </c>
      <c r="P27" s="51">
        <v>0.88</v>
      </c>
      <c r="Q27" s="51">
        <v>15.35</v>
      </c>
      <c r="R27" s="43"/>
      <c r="S27" s="43"/>
      <c r="T27" s="43"/>
      <c r="U27" s="43"/>
    </row>
    <row r="28" spans="1:21" s="11" customFormat="1" ht="15">
      <c r="A28" s="50" t="s">
        <v>681</v>
      </c>
      <c r="B28" s="51">
        <v>12.88</v>
      </c>
      <c r="C28" s="51">
        <v>15.24</v>
      </c>
      <c r="D28" s="51">
        <v>26.52</v>
      </c>
      <c r="E28" s="51">
        <v>4.9000000000000004</v>
      </c>
      <c r="F28" s="51">
        <v>0.10</v>
      </c>
      <c r="G28" s="51">
        <v>30.05</v>
      </c>
      <c r="H28" s="51">
        <v>20.399999999999999</v>
      </c>
      <c r="I28" s="53" t="s">
        <v>8</v>
      </c>
      <c r="J28" s="51">
        <v>0.20</v>
      </c>
      <c r="K28" s="51">
        <v>330.68</v>
      </c>
      <c r="L28" s="51">
        <v>45.18</v>
      </c>
      <c r="M28" s="51">
        <v>77.31</v>
      </c>
      <c r="N28" s="51">
        <v>14.90</v>
      </c>
      <c r="O28" s="51">
        <v>0</v>
      </c>
      <c r="P28" s="51">
        <v>1.05</v>
      </c>
      <c r="Q28" s="51">
        <v>20.420000000000002</v>
      </c>
      <c r="R28" s="43"/>
      <c r="S28" s="43"/>
      <c r="T28" s="43"/>
      <c r="U28" s="43"/>
    </row>
    <row r="29" spans="1:21" s="11" customFormat="1" ht="15">
      <c r="A29" s="50" t="s">
        <v>682</v>
      </c>
      <c r="B29" s="51">
        <v>13.64</v>
      </c>
      <c r="C29" s="51">
        <v>13.25</v>
      </c>
      <c r="D29" s="51">
        <v>26.76</v>
      </c>
      <c r="E29" s="51">
        <v>6.10</v>
      </c>
      <c r="F29" s="51">
        <v>0.76</v>
      </c>
      <c r="G29" s="51">
        <v>43.12</v>
      </c>
      <c r="H29" s="51">
        <v>18.989999999999998</v>
      </c>
      <c r="I29" s="53" t="s">
        <v>8</v>
      </c>
      <c r="J29" s="51">
        <v>0.24</v>
      </c>
      <c r="K29" s="51">
        <v>254.91</v>
      </c>
      <c r="L29" s="51">
        <v>43.06</v>
      </c>
      <c r="M29" s="51">
        <v>77.17</v>
      </c>
      <c r="N29" s="51">
        <v>15</v>
      </c>
      <c r="O29" s="51">
        <v>0</v>
      </c>
      <c r="P29" s="51">
        <v>1.0900000000000001</v>
      </c>
      <c r="Q29" s="51">
        <v>22.03</v>
      </c>
      <c r="R29" s="43"/>
      <c r="S29" s="43"/>
      <c r="T29" s="43"/>
      <c r="U29" s="43"/>
    </row>
    <row r="30" spans="1:21" s="11" customFormat="1" ht="15">
      <c r="A30" s="50" t="s">
        <v>683</v>
      </c>
      <c r="B30" s="51">
        <v>12.88</v>
      </c>
      <c r="C30" s="51">
        <v>13.44</v>
      </c>
      <c r="D30" s="51">
        <v>26.31</v>
      </c>
      <c r="E30" s="51">
        <v>5.79</v>
      </c>
      <c r="F30" s="51">
        <v>0.25</v>
      </c>
      <c r="G30" s="51">
        <v>33.99</v>
      </c>
      <c r="H30" s="51">
        <v>17.940000000000001</v>
      </c>
      <c r="I30" s="53" t="s">
        <v>8</v>
      </c>
      <c r="J30" s="51">
        <v>0.40</v>
      </c>
      <c r="K30" s="51">
        <v>224.33</v>
      </c>
      <c r="L30" s="51">
        <v>47.33</v>
      </c>
      <c r="M30" s="51">
        <v>82.49</v>
      </c>
      <c r="N30" s="51">
        <v>15.20</v>
      </c>
      <c r="O30" s="51">
        <v>0</v>
      </c>
      <c r="P30" s="51">
        <v>1.0900000000000001</v>
      </c>
      <c r="Q30" s="51">
        <v>17.649999999999999</v>
      </c>
      <c r="R30" s="43"/>
      <c r="S30" s="43"/>
      <c r="T30" s="43"/>
      <c r="U30" s="43"/>
    </row>
    <row r="31" spans="1:21" s="11" customFormat="1" ht="15">
      <c r="A31" s="50" t="s">
        <v>684</v>
      </c>
      <c r="B31" s="51">
        <v>11.80</v>
      </c>
      <c r="C31" s="51">
        <v>12.80</v>
      </c>
      <c r="D31" s="51">
        <v>24.60</v>
      </c>
      <c r="E31" s="51">
        <v>5.79</v>
      </c>
      <c r="F31" s="51">
        <v>0.15</v>
      </c>
      <c r="G31" s="51">
        <v>45.97</v>
      </c>
      <c r="H31" s="51">
        <v>19.25</v>
      </c>
      <c r="I31" s="53" t="s">
        <v>8</v>
      </c>
      <c r="J31" s="51">
        <v>0.14000000000000001</v>
      </c>
      <c r="K31" s="51">
        <v>252.04</v>
      </c>
      <c r="L31" s="51">
        <v>48.69</v>
      </c>
      <c r="M31" s="51">
        <v>85.75</v>
      </c>
      <c r="N31" s="51">
        <v>15.20</v>
      </c>
      <c r="O31" s="51">
        <v>0</v>
      </c>
      <c r="P31" s="51">
        <v>1.1100000000000001</v>
      </c>
      <c r="Q31" s="51">
        <v>23.46</v>
      </c>
      <c r="R31" s="43"/>
      <c r="S31" s="43"/>
      <c r="T31" s="43"/>
      <c r="U31" s="43"/>
    </row>
    <row r="32" spans="1:21" s="11" customFormat="1" ht="15">
      <c r="A32" s="50" t="s">
        <v>685</v>
      </c>
      <c r="B32" s="51">
        <v>11.37</v>
      </c>
      <c r="C32" s="51">
        <v>11.59</v>
      </c>
      <c r="D32" s="51">
        <v>22.94</v>
      </c>
      <c r="E32" s="51">
        <v>6.5</v>
      </c>
      <c r="F32" s="51">
        <v>0.05</v>
      </c>
      <c r="G32" s="51">
        <v>43.45</v>
      </c>
      <c r="H32" s="51">
        <v>22.76</v>
      </c>
      <c r="I32" s="53" t="s">
        <v>8</v>
      </c>
      <c r="J32" s="51">
        <v>0.13</v>
      </c>
      <c r="K32" s="51">
        <v>348.09</v>
      </c>
      <c r="L32" s="51">
        <v>36.71</v>
      </c>
      <c r="M32" s="51">
        <v>85.88</v>
      </c>
      <c r="N32" s="51">
        <v>15</v>
      </c>
      <c r="O32" s="51">
        <v>0</v>
      </c>
      <c r="P32" s="51">
        <v>1.1000000000000001</v>
      </c>
      <c r="Q32" s="51">
        <v>26.64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1.03</v>
      </c>
      <c r="C34" s="28">
        <f t="shared" si="0"/>
        <v>8.0500000000000007</v>
      </c>
      <c r="D34" s="28">
        <f t="shared" si="0"/>
        <v>13.08</v>
      </c>
      <c r="E34" s="28">
        <f t="shared" si="0"/>
        <v>4.29</v>
      </c>
      <c r="F34" s="28">
        <f t="shared" si="0"/>
        <v>0.050000000000000003</v>
      </c>
      <c r="G34" s="28">
        <f t="shared" si="0"/>
        <v>14.960000000000001</v>
      </c>
      <c r="H34" s="28">
        <f t="shared" si="0"/>
        <v>8.7400000000000002</v>
      </c>
      <c r="I34" s="28">
        <f t="shared" si="0"/>
        <v>8.5299999999999994</v>
      </c>
      <c r="J34" s="28">
        <f t="shared" si="0"/>
        <v>0.080000000000000002</v>
      </c>
      <c r="K34" s="28">
        <f t="shared" si="0"/>
        <v>198.59999999999999</v>
      </c>
      <c r="L34" s="28">
        <f t="shared" si="0"/>
        <v>28.710000000000001</v>
      </c>
      <c r="M34" s="28">
        <f t="shared" si="0"/>
        <v>53.530000000000001</v>
      </c>
      <c r="N34" s="28">
        <f t="shared" si="0"/>
        <v>14.800000000000001</v>
      </c>
      <c r="O34" s="28">
        <f t="shared" si="0"/>
        <v>0</v>
      </c>
      <c r="P34" s="28">
        <f t="shared" si="0"/>
        <v>0.69999999999999996</v>
      </c>
      <c r="Q34" s="28">
        <f t="shared" si="0"/>
        <v>9.5299999999999994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13.890000000000001</v>
      </c>
      <c r="C35" s="29">
        <f t="shared" si="1"/>
        <v>17.82</v>
      </c>
      <c r="D35" s="29">
        <f t="shared" si="1"/>
        <v>29.440000000000001</v>
      </c>
      <c r="E35" s="29">
        <f t="shared" si="1"/>
        <v>7.7199999999999998</v>
      </c>
      <c r="F35" s="29">
        <f t="shared" si="1"/>
        <v>1.7</v>
      </c>
      <c r="G35" s="29">
        <f t="shared" si="1"/>
        <v>45.969999999999999</v>
      </c>
      <c r="H35" s="29">
        <f t="shared" si="1"/>
        <v>27.370000000000001</v>
      </c>
      <c r="I35" s="29">
        <f t="shared" si="1"/>
        <v>14.07</v>
      </c>
      <c r="J35" s="29">
        <f t="shared" si="1"/>
        <v>1.29</v>
      </c>
      <c r="K35" s="29">
        <f t="shared" si="1"/>
        <v>353.38</v>
      </c>
      <c r="L35" s="29">
        <f t="shared" si="1"/>
        <v>48.689999999999998</v>
      </c>
      <c r="M35" s="29">
        <f t="shared" si="1"/>
        <v>99.090000000000003</v>
      </c>
      <c r="N35" s="29">
        <f t="shared" si="1"/>
        <v>1029</v>
      </c>
      <c r="O35" s="29">
        <f t="shared" si="1"/>
        <v>0</v>
      </c>
      <c r="P35" s="29">
        <f t="shared" si="1"/>
        <v>1.1100000000000001</v>
      </c>
      <c r="Q35" s="29">
        <f t="shared" si="1"/>
        <v>26.640000000000001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8.7208333333333314</v>
      </c>
      <c r="C36" s="28">
        <f t="shared" si="2"/>
        <v>13.038333333333334</v>
      </c>
      <c r="D36" s="28">
        <f t="shared" si="2"/>
        <v>21.475416666666664</v>
      </c>
      <c r="E36" s="28">
        <f t="shared" si="2"/>
        <v>6.2637500000000008</v>
      </c>
      <c r="F36" s="28">
        <f t="shared" si="2"/>
        <v>0.53166666666666673</v>
      </c>
      <c r="G36" s="28">
        <f t="shared" si="2"/>
        <v>34.018749999999997</v>
      </c>
      <c r="H36" s="28">
        <f t="shared" si="2"/>
        <v>18.50375</v>
      </c>
      <c r="I36" s="28">
        <f t="shared" si="2"/>
        <v>11.612666666666666</v>
      </c>
      <c r="J36" s="28">
        <f t="shared" si="2"/>
        <v>0.48875000000000002</v>
      </c>
      <c r="K36" s="28">
        <f t="shared" si="2"/>
        <v>306.41166666666669</v>
      </c>
      <c r="L36" s="28">
        <f t="shared" si="2"/>
        <v>39.025999999999996</v>
      </c>
      <c r="M36" s="28">
        <f t="shared" si="2"/>
        <v>77.396249999999966</v>
      </c>
      <c r="N36" s="28">
        <f t="shared" si="2"/>
        <v>304.2374999999999</v>
      </c>
      <c r="O36" s="28">
        <f t="shared" si="2"/>
        <v>0</v>
      </c>
      <c r="P36" s="28">
        <f t="shared" si="2"/>
        <v>0.84583333333333355</v>
      </c>
      <c r="Q36" s="28">
        <f t="shared" si="2"/>
        <v>19.524166666666666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4.2079582125825086</v>
      </c>
      <c r="C37" s="28">
        <f t="shared" si="3" ref="C37:Q37">STDEV(C9:C32)</f>
        <v>3.4250530515303081</v>
      </c>
      <c r="D37" s="28">
        <f t="shared" si="3"/>
        <v>5.3516904920957975</v>
      </c>
      <c r="E37" s="28">
        <f t="shared" si="3"/>
        <v>1.063757950974217</v>
      </c>
      <c r="F37" s="28">
        <f t="shared" si="3"/>
        <v>0.43004212803405423</v>
      </c>
      <c r="G37" s="28">
        <f t="shared" si="3"/>
        <v>8.8769767241369841</v>
      </c>
      <c r="H37" s="28">
        <f t="shared" si="3"/>
        <v>5.1963873843109623</v>
      </c>
      <c r="I37" s="28">
        <f t="shared" si="3"/>
        <v>1.8035420176762722</v>
      </c>
      <c r="J37" s="28">
        <f t="shared" si="3"/>
        <v>0.34604991472078256</v>
      </c>
      <c r="K37" s="28">
        <f t="shared" si="3"/>
        <v>46.505307940778771</v>
      </c>
      <c r="L37" s="28">
        <f t="shared" si="3"/>
        <v>7.8786416141496636</v>
      </c>
      <c r="M37" s="28">
        <f t="shared" si="3"/>
        <v>15.876176248789081</v>
      </c>
      <c r="N37" s="28">
        <f t="shared" si="3"/>
        <v>375.81245995090137</v>
      </c>
      <c r="O37" s="28">
        <f t="shared" si="3"/>
        <v>0</v>
      </c>
      <c r="P37" s="28">
        <f t="shared" si="3"/>
        <v>0.14033861740886461</v>
      </c>
      <c r="Q37" s="28">
        <f t="shared" si="3"/>
        <v>4.4205409040136781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COUNT(I9:I32)+9</f>
        <v>24</v>
      </c>
      <c r="J38" s="32">
        <f t="shared" si="4"/>
        <v>24</v>
      </c>
      <c r="K38" s="32">
        <f t="shared" si="4"/>
        <v>24</v>
      </c>
      <c r="L38" s="32">
        <f t="shared" si="4"/>
        <v>20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60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61886-60dd-4ede-94d2-da1187ae54a3}">
  <sheetPr codeName=""/>
  <dimension ref="A1:U119"/>
  <sheetViews>
    <sheetView zoomScale="85" zoomScaleNormal="85" workbookViewId="0" topLeftCell="A1">
      <pane xSplit="1" ySplit="8" topLeftCell="B15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21" sqref="G2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686</v>
      </c>
      <c r="B9" s="51">
        <v>10.78</v>
      </c>
      <c r="C9" s="51">
        <v>10.51</v>
      </c>
      <c r="D9" s="51">
        <v>20.350000000000001</v>
      </c>
      <c r="E9" s="51">
        <v>5.62</v>
      </c>
      <c r="F9" s="51">
        <v>0.39</v>
      </c>
      <c r="G9" s="51">
        <v>39.35</v>
      </c>
      <c r="H9" s="51">
        <v>25.99</v>
      </c>
      <c r="I9" s="53" t="s">
        <v>8</v>
      </c>
      <c r="J9" s="51">
        <v>0.14000000000000001</v>
      </c>
      <c r="K9" s="51">
        <v>230.92</v>
      </c>
      <c r="L9" s="51">
        <v>36.58</v>
      </c>
      <c r="M9" s="51">
        <v>86.11</v>
      </c>
      <c r="N9" s="51">
        <v>15</v>
      </c>
      <c r="O9" s="51">
        <v>0</v>
      </c>
      <c r="P9" s="51">
        <v>1.04</v>
      </c>
      <c r="Q9" s="51">
        <v>22.94</v>
      </c>
      <c r="R9" s="43"/>
      <c r="S9" s="43"/>
      <c r="T9" s="43"/>
      <c r="U9" s="43"/>
    </row>
    <row r="10" spans="1:21" s="11" customFormat="1" ht="15">
      <c r="A10" s="50" t="s">
        <v>687</v>
      </c>
      <c r="B10" s="51">
        <v>9.1199999999999992</v>
      </c>
      <c r="C10" s="51">
        <v>10.93</v>
      </c>
      <c r="D10" s="51">
        <v>19.64</v>
      </c>
      <c r="E10" s="51">
        <v>5.84</v>
      </c>
      <c r="F10" s="51">
        <v>0.15</v>
      </c>
      <c r="G10" s="51">
        <v>34.57</v>
      </c>
      <c r="H10" s="51">
        <v>19.149999999999999</v>
      </c>
      <c r="I10" s="53" t="s">
        <v>8</v>
      </c>
      <c r="J10" s="51">
        <v>0.60</v>
      </c>
      <c r="K10" s="51">
        <v>338.92</v>
      </c>
      <c r="L10" s="51">
        <v>36.020000000000003</v>
      </c>
      <c r="M10" s="51">
        <v>86.05</v>
      </c>
      <c r="N10" s="51">
        <v>15</v>
      </c>
      <c r="O10" s="51">
        <v>0</v>
      </c>
      <c r="P10" s="51">
        <v>0.95</v>
      </c>
      <c r="Q10" s="51">
        <v>19.149999999999999</v>
      </c>
      <c r="R10" s="43"/>
      <c r="S10" s="43"/>
      <c r="T10" s="43"/>
      <c r="U10" s="43"/>
    </row>
    <row r="11" spans="1:21" s="11" customFormat="1" ht="15">
      <c r="A11" s="50" t="s">
        <v>688</v>
      </c>
      <c r="B11" s="51">
        <v>7.30</v>
      </c>
      <c r="C11" s="51">
        <v>10.59</v>
      </c>
      <c r="D11" s="51">
        <v>17.89</v>
      </c>
      <c r="E11" s="51">
        <v>5.90</v>
      </c>
      <c r="F11" s="51">
        <v>0.05</v>
      </c>
      <c r="G11" s="51">
        <v>30.02</v>
      </c>
      <c r="H11" s="51">
        <v>17.95</v>
      </c>
      <c r="I11" s="53" t="s">
        <v>8</v>
      </c>
      <c r="J11" s="51">
        <v>0.39</v>
      </c>
      <c r="K11" s="51">
        <v>330.57</v>
      </c>
      <c r="L11" s="51">
        <v>35.39</v>
      </c>
      <c r="M11" s="51">
        <v>87.96</v>
      </c>
      <c r="N11" s="51">
        <v>14.90</v>
      </c>
      <c r="O11" s="51">
        <v>0</v>
      </c>
      <c r="P11" s="51">
        <v>0.89</v>
      </c>
      <c r="Q11" s="51">
        <v>20.41</v>
      </c>
      <c r="R11" s="43"/>
      <c r="S11" s="43"/>
      <c r="T11" s="43"/>
      <c r="U11" s="43"/>
    </row>
    <row r="12" spans="1:21" s="11" customFormat="1" ht="15">
      <c r="A12" s="50" t="s">
        <v>689</v>
      </c>
      <c r="B12" s="51">
        <v>6.40</v>
      </c>
      <c r="C12" s="51">
        <v>9.81</v>
      </c>
      <c r="D12" s="51">
        <v>16.21</v>
      </c>
      <c r="E12" s="51">
        <v>6.5</v>
      </c>
      <c r="F12" s="51">
        <v>0.66</v>
      </c>
      <c r="G12" s="51">
        <v>25.55</v>
      </c>
      <c r="H12" s="51">
        <v>13.25</v>
      </c>
      <c r="I12" s="53" t="s">
        <v>8</v>
      </c>
      <c r="J12" s="51">
        <v>0.47</v>
      </c>
      <c r="K12" s="51">
        <v>312.97000000000003</v>
      </c>
      <c r="L12" s="51">
        <v>34.96</v>
      </c>
      <c r="M12" s="51">
        <v>87.66</v>
      </c>
      <c r="N12" s="51">
        <v>15</v>
      </c>
      <c r="O12" s="51">
        <v>0</v>
      </c>
      <c r="P12" s="51">
        <v>0.82</v>
      </c>
      <c r="Q12" s="51">
        <v>20.59</v>
      </c>
      <c r="R12" s="43"/>
      <c r="S12" s="43"/>
      <c r="T12" s="43"/>
      <c r="U12" s="43"/>
    </row>
    <row r="13" spans="1:21" s="11" customFormat="1" ht="15">
      <c r="A13" s="50" t="s">
        <v>690</v>
      </c>
      <c r="B13" s="51">
        <v>6</v>
      </c>
      <c r="C13" s="51">
        <v>9.93</v>
      </c>
      <c r="D13" s="51">
        <v>15.87</v>
      </c>
      <c r="E13" s="51">
        <v>5.90</v>
      </c>
      <c r="F13" s="51">
        <v>0.17</v>
      </c>
      <c r="G13" s="51">
        <v>23.66</v>
      </c>
      <c r="H13" s="51">
        <v>13.25</v>
      </c>
      <c r="I13" s="53" t="s">
        <v>8</v>
      </c>
      <c r="J13" s="51">
        <v>0.5</v>
      </c>
      <c r="K13" s="51">
        <v>350.44</v>
      </c>
      <c r="L13" s="51">
        <v>34.90</v>
      </c>
      <c r="M13" s="51">
        <v>88.27</v>
      </c>
      <c r="N13" s="51">
        <v>15</v>
      </c>
      <c r="O13" s="51">
        <v>0</v>
      </c>
      <c r="P13" s="51">
        <v>0.76</v>
      </c>
      <c r="Q13" s="51">
        <v>14.13</v>
      </c>
      <c r="R13" s="43"/>
      <c r="S13" s="43"/>
      <c r="T13" s="43"/>
      <c r="U13" s="43"/>
    </row>
    <row r="14" spans="1:21" s="11" customFormat="1" ht="15">
      <c r="A14" s="50" t="s">
        <v>691</v>
      </c>
      <c r="B14" s="51">
        <v>5.85</v>
      </c>
      <c r="C14" s="51">
        <v>9.93</v>
      </c>
      <c r="D14" s="51">
        <v>15.45</v>
      </c>
      <c r="E14" s="51">
        <v>6.20</v>
      </c>
      <c r="F14" s="51">
        <v>0.04</v>
      </c>
      <c r="G14" s="51">
        <v>26.42</v>
      </c>
      <c r="H14" s="51">
        <v>13.06</v>
      </c>
      <c r="I14" s="53" t="s">
        <v>8</v>
      </c>
      <c r="J14" s="51">
        <v>0.23</v>
      </c>
      <c r="K14" s="51">
        <v>312.79000000000002</v>
      </c>
      <c r="L14" s="51">
        <v>34.60</v>
      </c>
      <c r="M14" s="51">
        <v>91.74</v>
      </c>
      <c r="N14" s="51">
        <v>24.60</v>
      </c>
      <c r="O14" s="51">
        <v>0</v>
      </c>
      <c r="P14" s="51">
        <v>0.69</v>
      </c>
      <c r="Q14" s="51">
        <v>19.89</v>
      </c>
      <c r="R14" s="43"/>
      <c r="S14" s="43"/>
      <c r="T14" s="43"/>
      <c r="U14" s="43"/>
    </row>
    <row r="15" spans="1:21" s="11" customFormat="1" ht="15">
      <c r="A15" s="50" t="s">
        <v>692</v>
      </c>
      <c r="B15" s="51">
        <v>8.31</v>
      </c>
      <c r="C15" s="51">
        <v>9.8699999999999992</v>
      </c>
      <c r="D15" s="51">
        <v>18.18</v>
      </c>
      <c r="E15" s="51">
        <v>6.84</v>
      </c>
      <c r="F15" s="51">
        <v>0.06</v>
      </c>
      <c r="G15" s="51">
        <v>28.09</v>
      </c>
      <c r="H15" s="51">
        <v>14.10</v>
      </c>
      <c r="I15" s="53" t="s">
        <v>8</v>
      </c>
      <c r="J15" s="51">
        <v>0.31</v>
      </c>
      <c r="K15" s="51">
        <v>342.10</v>
      </c>
      <c r="L15" s="51">
        <v>38.090000000000003</v>
      </c>
      <c r="M15" s="51">
        <v>88.99</v>
      </c>
      <c r="N15" s="51">
        <v>143.80000000000001</v>
      </c>
      <c r="O15" s="51">
        <v>0</v>
      </c>
      <c r="P15" s="51">
        <v>0.68</v>
      </c>
      <c r="Q15" s="51">
        <v>23.22</v>
      </c>
      <c r="R15" s="43"/>
      <c r="S15" s="43"/>
      <c r="T15" s="43"/>
      <c r="U15" s="43"/>
    </row>
    <row r="16" spans="1:21" s="11" customFormat="1" ht="15">
      <c r="A16" s="50" t="s">
        <v>693</v>
      </c>
      <c r="B16" s="51">
        <v>9.7799999999999994</v>
      </c>
      <c r="C16" s="51">
        <v>11.83</v>
      </c>
      <c r="D16" s="51">
        <v>21.61</v>
      </c>
      <c r="E16" s="51">
        <v>7.08</v>
      </c>
      <c r="F16" s="51">
        <v>0.68</v>
      </c>
      <c r="G16" s="51">
        <v>31.46</v>
      </c>
      <c r="H16" s="51">
        <v>20.36</v>
      </c>
      <c r="I16" s="53" t="s">
        <v>8</v>
      </c>
      <c r="J16" s="51">
        <v>0.44</v>
      </c>
      <c r="K16" s="51">
        <v>328.02</v>
      </c>
      <c r="L16" s="51">
        <v>42.19</v>
      </c>
      <c r="M16" s="51">
        <v>72.75</v>
      </c>
      <c r="N16" s="51">
        <v>402.20</v>
      </c>
      <c r="O16" s="51">
        <v>0</v>
      </c>
      <c r="P16" s="51">
        <v>0.72</v>
      </c>
      <c r="Q16" s="51">
        <v>24.02</v>
      </c>
      <c r="R16" s="43"/>
      <c r="S16" s="43"/>
      <c r="T16" s="43"/>
      <c r="U16" s="43"/>
    </row>
    <row r="17" spans="1:21" s="11" customFormat="1" ht="15">
      <c r="A17" s="50" t="s">
        <v>694</v>
      </c>
      <c r="B17" s="51">
        <v>9.4600000000000009</v>
      </c>
      <c r="C17" s="51">
        <v>15.09</v>
      </c>
      <c r="D17" s="51">
        <v>23.16</v>
      </c>
      <c r="E17" s="51">
        <v>6.48</v>
      </c>
      <c r="F17" s="51">
        <v>0.48</v>
      </c>
      <c r="G17" s="51">
        <v>38.119999999999997</v>
      </c>
      <c r="H17" s="51">
        <v>33.29</v>
      </c>
      <c r="I17" s="53" t="s">
        <v>8</v>
      </c>
      <c r="J17" s="51">
        <v>0.42</v>
      </c>
      <c r="K17" s="51">
        <v>341.32</v>
      </c>
      <c r="L17" s="51">
        <v>44.49</v>
      </c>
      <c r="M17" s="51">
        <v>61.47</v>
      </c>
      <c r="N17" s="51">
        <v>619.60</v>
      </c>
      <c r="O17" s="51">
        <v>0</v>
      </c>
      <c r="P17" s="51">
        <v>0.73</v>
      </c>
      <c r="Q17" s="51">
        <v>16.670000000000002</v>
      </c>
      <c r="R17" s="43"/>
      <c r="S17" s="43"/>
      <c r="T17" s="43"/>
      <c r="U17" s="43"/>
    </row>
    <row r="18" spans="1:21" s="11" customFormat="1" ht="15">
      <c r="A18" s="50" t="s">
        <v>695</v>
      </c>
      <c r="B18" s="51">
        <v>7.58</v>
      </c>
      <c r="C18" s="51">
        <v>16.260000000000002</v>
      </c>
      <c r="D18" s="51">
        <v>23.25</v>
      </c>
      <c r="E18" s="51">
        <v>6.67</v>
      </c>
      <c r="F18" s="51">
        <v>0.5</v>
      </c>
      <c r="G18" s="9" t="s">
        <v>15</v>
      </c>
      <c r="H18" s="51">
        <v>47.68</v>
      </c>
      <c r="I18" s="53" t="s">
        <v>8</v>
      </c>
      <c r="J18" s="51">
        <v>0.65</v>
      </c>
      <c r="K18" s="51">
        <v>356.18</v>
      </c>
      <c r="L18" s="9" t="s">
        <v>15</v>
      </c>
      <c r="M18" s="51">
        <v>62.37</v>
      </c>
      <c r="N18" s="51">
        <v>770.80</v>
      </c>
      <c r="O18" s="51">
        <v>0</v>
      </c>
      <c r="P18" s="51">
        <v>0.72</v>
      </c>
      <c r="Q18" s="51">
        <v>16.43</v>
      </c>
      <c r="R18" s="43"/>
      <c r="S18" s="43"/>
      <c r="T18" s="43"/>
      <c r="U18" s="43"/>
    </row>
    <row r="19" spans="1:21" s="11" customFormat="1" ht="15">
      <c r="A19" s="50" t="s">
        <v>696</v>
      </c>
      <c r="B19" s="51">
        <v>6.47</v>
      </c>
      <c r="C19" s="51">
        <v>16.760000000000002</v>
      </c>
      <c r="D19" s="51">
        <v>23.16</v>
      </c>
      <c r="E19" s="51">
        <v>6.24</v>
      </c>
      <c r="F19" s="51">
        <v>0.56000000000000005</v>
      </c>
      <c r="G19" s="9" t="s">
        <v>15</v>
      </c>
      <c r="H19" s="51">
        <v>49.25</v>
      </c>
      <c r="I19" s="53" t="s">
        <v>8</v>
      </c>
      <c r="J19" s="51">
        <v>1.04</v>
      </c>
      <c r="K19" s="51">
        <v>341.15</v>
      </c>
      <c r="L19" s="9" t="s">
        <v>15</v>
      </c>
      <c r="M19" s="51">
        <v>57.39</v>
      </c>
      <c r="N19" s="51">
        <v>785.5</v>
      </c>
      <c r="O19" s="51">
        <v>0</v>
      </c>
      <c r="P19" s="51">
        <v>0.77</v>
      </c>
      <c r="Q19" s="51">
        <v>17.190000000000001</v>
      </c>
      <c r="R19" s="43"/>
      <c r="S19" s="43"/>
      <c r="T19" s="43"/>
      <c r="U19" s="43"/>
    </row>
    <row r="20" spans="1:21" s="11" customFormat="1" ht="15">
      <c r="A20" s="50" t="s">
        <v>697</v>
      </c>
      <c r="B20" s="51">
        <v>6.25</v>
      </c>
      <c r="C20" s="51">
        <v>17.73</v>
      </c>
      <c r="D20" s="51">
        <v>22.99</v>
      </c>
      <c r="E20" s="51">
        <v>5.95</v>
      </c>
      <c r="F20" s="51">
        <v>1.04</v>
      </c>
      <c r="G20" s="9" t="s">
        <v>15</v>
      </c>
      <c r="H20" s="51">
        <v>43.12</v>
      </c>
      <c r="I20" s="53" t="s">
        <v>8</v>
      </c>
      <c r="J20" s="51">
        <v>0.59</v>
      </c>
      <c r="K20" s="51">
        <v>322.23</v>
      </c>
      <c r="L20" s="9" t="s">
        <v>15</v>
      </c>
      <c r="M20" s="51">
        <v>59.25</v>
      </c>
      <c r="N20" s="51">
        <v>884.30</v>
      </c>
      <c r="O20" s="51">
        <v>0</v>
      </c>
      <c r="P20" s="51">
        <v>0.80</v>
      </c>
      <c r="Q20" s="51">
        <v>14.11</v>
      </c>
      <c r="R20" s="43"/>
      <c r="S20" s="43"/>
      <c r="T20" s="43"/>
      <c r="U20" s="43"/>
    </row>
    <row r="21" spans="1:21" s="11" customFormat="1" ht="15">
      <c r="A21" s="50" t="s">
        <v>698</v>
      </c>
      <c r="B21" s="51">
        <v>3.74</v>
      </c>
      <c r="C21" s="51">
        <v>18.11</v>
      </c>
      <c r="D21" s="51">
        <v>21.11</v>
      </c>
      <c r="E21" s="51">
        <v>5.48</v>
      </c>
      <c r="F21" s="51">
        <v>1.31</v>
      </c>
      <c r="G21" s="9" t="s">
        <v>15</v>
      </c>
      <c r="H21" s="51">
        <v>40.49</v>
      </c>
      <c r="I21" s="53" t="s">
        <v>8</v>
      </c>
      <c r="J21" s="51">
        <v>0.59</v>
      </c>
      <c r="K21" s="51">
        <v>319.93</v>
      </c>
      <c r="L21" s="9" t="s">
        <v>15</v>
      </c>
      <c r="M21" s="51">
        <v>59.35</v>
      </c>
      <c r="N21" s="51">
        <v>970.30</v>
      </c>
      <c r="O21" s="51">
        <v>0</v>
      </c>
      <c r="P21" s="51">
        <v>0.79</v>
      </c>
      <c r="Q21" s="51">
        <v>10.01</v>
      </c>
      <c r="R21" s="43"/>
      <c r="S21" s="43"/>
      <c r="T21" s="43"/>
      <c r="U21" s="43"/>
    </row>
    <row r="22" spans="1:21" s="11" customFormat="1" ht="15">
      <c r="A22" s="50" t="s">
        <v>699</v>
      </c>
      <c r="B22" s="51">
        <v>1.52</v>
      </c>
      <c r="C22" s="51">
        <v>16.86</v>
      </c>
      <c r="D22" s="51">
        <v>18.260000000000002</v>
      </c>
      <c r="E22" s="51">
        <v>5.73</v>
      </c>
      <c r="F22" s="51">
        <v>1.1499999999999999</v>
      </c>
      <c r="G22" s="51">
        <v>41.39</v>
      </c>
      <c r="H22" s="51">
        <v>35.79</v>
      </c>
      <c r="I22" s="53" t="s">
        <v>8</v>
      </c>
      <c r="J22" s="51">
        <v>0.28999999999999998</v>
      </c>
      <c r="K22" s="51">
        <v>338.18</v>
      </c>
      <c r="L22" s="9" t="s">
        <v>15</v>
      </c>
      <c r="M22" s="51">
        <v>55.93</v>
      </c>
      <c r="N22" s="51">
        <v>797.80</v>
      </c>
      <c r="O22" s="51">
        <v>0</v>
      </c>
      <c r="P22" s="51">
        <v>0.71</v>
      </c>
      <c r="Q22" s="51">
        <v>12.05</v>
      </c>
      <c r="R22" s="43"/>
      <c r="S22" s="43"/>
      <c r="T22" s="43"/>
      <c r="U22" s="43"/>
    </row>
    <row r="23" spans="1:21" s="11" customFormat="1" ht="15">
      <c r="A23" s="50" t="s">
        <v>700</v>
      </c>
      <c r="B23" s="51">
        <v>1.36</v>
      </c>
      <c r="C23" s="51">
        <v>16.96</v>
      </c>
      <c r="D23" s="51">
        <v>18.32</v>
      </c>
      <c r="E23" s="51">
        <v>5.40</v>
      </c>
      <c r="F23" s="51">
        <v>1.90</v>
      </c>
      <c r="G23" s="51">
        <v>39.479999999999997</v>
      </c>
      <c r="H23" s="51">
        <v>32.659999999999997</v>
      </c>
      <c r="I23" s="53" t="s">
        <v>8</v>
      </c>
      <c r="J23" s="51">
        <v>0.27</v>
      </c>
      <c r="K23" s="51">
        <v>186.04</v>
      </c>
      <c r="L23" s="9" t="s">
        <v>15</v>
      </c>
      <c r="M23" s="51">
        <v>60.90</v>
      </c>
      <c r="N23" s="51">
        <v>741.10</v>
      </c>
      <c r="O23" s="51">
        <v>0</v>
      </c>
      <c r="P23" s="51">
        <v>0.71</v>
      </c>
      <c r="Q23" s="51">
        <v>12.99</v>
      </c>
      <c r="R23" s="43"/>
      <c r="S23" s="43"/>
      <c r="T23" s="43"/>
      <c r="U23" s="43"/>
    </row>
    <row r="24" spans="1:21" s="11" customFormat="1" ht="15">
      <c r="A24" s="50" t="s">
        <v>701</v>
      </c>
      <c r="B24" s="51">
        <v>0.42</v>
      </c>
      <c r="C24" s="51">
        <v>13.63</v>
      </c>
      <c r="D24" s="51">
        <v>14.03</v>
      </c>
      <c r="E24" s="51">
        <v>5.29</v>
      </c>
      <c r="F24" s="51">
        <v>2.0099999999999998</v>
      </c>
      <c r="G24" s="51">
        <v>31.38</v>
      </c>
      <c r="H24" s="51">
        <v>27.25</v>
      </c>
      <c r="I24" s="53" t="s">
        <v>8</v>
      </c>
      <c r="J24" s="51">
        <v>0.23</v>
      </c>
      <c r="K24" s="51">
        <v>214.57</v>
      </c>
      <c r="L24" s="9" t="s">
        <v>15</v>
      </c>
      <c r="M24" s="51">
        <v>62.09</v>
      </c>
      <c r="N24" s="51">
        <v>470.10</v>
      </c>
      <c r="O24" s="51">
        <v>0</v>
      </c>
      <c r="P24" s="51">
        <v>0.66</v>
      </c>
      <c r="Q24" s="51">
        <v>5.76</v>
      </c>
      <c r="R24" s="43"/>
      <c r="S24" s="43"/>
      <c r="T24" s="43"/>
      <c r="U24" s="43"/>
    </row>
    <row r="25" spans="1:21" s="11" customFormat="1" ht="15">
      <c r="A25" s="50" t="s">
        <v>702</v>
      </c>
      <c r="B25" s="51">
        <v>1.18</v>
      </c>
      <c r="C25" s="51">
        <v>14.95</v>
      </c>
      <c r="D25" s="51">
        <v>16.02</v>
      </c>
      <c r="E25" s="51">
        <v>3.89</v>
      </c>
      <c r="F25" s="51">
        <v>1.21</v>
      </c>
      <c r="G25" s="51">
        <v>32.46</v>
      </c>
      <c r="H25" s="51">
        <v>28.47</v>
      </c>
      <c r="I25" s="53" t="s">
        <v>8</v>
      </c>
      <c r="J25" s="51">
        <v>0.10</v>
      </c>
      <c r="K25" s="51">
        <v>64.28</v>
      </c>
      <c r="L25" s="9" t="s">
        <v>15</v>
      </c>
      <c r="M25" s="51">
        <v>63.70</v>
      </c>
      <c r="N25" s="51">
        <v>179.40</v>
      </c>
      <c r="O25" s="51">
        <v>0</v>
      </c>
      <c r="P25" s="51">
        <v>0.65</v>
      </c>
      <c r="Q25" s="51">
        <v>9.16</v>
      </c>
      <c r="R25" s="43"/>
      <c r="S25" s="43"/>
      <c r="T25" s="43"/>
      <c r="U25" s="43"/>
    </row>
    <row r="26" spans="1:21" s="11" customFormat="1" ht="15">
      <c r="A26" s="50" t="s">
        <v>703</v>
      </c>
      <c r="B26" s="51">
        <v>1.80</v>
      </c>
      <c r="C26" s="51">
        <v>17.22</v>
      </c>
      <c r="D26" s="51">
        <v>19.02</v>
      </c>
      <c r="E26" s="51">
        <v>3.97</v>
      </c>
      <c r="F26" s="51">
        <v>0.86</v>
      </c>
      <c r="G26" s="51">
        <v>32.21</v>
      </c>
      <c r="H26" s="51">
        <v>26.89</v>
      </c>
      <c r="I26" s="53" t="s">
        <v>8</v>
      </c>
      <c r="J26" s="51">
        <v>0.16</v>
      </c>
      <c r="K26" s="51">
        <v>358.58</v>
      </c>
      <c r="L26" s="9" t="s">
        <v>15</v>
      </c>
      <c r="M26" s="51">
        <v>66.56</v>
      </c>
      <c r="N26" s="51">
        <v>99.10</v>
      </c>
      <c r="O26" s="51">
        <v>0</v>
      </c>
      <c r="P26" s="51">
        <v>0.73</v>
      </c>
      <c r="Q26" s="51">
        <v>10.49</v>
      </c>
      <c r="R26" s="43"/>
      <c r="S26" s="43"/>
      <c r="T26" s="43"/>
      <c r="U26" s="43"/>
    </row>
    <row r="27" spans="1:21" s="11" customFormat="1" ht="15">
      <c r="A27" s="50" t="s">
        <v>704</v>
      </c>
      <c r="B27" s="51">
        <v>5.77</v>
      </c>
      <c r="C27" s="51">
        <v>17.03</v>
      </c>
      <c r="D27" s="51">
        <v>22.80</v>
      </c>
      <c r="E27" s="51">
        <v>3.73</v>
      </c>
      <c r="F27" s="51">
        <v>0.86</v>
      </c>
      <c r="G27" s="51">
        <v>36.24</v>
      </c>
      <c r="H27" s="51">
        <v>25.08</v>
      </c>
      <c r="I27" s="53" t="s">
        <v>8</v>
      </c>
      <c r="J27" s="51">
        <v>0.77</v>
      </c>
      <c r="K27" s="51">
        <v>359.17</v>
      </c>
      <c r="L27" s="9" t="s">
        <v>15</v>
      </c>
      <c r="M27" s="51">
        <v>75.73</v>
      </c>
      <c r="N27" s="51">
        <v>25.90</v>
      </c>
      <c r="O27" s="51">
        <v>0</v>
      </c>
      <c r="P27" s="51">
        <v>0.86</v>
      </c>
      <c r="Q27" s="51">
        <v>9.77</v>
      </c>
      <c r="R27" s="43"/>
      <c r="S27" s="43"/>
      <c r="T27" s="43"/>
      <c r="U27" s="43"/>
    </row>
    <row r="28" spans="1:21" s="11" customFormat="1" ht="15">
      <c r="A28" s="50" t="s">
        <v>705</v>
      </c>
      <c r="B28" s="51">
        <v>5.68</v>
      </c>
      <c r="C28" s="51">
        <v>17.329999999999998</v>
      </c>
      <c r="D28" s="51">
        <v>22.63</v>
      </c>
      <c r="E28" s="51">
        <v>4.08</v>
      </c>
      <c r="F28" s="51">
        <v>0.77</v>
      </c>
      <c r="G28" s="51">
        <v>39.64</v>
      </c>
      <c r="H28" s="51">
        <v>24.07</v>
      </c>
      <c r="I28" s="53" t="s">
        <v>8</v>
      </c>
      <c r="J28" s="51">
        <v>0.49</v>
      </c>
      <c r="K28" s="51">
        <v>339.62</v>
      </c>
      <c r="L28" s="9" t="s">
        <v>15</v>
      </c>
      <c r="M28" s="51">
        <v>74.16</v>
      </c>
      <c r="N28" s="51">
        <v>15</v>
      </c>
      <c r="O28" s="51">
        <v>0</v>
      </c>
      <c r="P28" s="51">
        <v>0.91</v>
      </c>
      <c r="Q28" s="51">
        <v>6.73</v>
      </c>
      <c r="R28" s="43"/>
      <c r="S28" s="43"/>
      <c r="T28" s="43"/>
      <c r="U28" s="43"/>
    </row>
    <row r="29" spans="1:21" s="11" customFormat="1" ht="15">
      <c r="A29" s="50" t="s">
        <v>706</v>
      </c>
      <c r="B29" s="51">
        <v>8.58</v>
      </c>
      <c r="C29" s="51">
        <v>17.27</v>
      </c>
      <c r="D29" s="51">
        <v>24.81</v>
      </c>
      <c r="E29" s="51">
        <v>4.28</v>
      </c>
      <c r="F29" s="51">
        <v>0.14000000000000001</v>
      </c>
      <c r="G29" s="51">
        <v>36.020000000000003</v>
      </c>
      <c r="H29" s="51">
        <v>23.61</v>
      </c>
      <c r="I29" s="53" t="s">
        <v>8</v>
      </c>
      <c r="J29" s="51">
        <v>0.31</v>
      </c>
      <c r="K29" s="51">
        <v>357.52</v>
      </c>
      <c r="L29" s="9" t="s">
        <v>15</v>
      </c>
      <c r="M29" s="51">
        <v>77.19</v>
      </c>
      <c r="N29" s="51">
        <v>15</v>
      </c>
      <c r="O29" s="51">
        <v>0</v>
      </c>
      <c r="P29" s="51">
        <v>0.99</v>
      </c>
      <c r="Q29" s="51">
        <v>12.52</v>
      </c>
      <c r="R29" s="43"/>
      <c r="S29" s="43"/>
      <c r="T29" s="43"/>
      <c r="U29" s="43"/>
    </row>
    <row r="30" spans="1:21" s="11" customFormat="1" ht="15">
      <c r="A30" s="50" t="s">
        <v>707</v>
      </c>
      <c r="B30" s="51">
        <v>12.54</v>
      </c>
      <c r="C30" s="51">
        <v>16.39</v>
      </c>
      <c r="D30" s="51">
        <v>27.98</v>
      </c>
      <c r="E30" s="51">
        <v>4.74</v>
      </c>
      <c r="F30" s="51">
        <v>0.35</v>
      </c>
      <c r="G30" s="51">
        <v>38.17</v>
      </c>
      <c r="H30" s="51">
        <v>25.15</v>
      </c>
      <c r="I30" s="53" t="s">
        <v>8</v>
      </c>
      <c r="J30" s="51">
        <v>0.25</v>
      </c>
      <c r="K30" s="51">
        <v>355.08</v>
      </c>
      <c r="L30" s="9" t="s">
        <v>15</v>
      </c>
      <c r="M30" s="51">
        <v>81.20</v>
      </c>
      <c r="N30" s="51">
        <v>15</v>
      </c>
      <c r="O30" s="51">
        <v>0</v>
      </c>
      <c r="P30" s="51">
        <v>1.01</v>
      </c>
      <c r="Q30" s="51">
        <v>13.92</v>
      </c>
      <c r="R30" s="43"/>
      <c r="S30" s="43"/>
      <c r="T30" s="43"/>
      <c r="U30" s="43"/>
    </row>
    <row r="31" spans="1:21" s="11" customFormat="1" ht="15">
      <c r="A31" s="50" t="s">
        <v>708</v>
      </c>
      <c r="B31" s="51">
        <v>13.66</v>
      </c>
      <c r="C31" s="51">
        <v>15.12</v>
      </c>
      <c r="D31" s="51">
        <v>28.79</v>
      </c>
      <c r="E31" s="51">
        <v>4.4000000000000004</v>
      </c>
      <c r="F31" s="51">
        <v>0.67</v>
      </c>
      <c r="G31" s="51">
        <v>36.840000000000003</v>
      </c>
      <c r="H31" s="51">
        <v>27.94</v>
      </c>
      <c r="I31" s="53" t="s">
        <v>8</v>
      </c>
      <c r="J31" s="51">
        <v>0.39</v>
      </c>
      <c r="K31" s="51">
        <v>333.13</v>
      </c>
      <c r="L31" s="9" t="s">
        <v>15</v>
      </c>
      <c r="M31" s="51">
        <v>83.68</v>
      </c>
      <c r="N31" s="51">
        <v>15</v>
      </c>
      <c r="O31" s="51">
        <v>0</v>
      </c>
      <c r="P31" s="51">
        <v>1.08</v>
      </c>
      <c r="Q31" s="51">
        <v>11.07</v>
      </c>
      <c r="R31" s="43"/>
      <c r="S31" s="43"/>
      <c r="T31" s="43"/>
      <c r="U31" s="43"/>
    </row>
    <row r="32" spans="1:21" s="11" customFormat="1" ht="15">
      <c r="A32" s="50" t="s">
        <v>709</v>
      </c>
      <c r="B32" s="51">
        <v>11.72</v>
      </c>
      <c r="C32" s="51">
        <v>14.86</v>
      </c>
      <c r="D32" s="51">
        <v>26.58</v>
      </c>
      <c r="E32" s="51">
        <v>4.6100000000000003</v>
      </c>
      <c r="F32" s="51">
        <v>0.17</v>
      </c>
      <c r="G32" s="51">
        <v>38.409999999999997</v>
      </c>
      <c r="H32" s="51">
        <v>25.92</v>
      </c>
      <c r="I32" s="53" t="s">
        <v>8</v>
      </c>
      <c r="J32" s="51">
        <v>0.67</v>
      </c>
      <c r="K32" s="51">
        <v>323.95999999999998</v>
      </c>
      <c r="L32" s="9" t="s">
        <v>15</v>
      </c>
      <c r="M32" s="51">
        <v>86.16</v>
      </c>
      <c r="N32" s="51">
        <v>15</v>
      </c>
      <c r="O32" s="51">
        <v>0</v>
      </c>
      <c r="P32" s="51">
        <v>0.99</v>
      </c>
      <c r="Q32" s="51">
        <v>12.12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0.41999999999999998</v>
      </c>
      <c r="C34" s="28">
        <f t="shared" si="0"/>
        <v>9.8100000000000005</v>
      </c>
      <c r="D34" s="28">
        <f t="shared" si="0"/>
        <v>14.029999999999999</v>
      </c>
      <c r="E34" s="28">
        <f t="shared" si="0"/>
        <v>3.73</v>
      </c>
      <c r="F34" s="28">
        <f t="shared" si="0"/>
        <v>0.040000000000000001</v>
      </c>
      <c r="G34" s="28">
        <f t="shared" si="0"/>
        <v>23.66</v>
      </c>
      <c r="H34" s="28">
        <f t="shared" si="0"/>
        <v>13.06</v>
      </c>
      <c r="I34" s="28">
        <f t="shared" si="0"/>
        <v>0</v>
      </c>
      <c r="J34" s="28">
        <f t="shared" si="0"/>
        <v>0.10000000000000001</v>
      </c>
      <c r="K34" s="28">
        <f t="shared" si="0"/>
        <v>64.280000000000001</v>
      </c>
      <c r="L34" s="28">
        <f t="shared" si="0"/>
        <v>34.600000000000001</v>
      </c>
      <c r="M34" s="28">
        <f t="shared" si="0"/>
        <v>55.93</v>
      </c>
      <c r="N34" s="28">
        <f t="shared" si="0"/>
        <v>14.9</v>
      </c>
      <c r="O34" s="28">
        <f t="shared" si="0"/>
        <v>0</v>
      </c>
      <c r="P34" s="28">
        <f t="shared" si="0"/>
        <v>0.65000000000000002</v>
      </c>
      <c r="Q34" s="28">
        <f t="shared" si="0"/>
        <v>5.7599999999999998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13.66</v>
      </c>
      <c r="C35" s="29">
        <f t="shared" si="1"/>
        <v>18.109999999999999</v>
      </c>
      <c r="D35" s="29">
        <f t="shared" si="1"/>
        <v>28.789999999999999</v>
      </c>
      <c r="E35" s="29">
        <f t="shared" si="1"/>
        <v>7.0800000000000001</v>
      </c>
      <c r="F35" s="29">
        <f t="shared" si="1"/>
        <v>2.0099999999999998</v>
      </c>
      <c r="G35" s="29">
        <f t="shared" si="1"/>
        <v>41.390000000000001</v>
      </c>
      <c r="H35" s="29">
        <f t="shared" si="1"/>
        <v>49.25</v>
      </c>
      <c r="I35" s="29">
        <f t="shared" si="1"/>
        <v>0</v>
      </c>
      <c r="J35" s="29">
        <f t="shared" si="1"/>
        <v>1.04</v>
      </c>
      <c r="K35" s="29">
        <f t="shared" si="1"/>
        <v>359.17000000000002</v>
      </c>
      <c r="L35" s="29">
        <f t="shared" si="1"/>
        <v>44.490000000000002</v>
      </c>
      <c r="M35" s="29">
        <f t="shared" si="1"/>
        <v>91.739999999999995</v>
      </c>
      <c r="N35" s="29">
        <f t="shared" si="1"/>
        <v>970.29999999999995</v>
      </c>
      <c r="O35" s="29">
        <f t="shared" si="1"/>
        <v>0</v>
      </c>
      <c r="P35" s="29">
        <f t="shared" si="1"/>
        <v>1.0800000000000001</v>
      </c>
      <c r="Q35" s="29">
        <f t="shared" si="1"/>
        <v>24.02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6.7195833333333326</v>
      </c>
      <c r="C36" s="28">
        <f t="shared" si="2"/>
        <v>14.373749999999999</v>
      </c>
      <c r="D36" s="28">
        <f t="shared" si="2"/>
        <v>20.754583333333333</v>
      </c>
      <c r="E36" s="28">
        <f t="shared" si="2"/>
        <v>5.4508333333333345</v>
      </c>
      <c r="F36" s="28">
        <f t="shared" si="2"/>
        <v>0.67416666666666669</v>
      </c>
      <c r="G36" s="28">
        <f t="shared" si="2"/>
        <v>33.973999999999997</v>
      </c>
      <c r="H36" s="28">
        <f t="shared" si="2"/>
        <v>27.240416666666675</v>
      </c>
      <c r="I36" s="28" t="e">
        <f t="shared" si="2"/>
        <v>#DIV/0!</v>
      </c>
      <c r="J36" s="28">
        <f t="shared" si="2"/>
        <v>0.4291666666666667</v>
      </c>
      <c r="K36" s="28">
        <f t="shared" si="2"/>
        <v>310.73624999999998</v>
      </c>
      <c r="L36" s="28">
        <f t="shared" si="2"/>
        <v>37.468888888888891</v>
      </c>
      <c r="M36" s="28">
        <f t="shared" si="2"/>
        <v>74.027500000000018</v>
      </c>
      <c r="N36" s="28">
        <f t="shared" si="2"/>
        <v>294.35000000000002</v>
      </c>
      <c r="O36" s="28">
        <f t="shared" si="2"/>
        <v>0</v>
      </c>
      <c r="P36" s="28">
        <f t="shared" si="2"/>
        <v>0.81916666666666671</v>
      </c>
      <c r="Q36" s="28">
        <f t="shared" si="2"/>
        <v>14.805833333333334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3.7072062364683953</v>
      </c>
      <c r="C37" s="28">
        <f t="shared" si="3" ref="C37:Q37">STDEV(C9:C32)</f>
        <v>3.0507900794213452</v>
      </c>
      <c r="D37" s="28">
        <f t="shared" si="3"/>
        <v>4.0119289290669382</v>
      </c>
      <c r="E37" s="28">
        <f t="shared" si="3"/>
        <v>1.0110516120944735</v>
      </c>
      <c r="F37" s="28">
        <f t="shared" si="3"/>
        <v>0.54857853202353934</v>
      </c>
      <c r="G37" s="28">
        <f t="shared" si="3"/>
        <v>5.2405086133233603</v>
      </c>
      <c r="H37" s="28">
        <f t="shared" si="3"/>
        <v>10.365076597030924</v>
      </c>
      <c r="I37" s="28" t="e">
        <f t="shared" si="3"/>
        <v>#DIV/0!</v>
      </c>
      <c r="J37" s="28">
        <f t="shared" si="3"/>
        <v>0.22259178207938263</v>
      </c>
      <c r="K37" s="28">
        <f t="shared" si="3"/>
        <v>69.520086106697349</v>
      </c>
      <c r="L37" s="28">
        <f t="shared" si="3"/>
        <v>3.5409407099118608</v>
      </c>
      <c r="M37" s="28">
        <f t="shared" si="3"/>
        <v>12.382106391710987</v>
      </c>
      <c r="N37" s="28">
        <f t="shared" si="3"/>
        <v>353.47892010206448</v>
      </c>
      <c r="O37" s="28">
        <f t="shared" si="3"/>
        <v>0</v>
      </c>
      <c r="P37" s="28">
        <f t="shared" si="3"/>
        <v>0.13190631282208817</v>
      </c>
      <c r="Q37" s="28">
        <f t="shared" si="3"/>
        <v>5.2260434087505372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20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9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5a253d-1a68-4bb4-ab7f-13f913d6d4a0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L9" sqref="L9:L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710</v>
      </c>
      <c r="B9" s="51">
        <v>10.10</v>
      </c>
      <c r="C9" s="51">
        <v>13.08</v>
      </c>
      <c r="D9" s="51">
        <v>23.18</v>
      </c>
      <c r="E9" s="51">
        <v>5.72</v>
      </c>
      <c r="F9" s="51">
        <v>0.10</v>
      </c>
      <c r="G9" s="51">
        <v>29.38</v>
      </c>
      <c r="H9" s="51">
        <v>21.83</v>
      </c>
      <c r="I9" s="53" t="s">
        <v>8</v>
      </c>
      <c r="J9" s="51">
        <v>0.28000000000000003</v>
      </c>
      <c r="K9" s="51">
        <v>330.39</v>
      </c>
      <c r="L9" s="9" t="s">
        <v>15</v>
      </c>
      <c r="M9" s="51">
        <v>90.34</v>
      </c>
      <c r="N9" s="51">
        <v>15</v>
      </c>
      <c r="O9" s="51">
        <v>0</v>
      </c>
      <c r="P9" s="51">
        <v>0.92</v>
      </c>
      <c r="Q9" s="51">
        <v>14.65</v>
      </c>
      <c r="R9" s="43"/>
      <c r="S9" s="43"/>
      <c r="T9" s="43"/>
      <c r="U9" s="43"/>
    </row>
    <row r="10" spans="1:21" s="11" customFormat="1" ht="15">
      <c r="A10" s="50" t="s">
        <v>711</v>
      </c>
      <c r="B10" s="51">
        <v>9.3000000000000007</v>
      </c>
      <c r="C10" s="51">
        <v>11.63</v>
      </c>
      <c r="D10" s="51">
        <v>20.93</v>
      </c>
      <c r="E10" s="51">
        <v>6.32</v>
      </c>
      <c r="F10" s="51">
        <v>0.61</v>
      </c>
      <c r="G10" s="51">
        <v>32.880000000000003</v>
      </c>
      <c r="H10" s="51">
        <v>21.64</v>
      </c>
      <c r="I10" s="53" t="s">
        <v>8</v>
      </c>
      <c r="J10" s="51">
        <v>0.17</v>
      </c>
      <c r="K10" s="51">
        <v>356.83</v>
      </c>
      <c r="L10" s="9" t="s">
        <v>15</v>
      </c>
      <c r="M10" s="51">
        <v>89.82</v>
      </c>
      <c r="N10" s="51">
        <v>15</v>
      </c>
      <c r="O10" s="51">
        <v>0</v>
      </c>
      <c r="P10" s="51">
        <v>0.86</v>
      </c>
      <c r="Q10" s="51">
        <v>15.82</v>
      </c>
      <c r="R10" s="43"/>
      <c r="S10" s="43"/>
      <c r="T10" s="43"/>
      <c r="U10" s="43"/>
    </row>
    <row r="11" spans="1:21" s="11" customFormat="1" ht="15">
      <c r="A11" s="50" t="s">
        <v>712</v>
      </c>
      <c r="B11" s="51">
        <v>7.18</v>
      </c>
      <c r="C11" s="51">
        <v>11.01</v>
      </c>
      <c r="D11" s="51">
        <v>18.05</v>
      </c>
      <c r="E11" s="51">
        <v>6.06</v>
      </c>
      <c r="F11" s="51">
        <v>0.24</v>
      </c>
      <c r="G11" s="51">
        <v>30.21</v>
      </c>
      <c r="H11" s="51">
        <v>19.16</v>
      </c>
      <c r="I11" s="53" t="s">
        <v>8</v>
      </c>
      <c r="J11" s="51">
        <v>0.24</v>
      </c>
      <c r="K11" s="51">
        <v>355.26</v>
      </c>
      <c r="L11" s="9" t="s">
        <v>15</v>
      </c>
      <c r="M11" s="51">
        <v>91.62</v>
      </c>
      <c r="N11" s="51">
        <v>15</v>
      </c>
      <c r="O11" s="51">
        <v>0</v>
      </c>
      <c r="P11" s="51">
        <v>0.80</v>
      </c>
      <c r="Q11" s="51">
        <v>10.19</v>
      </c>
      <c r="R11" s="43"/>
      <c r="S11" s="43"/>
      <c r="T11" s="43"/>
      <c r="U11" s="43"/>
    </row>
    <row r="12" spans="1:21" s="11" customFormat="1" ht="15">
      <c r="A12" s="50" t="s">
        <v>713</v>
      </c>
      <c r="B12" s="51">
        <v>5.70</v>
      </c>
      <c r="C12" s="51">
        <v>11.72</v>
      </c>
      <c r="D12" s="51">
        <v>17.41</v>
      </c>
      <c r="E12" s="51">
        <v>6.26</v>
      </c>
      <c r="F12" s="51">
        <v>0.04</v>
      </c>
      <c r="G12" s="51">
        <v>29.35</v>
      </c>
      <c r="H12" s="51">
        <v>22.04</v>
      </c>
      <c r="I12" s="53" t="s">
        <v>8</v>
      </c>
      <c r="J12" s="51">
        <v>0.08</v>
      </c>
      <c r="K12" s="51">
        <v>244.82</v>
      </c>
      <c r="L12" s="9" t="s">
        <v>15</v>
      </c>
      <c r="M12" s="51">
        <v>91.36</v>
      </c>
      <c r="N12" s="51">
        <v>14.80</v>
      </c>
      <c r="O12" s="51">
        <v>0</v>
      </c>
      <c r="P12" s="51">
        <v>0.74</v>
      </c>
      <c r="Q12" s="51">
        <v>15.15</v>
      </c>
      <c r="R12" s="43"/>
      <c r="S12" s="43"/>
      <c r="T12" s="43"/>
      <c r="U12" s="43"/>
    </row>
    <row r="13" spans="1:21" s="11" customFormat="1" ht="15">
      <c r="A13" s="50" t="s">
        <v>714</v>
      </c>
      <c r="B13" s="51">
        <v>5.77</v>
      </c>
      <c r="C13" s="51">
        <v>10.42</v>
      </c>
      <c r="D13" s="51">
        <v>15.92</v>
      </c>
      <c r="E13" s="51">
        <v>6.81</v>
      </c>
      <c r="F13" s="51">
        <v>0.21</v>
      </c>
      <c r="G13" s="51">
        <v>28.67</v>
      </c>
      <c r="H13" s="51">
        <v>17.03</v>
      </c>
      <c r="I13" s="53" t="s">
        <v>8</v>
      </c>
      <c r="J13" s="51">
        <v>0.38</v>
      </c>
      <c r="K13" s="51">
        <v>236.83</v>
      </c>
      <c r="L13" s="9" t="s">
        <v>15</v>
      </c>
      <c r="M13" s="51">
        <v>97.52</v>
      </c>
      <c r="N13" s="51">
        <v>14.90</v>
      </c>
      <c r="O13" s="51">
        <v>0</v>
      </c>
      <c r="P13" s="51">
        <v>0.71</v>
      </c>
      <c r="Q13" s="51">
        <v>17.75</v>
      </c>
      <c r="R13" s="43"/>
      <c r="S13" s="43"/>
      <c r="T13" s="43"/>
      <c r="U13" s="43"/>
    </row>
    <row r="14" spans="1:21" s="11" customFormat="1" ht="15">
      <c r="A14" s="50" t="s">
        <v>715</v>
      </c>
      <c r="B14" s="51">
        <v>6.70</v>
      </c>
      <c r="C14" s="51">
        <v>10.46</v>
      </c>
      <c r="D14" s="51">
        <v>17.16</v>
      </c>
      <c r="E14" s="51">
        <v>6.82</v>
      </c>
      <c r="F14" s="51">
        <v>0.74</v>
      </c>
      <c r="G14" s="51">
        <v>24.55</v>
      </c>
      <c r="H14" s="51">
        <v>15.24</v>
      </c>
      <c r="I14" s="53" t="s">
        <v>8</v>
      </c>
      <c r="J14" s="51">
        <v>0.14000000000000001</v>
      </c>
      <c r="K14" s="51">
        <v>338.87</v>
      </c>
      <c r="L14" s="9" t="s">
        <v>15</v>
      </c>
      <c r="M14" s="51">
        <v>96.10</v>
      </c>
      <c r="N14" s="51">
        <v>28.70</v>
      </c>
      <c r="O14" s="51">
        <v>0</v>
      </c>
      <c r="P14" s="51">
        <v>0.68</v>
      </c>
      <c r="Q14" s="51">
        <v>15.57</v>
      </c>
      <c r="R14" s="43"/>
      <c r="S14" s="43"/>
      <c r="T14" s="43"/>
      <c r="U14" s="43"/>
    </row>
    <row r="15" spans="1:21" s="11" customFormat="1" ht="15">
      <c r="A15" s="50" t="s">
        <v>716</v>
      </c>
      <c r="B15" s="51">
        <v>7.44</v>
      </c>
      <c r="C15" s="51">
        <v>10.55</v>
      </c>
      <c r="D15" s="51">
        <v>17.80</v>
      </c>
      <c r="E15" s="51">
        <v>6.79</v>
      </c>
      <c r="F15" s="51">
        <v>0.27</v>
      </c>
      <c r="G15" s="51">
        <v>23.07</v>
      </c>
      <c r="H15" s="51">
        <v>14.93</v>
      </c>
      <c r="I15" s="53" t="s">
        <v>8</v>
      </c>
      <c r="J15" s="51">
        <v>0.18</v>
      </c>
      <c r="K15" s="51">
        <v>210.07</v>
      </c>
      <c r="L15" s="9" t="s">
        <v>15</v>
      </c>
      <c r="M15" s="51">
        <v>95.78</v>
      </c>
      <c r="N15" s="51">
        <v>158.5</v>
      </c>
      <c r="O15" s="51">
        <v>0</v>
      </c>
      <c r="P15" s="51">
        <v>0.67</v>
      </c>
      <c r="Q15" s="51">
        <v>14.78</v>
      </c>
      <c r="R15" s="43"/>
      <c r="S15" s="43"/>
      <c r="T15" s="43"/>
      <c r="U15" s="43"/>
    </row>
    <row r="16" spans="1:21" s="11" customFormat="1" ht="15">
      <c r="A16" s="50" t="s">
        <v>717</v>
      </c>
      <c r="B16" s="51">
        <v>7.66</v>
      </c>
      <c r="C16" s="51">
        <v>10.95</v>
      </c>
      <c r="D16" s="51">
        <v>18.489999999999998</v>
      </c>
      <c r="E16" s="51">
        <v>6.72</v>
      </c>
      <c r="F16" s="51">
        <v>0.10</v>
      </c>
      <c r="G16" s="51">
        <v>24.32</v>
      </c>
      <c r="H16" s="51">
        <v>17.239999999999998</v>
      </c>
      <c r="I16" s="53" t="s">
        <v>8</v>
      </c>
      <c r="J16" s="51">
        <v>0.32</v>
      </c>
      <c r="K16" s="51">
        <v>318.80</v>
      </c>
      <c r="L16" s="9" t="s">
        <v>15</v>
      </c>
      <c r="M16" s="51">
        <v>83.83</v>
      </c>
      <c r="N16" s="51">
        <v>328</v>
      </c>
      <c r="O16" s="51">
        <v>0</v>
      </c>
      <c r="P16" s="51">
        <v>0.76</v>
      </c>
      <c r="Q16" s="51">
        <v>18.21</v>
      </c>
      <c r="R16" s="43"/>
      <c r="S16" s="43"/>
      <c r="T16" s="43"/>
      <c r="U16" s="43"/>
    </row>
    <row r="17" spans="1:21" s="11" customFormat="1" ht="15">
      <c r="A17" s="50" t="s">
        <v>718</v>
      </c>
      <c r="B17" s="51">
        <v>8.65</v>
      </c>
      <c r="C17" s="51">
        <v>12.53</v>
      </c>
      <c r="D17" s="51">
        <v>21.18</v>
      </c>
      <c r="E17" s="51">
        <v>6.85</v>
      </c>
      <c r="F17" s="51">
        <v>0.68</v>
      </c>
      <c r="G17" s="51">
        <v>31.43</v>
      </c>
      <c r="H17" s="51">
        <v>21.09</v>
      </c>
      <c r="I17" s="53" t="s">
        <v>8</v>
      </c>
      <c r="J17" s="51">
        <v>0.60</v>
      </c>
      <c r="K17" s="51">
        <v>347.08</v>
      </c>
      <c r="L17" s="9" t="s">
        <v>15</v>
      </c>
      <c r="M17" s="51">
        <v>72.63</v>
      </c>
      <c r="N17" s="51">
        <v>568.60</v>
      </c>
      <c r="O17" s="51">
        <v>0</v>
      </c>
      <c r="P17" s="51">
        <v>0.81</v>
      </c>
      <c r="Q17" s="51">
        <v>18.79</v>
      </c>
      <c r="R17" s="43"/>
      <c r="S17" s="43"/>
      <c r="T17" s="43"/>
      <c r="U17" s="43"/>
    </row>
    <row r="18" spans="1:21" s="11" customFormat="1" ht="15">
      <c r="A18" s="50" t="s">
        <v>719</v>
      </c>
      <c r="B18" s="51">
        <v>8.74</v>
      </c>
      <c r="C18" s="51">
        <v>15.89</v>
      </c>
      <c r="D18" s="51">
        <v>23.82</v>
      </c>
      <c r="E18" s="51">
        <v>6.47</v>
      </c>
      <c r="F18" s="51">
        <v>1.45</v>
      </c>
      <c r="G18" s="51">
        <v>36.11</v>
      </c>
      <c r="H18" s="51">
        <v>23.58</v>
      </c>
      <c r="I18" s="53" t="s">
        <v>8</v>
      </c>
      <c r="J18" s="51">
        <v>1.03</v>
      </c>
      <c r="K18" s="51">
        <v>331.03</v>
      </c>
      <c r="L18" s="9" t="s">
        <v>15</v>
      </c>
      <c r="M18" s="51">
        <v>57.88</v>
      </c>
      <c r="N18" s="51">
        <v>731.90</v>
      </c>
      <c r="O18" s="51">
        <v>0</v>
      </c>
      <c r="P18" s="51">
        <v>0.88</v>
      </c>
      <c r="Q18" s="51">
        <v>12.68</v>
      </c>
      <c r="R18" s="43"/>
      <c r="S18" s="43"/>
      <c r="T18" s="43"/>
      <c r="U18" s="43"/>
    </row>
    <row r="19" spans="1:21" s="11" customFormat="1" ht="15">
      <c r="A19" s="50" t="s">
        <v>720</v>
      </c>
      <c r="B19" s="51">
        <v>7.70</v>
      </c>
      <c r="C19" s="51">
        <v>17.12</v>
      </c>
      <c r="D19" s="51">
        <v>24.5</v>
      </c>
      <c r="E19" s="51">
        <v>6.29</v>
      </c>
      <c r="F19" s="51">
        <v>1.22</v>
      </c>
      <c r="G19" s="51">
        <v>29.49</v>
      </c>
      <c r="H19" s="51">
        <v>24.01</v>
      </c>
      <c r="I19" s="53" t="s">
        <v>8</v>
      </c>
      <c r="J19" s="51">
        <v>0.55000000000000004</v>
      </c>
      <c r="K19" s="51">
        <v>324.04000000000002</v>
      </c>
      <c r="L19" s="9" t="s">
        <v>15</v>
      </c>
      <c r="M19" s="51">
        <v>62.40</v>
      </c>
      <c r="N19" s="51">
        <v>852.20</v>
      </c>
      <c r="O19" s="51">
        <v>0</v>
      </c>
      <c r="P19" s="51">
        <v>0.91</v>
      </c>
      <c r="Q19" s="51">
        <v>17.22</v>
      </c>
      <c r="R19" s="43"/>
      <c r="S19" s="43"/>
      <c r="T19" s="43"/>
      <c r="U19" s="43"/>
    </row>
    <row r="20" spans="1:21" s="11" customFormat="1" ht="15">
      <c r="A20" s="50" t="s">
        <v>721</v>
      </c>
      <c r="B20" s="51">
        <v>7.20</v>
      </c>
      <c r="C20" s="51">
        <v>16.13</v>
      </c>
      <c r="D20" s="51">
        <v>23.15</v>
      </c>
      <c r="E20" s="51">
        <v>6.19</v>
      </c>
      <c r="F20" s="51">
        <v>0.53</v>
      </c>
      <c r="G20" s="51">
        <v>29.63</v>
      </c>
      <c r="H20" s="51">
        <v>26.54</v>
      </c>
      <c r="I20" s="53" t="s">
        <v>8</v>
      </c>
      <c r="J20" s="51">
        <v>0.40</v>
      </c>
      <c r="K20" s="51">
        <v>312.23</v>
      </c>
      <c r="L20" s="9" t="s">
        <v>15</v>
      </c>
      <c r="M20" s="51">
        <v>64.459999999999994</v>
      </c>
      <c r="N20" s="51">
        <v>682.40</v>
      </c>
      <c r="O20" s="51">
        <v>0</v>
      </c>
      <c r="P20" s="51">
        <v>0.91</v>
      </c>
      <c r="Q20" s="51">
        <v>19.55</v>
      </c>
      <c r="R20" s="43"/>
      <c r="S20" s="43"/>
      <c r="T20" s="43"/>
      <c r="U20" s="43"/>
    </row>
    <row r="21" spans="1:21" s="11" customFormat="1" ht="15">
      <c r="A21" s="50" t="s">
        <v>722</v>
      </c>
      <c r="B21" s="51">
        <v>4.6500000000000004</v>
      </c>
      <c r="C21" s="51">
        <v>16.649999999999999</v>
      </c>
      <c r="D21" s="51">
        <v>21.29</v>
      </c>
      <c r="E21" s="51">
        <v>5.60</v>
      </c>
      <c r="F21" s="51">
        <v>1.18</v>
      </c>
      <c r="G21" s="51">
        <v>31.47</v>
      </c>
      <c r="H21" s="51">
        <v>26.01</v>
      </c>
      <c r="I21" s="53" t="s">
        <v>8</v>
      </c>
      <c r="J21" s="51">
        <v>0.51</v>
      </c>
      <c r="K21" s="51">
        <v>296.07</v>
      </c>
      <c r="L21" s="9" t="s">
        <v>15</v>
      </c>
      <c r="M21" s="51">
        <v>61.86</v>
      </c>
      <c r="N21" s="51">
        <v>716.10</v>
      </c>
      <c r="O21" s="51">
        <v>0</v>
      </c>
      <c r="P21" s="51">
        <v>0.86</v>
      </c>
      <c r="Q21" s="51">
        <v>20.16</v>
      </c>
      <c r="R21" s="43"/>
      <c r="S21" s="43"/>
      <c r="T21" s="43"/>
      <c r="U21" s="43"/>
    </row>
    <row r="22" spans="1:21" s="11" customFormat="1" ht="15">
      <c r="A22" s="50" t="s">
        <v>723</v>
      </c>
      <c r="B22" s="51">
        <v>2.94</v>
      </c>
      <c r="C22" s="51">
        <v>16.61</v>
      </c>
      <c r="D22" s="51">
        <v>19.37</v>
      </c>
      <c r="E22" s="51">
        <v>5.16</v>
      </c>
      <c r="F22" s="51">
        <v>1.25</v>
      </c>
      <c r="G22" s="51">
        <v>32.79</v>
      </c>
      <c r="H22" s="51">
        <v>22.62</v>
      </c>
      <c r="I22" s="53" t="s">
        <v>8</v>
      </c>
      <c r="J22" s="51">
        <v>2.70</v>
      </c>
      <c r="K22" s="51">
        <v>356.23</v>
      </c>
      <c r="L22" s="9" t="s">
        <v>15</v>
      </c>
      <c r="M22" s="51">
        <v>70.849999999999994</v>
      </c>
      <c r="N22" s="51">
        <v>819.70</v>
      </c>
      <c r="O22" s="51">
        <v>0</v>
      </c>
      <c r="P22" s="51">
        <v>0.70</v>
      </c>
      <c r="Q22" s="51">
        <v>12.94</v>
      </c>
      <c r="R22" s="43"/>
      <c r="S22" s="43"/>
      <c r="T22" s="43"/>
      <c r="U22" s="43"/>
    </row>
    <row r="23" spans="1:21" s="11" customFormat="1" ht="15">
      <c r="A23" s="50" t="s">
        <v>724</v>
      </c>
      <c r="B23" s="51">
        <v>3.84</v>
      </c>
      <c r="C23" s="51">
        <v>18.61</v>
      </c>
      <c r="D23" s="51">
        <v>21.94</v>
      </c>
      <c r="E23" s="51">
        <v>5.39</v>
      </c>
      <c r="F23" s="51">
        <v>1.01</v>
      </c>
      <c r="G23" s="51">
        <v>37.549999999999997</v>
      </c>
      <c r="H23" s="51">
        <v>21.30</v>
      </c>
      <c r="I23" s="53" t="s">
        <v>8</v>
      </c>
      <c r="J23" s="51">
        <v>1.59</v>
      </c>
      <c r="K23" s="51">
        <v>357.07</v>
      </c>
      <c r="L23" s="9" t="s">
        <v>15</v>
      </c>
      <c r="M23" s="51">
        <v>76.42</v>
      </c>
      <c r="N23" s="51">
        <v>224.5</v>
      </c>
      <c r="O23" s="51">
        <v>0</v>
      </c>
      <c r="P23" s="51">
        <v>0.76</v>
      </c>
      <c r="Q23" s="51">
        <v>19.04</v>
      </c>
      <c r="R23" s="43"/>
      <c r="S23" s="43"/>
      <c r="T23" s="43"/>
      <c r="U23" s="43"/>
    </row>
    <row r="24" spans="1:21" s="11" customFormat="1" ht="15">
      <c r="A24" s="50" t="s">
        <v>725</v>
      </c>
      <c r="B24" s="51">
        <v>6.75</v>
      </c>
      <c r="C24" s="51">
        <v>17.420000000000002</v>
      </c>
      <c r="D24" s="51">
        <v>23.27</v>
      </c>
      <c r="E24" s="51">
        <v>5.69</v>
      </c>
      <c r="F24" s="51">
        <v>0.39</v>
      </c>
      <c r="G24" s="51">
        <v>40.44</v>
      </c>
      <c r="H24" s="51">
        <v>20.57</v>
      </c>
      <c r="I24" s="53" t="s">
        <v>8</v>
      </c>
      <c r="J24" s="51">
        <v>0.99</v>
      </c>
      <c r="K24" s="51">
        <v>354.55</v>
      </c>
      <c r="L24" s="9" t="s">
        <v>15</v>
      </c>
      <c r="M24" s="51">
        <v>79.349999999999994</v>
      </c>
      <c r="N24" s="51">
        <v>198.60</v>
      </c>
      <c r="O24" s="51">
        <v>0</v>
      </c>
      <c r="P24" s="51">
        <v>0.84</v>
      </c>
      <c r="Q24" s="51">
        <v>24.57</v>
      </c>
      <c r="R24" s="43"/>
      <c r="S24" s="43"/>
      <c r="T24" s="43"/>
      <c r="U24" s="43"/>
    </row>
    <row r="25" spans="1:21" s="11" customFormat="1" ht="15">
      <c r="A25" s="50" t="s">
        <v>726</v>
      </c>
      <c r="B25" s="51">
        <v>10.30</v>
      </c>
      <c r="C25" s="51">
        <v>20.239999999999998</v>
      </c>
      <c r="D25" s="51">
        <v>30.55</v>
      </c>
      <c r="E25" s="51">
        <v>6.17</v>
      </c>
      <c r="F25" s="51">
        <v>3.46</v>
      </c>
      <c r="G25" s="51">
        <v>30.89</v>
      </c>
      <c r="H25" s="51">
        <v>21.31</v>
      </c>
      <c r="I25" s="53" t="s">
        <v>8</v>
      </c>
      <c r="J25" s="51">
        <v>1.81</v>
      </c>
      <c r="K25" s="51">
        <v>339.05</v>
      </c>
      <c r="L25" s="9" t="s">
        <v>15</v>
      </c>
      <c r="M25" s="51">
        <v>77.430000000000007</v>
      </c>
      <c r="N25" s="51">
        <v>162.40</v>
      </c>
      <c r="O25" s="51">
        <v>0</v>
      </c>
      <c r="P25" s="51">
        <v>0.99</v>
      </c>
      <c r="Q25" s="51">
        <v>20.92</v>
      </c>
      <c r="R25" s="43"/>
      <c r="S25" s="43"/>
      <c r="T25" s="43"/>
      <c r="U25" s="43"/>
    </row>
    <row r="26" spans="1:21" s="11" customFormat="1" ht="15">
      <c r="A26" s="50" t="s">
        <v>727</v>
      </c>
      <c r="B26" s="51">
        <v>12.01</v>
      </c>
      <c r="C26" s="51">
        <v>20.63</v>
      </c>
      <c r="D26" s="51">
        <v>32.64</v>
      </c>
      <c r="E26" s="51">
        <v>5.78</v>
      </c>
      <c r="F26" s="51">
        <v>0.92</v>
      </c>
      <c r="G26" s="51">
        <v>41.64</v>
      </c>
      <c r="H26" s="51">
        <v>23.71</v>
      </c>
      <c r="I26" s="53" t="s">
        <v>8</v>
      </c>
      <c r="J26" s="51">
        <v>1.73</v>
      </c>
      <c r="K26" s="51">
        <v>350.89</v>
      </c>
      <c r="L26" s="9" t="s">
        <v>15</v>
      </c>
      <c r="M26" s="51">
        <v>76.22</v>
      </c>
      <c r="N26" s="51">
        <v>96.20</v>
      </c>
      <c r="O26" s="51">
        <v>0</v>
      </c>
      <c r="P26" s="51">
        <v>1.07</v>
      </c>
      <c r="Q26" s="51">
        <v>21.52</v>
      </c>
      <c r="R26" s="43"/>
      <c r="S26" s="43"/>
      <c r="T26" s="43"/>
      <c r="U26" s="43"/>
    </row>
    <row r="27" spans="1:21" s="11" customFormat="1" ht="15">
      <c r="A27" s="50" t="s">
        <v>728</v>
      </c>
      <c r="B27" s="51">
        <v>16.329999999999998</v>
      </c>
      <c r="C27" s="51">
        <v>20.309999999999999</v>
      </c>
      <c r="D27" s="51">
        <v>34.31</v>
      </c>
      <c r="E27" s="51">
        <v>6.22</v>
      </c>
      <c r="F27" s="51">
        <v>0.81</v>
      </c>
      <c r="G27" s="51">
        <v>50.44</v>
      </c>
      <c r="H27" s="51">
        <v>27.74</v>
      </c>
      <c r="I27" s="53" t="s">
        <v>8</v>
      </c>
      <c r="J27" s="51">
        <v>1.18</v>
      </c>
      <c r="K27" s="51">
        <v>348.88</v>
      </c>
      <c r="L27" s="9" t="s">
        <v>15</v>
      </c>
      <c r="M27" s="51">
        <v>79.69</v>
      </c>
      <c r="N27" s="51">
        <v>20.70</v>
      </c>
      <c r="O27" s="51">
        <v>0</v>
      </c>
      <c r="P27" s="51">
        <v>1.25</v>
      </c>
      <c r="Q27" s="51">
        <v>25.36</v>
      </c>
      <c r="R27" s="43"/>
      <c r="S27" s="43"/>
      <c r="T27" s="43"/>
      <c r="U27" s="43"/>
    </row>
    <row r="28" spans="1:21" s="11" customFormat="1" ht="15">
      <c r="A28" s="50" t="s">
        <v>729</v>
      </c>
      <c r="B28" s="51">
        <v>18.54</v>
      </c>
      <c r="C28" s="51">
        <v>17.93</v>
      </c>
      <c r="D28" s="51">
        <v>36.08</v>
      </c>
      <c r="E28" s="51">
        <v>6.66</v>
      </c>
      <c r="F28" s="51">
        <v>0.81</v>
      </c>
      <c r="G28" s="51">
        <v>55.93</v>
      </c>
      <c r="H28" s="51">
        <v>32.049999999999997</v>
      </c>
      <c r="I28" s="53" t="s">
        <v>8</v>
      </c>
      <c r="J28" s="51">
        <v>0.91</v>
      </c>
      <c r="K28" s="51">
        <v>339.05</v>
      </c>
      <c r="L28" s="9" t="s">
        <v>15</v>
      </c>
      <c r="M28" s="51">
        <v>81.19</v>
      </c>
      <c r="N28" s="51">
        <v>15.80</v>
      </c>
      <c r="O28" s="51">
        <v>0</v>
      </c>
      <c r="P28" s="51">
        <v>1.35</v>
      </c>
      <c r="Q28" s="51">
        <v>26.27</v>
      </c>
      <c r="R28" s="43"/>
      <c r="S28" s="43"/>
      <c r="T28" s="43"/>
      <c r="U28" s="43"/>
    </row>
    <row r="29" spans="1:21" s="11" customFormat="1" ht="15">
      <c r="A29" s="50" t="s">
        <v>730</v>
      </c>
      <c r="B29" s="51">
        <v>17.16</v>
      </c>
      <c r="C29" s="51">
        <v>17.93</v>
      </c>
      <c r="D29" s="51">
        <v>34.69</v>
      </c>
      <c r="E29" s="51">
        <v>6.25</v>
      </c>
      <c r="F29" s="51">
        <v>0.44</v>
      </c>
      <c r="G29" s="51">
        <v>58.03</v>
      </c>
      <c r="H29" s="51">
        <v>27.31</v>
      </c>
      <c r="I29" s="53" t="s">
        <v>8</v>
      </c>
      <c r="J29" s="51">
        <v>0.81</v>
      </c>
      <c r="K29" s="51">
        <v>346.54</v>
      </c>
      <c r="L29" s="9" t="s">
        <v>15</v>
      </c>
      <c r="M29" s="51">
        <v>91.41</v>
      </c>
      <c r="N29" s="51">
        <v>15.5</v>
      </c>
      <c r="O29" s="51">
        <v>0.40</v>
      </c>
      <c r="P29" s="51">
        <v>1.30</v>
      </c>
      <c r="Q29" s="51">
        <v>19.559999999999999</v>
      </c>
      <c r="R29" s="43"/>
      <c r="S29" s="43"/>
      <c r="T29" s="43"/>
      <c r="U29" s="43"/>
    </row>
    <row r="30" spans="1:21" s="11" customFormat="1" ht="15">
      <c r="A30" s="50" t="s">
        <v>731</v>
      </c>
      <c r="B30" s="51">
        <v>14.48</v>
      </c>
      <c r="C30" s="51">
        <v>17.670000000000002</v>
      </c>
      <c r="D30" s="51">
        <v>32.15</v>
      </c>
      <c r="E30" s="51">
        <v>6.15</v>
      </c>
      <c r="F30" s="51">
        <v>0.23</v>
      </c>
      <c r="G30" s="51">
        <v>37.92</v>
      </c>
      <c r="H30" s="51">
        <v>22.84</v>
      </c>
      <c r="I30" s="53" t="s">
        <v>8</v>
      </c>
      <c r="J30" s="51">
        <v>1.99</v>
      </c>
      <c r="K30" s="51">
        <v>322.12</v>
      </c>
      <c r="L30" s="9" t="s">
        <v>15</v>
      </c>
      <c r="M30" s="51">
        <v>98.10</v>
      </c>
      <c r="N30" s="51">
        <v>16.5</v>
      </c>
      <c r="O30" s="51">
        <v>5.80</v>
      </c>
      <c r="P30" s="51">
        <v>1.20</v>
      </c>
      <c r="Q30" s="51">
        <v>18.93</v>
      </c>
      <c r="R30" s="43"/>
      <c r="S30" s="43"/>
      <c r="T30" s="43"/>
      <c r="U30" s="43"/>
    </row>
    <row r="31" spans="1:21" s="11" customFormat="1" ht="15">
      <c r="A31" s="50" t="s">
        <v>732</v>
      </c>
      <c r="B31" s="51">
        <v>7.58</v>
      </c>
      <c r="C31" s="51">
        <v>17.89</v>
      </c>
      <c r="D31" s="51">
        <v>25.48</v>
      </c>
      <c r="E31" s="51">
        <v>6.12</v>
      </c>
      <c r="F31" s="51">
        <v>1.05</v>
      </c>
      <c r="G31" s="51">
        <v>29.79</v>
      </c>
      <c r="H31" s="51">
        <v>15.99</v>
      </c>
      <c r="I31" s="53" t="s">
        <v>8</v>
      </c>
      <c r="J31" s="51">
        <v>1.33</v>
      </c>
      <c r="K31" s="51">
        <v>328.85</v>
      </c>
      <c r="L31" s="9" t="s">
        <v>15</v>
      </c>
      <c r="M31" s="51">
        <v>99.15</v>
      </c>
      <c r="N31" s="51">
        <v>16.30</v>
      </c>
      <c r="O31" s="51">
        <v>11.80</v>
      </c>
      <c r="P31" s="51">
        <v>0.98</v>
      </c>
      <c r="Q31" s="51">
        <v>18.059999999999999</v>
      </c>
      <c r="R31" s="43"/>
      <c r="S31" s="43"/>
      <c r="T31" s="43"/>
      <c r="U31" s="43"/>
    </row>
    <row r="32" spans="1:21" s="11" customFormat="1" ht="15">
      <c r="A32" s="50" t="s">
        <v>733</v>
      </c>
      <c r="B32" s="51">
        <v>4.55</v>
      </c>
      <c r="C32" s="51">
        <v>15.39</v>
      </c>
      <c r="D32" s="51">
        <v>19.670000000000002</v>
      </c>
      <c r="E32" s="51">
        <v>6.61</v>
      </c>
      <c r="F32" s="51">
        <v>0.56000000000000005</v>
      </c>
      <c r="G32" s="51">
        <v>21.57</v>
      </c>
      <c r="H32" s="51">
        <v>12.95</v>
      </c>
      <c r="I32" s="53" t="s">
        <v>8</v>
      </c>
      <c r="J32" s="51">
        <v>0.89</v>
      </c>
      <c r="K32" s="51">
        <v>325.29000000000002</v>
      </c>
      <c r="L32" s="9" t="s">
        <v>15</v>
      </c>
      <c r="M32" s="51">
        <v>99.15</v>
      </c>
      <c r="N32" s="51">
        <v>15.5</v>
      </c>
      <c r="O32" s="51">
        <v>0.40</v>
      </c>
      <c r="P32" s="51">
        <v>0.84</v>
      </c>
      <c r="Q32" s="51">
        <v>15.65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2.9399999999999999</v>
      </c>
      <c r="C34" s="28">
        <f t="shared" si="0"/>
        <v>10.42</v>
      </c>
      <c r="D34" s="28">
        <f t="shared" si="0"/>
        <v>15.92</v>
      </c>
      <c r="E34" s="28">
        <f t="shared" si="0"/>
        <v>5.1600000000000001</v>
      </c>
      <c r="F34" s="28">
        <f t="shared" si="0"/>
        <v>0.040000000000000001</v>
      </c>
      <c r="G34" s="28">
        <f t="shared" si="0"/>
        <v>21.57</v>
      </c>
      <c r="H34" s="28">
        <f t="shared" si="0"/>
        <v>12.949999999999999</v>
      </c>
      <c r="I34" s="28">
        <f t="shared" si="0"/>
        <v>0</v>
      </c>
      <c r="J34" s="28">
        <f t="shared" si="0"/>
        <v>0.080000000000000002</v>
      </c>
      <c r="K34" s="28">
        <f t="shared" si="0"/>
        <v>210.06999999999999</v>
      </c>
      <c r="L34" s="28">
        <f t="shared" si="0"/>
        <v>0</v>
      </c>
      <c r="M34" s="28">
        <f t="shared" si="0"/>
        <v>57.880000000000003</v>
      </c>
      <c r="N34" s="28">
        <f t="shared" si="0"/>
        <v>14.800000000000001</v>
      </c>
      <c r="O34" s="28">
        <f t="shared" si="0"/>
        <v>0</v>
      </c>
      <c r="P34" s="28">
        <f t="shared" si="0"/>
        <v>0.67000000000000004</v>
      </c>
      <c r="Q34" s="28">
        <f t="shared" si="0"/>
        <v>10.19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18.539999999999999</v>
      </c>
      <c r="C35" s="29">
        <f t="shared" si="1"/>
        <v>20.629999999999999</v>
      </c>
      <c r="D35" s="29">
        <f t="shared" si="1"/>
        <v>36.079999999999998</v>
      </c>
      <c r="E35" s="29">
        <f t="shared" si="1"/>
        <v>6.8499999999999996</v>
      </c>
      <c r="F35" s="29">
        <f t="shared" si="1"/>
        <v>3.46</v>
      </c>
      <c r="G35" s="29">
        <f t="shared" si="1"/>
        <v>58.030000000000001</v>
      </c>
      <c r="H35" s="29">
        <f t="shared" si="1"/>
        <v>32.049999999999997</v>
      </c>
      <c r="I35" s="29">
        <f t="shared" si="1"/>
        <v>0</v>
      </c>
      <c r="J35" s="29">
        <f t="shared" si="1"/>
        <v>2.7000000000000002</v>
      </c>
      <c r="K35" s="29">
        <f t="shared" si="1"/>
        <v>357.06999999999999</v>
      </c>
      <c r="L35" s="29">
        <f t="shared" si="1"/>
        <v>0</v>
      </c>
      <c r="M35" s="29">
        <f t="shared" si="1"/>
        <v>99.150000000000006</v>
      </c>
      <c r="N35" s="29">
        <f t="shared" si="1"/>
        <v>852.20000000000005</v>
      </c>
      <c r="O35" s="29">
        <f t="shared" si="1"/>
        <v>11.800000000000001</v>
      </c>
      <c r="P35" s="29">
        <f t="shared" si="1"/>
        <v>1.3500000000000001</v>
      </c>
      <c r="Q35" s="29">
        <f t="shared" si="1"/>
        <v>26.27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8.8029166666666665</v>
      </c>
      <c r="C36" s="28">
        <f t="shared" si="2"/>
        <v>15.365416666666668</v>
      </c>
      <c r="D36" s="28">
        <f t="shared" si="2"/>
        <v>23.876249999999999</v>
      </c>
      <c r="E36" s="28">
        <f t="shared" si="2"/>
        <v>6.2124999999999995</v>
      </c>
      <c r="F36" s="28">
        <f t="shared" si="2"/>
        <v>0.76250000000000007</v>
      </c>
      <c r="G36" s="28">
        <f t="shared" si="2"/>
        <v>34.064583333333339</v>
      </c>
      <c r="H36" s="28">
        <f t="shared" si="2"/>
        <v>21.61375</v>
      </c>
      <c r="I36" s="28" t="e">
        <f t="shared" si="2"/>
        <v>#DIV/0!</v>
      </c>
      <c r="J36" s="28">
        <f t="shared" si="2"/>
        <v>0.86708333333333343</v>
      </c>
      <c r="K36" s="28">
        <f t="shared" si="2"/>
        <v>323.78500000000008</v>
      </c>
      <c r="L36" s="28" t="e">
        <f t="shared" si="2"/>
        <v>#DIV/0!</v>
      </c>
      <c r="M36" s="28">
        <f t="shared" si="2"/>
        <v>82.690000000000012</v>
      </c>
      <c r="N36" s="28">
        <f t="shared" si="2"/>
        <v>239.28333333333333</v>
      </c>
      <c r="O36" s="28">
        <f t="shared" si="2"/>
        <v>0.76666666666666661</v>
      </c>
      <c r="P36" s="28">
        <f t="shared" si="2"/>
        <v>0.90791666666666659</v>
      </c>
      <c r="Q36" s="28">
        <f t="shared" si="2"/>
        <v>18.055833333333332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4.1749881324139233</v>
      </c>
      <c r="C37" s="28">
        <f t="shared" si="3" ref="C37:Q37">STDEV(C9:C32)</f>
        <v>3.4473114655597477</v>
      </c>
      <c r="D37" s="28">
        <f t="shared" si="3"/>
        <v>6.1973337973399705</v>
      </c>
      <c r="E37" s="28">
        <f t="shared" si="3"/>
        <v>0.46947936010565722</v>
      </c>
      <c r="F37" s="28">
        <f t="shared" si="3"/>
        <v>0.70452728524321451</v>
      </c>
      <c r="G37" s="28">
        <f t="shared" si="3"/>
        <v>9.5235990544160956</v>
      </c>
      <c r="H37" s="28">
        <f t="shared" si="3"/>
        <v>4.5632576202418811</v>
      </c>
      <c r="I37" s="28" t="e">
        <f t="shared" si="3"/>
        <v>#DIV/0!</v>
      </c>
      <c r="J37" s="28">
        <f t="shared" si="3"/>
        <v>0.69264759322890657</v>
      </c>
      <c r="K37" s="28">
        <f t="shared" si="3"/>
        <v>39.611863286690152</v>
      </c>
      <c r="L37" s="28" t="e">
        <f t="shared" si="3"/>
        <v>#DIV/0!</v>
      </c>
      <c r="M37" s="28">
        <f t="shared" si="3"/>
        <v>12.951625380623048</v>
      </c>
      <c r="N37" s="28">
        <f t="shared" si="3"/>
        <v>303.83506061343712</v>
      </c>
      <c r="O37" s="28">
        <f t="shared" si="3"/>
        <v>2.6300382980624755</v>
      </c>
      <c r="P37" s="28">
        <f t="shared" si="3"/>
        <v>0.19655686568847111</v>
      </c>
      <c r="Q37" s="28">
        <f t="shared" si="3"/>
        <v>3.9571376531272064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0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41dd5d-bc0a-4e55-9274-d9fd2ad8902e}">
  <sheetPr codeName=""/>
  <dimension ref="A1:U119"/>
  <sheetViews>
    <sheetView zoomScale="85" zoomScaleNormal="85" workbookViewId="0" topLeftCell="A1">
      <selection pane="topLeft" activeCell="G20" sqref="G2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734</v>
      </c>
      <c r="B9" s="51">
        <v>4.3600000000000003</v>
      </c>
      <c r="C9" s="51">
        <v>14.23</v>
      </c>
      <c r="D9" s="51">
        <v>18.59</v>
      </c>
      <c r="E9" s="51">
        <v>6.46</v>
      </c>
      <c r="F9" s="51">
        <v>0.22</v>
      </c>
      <c r="G9" s="51">
        <v>15.62</v>
      </c>
      <c r="H9" s="51">
        <v>11.93</v>
      </c>
      <c r="I9" s="53" t="s">
        <v>8</v>
      </c>
      <c r="J9" s="51">
        <v>0.51</v>
      </c>
      <c r="K9" s="51">
        <v>206.22</v>
      </c>
      <c r="L9" s="9" t="s">
        <v>15</v>
      </c>
      <c r="M9" s="51">
        <v>99.15</v>
      </c>
      <c r="N9" s="51">
        <v>15.30</v>
      </c>
      <c r="O9" s="51">
        <v>0.20</v>
      </c>
      <c r="P9" s="51">
        <v>0.79</v>
      </c>
      <c r="Q9" s="51">
        <v>13.26</v>
      </c>
      <c r="R9" s="43"/>
      <c r="S9" s="43"/>
      <c r="T9" s="43"/>
      <c r="U9" s="43"/>
    </row>
    <row r="10" spans="1:21" s="11" customFormat="1" ht="15">
      <c r="A10" s="50" t="s">
        <v>735</v>
      </c>
      <c r="B10" s="51">
        <v>3.80</v>
      </c>
      <c r="C10" s="51">
        <v>12.92</v>
      </c>
      <c r="D10" s="51">
        <v>16.670000000000002</v>
      </c>
      <c r="E10" s="51">
        <v>6.67</v>
      </c>
      <c r="F10" s="51">
        <v>0.10</v>
      </c>
      <c r="G10" s="51">
        <v>11.95</v>
      </c>
      <c r="H10" s="51">
        <v>9.2100000000000009</v>
      </c>
      <c r="I10" s="53" t="s">
        <v>8</v>
      </c>
      <c r="J10" s="51">
        <v>0.55000000000000004</v>
      </c>
      <c r="K10" s="51">
        <v>215.24</v>
      </c>
      <c r="L10" s="9" t="s">
        <v>15</v>
      </c>
      <c r="M10" s="51">
        <v>99.15</v>
      </c>
      <c r="N10" s="51">
        <v>15.80</v>
      </c>
      <c r="O10" s="51">
        <v>0</v>
      </c>
      <c r="P10" s="51">
        <v>0.68</v>
      </c>
      <c r="Q10" s="51">
        <v>18.079999999999998</v>
      </c>
      <c r="R10" s="43"/>
      <c r="S10" s="43"/>
      <c r="T10" s="43"/>
      <c r="U10" s="43"/>
    </row>
    <row r="11" spans="1:21" s="11" customFormat="1" ht="15">
      <c r="A11" s="50" t="s">
        <v>736</v>
      </c>
      <c r="B11" s="51">
        <v>3.79</v>
      </c>
      <c r="C11" s="51">
        <v>11.53</v>
      </c>
      <c r="D11" s="51">
        <v>15.33</v>
      </c>
      <c r="E11" s="51">
        <v>7.30</v>
      </c>
      <c r="F11" s="51">
        <v>0.59</v>
      </c>
      <c r="G11" s="51">
        <v>9.23</v>
      </c>
      <c r="H11" s="51">
        <v>6.73</v>
      </c>
      <c r="I11" s="53" t="s">
        <v>8</v>
      </c>
      <c r="J11" s="51">
        <v>1.0900000000000001</v>
      </c>
      <c r="K11" s="51">
        <v>166.88</v>
      </c>
      <c r="L11" s="9" t="s">
        <v>15</v>
      </c>
      <c r="M11" s="51">
        <v>99.18</v>
      </c>
      <c r="N11" s="51">
        <v>15.60</v>
      </c>
      <c r="O11" s="51">
        <v>0.20</v>
      </c>
      <c r="P11" s="51">
        <v>0.64</v>
      </c>
      <c r="Q11" s="51">
        <v>22.90</v>
      </c>
      <c r="R11" s="43"/>
      <c r="S11" s="43"/>
      <c r="T11" s="43"/>
      <c r="U11" s="43"/>
    </row>
    <row r="12" spans="1:21" s="11" customFormat="1" ht="15">
      <c r="A12" s="50" t="s">
        <v>737</v>
      </c>
      <c r="B12" s="51">
        <v>3.28</v>
      </c>
      <c r="C12" s="51">
        <v>10.56</v>
      </c>
      <c r="D12" s="51">
        <v>13.59</v>
      </c>
      <c r="E12" s="51">
        <v>7.62</v>
      </c>
      <c r="F12" s="51">
        <v>0.60</v>
      </c>
      <c r="G12" s="51">
        <v>10.60</v>
      </c>
      <c r="H12" s="51">
        <v>5.46</v>
      </c>
      <c r="I12" s="53" t="s">
        <v>8</v>
      </c>
      <c r="J12" s="51">
        <v>0.75</v>
      </c>
      <c r="K12" s="51">
        <v>223.74</v>
      </c>
      <c r="L12" s="9" t="s">
        <v>15</v>
      </c>
      <c r="M12" s="51">
        <v>99.16</v>
      </c>
      <c r="N12" s="51">
        <v>15.40</v>
      </c>
      <c r="O12" s="51">
        <v>0</v>
      </c>
      <c r="P12" s="51">
        <v>0.57999999999999996</v>
      </c>
      <c r="Q12" s="51">
        <v>24.91</v>
      </c>
      <c r="R12" s="43"/>
      <c r="S12" s="43"/>
      <c r="T12" s="43"/>
      <c r="U12" s="43"/>
    </row>
    <row r="13" spans="1:21" s="11" customFormat="1" ht="15">
      <c r="A13" s="50" t="s">
        <v>738</v>
      </c>
      <c r="B13" s="51">
        <v>2.4300000000000002</v>
      </c>
      <c r="C13" s="51">
        <v>10.73</v>
      </c>
      <c r="D13" s="51">
        <v>13.17</v>
      </c>
      <c r="E13" s="51">
        <v>6.41</v>
      </c>
      <c r="F13" s="51">
        <v>0.56000000000000005</v>
      </c>
      <c r="G13" s="51">
        <v>8.7100000000000009</v>
      </c>
      <c r="H13" s="51">
        <v>6.03</v>
      </c>
      <c r="I13" s="53" t="s">
        <v>8</v>
      </c>
      <c r="J13" s="51">
        <v>0.36</v>
      </c>
      <c r="K13" s="51">
        <v>218.97</v>
      </c>
      <c r="L13" s="9" t="s">
        <v>15</v>
      </c>
      <c r="M13" s="51">
        <v>99.15</v>
      </c>
      <c r="N13" s="51">
        <v>15.60</v>
      </c>
      <c r="O13" s="51">
        <v>0</v>
      </c>
      <c r="P13" s="51">
        <v>0.52</v>
      </c>
      <c r="Q13" s="51">
        <v>21.66</v>
      </c>
      <c r="R13" s="43"/>
      <c r="S13" s="43"/>
      <c r="T13" s="43"/>
      <c r="U13" s="43"/>
    </row>
    <row r="14" spans="1:21" s="11" customFormat="1" ht="15">
      <c r="A14" s="50" t="s">
        <v>739</v>
      </c>
      <c r="B14" s="51">
        <v>2.76</v>
      </c>
      <c r="C14" s="51">
        <v>9.7799999999999994</v>
      </c>
      <c r="D14" s="51">
        <v>12.33</v>
      </c>
      <c r="E14" s="51">
        <v>7.42</v>
      </c>
      <c r="F14" s="51">
        <v>0.11</v>
      </c>
      <c r="G14" s="51">
        <v>11.75</v>
      </c>
      <c r="H14" s="51">
        <v>5.92</v>
      </c>
      <c r="I14" s="53" t="s">
        <v>8</v>
      </c>
      <c r="J14" s="51">
        <v>0.34</v>
      </c>
      <c r="K14" s="51">
        <v>192.61</v>
      </c>
      <c r="L14" s="9" t="s">
        <v>15</v>
      </c>
      <c r="M14" s="51">
        <v>99.15</v>
      </c>
      <c r="N14" s="51">
        <v>25.80</v>
      </c>
      <c r="O14" s="51">
        <v>0</v>
      </c>
      <c r="P14" s="51">
        <v>0.48</v>
      </c>
      <c r="Q14" s="51">
        <v>24.28</v>
      </c>
      <c r="R14" s="43"/>
      <c r="S14" s="43"/>
      <c r="T14" s="43"/>
      <c r="U14" s="43"/>
    </row>
    <row r="15" spans="1:21" s="11" customFormat="1" ht="15">
      <c r="A15" s="50" t="s">
        <v>740</v>
      </c>
      <c r="B15" s="51">
        <v>4.70</v>
      </c>
      <c r="C15" s="51">
        <v>11.31</v>
      </c>
      <c r="D15" s="51">
        <v>16.010000000000002</v>
      </c>
      <c r="E15" s="51">
        <v>7.12</v>
      </c>
      <c r="F15" s="51">
        <v>0.51</v>
      </c>
      <c r="G15" s="51">
        <v>14.62</v>
      </c>
      <c r="H15" s="51">
        <v>4.51</v>
      </c>
      <c r="I15" s="53" t="s">
        <v>8</v>
      </c>
      <c r="J15" s="51">
        <v>0.63</v>
      </c>
      <c r="K15" s="51">
        <v>216.63</v>
      </c>
      <c r="L15" s="9" t="s">
        <v>15</v>
      </c>
      <c r="M15" s="51">
        <v>99.09</v>
      </c>
      <c r="N15" s="51">
        <v>171</v>
      </c>
      <c r="O15" s="51">
        <v>0</v>
      </c>
      <c r="P15" s="51">
        <v>0.47</v>
      </c>
      <c r="Q15" s="51">
        <v>25.41</v>
      </c>
      <c r="R15" s="43"/>
      <c r="S15" s="43"/>
      <c r="T15" s="43"/>
      <c r="U15" s="43"/>
    </row>
    <row r="16" spans="1:21" s="11" customFormat="1" ht="15">
      <c r="A16" s="50" t="s">
        <v>741</v>
      </c>
      <c r="B16" s="51">
        <v>4.88</v>
      </c>
      <c r="C16" s="51">
        <v>11.92</v>
      </c>
      <c r="D16" s="51">
        <v>16.48</v>
      </c>
      <c r="E16" s="51">
        <v>6.99</v>
      </c>
      <c r="F16" s="51">
        <v>0.43</v>
      </c>
      <c r="G16" s="51">
        <v>15.13</v>
      </c>
      <c r="H16" s="51">
        <v>3.30</v>
      </c>
      <c r="I16" s="53" t="s">
        <v>8</v>
      </c>
      <c r="J16" s="51">
        <v>0.54</v>
      </c>
      <c r="K16" s="51">
        <v>158.33000000000001</v>
      </c>
      <c r="L16" s="9" t="s">
        <v>15</v>
      </c>
      <c r="M16" s="51">
        <v>82.81</v>
      </c>
      <c r="N16" s="51">
        <v>373.80</v>
      </c>
      <c r="O16" s="51">
        <v>0</v>
      </c>
      <c r="P16" s="51">
        <v>0.52</v>
      </c>
      <c r="Q16" s="51">
        <v>27.99</v>
      </c>
      <c r="R16" s="43"/>
      <c r="S16" s="43"/>
      <c r="T16" s="43"/>
      <c r="U16" s="43"/>
    </row>
    <row r="17" spans="1:21" s="11" customFormat="1" ht="15">
      <c r="A17" s="50" t="s">
        <v>742</v>
      </c>
      <c r="B17" s="51">
        <v>4.55</v>
      </c>
      <c r="C17" s="51">
        <v>11.36</v>
      </c>
      <c r="D17" s="51">
        <v>15.91</v>
      </c>
      <c r="E17" s="51">
        <v>8.8000000000000007</v>
      </c>
      <c r="F17" s="51">
        <v>0.5</v>
      </c>
      <c r="G17" s="51">
        <v>13.42</v>
      </c>
      <c r="H17" s="51">
        <v>4.25</v>
      </c>
      <c r="I17" s="53" t="s">
        <v>8</v>
      </c>
      <c r="J17" s="51">
        <v>1.17</v>
      </c>
      <c r="K17" s="51">
        <v>95.83</v>
      </c>
      <c r="L17" s="9" t="s">
        <v>15</v>
      </c>
      <c r="M17" s="51">
        <v>79.06</v>
      </c>
      <c r="N17" s="51">
        <v>614.5</v>
      </c>
      <c r="O17" s="51">
        <v>0</v>
      </c>
      <c r="P17" s="51">
        <v>0.51</v>
      </c>
      <c r="Q17" s="51">
        <v>39.950000000000003</v>
      </c>
      <c r="R17" s="43"/>
      <c r="S17" s="43"/>
      <c r="T17" s="43"/>
      <c r="U17" s="43"/>
    </row>
    <row r="18" spans="1:21" s="11" customFormat="1" ht="15">
      <c r="A18" s="50" t="s">
        <v>743</v>
      </c>
      <c r="B18" s="51">
        <v>4.3899999999999997</v>
      </c>
      <c r="C18" s="51">
        <v>11.96</v>
      </c>
      <c r="D18" s="51">
        <v>16.350000000000001</v>
      </c>
      <c r="E18" s="51">
        <v>8.8699999999999992</v>
      </c>
      <c r="F18" s="51">
        <v>0.54</v>
      </c>
      <c r="G18" s="51">
        <v>14.35</v>
      </c>
      <c r="H18" s="51">
        <v>7.61</v>
      </c>
      <c r="I18" s="53" t="s">
        <v>8</v>
      </c>
      <c r="J18" s="51">
        <v>0.83</v>
      </c>
      <c r="K18" s="51">
        <v>101.89</v>
      </c>
      <c r="L18" s="9" t="s">
        <v>15</v>
      </c>
      <c r="M18" s="51">
        <v>80.650000000000006</v>
      </c>
      <c r="N18" s="51">
        <v>874.80</v>
      </c>
      <c r="O18" s="51">
        <v>0</v>
      </c>
      <c r="P18" s="51">
        <v>0.54</v>
      </c>
      <c r="Q18" s="51">
        <v>48.79</v>
      </c>
      <c r="R18" s="43"/>
      <c r="S18" s="43"/>
      <c r="T18" s="43"/>
      <c r="U18" s="43"/>
    </row>
    <row r="19" spans="1:21" s="11" customFormat="1" ht="15">
      <c r="A19" s="50" t="s">
        <v>744</v>
      </c>
      <c r="B19" s="51">
        <v>5.21</v>
      </c>
      <c r="C19" s="51">
        <v>19.420000000000002</v>
      </c>
      <c r="D19" s="51">
        <v>24.63</v>
      </c>
      <c r="E19" s="51">
        <v>8.75</v>
      </c>
      <c r="F19" s="51">
        <v>1.69</v>
      </c>
      <c r="G19" s="51">
        <v>10.039999999999999</v>
      </c>
      <c r="H19" s="51">
        <v>7.52</v>
      </c>
      <c r="I19" s="53" t="s">
        <v>8</v>
      </c>
      <c r="J19" s="51">
        <v>0.89</v>
      </c>
      <c r="K19" s="51">
        <v>346.66</v>
      </c>
      <c r="L19" s="9" t="s">
        <v>15</v>
      </c>
      <c r="M19" s="51">
        <v>75.88</v>
      </c>
      <c r="N19" s="51">
        <v>599.70000000000005</v>
      </c>
      <c r="O19" s="51">
        <v>0</v>
      </c>
      <c r="P19" s="51">
        <v>0.69</v>
      </c>
      <c r="Q19" s="51">
        <v>46.53</v>
      </c>
      <c r="R19" s="43"/>
      <c r="S19" s="43"/>
      <c r="T19" s="43"/>
      <c r="U19" s="43"/>
    </row>
    <row r="20" spans="1:21" s="11" customFormat="1" ht="15">
      <c r="A20" s="50" t="s">
        <v>745</v>
      </c>
      <c r="B20" s="51">
        <v>4.9400000000000004</v>
      </c>
      <c r="C20" s="51">
        <v>26.60</v>
      </c>
      <c r="D20" s="51">
        <v>27.94</v>
      </c>
      <c r="E20" s="51">
        <v>6.71</v>
      </c>
      <c r="F20" s="51">
        <v>6.70</v>
      </c>
      <c r="G20" s="9" t="s">
        <v>15</v>
      </c>
      <c r="H20" s="51">
        <v>10</v>
      </c>
      <c r="I20" s="53" t="s">
        <v>8</v>
      </c>
      <c r="J20" s="51">
        <v>1.03</v>
      </c>
      <c r="K20" s="51">
        <v>357.27</v>
      </c>
      <c r="L20" s="9" t="s">
        <v>15</v>
      </c>
      <c r="M20" s="51">
        <v>72.11</v>
      </c>
      <c r="N20" s="51">
        <v>607.20000000000005</v>
      </c>
      <c r="O20" s="51">
        <v>0</v>
      </c>
      <c r="P20" s="51">
        <v>0.92</v>
      </c>
      <c r="Q20" s="51">
        <v>51.76</v>
      </c>
      <c r="R20" s="43"/>
      <c r="S20" s="43"/>
      <c r="T20" s="43"/>
      <c r="U20" s="43"/>
    </row>
    <row r="21" spans="1:21" s="11" customFormat="1" ht="15">
      <c r="A21" s="50" t="s">
        <v>746</v>
      </c>
      <c r="B21" s="51">
        <v>2.0499999999999998</v>
      </c>
      <c r="C21" s="51">
        <v>27.51</v>
      </c>
      <c r="D21" s="51">
        <v>29.46</v>
      </c>
      <c r="E21" s="51">
        <v>2.5</v>
      </c>
      <c r="F21" s="51">
        <v>2.0699999999999998</v>
      </c>
      <c r="G21" s="51">
        <v>17.86</v>
      </c>
      <c r="H21" s="51">
        <v>12.38</v>
      </c>
      <c r="I21" s="53" t="s">
        <v>8</v>
      </c>
      <c r="J21" s="51">
        <v>0.63</v>
      </c>
      <c r="K21" s="51">
        <v>346.45</v>
      </c>
      <c r="L21" s="9" t="s">
        <v>15</v>
      </c>
      <c r="M21" s="51">
        <v>65.23</v>
      </c>
      <c r="N21" s="51">
        <v>1065.5</v>
      </c>
      <c r="O21" s="51">
        <v>0</v>
      </c>
      <c r="P21" s="51">
        <v>0.97</v>
      </c>
      <c r="Q21" s="51">
        <v>68.42</v>
      </c>
      <c r="R21" s="43"/>
      <c r="S21" s="43"/>
      <c r="T21" s="43"/>
      <c r="U21" s="43"/>
    </row>
    <row r="22" spans="1:21" s="11" customFormat="1" ht="15">
      <c r="A22" s="50" t="s">
        <v>747</v>
      </c>
      <c r="B22" s="51">
        <v>5.66</v>
      </c>
      <c r="C22" s="51">
        <v>28.78</v>
      </c>
      <c r="D22" s="51">
        <v>34.43</v>
      </c>
      <c r="E22" s="51">
        <v>4.08</v>
      </c>
      <c r="F22" s="51">
        <v>250.97</v>
      </c>
      <c r="G22" s="51">
        <v>24.39</v>
      </c>
      <c r="H22" s="51">
        <v>16.079999999999998</v>
      </c>
      <c r="I22" s="53" t="s">
        <v>8</v>
      </c>
      <c r="J22" s="51">
        <v>0.89</v>
      </c>
      <c r="K22" s="51">
        <v>354.31</v>
      </c>
      <c r="L22" s="9" t="s">
        <v>15</v>
      </c>
      <c r="M22" s="51">
        <v>62.63</v>
      </c>
      <c r="N22" s="51">
        <v>970.70</v>
      </c>
      <c r="O22" s="51">
        <v>0</v>
      </c>
      <c r="P22" s="51">
        <v>0.95</v>
      </c>
      <c r="Q22" s="51">
        <v>78.41</v>
      </c>
      <c r="R22" s="43"/>
      <c r="S22" s="43"/>
      <c r="T22" s="43"/>
      <c r="U22" s="43"/>
    </row>
    <row r="23" spans="1:21" s="11" customFormat="1" ht="15">
      <c r="A23" s="50" t="s">
        <v>748</v>
      </c>
      <c r="B23" s="51">
        <v>3.44</v>
      </c>
      <c r="C23" s="51">
        <v>21.74</v>
      </c>
      <c r="D23" s="51">
        <v>25.19</v>
      </c>
      <c r="E23" s="51">
        <v>3.17</v>
      </c>
      <c r="F23" s="51">
        <v>11.54</v>
      </c>
      <c r="G23" s="51">
        <v>29.78</v>
      </c>
      <c r="H23" s="51">
        <v>13.54</v>
      </c>
      <c r="I23" s="53" t="s">
        <v>8</v>
      </c>
      <c r="J23" s="51">
        <v>0.55000000000000004</v>
      </c>
      <c r="K23" s="51">
        <v>121.32</v>
      </c>
      <c r="L23" s="9" t="s">
        <v>15</v>
      </c>
      <c r="M23" s="51">
        <v>62.19</v>
      </c>
      <c r="N23" s="51">
        <v>701.80</v>
      </c>
      <c r="O23" s="51">
        <v>0</v>
      </c>
      <c r="P23" s="51">
        <v>1</v>
      </c>
      <c r="Q23" s="51">
        <v>73.86</v>
      </c>
      <c r="R23" s="43"/>
      <c r="S23" s="43"/>
      <c r="T23" s="43"/>
      <c r="U23" s="43"/>
    </row>
    <row r="24" spans="1:21" s="11" customFormat="1" ht="15">
      <c r="A24" s="50" t="s">
        <v>749</v>
      </c>
      <c r="B24" s="51">
        <v>3.32</v>
      </c>
      <c r="C24" s="51">
        <v>14.26</v>
      </c>
      <c r="D24" s="51">
        <v>17.010000000000002</v>
      </c>
      <c r="E24" s="51">
        <v>3.15</v>
      </c>
      <c r="F24" s="51">
        <v>18.510000000000002</v>
      </c>
      <c r="G24" s="51">
        <v>25.34</v>
      </c>
      <c r="H24" s="51">
        <v>10.17</v>
      </c>
      <c r="I24" s="53" t="s">
        <v>8</v>
      </c>
      <c r="J24" s="51">
        <v>1.05</v>
      </c>
      <c r="K24" s="51">
        <v>93.28</v>
      </c>
      <c r="L24" s="9" t="s">
        <v>15</v>
      </c>
      <c r="M24" s="51">
        <v>67.05</v>
      </c>
      <c r="N24" s="51">
        <v>412.30</v>
      </c>
      <c r="O24" s="51">
        <v>0</v>
      </c>
      <c r="P24" s="51">
        <v>0.82</v>
      </c>
      <c r="Q24" s="51">
        <v>79.22</v>
      </c>
      <c r="R24" s="43"/>
      <c r="S24" s="43"/>
      <c r="T24" s="43"/>
      <c r="U24" s="43"/>
    </row>
    <row r="25" spans="1:21" s="11" customFormat="1" ht="15">
      <c r="A25" s="50" t="s">
        <v>750</v>
      </c>
      <c r="B25" s="51">
        <v>7.08</v>
      </c>
      <c r="C25" s="51">
        <v>24.93</v>
      </c>
      <c r="D25" s="51">
        <v>31.34</v>
      </c>
      <c r="E25" s="51">
        <v>2.52</v>
      </c>
      <c r="F25" s="51">
        <v>22.33</v>
      </c>
      <c r="G25" s="51">
        <v>22.86</v>
      </c>
      <c r="H25" s="51">
        <v>10.80</v>
      </c>
      <c r="I25" s="53" t="s">
        <v>8</v>
      </c>
      <c r="J25" s="51">
        <v>2.66</v>
      </c>
      <c r="K25" s="51">
        <v>74.489999999999995</v>
      </c>
      <c r="L25" s="9" t="s">
        <v>15</v>
      </c>
      <c r="M25" s="51">
        <v>71.34</v>
      </c>
      <c r="N25" s="51">
        <v>124</v>
      </c>
      <c r="O25" s="51">
        <v>0</v>
      </c>
      <c r="P25" s="51">
        <v>0.98</v>
      </c>
      <c r="Q25" s="51">
        <v>77.38</v>
      </c>
      <c r="R25" s="43"/>
      <c r="S25" s="43"/>
      <c r="T25" s="43"/>
      <c r="U25" s="43"/>
    </row>
    <row r="26" spans="1:21" s="11" customFormat="1" ht="15">
      <c r="A26" s="50" t="s">
        <v>751</v>
      </c>
      <c r="B26" s="51">
        <v>5.65</v>
      </c>
      <c r="C26" s="51">
        <v>24.36</v>
      </c>
      <c r="D26" s="51">
        <v>29.78</v>
      </c>
      <c r="E26" s="51">
        <v>2.75</v>
      </c>
      <c r="F26" s="51">
        <v>16.600000000000001</v>
      </c>
      <c r="G26" s="51">
        <v>28.68</v>
      </c>
      <c r="H26" s="51">
        <v>9.25</v>
      </c>
      <c r="I26" s="51">
        <v>12.33</v>
      </c>
      <c r="J26" s="51">
        <v>3.74</v>
      </c>
      <c r="K26" s="51">
        <v>99.69</v>
      </c>
      <c r="L26" s="9" t="s">
        <v>15</v>
      </c>
      <c r="M26" s="51">
        <v>70.94</v>
      </c>
      <c r="N26" s="51">
        <v>88</v>
      </c>
      <c r="O26" s="51">
        <v>0</v>
      </c>
      <c r="P26" s="51">
        <v>0.85</v>
      </c>
      <c r="Q26" s="51">
        <v>65.88</v>
      </c>
      <c r="R26" s="43"/>
      <c r="S26" s="43"/>
      <c r="T26" s="43"/>
      <c r="U26" s="43"/>
    </row>
    <row r="27" spans="1:21" s="11" customFormat="1" ht="15">
      <c r="A27" s="50" t="s">
        <v>752</v>
      </c>
      <c r="B27" s="51">
        <v>3</v>
      </c>
      <c r="C27" s="51">
        <v>20.5</v>
      </c>
      <c r="D27" s="51">
        <v>23.51</v>
      </c>
      <c r="E27" s="51">
        <v>3.47</v>
      </c>
      <c r="F27" s="51">
        <v>11.16</v>
      </c>
      <c r="G27" s="51">
        <v>31.63</v>
      </c>
      <c r="H27" s="51">
        <v>10.99</v>
      </c>
      <c r="I27" s="51">
        <v>14.33</v>
      </c>
      <c r="J27" s="51">
        <v>2.46</v>
      </c>
      <c r="K27" s="51">
        <v>205.32</v>
      </c>
      <c r="L27" s="9" t="s">
        <v>15</v>
      </c>
      <c r="M27" s="51">
        <v>76.069999999999993</v>
      </c>
      <c r="N27" s="51">
        <v>23</v>
      </c>
      <c r="O27" s="51">
        <v>0</v>
      </c>
      <c r="P27" s="51">
        <v>0.76</v>
      </c>
      <c r="Q27" s="51">
        <v>50.93</v>
      </c>
      <c r="R27" s="43"/>
      <c r="S27" s="43"/>
      <c r="T27" s="43"/>
      <c r="U27" s="43"/>
    </row>
    <row r="28" spans="1:21" s="11" customFormat="1" ht="15">
      <c r="A28" s="50" t="s">
        <v>753</v>
      </c>
      <c r="B28" s="51">
        <v>12.31</v>
      </c>
      <c r="C28" s="51">
        <v>25.30</v>
      </c>
      <c r="D28" s="51">
        <v>37.60</v>
      </c>
      <c r="E28" s="51">
        <v>1.47</v>
      </c>
      <c r="F28" s="51">
        <v>6.03</v>
      </c>
      <c r="G28" s="51">
        <v>25.17</v>
      </c>
      <c r="H28" s="51">
        <v>11.06</v>
      </c>
      <c r="I28" s="51">
        <v>7.51</v>
      </c>
      <c r="J28" s="51">
        <v>2.04</v>
      </c>
      <c r="K28" s="51">
        <v>99.12</v>
      </c>
      <c r="L28" s="9" t="s">
        <v>15</v>
      </c>
      <c r="M28" s="51">
        <v>82.98</v>
      </c>
      <c r="N28" s="51">
        <v>14.90</v>
      </c>
      <c r="O28" s="51">
        <v>0</v>
      </c>
      <c r="P28" s="51">
        <v>1.76</v>
      </c>
      <c r="Q28" s="51">
        <v>46.16</v>
      </c>
      <c r="R28" s="43"/>
      <c r="S28" s="43"/>
      <c r="T28" s="43"/>
      <c r="U28" s="43"/>
    </row>
    <row r="29" spans="1:21" s="11" customFormat="1" ht="15">
      <c r="A29" s="50" t="s">
        <v>754</v>
      </c>
      <c r="B29" s="51">
        <v>5.97</v>
      </c>
      <c r="C29" s="51">
        <v>15.63</v>
      </c>
      <c r="D29" s="51">
        <v>20.89</v>
      </c>
      <c r="E29" s="51">
        <v>5.14</v>
      </c>
      <c r="F29" s="51">
        <v>6.83</v>
      </c>
      <c r="G29" s="51">
        <v>28.72</v>
      </c>
      <c r="H29" s="51">
        <v>11.60</v>
      </c>
      <c r="I29" s="51">
        <v>14.5</v>
      </c>
      <c r="J29" s="51">
        <v>2.5499999999999998</v>
      </c>
      <c r="K29" s="51">
        <v>107.46</v>
      </c>
      <c r="L29" s="9" t="s">
        <v>15</v>
      </c>
      <c r="M29" s="51">
        <v>84.86</v>
      </c>
      <c r="N29" s="51">
        <v>14.90</v>
      </c>
      <c r="O29" s="51">
        <v>0</v>
      </c>
      <c r="P29" s="51">
        <v>1.08</v>
      </c>
      <c r="Q29" s="51">
        <v>53.72</v>
      </c>
      <c r="R29" s="43"/>
      <c r="S29" s="43"/>
      <c r="T29" s="43"/>
      <c r="U29" s="43"/>
    </row>
    <row r="30" spans="1:21" s="11" customFormat="1" ht="15">
      <c r="A30" s="50" t="s">
        <v>755</v>
      </c>
      <c r="B30" s="51">
        <v>12.35</v>
      </c>
      <c r="C30" s="51">
        <v>21.70</v>
      </c>
      <c r="D30" s="51">
        <v>34.049999999999997</v>
      </c>
      <c r="E30" s="51">
        <v>6.34</v>
      </c>
      <c r="F30" s="51">
        <v>2.84</v>
      </c>
      <c r="G30" s="51">
        <v>23.79</v>
      </c>
      <c r="H30" s="51">
        <v>11.14</v>
      </c>
      <c r="I30" s="51">
        <v>15.65</v>
      </c>
      <c r="J30" s="51">
        <v>3.23</v>
      </c>
      <c r="K30" s="51">
        <v>103.03</v>
      </c>
      <c r="L30" s="9" t="s">
        <v>15</v>
      </c>
      <c r="M30" s="51">
        <v>88.71</v>
      </c>
      <c r="N30" s="51">
        <v>14.80</v>
      </c>
      <c r="O30" s="51">
        <v>0</v>
      </c>
      <c r="P30" s="51">
        <v>1.53</v>
      </c>
      <c r="Q30" s="51">
        <v>47.53</v>
      </c>
      <c r="R30" s="43"/>
      <c r="S30" s="43"/>
      <c r="T30" s="43"/>
      <c r="U30" s="43"/>
    </row>
    <row r="31" spans="1:21" s="11" customFormat="1" ht="15">
      <c r="A31" s="50" t="s">
        <v>756</v>
      </c>
      <c r="B31" s="51">
        <v>7.53</v>
      </c>
      <c r="C31" s="51">
        <v>17.32</v>
      </c>
      <c r="D31" s="51">
        <v>24.32</v>
      </c>
      <c r="E31" s="51">
        <v>6.96</v>
      </c>
      <c r="F31" s="51">
        <v>2.16</v>
      </c>
      <c r="G31" s="51">
        <v>21.81</v>
      </c>
      <c r="H31" s="51">
        <v>14.75</v>
      </c>
      <c r="I31" s="51">
        <v>10.51</v>
      </c>
      <c r="J31" s="51">
        <v>2.91</v>
      </c>
      <c r="K31" s="51">
        <v>106.10</v>
      </c>
      <c r="L31" s="9" t="s">
        <v>15</v>
      </c>
      <c r="M31" s="51">
        <v>84.28</v>
      </c>
      <c r="N31" s="51">
        <v>15</v>
      </c>
      <c r="O31" s="51">
        <v>0</v>
      </c>
      <c r="P31" s="51">
        <v>0.89</v>
      </c>
      <c r="Q31" s="51">
        <v>50.37</v>
      </c>
      <c r="R31" s="43"/>
      <c r="S31" s="43"/>
      <c r="T31" s="43"/>
      <c r="U31" s="43"/>
    </row>
    <row r="32" spans="1:21" s="11" customFormat="1" ht="15">
      <c r="A32" s="50" t="s">
        <v>757</v>
      </c>
      <c r="B32" s="51">
        <v>7.42</v>
      </c>
      <c r="C32" s="51">
        <v>12.91</v>
      </c>
      <c r="D32" s="51">
        <v>19.829999999999998</v>
      </c>
      <c r="E32" s="51">
        <v>7.25</v>
      </c>
      <c r="F32" s="51">
        <v>5.45</v>
      </c>
      <c r="G32" s="51">
        <v>22.58</v>
      </c>
      <c r="H32" s="51">
        <v>10.68</v>
      </c>
      <c r="I32" s="51">
        <v>9.64</v>
      </c>
      <c r="J32" s="51">
        <v>2.99</v>
      </c>
      <c r="K32" s="51">
        <v>263.22000000000003</v>
      </c>
      <c r="L32" s="9" t="s">
        <v>15</v>
      </c>
      <c r="M32" s="51">
        <v>89.47</v>
      </c>
      <c r="N32" s="51">
        <v>15.40</v>
      </c>
      <c r="O32" s="51">
        <v>0</v>
      </c>
      <c r="P32" s="51">
        <v>0.85</v>
      </c>
      <c r="Q32" s="51">
        <v>55.34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2.0499999999999998</v>
      </c>
      <c r="C34" s="28">
        <f t="shared" si="0"/>
        <v>9.7799999999999994</v>
      </c>
      <c r="D34" s="28">
        <f t="shared" si="0"/>
        <v>12.33</v>
      </c>
      <c r="E34" s="28">
        <f t="shared" si="0"/>
        <v>1.47</v>
      </c>
      <c r="F34" s="28">
        <f t="shared" si="0"/>
        <v>0.10000000000000001</v>
      </c>
      <c r="G34" s="28">
        <f t="shared" si="0"/>
        <v>8.7100000000000009</v>
      </c>
      <c r="H34" s="28">
        <f t="shared" si="0"/>
        <v>3.2999999999999998</v>
      </c>
      <c r="I34" s="28">
        <f t="shared" si="0"/>
        <v>7.5099999999999998</v>
      </c>
      <c r="J34" s="28">
        <f t="shared" si="0"/>
        <v>0.34000000000000002</v>
      </c>
      <c r="K34" s="28">
        <f t="shared" si="0"/>
        <v>74.489999999999995</v>
      </c>
      <c r="L34" s="28">
        <f t="shared" si="0"/>
        <v>0</v>
      </c>
      <c r="M34" s="28">
        <f t="shared" si="0"/>
        <v>62.189999999999998</v>
      </c>
      <c r="N34" s="28">
        <f t="shared" si="0"/>
        <v>14.800000000000001</v>
      </c>
      <c r="O34" s="28">
        <f t="shared" si="0"/>
        <v>0</v>
      </c>
      <c r="P34" s="28">
        <f t="shared" si="0"/>
        <v>0.46999999999999997</v>
      </c>
      <c r="Q34" s="28">
        <f t="shared" si="0"/>
        <v>13.26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12.35</v>
      </c>
      <c r="C35" s="29">
        <f t="shared" si="1"/>
        <v>28.780000000000001</v>
      </c>
      <c r="D35" s="29">
        <f t="shared" si="1"/>
        <v>37.600000000000001</v>
      </c>
      <c r="E35" s="29">
        <f t="shared" si="1"/>
        <v>8.8699999999999992</v>
      </c>
      <c r="F35" s="29">
        <f t="shared" si="1"/>
        <v>250.97</v>
      </c>
      <c r="G35" s="29">
        <f t="shared" si="1"/>
        <v>31.629999999999999</v>
      </c>
      <c r="H35" s="29">
        <f t="shared" si="1"/>
        <v>16.079999999999998</v>
      </c>
      <c r="I35" s="29">
        <f t="shared" si="1"/>
        <v>15.65</v>
      </c>
      <c r="J35" s="29">
        <f t="shared" si="1"/>
        <v>3.7400000000000002</v>
      </c>
      <c r="K35" s="29">
        <f t="shared" si="1"/>
        <v>357.26999999999998</v>
      </c>
      <c r="L35" s="29">
        <f t="shared" si="1"/>
        <v>0</v>
      </c>
      <c r="M35" s="29">
        <f t="shared" si="1"/>
        <v>99.180000000000007</v>
      </c>
      <c r="N35" s="29">
        <f t="shared" si="1"/>
        <v>1065.5</v>
      </c>
      <c r="O35" s="29">
        <f t="shared" si="1"/>
        <v>0.20000000000000001</v>
      </c>
      <c r="P35" s="29">
        <f t="shared" si="1"/>
        <v>1.76</v>
      </c>
      <c r="Q35" s="29">
        <f t="shared" si="1"/>
        <v>79.219999999999999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5.2029166666666669</v>
      </c>
      <c r="C36" s="28">
        <f t="shared" si="2"/>
        <v>17.385833333333334</v>
      </c>
      <c r="D36" s="28">
        <f t="shared" si="2"/>
        <v>22.267083333333332</v>
      </c>
      <c r="E36" s="28">
        <f t="shared" si="2"/>
        <v>5.746666666666667</v>
      </c>
      <c r="F36" s="28">
        <f t="shared" si="2"/>
        <v>15.376666666666665</v>
      </c>
      <c r="G36" s="28">
        <f t="shared" si="2"/>
        <v>19.044782608695652</v>
      </c>
      <c r="H36" s="28">
        <f t="shared" si="2"/>
        <v>9.3712500000000016</v>
      </c>
      <c r="I36" s="28">
        <f t="shared" si="2"/>
        <v>12.067142857142859</v>
      </c>
      <c r="J36" s="28">
        <f t="shared" si="2"/>
        <v>1.4329166666666666</v>
      </c>
      <c r="K36" s="28">
        <f t="shared" si="2"/>
        <v>186.41916666666668</v>
      </c>
      <c r="L36" s="28" t="e">
        <f t="shared" si="2"/>
        <v>#DIV/0!</v>
      </c>
      <c r="M36" s="28">
        <f t="shared" si="2"/>
        <v>82.928749999999994</v>
      </c>
      <c r="N36" s="28">
        <f t="shared" si="2"/>
        <v>283.5333333333333</v>
      </c>
      <c r="O36" s="28">
        <f t="shared" si="2"/>
        <v>0.016666666666666666</v>
      </c>
      <c r="P36" s="28">
        <f t="shared" si="2"/>
        <v>0.82416666666666671</v>
      </c>
      <c r="Q36" s="28">
        <f t="shared" si="2"/>
        <v>46.364166666666655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2.6493058634236646</v>
      </c>
      <c r="C37" s="28">
        <f t="shared" si="3" ref="C37:Q37">STDEV(C9:C32)</f>
        <v>6.3079934911236215</v>
      </c>
      <c r="D37" s="28">
        <f t="shared" si="3"/>
        <v>7.5115681678714656</v>
      </c>
      <c r="E37" s="28">
        <f t="shared" si="3"/>
        <v>2.2554179534905554</v>
      </c>
      <c r="F37" s="28">
        <f t="shared" si="3"/>
        <v>50.590175766229265</v>
      </c>
      <c r="G37" s="28">
        <f t="shared" si="3"/>
        <v>7.3355317521606134</v>
      </c>
      <c r="H37" s="28">
        <f t="shared" si="3"/>
        <v>3.3873810744405812</v>
      </c>
      <c r="I37" s="28">
        <f t="shared" si="3"/>
        <v>2.9728926109414804</v>
      </c>
      <c r="J37" s="28">
        <f t="shared" si="3"/>
        <v>1.0651330970788364</v>
      </c>
      <c r="K37" s="28">
        <f t="shared" si="3"/>
        <v>92.381991182954764</v>
      </c>
      <c r="L37" s="28" t="e">
        <f t="shared" si="3"/>
        <v>#DIV/0!</v>
      </c>
      <c r="M37" s="28">
        <f t="shared" si="3"/>
        <v>12.925402798365903</v>
      </c>
      <c r="N37" s="28">
        <f t="shared" si="3"/>
        <v>353.70755381132091</v>
      </c>
      <c r="O37" s="28">
        <f t="shared" si="3"/>
        <v>0.056465970257327996</v>
      </c>
      <c r="P37" s="28">
        <f t="shared" si="3"/>
        <v>0.31571749433929702</v>
      </c>
      <c r="Q37" s="28">
        <f t="shared" si="3"/>
        <v>20.559912645023935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23</v>
      </c>
      <c r="H38" s="32">
        <f t="shared" si="4"/>
        <v>24</v>
      </c>
      <c r="I38" s="32">
        <f>COUNT(I9:I32)+17</f>
        <v>24</v>
      </c>
      <c r="J38" s="32">
        <f t="shared" si="4"/>
        <v>24</v>
      </c>
      <c r="K38" s="32">
        <f t="shared" si="4"/>
        <v>24</v>
      </c>
      <c r="L38" s="32">
        <f t="shared" si="4"/>
        <v>0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503556f-3aa5-4cb4-9e16-98b8cccb38a0}">
  <sheetPr codeName=""/>
  <dimension ref="A1:U119"/>
  <sheetViews>
    <sheetView zoomScale="85" zoomScaleNormal="85" workbookViewId="0" topLeftCell="A4">
      <selection pane="topLeft" activeCell="L9" sqref="L9:L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758</v>
      </c>
      <c r="B9" s="51">
        <v>6.40</v>
      </c>
      <c r="C9" s="51">
        <v>13.13</v>
      </c>
      <c r="D9" s="51">
        <v>19.53</v>
      </c>
      <c r="E9" s="51">
        <v>3.42</v>
      </c>
      <c r="F9" s="51">
        <v>5.78</v>
      </c>
      <c r="G9" s="51">
        <v>22.15</v>
      </c>
      <c r="H9" s="51">
        <v>9.92</v>
      </c>
      <c r="I9" s="51">
        <v>10.11</v>
      </c>
      <c r="J9" s="51">
        <v>1.51</v>
      </c>
      <c r="K9" s="51">
        <v>230.42</v>
      </c>
      <c r="L9" s="9" t="s">
        <v>15</v>
      </c>
      <c r="M9" s="51">
        <v>95.89</v>
      </c>
      <c r="N9" s="51">
        <v>15</v>
      </c>
      <c r="O9" s="51">
        <v>0</v>
      </c>
      <c r="P9" s="51">
        <v>0.65</v>
      </c>
      <c r="Q9" s="51">
        <v>51.12</v>
      </c>
      <c r="R9" s="43"/>
      <c r="S9" s="43"/>
      <c r="T9" s="43"/>
      <c r="U9" s="43"/>
    </row>
    <row r="10" spans="1:21" s="11" customFormat="1" ht="15">
      <c r="A10" s="50" t="s">
        <v>759</v>
      </c>
      <c r="B10" s="51">
        <v>5.92</v>
      </c>
      <c r="C10" s="51">
        <v>8.6199999999999992</v>
      </c>
      <c r="D10" s="51">
        <v>14.54</v>
      </c>
      <c r="E10" s="51">
        <v>6.96</v>
      </c>
      <c r="F10" s="51">
        <v>3.99</v>
      </c>
      <c r="G10" s="51">
        <v>20.98</v>
      </c>
      <c r="H10" s="51">
        <v>9.35</v>
      </c>
      <c r="I10" s="51">
        <v>8.23</v>
      </c>
      <c r="J10" s="51">
        <v>2.5299999999999998</v>
      </c>
      <c r="K10" s="51">
        <v>190.96</v>
      </c>
      <c r="L10" s="9" t="s">
        <v>15</v>
      </c>
      <c r="M10" s="51">
        <v>95.06</v>
      </c>
      <c r="N10" s="51">
        <v>16.600000000000001</v>
      </c>
      <c r="O10" s="51">
        <v>0.20</v>
      </c>
      <c r="P10" s="51">
        <v>0.67</v>
      </c>
      <c r="Q10" s="51">
        <v>37.71</v>
      </c>
      <c r="R10" s="43"/>
      <c r="S10" s="43"/>
      <c r="T10" s="43"/>
      <c r="U10" s="43"/>
    </row>
    <row r="11" spans="1:21" s="11" customFormat="1" ht="15">
      <c r="A11" s="50" t="s">
        <v>760</v>
      </c>
      <c r="B11" s="51">
        <v>4.09</v>
      </c>
      <c r="C11" s="51">
        <v>8.1199999999999992</v>
      </c>
      <c r="D11" s="51">
        <v>11.65</v>
      </c>
      <c r="E11" s="51">
        <v>7.04</v>
      </c>
      <c r="F11" s="51">
        <v>3.18</v>
      </c>
      <c r="G11" s="51">
        <v>15.04</v>
      </c>
      <c r="H11" s="51">
        <v>10.01</v>
      </c>
      <c r="I11" s="53" t="s">
        <v>8</v>
      </c>
      <c r="J11" s="51">
        <v>1.27</v>
      </c>
      <c r="K11" s="51">
        <v>353.82</v>
      </c>
      <c r="L11" s="9" t="s">
        <v>15</v>
      </c>
      <c r="M11" s="51">
        <v>99.15</v>
      </c>
      <c r="N11" s="51">
        <v>16.600000000000001</v>
      </c>
      <c r="O11" s="51">
        <v>4.80</v>
      </c>
      <c r="P11" s="51">
        <v>0.59</v>
      </c>
      <c r="Q11" s="51">
        <v>34.08</v>
      </c>
      <c r="R11" s="43"/>
      <c r="S11" s="43"/>
      <c r="T11" s="43"/>
      <c r="U11" s="43"/>
    </row>
    <row r="12" spans="1:21" s="11" customFormat="1" ht="15">
      <c r="A12" s="50" t="s">
        <v>761</v>
      </c>
      <c r="B12" s="51">
        <v>3.37</v>
      </c>
      <c r="C12" s="51">
        <v>8.19</v>
      </c>
      <c r="D12" s="51">
        <v>11.56</v>
      </c>
      <c r="E12" s="51">
        <v>6.98</v>
      </c>
      <c r="F12" s="51">
        <v>5.75</v>
      </c>
      <c r="G12" s="51">
        <v>15.62</v>
      </c>
      <c r="H12" s="51">
        <v>8.31</v>
      </c>
      <c r="I12" s="51">
        <v>13.98</v>
      </c>
      <c r="J12" s="51">
        <v>1.97</v>
      </c>
      <c r="K12" s="51">
        <v>346</v>
      </c>
      <c r="L12" s="9" t="s">
        <v>15</v>
      </c>
      <c r="M12" s="51">
        <v>99.15</v>
      </c>
      <c r="N12" s="51">
        <v>15.40</v>
      </c>
      <c r="O12" s="51">
        <v>0</v>
      </c>
      <c r="P12" s="51">
        <v>0.56999999999999995</v>
      </c>
      <c r="Q12" s="51">
        <v>32.99</v>
      </c>
      <c r="R12" s="43"/>
      <c r="S12" s="43"/>
      <c r="T12" s="43"/>
      <c r="U12" s="43"/>
    </row>
    <row r="13" spans="1:21" s="11" customFormat="1" ht="15">
      <c r="A13" s="50" t="s">
        <v>762</v>
      </c>
      <c r="B13" s="51">
        <v>3.46</v>
      </c>
      <c r="C13" s="51">
        <v>8.5</v>
      </c>
      <c r="D13" s="51">
        <v>11.76</v>
      </c>
      <c r="E13" s="51">
        <v>6.97</v>
      </c>
      <c r="F13" s="51">
        <v>4.3099999999999996</v>
      </c>
      <c r="G13" s="51">
        <v>10.94</v>
      </c>
      <c r="H13" s="51">
        <v>6.28</v>
      </c>
      <c r="I13" s="51">
        <v>12.19</v>
      </c>
      <c r="J13" s="51">
        <v>2.91</v>
      </c>
      <c r="K13" s="51">
        <v>140.62</v>
      </c>
      <c r="L13" s="9" t="s">
        <v>15</v>
      </c>
      <c r="M13" s="51">
        <v>99.15</v>
      </c>
      <c r="N13" s="51">
        <v>15.10</v>
      </c>
      <c r="O13" s="51">
        <v>0</v>
      </c>
      <c r="P13" s="51">
        <v>0.51</v>
      </c>
      <c r="Q13" s="51">
        <v>33.909999999999997</v>
      </c>
      <c r="R13" s="43"/>
      <c r="S13" s="43"/>
      <c r="T13" s="43"/>
      <c r="U13" s="43"/>
    </row>
    <row r="14" spans="1:21" s="11" customFormat="1" ht="15">
      <c r="A14" s="50" t="s">
        <v>763</v>
      </c>
      <c r="B14" s="51">
        <v>3.28</v>
      </c>
      <c r="C14" s="51">
        <v>8.17</v>
      </c>
      <c r="D14" s="51">
        <v>11.44</v>
      </c>
      <c r="E14" s="51">
        <v>6.61</v>
      </c>
      <c r="F14" s="51">
        <v>1.62</v>
      </c>
      <c r="G14" s="51">
        <v>9.48</v>
      </c>
      <c r="H14" s="51">
        <v>5.48</v>
      </c>
      <c r="I14" s="53" t="s">
        <v>8</v>
      </c>
      <c r="J14" s="51">
        <v>1.86</v>
      </c>
      <c r="K14" s="51">
        <v>156.58000000000001</v>
      </c>
      <c r="L14" s="9" t="s">
        <v>15</v>
      </c>
      <c r="M14" s="51">
        <v>99.15</v>
      </c>
      <c r="N14" s="51">
        <v>25</v>
      </c>
      <c r="O14" s="51">
        <v>0</v>
      </c>
      <c r="P14" s="51">
        <v>0.48</v>
      </c>
      <c r="Q14" s="51">
        <v>36.07</v>
      </c>
      <c r="R14" s="43"/>
      <c r="S14" s="43"/>
      <c r="T14" s="43"/>
      <c r="U14" s="43"/>
    </row>
    <row r="15" spans="1:21" s="11" customFormat="1" ht="15">
      <c r="A15" s="50" t="s">
        <v>764</v>
      </c>
      <c r="B15" s="51">
        <v>3.24</v>
      </c>
      <c r="C15" s="51">
        <v>8.58</v>
      </c>
      <c r="D15" s="51">
        <v>11.76</v>
      </c>
      <c r="E15" s="51">
        <v>6.83</v>
      </c>
      <c r="F15" s="51">
        <v>1.35</v>
      </c>
      <c r="G15" s="51">
        <v>8.8699999999999992</v>
      </c>
      <c r="H15" s="51">
        <v>6.39</v>
      </c>
      <c r="I15" s="53" t="s">
        <v>8</v>
      </c>
      <c r="J15" s="51">
        <v>3.34</v>
      </c>
      <c r="K15" s="51">
        <v>172.79</v>
      </c>
      <c r="L15" s="9" t="s">
        <v>15</v>
      </c>
      <c r="M15" s="51">
        <v>99.15</v>
      </c>
      <c r="N15" s="51">
        <v>102.40</v>
      </c>
      <c r="O15" s="51">
        <v>0</v>
      </c>
      <c r="P15" s="51">
        <v>0.46</v>
      </c>
      <c r="Q15" s="51">
        <v>36.32</v>
      </c>
      <c r="R15" s="43"/>
      <c r="S15" s="43"/>
      <c r="T15" s="43"/>
      <c r="U15" s="43"/>
    </row>
    <row r="16" spans="1:21" s="11" customFormat="1" ht="15">
      <c r="A16" s="50" t="s">
        <v>765</v>
      </c>
      <c r="B16" s="51">
        <v>5.23</v>
      </c>
      <c r="C16" s="51">
        <v>8.59</v>
      </c>
      <c r="D16" s="51">
        <v>13.82</v>
      </c>
      <c r="E16" s="51">
        <v>6.95</v>
      </c>
      <c r="F16" s="51">
        <v>1.03</v>
      </c>
      <c r="G16" s="51">
        <v>9.35</v>
      </c>
      <c r="H16" s="51">
        <v>4.95</v>
      </c>
      <c r="I16" s="53" t="s">
        <v>8</v>
      </c>
      <c r="J16" s="51">
        <v>0.95</v>
      </c>
      <c r="K16" s="51">
        <v>335.65</v>
      </c>
      <c r="L16" s="9" t="s">
        <v>15</v>
      </c>
      <c r="M16" s="51">
        <v>98.28</v>
      </c>
      <c r="N16" s="51">
        <v>307.30</v>
      </c>
      <c r="O16" s="51">
        <v>0</v>
      </c>
      <c r="P16" s="51">
        <v>0.46</v>
      </c>
      <c r="Q16" s="51">
        <v>33.229999999999997</v>
      </c>
      <c r="R16" s="43"/>
      <c r="S16" s="43"/>
      <c r="T16" s="43"/>
      <c r="U16" s="43"/>
    </row>
    <row r="17" spans="1:21" s="11" customFormat="1" ht="15">
      <c r="A17" s="50" t="s">
        <v>766</v>
      </c>
      <c r="B17" s="51">
        <v>7.53</v>
      </c>
      <c r="C17" s="51">
        <v>9.57</v>
      </c>
      <c r="D17" s="51">
        <v>17.09</v>
      </c>
      <c r="E17" s="51">
        <v>6.85</v>
      </c>
      <c r="F17" s="51">
        <v>0.82</v>
      </c>
      <c r="G17" s="51">
        <v>14.16</v>
      </c>
      <c r="H17" s="51">
        <v>6.90</v>
      </c>
      <c r="I17" s="51">
        <v>5.53</v>
      </c>
      <c r="J17" s="51">
        <v>0.93</v>
      </c>
      <c r="K17" s="51">
        <v>336.64</v>
      </c>
      <c r="L17" s="9" t="s">
        <v>15</v>
      </c>
      <c r="M17" s="51">
        <v>86.21</v>
      </c>
      <c r="N17" s="51">
        <v>648.40</v>
      </c>
      <c r="O17" s="51">
        <v>0</v>
      </c>
      <c r="P17" s="51">
        <v>0.51</v>
      </c>
      <c r="Q17" s="51">
        <v>28.02</v>
      </c>
      <c r="R17" s="43"/>
      <c r="S17" s="43"/>
      <c r="T17" s="43"/>
      <c r="U17" s="43"/>
    </row>
    <row r="18" spans="1:21" s="11" customFormat="1" ht="15">
      <c r="A18" s="50" t="s">
        <v>767</v>
      </c>
      <c r="B18" s="51">
        <v>7.54</v>
      </c>
      <c r="C18" s="51">
        <v>9.86</v>
      </c>
      <c r="D18" s="51">
        <v>17.399999999999999</v>
      </c>
      <c r="E18" s="51">
        <v>7.01</v>
      </c>
      <c r="F18" s="51">
        <v>0.94</v>
      </c>
      <c r="G18" s="51">
        <v>15.03</v>
      </c>
      <c r="H18" s="51">
        <v>9.40</v>
      </c>
      <c r="I18" s="51">
        <v>12.35</v>
      </c>
      <c r="J18" s="51">
        <v>1.51</v>
      </c>
      <c r="K18" s="51">
        <v>276.61</v>
      </c>
      <c r="L18" s="9" t="s">
        <v>15</v>
      </c>
      <c r="M18" s="51">
        <v>74.28</v>
      </c>
      <c r="N18" s="51">
        <v>800.90</v>
      </c>
      <c r="O18" s="51">
        <v>0</v>
      </c>
      <c r="P18" s="51">
        <v>0.51</v>
      </c>
      <c r="Q18" s="51">
        <v>25.08</v>
      </c>
      <c r="R18" s="43"/>
      <c r="S18" s="43"/>
      <c r="T18" s="43"/>
      <c r="U18" s="43"/>
    </row>
    <row r="19" spans="1:21" s="11" customFormat="1" ht="15">
      <c r="A19" s="50" t="s">
        <v>768</v>
      </c>
      <c r="B19" s="51">
        <v>6.11</v>
      </c>
      <c r="C19" s="51">
        <v>9.4499999999999993</v>
      </c>
      <c r="D19" s="51">
        <v>15.56</v>
      </c>
      <c r="E19" s="51">
        <v>6.66</v>
      </c>
      <c r="F19" s="51">
        <v>2.34</v>
      </c>
      <c r="G19" s="51">
        <v>12.36</v>
      </c>
      <c r="H19" s="51">
        <v>9.2899999999999991</v>
      </c>
      <c r="I19" s="51">
        <v>11.89</v>
      </c>
      <c r="J19" s="51">
        <v>1.80</v>
      </c>
      <c r="K19" s="51">
        <v>171.94</v>
      </c>
      <c r="L19" s="9" t="s">
        <v>15</v>
      </c>
      <c r="M19" s="51">
        <v>71.760000000000005</v>
      </c>
      <c r="N19" s="51">
        <v>924.40</v>
      </c>
      <c r="O19" s="51">
        <v>0</v>
      </c>
      <c r="P19" s="51">
        <v>0.5</v>
      </c>
      <c r="Q19" s="51">
        <v>26.10</v>
      </c>
      <c r="R19" s="43"/>
      <c r="S19" s="43"/>
      <c r="T19" s="43"/>
      <c r="U19" s="43"/>
    </row>
    <row r="20" spans="1:21" s="11" customFormat="1" ht="15">
      <c r="A20" s="50" t="s">
        <v>769</v>
      </c>
      <c r="B20" s="51">
        <v>5.0199999999999996</v>
      </c>
      <c r="C20" s="51">
        <v>9.6999999999999993</v>
      </c>
      <c r="D20" s="51">
        <v>14.70</v>
      </c>
      <c r="E20" s="51">
        <v>7.08</v>
      </c>
      <c r="F20" s="51">
        <v>1.71</v>
      </c>
      <c r="G20" s="51">
        <v>15.37</v>
      </c>
      <c r="H20" s="51">
        <v>9.15</v>
      </c>
      <c r="I20" s="51">
        <v>11.47</v>
      </c>
      <c r="J20" s="51">
        <v>0.57999999999999996</v>
      </c>
      <c r="K20" s="51">
        <v>323.08999999999997</v>
      </c>
      <c r="L20" s="9" t="s">
        <v>15</v>
      </c>
      <c r="M20" s="51">
        <v>68.040000000000006</v>
      </c>
      <c r="N20" s="51">
        <v>951.60</v>
      </c>
      <c r="O20" s="51">
        <v>0</v>
      </c>
      <c r="P20" s="51">
        <v>0.5</v>
      </c>
      <c r="Q20" s="51">
        <v>25.92</v>
      </c>
      <c r="R20" s="43"/>
      <c r="S20" s="43"/>
      <c r="T20" s="43"/>
      <c r="U20" s="43"/>
    </row>
    <row r="21" spans="1:21" s="11" customFormat="1" ht="15">
      <c r="A21" s="50" t="s">
        <v>770</v>
      </c>
      <c r="B21" s="51">
        <v>4.3600000000000003</v>
      </c>
      <c r="C21" s="51">
        <v>10.38</v>
      </c>
      <c r="D21" s="51">
        <v>14.74</v>
      </c>
      <c r="E21" s="51">
        <v>4.82</v>
      </c>
      <c r="F21" s="51">
        <v>3.62</v>
      </c>
      <c r="G21" s="51">
        <v>15.58</v>
      </c>
      <c r="H21" s="51">
        <v>12.27</v>
      </c>
      <c r="I21" s="51">
        <v>11.25</v>
      </c>
      <c r="J21" s="51">
        <v>1.39</v>
      </c>
      <c r="K21" s="51">
        <v>350.29</v>
      </c>
      <c r="L21" s="9" t="s">
        <v>15</v>
      </c>
      <c r="M21" s="51">
        <v>62.41</v>
      </c>
      <c r="N21" s="51">
        <v>1032.5999999999999</v>
      </c>
      <c r="O21" s="51">
        <v>0</v>
      </c>
      <c r="P21" s="51">
        <v>0.54</v>
      </c>
      <c r="Q21" s="51">
        <v>17.02</v>
      </c>
      <c r="R21" s="43"/>
      <c r="S21" s="43"/>
      <c r="T21" s="43"/>
      <c r="U21" s="43"/>
    </row>
    <row r="22" spans="1:21" s="11" customFormat="1" ht="15">
      <c r="A22" s="50" t="s">
        <v>771</v>
      </c>
      <c r="B22" s="51">
        <v>4.26</v>
      </c>
      <c r="C22" s="51">
        <v>10.74</v>
      </c>
      <c r="D22" s="51">
        <v>14.92</v>
      </c>
      <c r="E22" s="51">
        <v>4.28</v>
      </c>
      <c r="F22" s="51">
        <v>3.75</v>
      </c>
      <c r="G22" s="51">
        <v>19.23</v>
      </c>
      <c r="H22" s="51">
        <v>13.88</v>
      </c>
      <c r="I22" s="51">
        <v>9.4499999999999993</v>
      </c>
      <c r="J22" s="51">
        <v>0.78</v>
      </c>
      <c r="K22" s="51">
        <v>331.69</v>
      </c>
      <c r="L22" s="9" t="s">
        <v>15</v>
      </c>
      <c r="M22" s="51">
        <v>61.72</v>
      </c>
      <c r="N22" s="51">
        <v>892.10</v>
      </c>
      <c r="O22" s="51">
        <v>0</v>
      </c>
      <c r="P22" s="51">
        <v>0.56999999999999995</v>
      </c>
      <c r="Q22" s="51">
        <v>16.70</v>
      </c>
      <c r="R22" s="43"/>
      <c r="S22" s="43"/>
      <c r="T22" s="43"/>
      <c r="U22" s="43"/>
    </row>
    <row r="23" spans="1:21" s="11" customFormat="1" ht="15">
      <c r="A23" s="50" t="s">
        <v>772</v>
      </c>
      <c r="B23" s="51">
        <v>4.38</v>
      </c>
      <c r="C23" s="51">
        <v>11.13</v>
      </c>
      <c r="D23" s="51">
        <v>15.51</v>
      </c>
      <c r="E23" s="51">
        <v>4.55</v>
      </c>
      <c r="F23" s="51">
        <v>3.14</v>
      </c>
      <c r="G23" s="51">
        <v>22.20</v>
      </c>
      <c r="H23" s="51">
        <v>9.89</v>
      </c>
      <c r="I23" s="51">
        <v>9.40</v>
      </c>
      <c r="J23" s="51">
        <v>1.95</v>
      </c>
      <c r="K23" s="51">
        <v>338.97</v>
      </c>
      <c r="L23" s="9" t="s">
        <v>15</v>
      </c>
      <c r="M23" s="51">
        <v>57.49</v>
      </c>
      <c r="N23" s="51">
        <v>855.10</v>
      </c>
      <c r="O23" s="51">
        <v>0</v>
      </c>
      <c r="P23" s="51">
        <v>0.64</v>
      </c>
      <c r="Q23" s="51">
        <v>17.22</v>
      </c>
      <c r="R23" s="43"/>
      <c r="S23" s="43"/>
      <c r="T23" s="43"/>
      <c r="U23" s="43"/>
    </row>
    <row r="24" spans="1:21" s="11" customFormat="1" ht="15">
      <c r="A24" s="50" t="s">
        <v>773</v>
      </c>
      <c r="B24" s="51">
        <v>9.7799999999999994</v>
      </c>
      <c r="C24" s="51">
        <v>23.25</v>
      </c>
      <c r="D24" s="51">
        <v>33.03</v>
      </c>
      <c r="E24" s="51">
        <v>4.22</v>
      </c>
      <c r="F24" s="51">
        <v>20.66</v>
      </c>
      <c r="G24" s="51">
        <v>22.25</v>
      </c>
      <c r="H24" s="51">
        <v>8.25</v>
      </c>
      <c r="I24" s="51">
        <v>8.7100000000000009</v>
      </c>
      <c r="J24" s="51">
        <v>1.36</v>
      </c>
      <c r="K24" s="51">
        <v>347.32</v>
      </c>
      <c r="L24" s="9" t="s">
        <v>15</v>
      </c>
      <c r="M24" s="51">
        <v>63.90</v>
      </c>
      <c r="N24" s="51">
        <v>306.20</v>
      </c>
      <c r="O24" s="51">
        <v>0</v>
      </c>
      <c r="P24" s="51">
        <v>1.27</v>
      </c>
      <c r="Q24" s="51">
        <v>16.38</v>
      </c>
      <c r="R24" s="43"/>
      <c r="S24" s="43"/>
      <c r="T24" s="43"/>
      <c r="U24" s="43"/>
    </row>
    <row r="25" spans="1:21" s="11" customFormat="1" ht="15">
      <c r="A25" s="50" t="s">
        <v>774</v>
      </c>
      <c r="B25" s="51">
        <v>5.92</v>
      </c>
      <c r="C25" s="51">
        <v>18.86</v>
      </c>
      <c r="D25" s="51">
        <v>24.79</v>
      </c>
      <c r="E25" s="51">
        <v>7.88</v>
      </c>
      <c r="F25" s="51">
        <v>34.979999999999997</v>
      </c>
      <c r="G25" s="51">
        <v>20.41</v>
      </c>
      <c r="H25" s="51">
        <v>12.82</v>
      </c>
      <c r="I25" s="51">
        <v>7.81</v>
      </c>
      <c r="J25" s="51">
        <v>2.13</v>
      </c>
      <c r="K25" s="51">
        <v>122.49</v>
      </c>
      <c r="L25" s="9" t="s">
        <v>15</v>
      </c>
      <c r="M25" s="51">
        <v>68.84</v>
      </c>
      <c r="N25" s="51">
        <v>131.19999999999999</v>
      </c>
      <c r="O25" s="51">
        <v>0</v>
      </c>
      <c r="P25" s="51">
        <v>0.85</v>
      </c>
      <c r="Q25" s="51">
        <v>19.75</v>
      </c>
      <c r="R25" s="43"/>
      <c r="S25" s="43"/>
      <c r="T25" s="43"/>
      <c r="U25" s="43"/>
    </row>
    <row r="26" spans="1:21" s="11" customFormat="1" ht="15">
      <c r="A26" s="50" t="s">
        <v>775</v>
      </c>
      <c r="B26" s="51">
        <v>5.36</v>
      </c>
      <c r="C26" s="51">
        <v>22.98</v>
      </c>
      <c r="D26" s="51">
        <v>28.35</v>
      </c>
      <c r="E26" s="51">
        <v>9.61</v>
      </c>
      <c r="F26" s="51">
        <v>33.19</v>
      </c>
      <c r="G26" s="51">
        <v>26.68</v>
      </c>
      <c r="H26" s="51">
        <v>19.63</v>
      </c>
      <c r="I26" s="51">
        <v>8.5500000000000007</v>
      </c>
      <c r="J26" s="51">
        <v>1.24</v>
      </c>
      <c r="K26" s="51">
        <v>330.25</v>
      </c>
      <c r="L26" s="9" t="s">
        <v>15</v>
      </c>
      <c r="M26" s="51">
        <v>62.58</v>
      </c>
      <c r="N26" s="51">
        <v>101.10</v>
      </c>
      <c r="O26" s="51">
        <v>0</v>
      </c>
      <c r="P26" s="51">
        <v>1.67</v>
      </c>
      <c r="Q26" s="51">
        <v>24.09</v>
      </c>
      <c r="R26" s="43"/>
      <c r="S26" s="43"/>
      <c r="T26" s="43"/>
      <c r="U26" s="43"/>
    </row>
    <row r="27" spans="1:21" s="11" customFormat="1" ht="15">
      <c r="A27" s="50" t="s">
        <v>776</v>
      </c>
      <c r="B27" s="51">
        <v>3.79</v>
      </c>
      <c r="C27" s="51">
        <v>20.49</v>
      </c>
      <c r="D27" s="51">
        <v>24.28</v>
      </c>
      <c r="E27" s="51">
        <v>9.14</v>
      </c>
      <c r="F27" s="51">
        <v>44.96</v>
      </c>
      <c r="G27" s="51">
        <v>33.14</v>
      </c>
      <c r="H27" s="51">
        <v>21.94</v>
      </c>
      <c r="I27" s="51">
        <v>6.94</v>
      </c>
      <c r="J27" s="51">
        <v>1.30</v>
      </c>
      <c r="K27" s="51">
        <v>207.29</v>
      </c>
      <c r="L27" s="9" t="s">
        <v>15</v>
      </c>
      <c r="M27" s="51">
        <v>70.180000000000007</v>
      </c>
      <c r="N27" s="51">
        <v>21.40</v>
      </c>
      <c r="O27" s="51">
        <v>0</v>
      </c>
      <c r="P27" s="51">
        <v>0.82</v>
      </c>
      <c r="Q27" s="51">
        <v>24.47</v>
      </c>
      <c r="R27" s="43"/>
      <c r="S27" s="43"/>
      <c r="T27" s="43"/>
      <c r="U27" s="43"/>
    </row>
    <row r="28" spans="1:21" s="11" customFormat="1" ht="15">
      <c r="A28" s="50" t="s">
        <v>777</v>
      </c>
      <c r="B28" s="51">
        <v>1.64</v>
      </c>
      <c r="C28" s="51">
        <v>20.39</v>
      </c>
      <c r="D28" s="51">
        <v>22.02</v>
      </c>
      <c r="E28" s="51">
        <v>2.23</v>
      </c>
      <c r="F28" s="51">
        <v>29.08</v>
      </c>
      <c r="G28" s="51">
        <v>42.78</v>
      </c>
      <c r="H28" s="51">
        <v>23.39</v>
      </c>
      <c r="I28" s="51">
        <v>5.28</v>
      </c>
      <c r="J28" s="51">
        <v>1.1200000000000001</v>
      </c>
      <c r="K28" s="51">
        <v>261.89</v>
      </c>
      <c r="L28" s="9" t="s">
        <v>15</v>
      </c>
      <c r="M28" s="51">
        <v>74.760000000000005</v>
      </c>
      <c r="N28" s="51">
        <v>15.40</v>
      </c>
      <c r="O28" s="51">
        <v>0</v>
      </c>
      <c r="P28" s="51">
        <v>0.80</v>
      </c>
      <c r="Q28" s="51">
        <v>20.85</v>
      </c>
      <c r="R28" s="43"/>
      <c r="S28" s="43"/>
      <c r="T28" s="43"/>
      <c r="U28" s="43"/>
    </row>
    <row r="29" spans="1:21" s="11" customFormat="1" ht="15">
      <c r="A29" s="50" t="s">
        <v>778</v>
      </c>
      <c r="B29" s="51">
        <v>1.87</v>
      </c>
      <c r="C29" s="51">
        <v>17.489999999999998</v>
      </c>
      <c r="D29" s="51">
        <v>19.36</v>
      </c>
      <c r="E29" s="51">
        <v>2.08</v>
      </c>
      <c r="F29" s="51">
        <v>17.75</v>
      </c>
      <c r="G29" s="51">
        <v>35.25</v>
      </c>
      <c r="H29" s="51">
        <v>24.35</v>
      </c>
      <c r="I29" s="51">
        <v>4.1900000000000004</v>
      </c>
      <c r="J29" s="51">
        <v>0.98</v>
      </c>
      <c r="K29" s="51">
        <v>297.81</v>
      </c>
      <c r="L29" s="9" t="s">
        <v>15</v>
      </c>
      <c r="M29" s="51">
        <v>83.68</v>
      </c>
      <c r="N29" s="51">
        <v>15.10</v>
      </c>
      <c r="O29" s="51">
        <v>0</v>
      </c>
      <c r="P29" s="51">
        <v>0.80</v>
      </c>
      <c r="Q29" s="51">
        <v>18.079999999999998</v>
      </c>
      <c r="R29" s="43"/>
      <c r="S29" s="43"/>
      <c r="T29" s="43"/>
      <c r="U29" s="43"/>
    </row>
    <row r="30" spans="1:21" s="11" customFormat="1" ht="15">
      <c r="A30" s="50" t="s">
        <v>779</v>
      </c>
      <c r="B30" s="51">
        <v>3.57</v>
      </c>
      <c r="C30" s="51">
        <v>15.21</v>
      </c>
      <c r="D30" s="51">
        <v>17.05</v>
      </c>
      <c r="E30" s="51">
        <v>2.17</v>
      </c>
      <c r="F30" s="51">
        <v>7.08</v>
      </c>
      <c r="G30" s="51">
        <v>32.700000000000003</v>
      </c>
      <c r="H30" s="51">
        <v>24.60</v>
      </c>
      <c r="I30" s="51">
        <v>4.49</v>
      </c>
      <c r="J30" s="51">
        <v>1.07</v>
      </c>
      <c r="K30" s="51">
        <v>226.16</v>
      </c>
      <c r="L30" s="9" t="s">
        <v>15</v>
      </c>
      <c r="M30" s="51">
        <v>91.02</v>
      </c>
      <c r="N30" s="51">
        <v>15.10</v>
      </c>
      <c r="O30" s="51">
        <v>0</v>
      </c>
      <c r="P30" s="51">
        <v>0.78</v>
      </c>
      <c r="Q30" s="51">
        <v>21.27</v>
      </c>
      <c r="R30" s="43"/>
      <c r="S30" s="43"/>
      <c r="T30" s="43"/>
      <c r="U30" s="43"/>
    </row>
    <row r="31" spans="1:21" s="11" customFormat="1" ht="15">
      <c r="A31" s="50" t="s">
        <v>780</v>
      </c>
      <c r="B31" s="51">
        <v>2.79</v>
      </c>
      <c r="C31" s="51">
        <v>11.92</v>
      </c>
      <c r="D31" s="51">
        <v>14.47</v>
      </c>
      <c r="E31" s="51">
        <v>2</v>
      </c>
      <c r="F31" s="51">
        <v>5.04</v>
      </c>
      <c r="G31" s="51">
        <v>22.93</v>
      </c>
      <c r="H31" s="51">
        <v>24.29</v>
      </c>
      <c r="I31" s="51">
        <v>4.12</v>
      </c>
      <c r="J31" s="51">
        <v>1.1200000000000001</v>
      </c>
      <c r="K31" s="51">
        <v>214.78</v>
      </c>
      <c r="L31" s="9" t="s">
        <v>15</v>
      </c>
      <c r="M31" s="51">
        <v>94.61</v>
      </c>
      <c r="N31" s="51">
        <v>14.90</v>
      </c>
      <c r="O31" s="51">
        <v>0</v>
      </c>
      <c r="P31" s="51">
        <v>0.62</v>
      </c>
      <c r="Q31" s="51">
        <v>22.34</v>
      </c>
      <c r="R31" s="43"/>
      <c r="S31" s="43"/>
      <c r="T31" s="43"/>
      <c r="U31" s="43"/>
    </row>
    <row r="32" spans="1:21" s="11" customFormat="1" ht="15">
      <c r="A32" s="50" t="s">
        <v>781</v>
      </c>
      <c r="B32" s="51">
        <v>2.75</v>
      </c>
      <c r="C32" s="51">
        <v>10.210000000000001</v>
      </c>
      <c r="D32" s="51">
        <v>12.96</v>
      </c>
      <c r="E32" s="51">
        <v>3.91</v>
      </c>
      <c r="F32" s="51">
        <v>5.79</v>
      </c>
      <c r="G32" s="51">
        <v>21.63</v>
      </c>
      <c r="H32" s="51">
        <v>18</v>
      </c>
      <c r="I32" s="51">
        <v>4.79</v>
      </c>
      <c r="J32" s="51">
        <v>1.01</v>
      </c>
      <c r="K32" s="51">
        <v>218.54</v>
      </c>
      <c r="L32" s="9" t="s">
        <v>15</v>
      </c>
      <c r="M32" s="51">
        <v>93.32</v>
      </c>
      <c r="N32" s="51">
        <v>14.90</v>
      </c>
      <c r="O32" s="51">
        <v>0</v>
      </c>
      <c r="P32" s="51">
        <v>0.67</v>
      </c>
      <c r="Q32" s="51">
        <v>17.84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1.6399999999999999</v>
      </c>
      <c r="C34" s="28">
        <f t="shared" si="0"/>
        <v>8.1199999999999992</v>
      </c>
      <c r="D34" s="28">
        <f t="shared" si="0"/>
        <v>11.44</v>
      </c>
      <c r="E34" s="28">
        <f t="shared" si="0"/>
        <v>2</v>
      </c>
      <c r="F34" s="28">
        <f t="shared" si="0"/>
        <v>0.81999999999999995</v>
      </c>
      <c r="G34" s="28">
        <f t="shared" si="0"/>
        <v>8.8699999999999992</v>
      </c>
      <c r="H34" s="28">
        <f t="shared" si="0"/>
        <v>4.9500000000000002</v>
      </c>
      <c r="I34" s="28">
        <f t="shared" si="0"/>
        <v>4.1200000000000001</v>
      </c>
      <c r="J34" s="28">
        <f t="shared" si="0"/>
        <v>0.57999999999999996</v>
      </c>
      <c r="K34" s="28">
        <f t="shared" si="0"/>
        <v>122.48999999999999</v>
      </c>
      <c r="L34" s="28">
        <f t="shared" si="0"/>
        <v>0</v>
      </c>
      <c r="M34" s="28">
        <f t="shared" si="0"/>
        <v>57.490000000000002</v>
      </c>
      <c r="N34" s="28">
        <f t="shared" si="0"/>
        <v>14.9</v>
      </c>
      <c r="O34" s="28">
        <f t="shared" si="0"/>
        <v>0</v>
      </c>
      <c r="P34" s="28">
        <f t="shared" si="0"/>
        <v>0.46000000000000002</v>
      </c>
      <c r="Q34" s="28">
        <f t="shared" si="0"/>
        <v>16.379999999999999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9.7799999999999994</v>
      </c>
      <c r="C35" s="29">
        <f t="shared" si="1"/>
        <v>23.25</v>
      </c>
      <c r="D35" s="29">
        <f t="shared" si="1"/>
        <v>33.030000000000001</v>
      </c>
      <c r="E35" s="29">
        <f t="shared" si="1"/>
        <v>9.6099999999999994</v>
      </c>
      <c r="F35" s="29">
        <f t="shared" si="1"/>
        <v>44.960000000000001</v>
      </c>
      <c r="G35" s="29">
        <f t="shared" si="1"/>
        <v>42.780000000000001</v>
      </c>
      <c r="H35" s="29">
        <f t="shared" si="1"/>
        <v>24.600000000000001</v>
      </c>
      <c r="I35" s="29">
        <f t="shared" si="1"/>
        <v>13.98</v>
      </c>
      <c r="J35" s="29">
        <f t="shared" si="1"/>
        <v>3.3399999999999999</v>
      </c>
      <c r="K35" s="29">
        <f t="shared" si="1"/>
        <v>353.81999999999999</v>
      </c>
      <c r="L35" s="29">
        <f t="shared" si="1"/>
        <v>0</v>
      </c>
      <c r="M35" s="29">
        <f t="shared" si="1"/>
        <v>99.150000000000006</v>
      </c>
      <c r="N35" s="29">
        <f t="shared" si="1"/>
        <v>1032.5999999999999</v>
      </c>
      <c r="O35" s="29">
        <f t="shared" si="1"/>
        <v>4.7999999999999998</v>
      </c>
      <c r="P35" s="29">
        <f t="shared" si="1"/>
        <v>1.6699999999999999</v>
      </c>
      <c r="Q35" s="29">
        <f t="shared" si="1"/>
        <v>51.119999999999997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4.6525000000000007</v>
      </c>
      <c r="C36" s="28">
        <f t="shared" si="2"/>
        <v>12.647083333333333</v>
      </c>
      <c r="D36" s="28">
        <f t="shared" si="2"/>
        <v>17.178750000000004</v>
      </c>
      <c r="E36" s="28">
        <f t="shared" si="2"/>
        <v>5.677083333333333</v>
      </c>
      <c r="F36" s="28">
        <f t="shared" si="2"/>
        <v>10.077499999999999</v>
      </c>
      <c r="G36" s="28">
        <f t="shared" si="2"/>
        <v>20.172083333333333</v>
      </c>
      <c r="H36" s="28">
        <f t="shared" si="2"/>
        <v>12.864166666666668</v>
      </c>
      <c r="I36" s="28">
        <f t="shared" si="2"/>
        <v>8.5365000000000002</v>
      </c>
      <c r="J36" s="28">
        <f t="shared" si="2"/>
        <v>1.5254166666666664</v>
      </c>
      <c r="K36" s="28">
        <f t="shared" si="2"/>
        <v>261.77500000000003</v>
      </c>
      <c r="L36" s="28" t="e">
        <f t="shared" si="2"/>
        <v>#DIV/0!</v>
      </c>
      <c r="M36" s="28">
        <f t="shared" si="2"/>
        <v>82.07416666666667</v>
      </c>
      <c r="N36" s="28">
        <f t="shared" si="2"/>
        <v>302.24166666666667</v>
      </c>
      <c r="O36" s="28">
        <f t="shared" si="2"/>
        <v>0.20833333333333334</v>
      </c>
      <c r="P36" s="28">
        <f t="shared" si="2"/>
        <v>0.68500000000000005</v>
      </c>
      <c r="Q36" s="28">
        <f t="shared" si="2"/>
        <v>26.523333333333337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1.9299341056559163</v>
      </c>
      <c r="C37" s="28">
        <f t="shared" si="3" ref="C37:Q37">STDEV(C9:C32)</f>
        <v>5.0648889246300985</v>
      </c>
      <c r="D37" s="28">
        <f t="shared" si="3"/>
        <v>5.664495305428126</v>
      </c>
      <c r="E37" s="28">
        <f t="shared" si="3"/>
        <v>2.2266224747198464</v>
      </c>
      <c r="F37" s="28">
        <f t="shared" si="3"/>
        <v>12.801834192632404</v>
      </c>
      <c r="G37" s="28">
        <f t="shared" si="3"/>
        <v>8.8190238931265146</v>
      </c>
      <c r="H37" s="28">
        <f t="shared" si="3"/>
        <v>6.670883467119185</v>
      </c>
      <c r="I37" s="28">
        <f t="shared" si="3"/>
        <v>3.0817429705999357</v>
      </c>
      <c r="J37" s="28">
        <f t="shared" si="3"/>
        <v>0.67976325269180771</v>
      </c>
      <c r="K37" s="28">
        <f t="shared" si="3"/>
        <v>77.471352405119731</v>
      </c>
      <c r="L37" s="28" t="e">
        <f t="shared" si="3"/>
        <v>#DIV/0!</v>
      </c>
      <c r="M37" s="28">
        <f t="shared" si="3"/>
        <v>15.199059157571691</v>
      </c>
      <c r="N37" s="28">
        <f t="shared" si="3"/>
        <v>387.43276882875927</v>
      </c>
      <c r="O37" s="28">
        <f t="shared" si="3"/>
        <v>0.97887098526675176</v>
      </c>
      <c r="P37" s="28">
        <f t="shared" si="3"/>
        <v>0.27673562961001608</v>
      </c>
      <c r="Q37" s="28">
        <f t="shared" si="3"/>
        <v>8.7893738544689821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COUNT(I9:I32)+4</f>
        <v>24</v>
      </c>
      <c r="J38" s="32">
        <f t="shared" si="4"/>
        <v>24</v>
      </c>
      <c r="K38" s="32">
        <f t="shared" si="4"/>
        <v>24</v>
      </c>
      <c r="L38" s="32">
        <f t="shared" si="4"/>
        <v>0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6a756b-07bd-4c12-9abc-1c878f939f45}">
  <sheetPr codeName=""/>
  <dimension ref="A1:U119"/>
  <sheetViews>
    <sheetView zoomScale="90" zoomScaleNormal="90" workbookViewId="0" topLeftCell="A1">
      <selection pane="topLeft" activeCell="L9" sqref="L9:L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31-08-2022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782</v>
      </c>
      <c r="B9" s="51">
        <v>2.64</v>
      </c>
      <c r="C9" s="51">
        <v>9.24</v>
      </c>
      <c r="D9" s="51">
        <v>11.81</v>
      </c>
      <c r="E9" s="51">
        <v>2.54</v>
      </c>
      <c r="F9" s="51">
        <v>6.67</v>
      </c>
      <c r="G9" s="51">
        <v>22.81</v>
      </c>
      <c r="H9" s="51">
        <v>18.53</v>
      </c>
      <c r="I9" s="51">
        <v>4.70</v>
      </c>
      <c r="J9" s="51">
        <v>1.36</v>
      </c>
      <c r="K9" s="51">
        <v>200.05</v>
      </c>
      <c r="L9" s="9" t="s">
        <v>15</v>
      </c>
      <c r="M9" s="51">
        <v>92.76</v>
      </c>
      <c r="N9" s="51">
        <v>14.80</v>
      </c>
      <c r="O9" s="51">
        <v>0</v>
      </c>
      <c r="P9" s="51">
        <v>0.5</v>
      </c>
      <c r="Q9" s="51">
        <v>21.04</v>
      </c>
      <c r="R9" s="43"/>
      <c r="S9" s="43"/>
      <c r="T9" s="43"/>
      <c r="U9" s="43"/>
    </row>
    <row r="10" spans="1:21" s="11" customFormat="1" ht="15">
      <c r="A10" s="50" t="s">
        <v>783</v>
      </c>
      <c r="B10" s="51">
        <v>3</v>
      </c>
      <c r="C10" s="51">
        <v>8.60</v>
      </c>
      <c r="D10" s="51">
        <v>11.35</v>
      </c>
      <c r="E10" s="51">
        <v>3.68</v>
      </c>
      <c r="F10" s="51">
        <v>5.54</v>
      </c>
      <c r="G10" s="51">
        <v>28.18</v>
      </c>
      <c r="H10" s="51">
        <v>13.67</v>
      </c>
      <c r="I10" s="51">
        <v>5.68</v>
      </c>
      <c r="J10" s="51">
        <v>1.5</v>
      </c>
      <c r="K10" s="51">
        <v>233.06</v>
      </c>
      <c r="L10" s="9" t="s">
        <v>15</v>
      </c>
      <c r="M10" s="51">
        <v>96.25</v>
      </c>
      <c r="N10" s="51">
        <v>15</v>
      </c>
      <c r="O10" s="51">
        <v>0</v>
      </c>
      <c r="P10" s="51">
        <v>0.55000000000000004</v>
      </c>
      <c r="Q10" s="51">
        <v>24.21</v>
      </c>
      <c r="R10" s="43"/>
      <c r="S10" s="43"/>
      <c r="T10" s="43"/>
      <c r="U10" s="43"/>
    </row>
    <row r="11" spans="1:21" s="11" customFormat="1" ht="15">
      <c r="A11" s="50" t="s">
        <v>784</v>
      </c>
      <c r="B11" s="51">
        <v>3.08</v>
      </c>
      <c r="C11" s="51">
        <v>8.18</v>
      </c>
      <c r="D11" s="51">
        <v>11.09</v>
      </c>
      <c r="E11" s="51">
        <v>3.41</v>
      </c>
      <c r="F11" s="51">
        <v>7.37</v>
      </c>
      <c r="G11" s="51">
        <v>26.94</v>
      </c>
      <c r="H11" s="51">
        <v>11.41</v>
      </c>
      <c r="I11" s="51">
        <v>4.32</v>
      </c>
      <c r="J11" s="51">
        <v>0.98</v>
      </c>
      <c r="K11" s="51">
        <v>226.64</v>
      </c>
      <c r="L11" s="9" t="s">
        <v>15</v>
      </c>
      <c r="M11" s="51">
        <v>96.52</v>
      </c>
      <c r="N11" s="51">
        <v>15</v>
      </c>
      <c r="O11" s="51">
        <v>0</v>
      </c>
      <c r="P11" s="51">
        <v>0.49</v>
      </c>
      <c r="Q11" s="51">
        <v>24.33</v>
      </c>
      <c r="R11" s="43"/>
      <c r="S11" s="43"/>
      <c r="T11" s="43"/>
      <c r="U11" s="43"/>
    </row>
    <row r="12" spans="1:21" s="11" customFormat="1" ht="15">
      <c r="A12" s="50" t="s">
        <v>785</v>
      </c>
      <c r="B12" s="51">
        <v>3.10</v>
      </c>
      <c r="C12" s="51">
        <v>7.44</v>
      </c>
      <c r="D12" s="51">
        <v>10.47</v>
      </c>
      <c r="E12" s="51">
        <v>5.66</v>
      </c>
      <c r="F12" s="51">
        <v>3.52</v>
      </c>
      <c r="G12" s="51">
        <v>20.66</v>
      </c>
      <c r="H12" s="51">
        <v>11.59</v>
      </c>
      <c r="I12" s="51">
        <v>6.76</v>
      </c>
      <c r="J12" s="51">
        <v>1.63</v>
      </c>
      <c r="K12" s="51">
        <v>170.21</v>
      </c>
      <c r="L12" s="9" t="s">
        <v>15</v>
      </c>
      <c r="M12" s="51">
        <v>97.05</v>
      </c>
      <c r="N12" s="51">
        <v>14.90</v>
      </c>
      <c r="O12" s="51">
        <v>0</v>
      </c>
      <c r="P12" s="51">
        <v>0.54</v>
      </c>
      <c r="Q12" s="51">
        <v>18.510000000000002</v>
      </c>
      <c r="R12" s="43"/>
      <c r="S12" s="43"/>
      <c r="T12" s="43"/>
      <c r="U12" s="43"/>
    </row>
    <row r="13" spans="1:21" s="11" customFormat="1" ht="15">
      <c r="A13" s="50" t="s">
        <v>786</v>
      </c>
      <c r="B13" s="51">
        <v>3.61</v>
      </c>
      <c r="C13" s="51">
        <v>7.86</v>
      </c>
      <c r="D13" s="51">
        <v>11.46</v>
      </c>
      <c r="E13" s="51">
        <v>4.12</v>
      </c>
      <c r="F13" s="51">
        <v>3.40</v>
      </c>
      <c r="G13" s="51">
        <v>17.68</v>
      </c>
      <c r="H13" s="51">
        <v>9.2100000000000009</v>
      </c>
      <c r="I13" s="51">
        <v>8.64</v>
      </c>
      <c r="J13" s="51">
        <v>1.03</v>
      </c>
      <c r="K13" s="51">
        <v>205.59</v>
      </c>
      <c r="L13" s="9" t="s">
        <v>15</v>
      </c>
      <c r="M13" s="51">
        <v>98.59</v>
      </c>
      <c r="N13" s="51">
        <v>14.90</v>
      </c>
      <c r="O13" s="51">
        <v>0</v>
      </c>
      <c r="P13" s="51">
        <v>0.45</v>
      </c>
      <c r="Q13" s="51">
        <v>22.96</v>
      </c>
      <c r="R13" s="43"/>
      <c r="S13" s="43"/>
      <c r="T13" s="43"/>
      <c r="U13" s="43"/>
    </row>
    <row r="14" spans="1:21" s="11" customFormat="1" ht="15">
      <c r="A14" s="50" t="s">
        <v>787</v>
      </c>
      <c r="B14" s="51">
        <v>4.5</v>
      </c>
      <c r="C14" s="51">
        <v>7.90</v>
      </c>
      <c r="D14" s="51">
        <v>12.34</v>
      </c>
      <c r="E14" s="51">
        <v>4.83</v>
      </c>
      <c r="F14" s="51">
        <v>2.58</v>
      </c>
      <c r="G14" s="51">
        <v>13.25</v>
      </c>
      <c r="H14" s="51">
        <v>10.41</v>
      </c>
      <c r="I14" s="51">
        <v>7</v>
      </c>
      <c r="J14" s="51">
        <v>1.52</v>
      </c>
      <c r="K14" s="51">
        <v>200.83</v>
      </c>
      <c r="L14" s="9" t="s">
        <v>15</v>
      </c>
      <c r="M14" s="51">
        <v>99.12</v>
      </c>
      <c r="N14" s="51">
        <v>24.40</v>
      </c>
      <c r="O14" s="51">
        <v>0</v>
      </c>
      <c r="P14" s="51">
        <v>0.5</v>
      </c>
      <c r="Q14" s="51">
        <v>23.97</v>
      </c>
      <c r="R14" s="43"/>
      <c r="S14" s="43"/>
      <c r="T14" s="43"/>
      <c r="U14" s="43"/>
    </row>
    <row r="15" spans="1:21" s="11" customFormat="1" ht="15">
      <c r="A15" s="50" t="s">
        <v>788</v>
      </c>
      <c r="B15" s="51">
        <v>5.1100000000000003</v>
      </c>
      <c r="C15" s="51">
        <v>7.87</v>
      </c>
      <c r="D15" s="51">
        <v>12.98</v>
      </c>
      <c r="E15" s="51">
        <v>6.47</v>
      </c>
      <c r="F15" s="51">
        <v>2.58</v>
      </c>
      <c r="G15" s="51">
        <v>9.86</v>
      </c>
      <c r="H15" s="51">
        <v>7.79</v>
      </c>
      <c r="I15" s="51">
        <v>7.53</v>
      </c>
      <c r="J15" s="51">
        <v>1.72</v>
      </c>
      <c r="K15" s="51">
        <v>171.77</v>
      </c>
      <c r="L15" s="9" t="s">
        <v>15</v>
      </c>
      <c r="M15" s="51">
        <v>97.59</v>
      </c>
      <c r="N15" s="51">
        <v>174.5</v>
      </c>
      <c r="O15" s="51">
        <v>0</v>
      </c>
      <c r="P15" s="51">
        <v>0.5</v>
      </c>
      <c r="Q15" s="51">
        <v>19.18</v>
      </c>
      <c r="R15" s="43"/>
      <c r="S15" s="43"/>
      <c r="T15" s="43"/>
      <c r="U15" s="43"/>
    </row>
    <row r="16" spans="1:21" s="11" customFormat="1" ht="15">
      <c r="A16" s="50" t="s">
        <v>789</v>
      </c>
      <c r="B16" s="51">
        <v>5.32</v>
      </c>
      <c r="C16" s="51">
        <v>7.97</v>
      </c>
      <c r="D16" s="51">
        <v>13.25</v>
      </c>
      <c r="E16" s="51">
        <v>6.78</v>
      </c>
      <c r="F16" s="51">
        <v>2.10</v>
      </c>
      <c r="G16" s="51">
        <v>9.58</v>
      </c>
      <c r="H16" s="51">
        <v>5.45</v>
      </c>
      <c r="I16" s="51">
        <v>9.59</v>
      </c>
      <c r="J16" s="51">
        <v>1.75</v>
      </c>
      <c r="K16" s="51">
        <v>185.67</v>
      </c>
      <c r="L16" s="9" t="s">
        <v>15</v>
      </c>
      <c r="M16" s="51">
        <v>85.51</v>
      </c>
      <c r="N16" s="51">
        <v>414.70</v>
      </c>
      <c r="O16" s="51">
        <v>0</v>
      </c>
      <c r="P16" s="51">
        <v>0.48</v>
      </c>
      <c r="Q16" s="51">
        <v>20.75</v>
      </c>
      <c r="R16" s="43"/>
      <c r="S16" s="43"/>
      <c r="T16" s="43"/>
      <c r="U16" s="43"/>
    </row>
    <row r="17" spans="1:21" s="11" customFormat="1" ht="15">
      <c r="A17" s="50" t="s">
        <v>790</v>
      </c>
      <c r="B17" s="51">
        <v>5.44</v>
      </c>
      <c r="C17" s="51">
        <v>8.11</v>
      </c>
      <c r="D17" s="51">
        <v>13.48</v>
      </c>
      <c r="E17" s="51">
        <v>6.81</v>
      </c>
      <c r="F17" s="51">
        <v>2.0299999999999998</v>
      </c>
      <c r="G17" s="51">
        <v>13.28</v>
      </c>
      <c r="H17" s="51">
        <v>5.47</v>
      </c>
      <c r="I17" s="51">
        <v>9.57</v>
      </c>
      <c r="J17" s="51">
        <v>1.24</v>
      </c>
      <c r="K17" s="51">
        <v>164.32</v>
      </c>
      <c r="L17" s="9" t="s">
        <v>15</v>
      </c>
      <c r="M17" s="51">
        <v>79.209999999999994</v>
      </c>
      <c r="N17" s="51">
        <v>663.10</v>
      </c>
      <c r="O17" s="51">
        <v>0</v>
      </c>
      <c r="P17" s="51">
        <v>0.51</v>
      </c>
      <c r="Q17" s="51">
        <v>23.5</v>
      </c>
      <c r="R17" s="43"/>
      <c r="S17" s="43"/>
      <c r="T17" s="43"/>
      <c r="U17" s="43"/>
    </row>
    <row r="18" spans="1:21" s="11" customFormat="1" ht="15">
      <c r="A18" s="50" t="s">
        <v>791</v>
      </c>
      <c r="B18" s="51">
        <v>4.8899999999999997</v>
      </c>
      <c r="C18" s="51">
        <v>8.91</v>
      </c>
      <c r="D18" s="51">
        <v>13.36</v>
      </c>
      <c r="E18" s="51">
        <v>7.07</v>
      </c>
      <c r="F18" s="51">
        <v>4.03</v>
      </c>
      <c r="G18" s="51">
        <v>13.87</v>
      </c>
      <c r="H18" s="51">
        <v>6.94</v>
      </c>
      <c r="I18" s="51">
        <v>4.8600000000000003</v>
      </c>
      <c r="J18" s="51">
        <v>1.1200000000000001</v>
      </c>
      <c r="K18" s="51">
        <v>164.68</v>
      </c>
      <c r="L18" s="9" t="s">
        <v>15</v>
      </c>
      <c r="M18" s="51">
        <v>72.069999999999993</v>
      </c>
      <c r="N18" s="51">
        <v>670</v>
      </c>
      <c r="O18" s="51">
        <v>0</v>
      </c>
      <c r="P18" s="51">
        <v>0.5</v>
      </c>
      <c r="Q18" s="51">
        <v>24.49</v>
      </c>
      <c r="R18" s="43"/>
      <c r="S18" s="43"/>
      <c r="T18" s="43"/>
      <c r="U18" s="43"/>
    </row>
    <row r="19" spans="1:21" s="11" customFormat="1" ht="15">
      <c r="A19" s="50" t="s">
        <v>792</v>
      </c>
      <c r="B19" s="51">
        <v>2.97</v>
      </c>
      <c r="C19" s="51">
        <v>8.9499999999999993</v>
      </c>
      <c r="D19" s="51">
        <v>11.90</v>
      </c>
      <c r="E19" s="51">
        <v>6.20</v>
      </c>
      <c r="F19" s="51">
        <v>2.98</v>
      </c>
      <c r="G19" s="51">
        <v>17.46</v>
      </c>
      <c r="H19" s="51">
        <v>6.55</v>
      </c>
      <c r="I19" s="51">
        <v>10.52</v>
      </c>
      <c r="J19" s="51">
        <v>2.3199999999999998</v>
      </c>
      <c r="K19" s="51">
        <v>166.71</v>
      </c>
      <c r="L19" s="9" t="s">
        <v>15</v>
      </c>
      <c r="M19" s="51">
        <v>66.38</v>
      </c>
      <c r="N19" s="51">
        <v>941</v>
      </c>
      <c r="O19" s="51">
        <v>0</v>
      </c>
      <c r="P19" s="51">
        <v>0.49</v>
      </c>
      <c r="Q19" s="51">
        <v>17.43</v>
      </c>
      <c r="R19" s="43"/>
      <c r="S19" s="43"/>
      <c r="T19" s="43"/>
      <c r="U19" s="43"/>
    </row>
    <row r="20" spans="1:21" s="11" customFormat="1" ht="15">
      <c r="A20" s="50" t="s">
        <v>793</v>
      </c>
      <c r="B20" s="51">
        <v>1.76</v>
      </c>
      <c r="C20" s="51">
        <v>9</v>
      </c>
      <c r="D20" s="51">
        <v>10.75</v>
      </c>
      <c r="E20" s="51">
        <v>5.87</v>
      </c>
      <c r="F20" s="51">
        <v>4.54</v>
      </c>
      <c r="G20" s="51">
        <v>12.46</v>
      </c>
      <c r="H20" s="51">
        <v>7.60</v>
      </c>
      <c r="I20" s="51">
        <v>10.210000000000001</v>
      </c>
      <c r="J20" s="51">
        <v>1.32</v>
      </c>
      <c r="K20" s="51">
        <v>227.41</v>
      </c>
      <c r="L20" s="9" t="s">
        <v>15</v>
      </c>
      <c r="M20" s="51">
        <v>63.49</v>
      </c>
      <c r="N20" s="51">
        <v>1090.0999999999999</v>
      </c>
      <c r="O20" s="51">
        <v>0</v>
      </c>
      <c r="P20" s="51">
        <v>0.47</v>
      </c>
      <c r="Q20" s="51">
        <v>19.399999999999999</v>
      </c>
      <c r="R20" s="43"/>
      <c r="S20" s="43"/>
      <c r="T20" s="43"/>
      <c r="U20" s="43"/>
    </row>
    <row r="21" spans="1:21" s="11" customFormat="1" ht="15">
      <c r="A21" s="50" t="s">
        <v>794</v>
      </c>
      <c r="B21" s="51">
        <v>1.45</v>
      </c>
      <c r="C21" s="51">
        <v>8.52</v>
      </c>
      <c r="D21" s="51">
        <v>9.84</v>
      </c>
      <c r="E21" s="51">
        <v>4.97</v>
      </c>
      <c r="F21" s="51">
        <v>4.34</v>
      </c>
      <c r="G21" s="51">
        <v>12.47</v>
      </c>
      <c r="H21" s="51">
        <v>8.9600000000000009</v>
      </c>
      <c r="I21" s="51">
        <v>9.32</v>
      </c>
      <c r="J21" s="51">
        <v>0.98</v>
      </c>
      <c r="K21" s="51">
        <v>179.67</v>
      </c>
      <c r="L21" s="9" t="s">
        <v>15</v>
      </c>
      <c r="M21" s="51">
        <v>63.34</v>
      </c>
      <c r="N21" s="51">
        <v>1042.9000000000001</v>
      </c>
      <c r="O21" s="51">
        <v>0</v>
      </c>
      <c r="P21" s="51">
        <v>0.45</v>
      </c>
      <c r="Q21" s="51">
        <v>18.46</v>
      </c>
      <c r="R21" s="43"/>
      <c r="S21" s="43"/>
      <c r="T21" s="43"/>
      <c r="U21" s="43"/>
    </row>
    <row r="22" spans="1:21" s="11" customFormat="1" ht="15">
      <c r="A22" s="50" t="s">
        <v>795</v>
      </c>
      <c r="B22" s="51">
        <v>2.91</v>
      </c>
      <c r="C22" s="51">
        <v>11.67</v>
      </c>
      <c r="D22" s="51">
        <v>14.58</v>
      </c>
      <c r="E22" s="51">
        <v>5.47</v>
      </c>
      <c r="F22" s="51">
        <v>6.55</v>
      </c>
      <c r="G22" s="51">
        <v>17.66</v>
      </c>
      <c r="H22" s="51">
        <v>11.23</v>
      </c>
      <c r="I22" s="51">
        <v>9.35</v>
      </c>
      <c r="J22" s="51">
        <v>2.34</v>
      </c>
      <c r="K22" s="51">
        <v>345.09</v>
      </c>
      <c r="L22" s="9" t="s">
        <v>15</v>
      </c>
      <c r="M22" s="51">
        <v>56.82</v>
      </c>
      <c r="N22" s="51">
        <v>854.30</v>
      </c>
      <c r="O22" s="51">
        <v>0</v>
      </c>
      <c r="P22" s="51">
        <v>0.66</v>
      </c>
      <c r="Q22" s="51">
        <v>17.29</v>
      </c>
      <c r="R22" s="43"/>
      <c r="S22" s="43"/>
      <c r="T22" s="43"/>
      <c r="U22" s="43"/>
    </row>
    <row r="23" spans="1:21" s="11" customFormat="1" ht="15">
      <c r="A23" s="50" t="s">
        <v>796</v>
      </c>
      <c r="B23" s="51">
        <v>3.61</v>
      </c>
      <c r="C23" s="51">
        <v>13.06</v>
      </c>
      <c r="D23" s="51">
        <v>16.670000000000002</v>
      </c>
      <c r="E23" s="51">
        <v>4.97</v>
      </c>
      <c r="F23" s="51">
        <v>8.4499999999999993</v>
      </c>
      <c r="G23" s="51">
        <v>27.57</v>
      </c>
      <c r="H23" s="51">
        <v>15.04</v>
      </c>
      <c r="I23" s="51">
        <v>9.0500000000000007</v>
      </c>
      <c r="J23" s="51">
        <v>1.39</v>
      </c>
      <c r="K23" s="51">
        <v>344.23</v>
      </c>
      <c r="L23" s="9" t="s">
        <v>15</v>
      </c>
      <c r="M23" s="51">
        <v>64.39</v>
      </c>
      <c r="N23" s="51">
        <v>802.80</v>
      </c>
      <c r="O23" s="51">
        <v>0</v>
      </c>
      <c r="P23" s="51">
        <v>0.72</v>
      </c>
      <c r="Q23" s="51">
        <v>12.14</v>
      </c>
      <c r="R23" s="43"/>
      <c r="S23" s="43"/>
      <c r="T23" s="43"/>
      <c r="U23" s="43"/>
    </row>
    <row r="24" spans="1:21" s="11" customFormat="1" ht="15">
      <c r="A24" s="50" t="s">
        <v>797</v>
      </c>
      <c r="B24" s="51">
        <v>2.2400000000000002</v>
      </c>
      <c r="C24" s="51">
        <v>13.25</v>
      </c>
      <c r="D24" s="51">
        <v>15.5</v>
      </c>
      <c r="E24" s="51">
        <v>4.49</v>
      </c>
      <c r="F24" s="51">
        <v>16.510000000000002</v>
      </c>
      <c r="G24" s="51">
        <v>33.51</v>
      </c>
      <c r="H24" s="51">
        <v>14.24</v>
      </c>
      <c r="I24" s="51">
        <v>7.78</v>
      </c>
      <c r="J24" s="51">
        <v>2.17</v>
      </c>
      <c r="K24" s="51">
        <v>331.86</v>
      </c>
      <c r="L24" s="9" t="s">
        <v>15</v>
      </c>
      <c r="M24" s="51">
        <v>81.040000000000006</v>
      </c>
      <c r="N24" s="51">
        <v>489.70</v>
      </c>
      <c r="O24" s="51">
        <v>0.20</v>
      </c>
      <c r="P24" s="51">
        <v>0.68</v>
      </c>
      <c r="Q24" s="51">
        <v>13.10</v>
      </c>
      <c r="R24" s="43"/>
      <c r="S24" s="43"/>
      <c r="T24" s="43"/>
      <c r="U24" s="43"/>
    </row>
    <row r="25" spans="1:21" s="11" customFormat="1" ht="15">
      <c r="A25" s="50" t="s">
        <v>798</v>
      </c>
      <c r="B25" s="51">
        <v>1.19</v>
      </c>
      <c r="C25" s="51">
        <v>12.97</v>
      </c>
      <c r="D25" s="51">
        <v>14.02</v>
      </c>
      <c r="E25" s="51">
        <v>4.72</v>
      </c>
      <c r="F25" s="51">
        <v>25.42</v>
      </c>
      <c r="G25" s="51">
        <v>44.78</v>
      </c>
      <c r="H25" s="51">
        <v>13.98</v>
      </c>
      <c r="I25" s="51">
        <v>7.5</v>
      </c>
      <c r="J25" s="51">
        <v>1.05</v>
      </c>
      <c r="K25" s="51">
        <v>311.23</v>
      </c>
      <c r="L25" s="9" t="s">
        <v>15</v>
      </c>
      <c r="M25" s="51">
        <v>72.459999999999994</v>
      </c>
      <c r="N25" s="51">
        <v>192.70</v>
      </c>
      <c r="O25" s="51">
        <v>0</v>
      </c>
      <c r="P25" s="51">
        <v>0.73</v>
      </c>
      <c r="Q25" s="51">
        <v>13.31</v>
      </c>
      <c r="R25" s="43"/>
      <c r="S25" s="43"/>
      <c r="T25" s="43"/>
      <c r="U25" s="43"/>
    </row>
    <row r="26" spans="1:21" s="11" customFormat="1" ht="15">
      <c r="A26" s="50" t="s">
        <v>799</v>
      </c>
      <c r="B26" s="51">
        <v>20.95</v>
      </c>
      <c r="C26" s="51">
        <v>33.01</v>
      </c>
      <c r="D26" s="51">
        <v>53.96</v>
      </c>
      <c r="E26" s="51">
        <v>5.44</v>
      </c>
      <c r="F26" s="51">
        <v>18.510000000000002</v>
      </c>
      <c r="G26" s="51">
        <v>104.67</v>
      </c>
      <c r="H26" s="51">
        <v>19.18</v>
      </c>
      <c r="I26" s="51">
        <v>7.27</v>
      </c>
      <c r="J26" s="51">
        <v>2.11</v>
      </c>
      <c r="K26" s="51">
        <v>281.19</v>
      </c>
      <c r="L26" s="9" t="s">
        <v>15</v>
      </c>
      <c r="M26" s="51">
        <v>98.69</v>
      </c>
      <c r="N26" s="51">
        <v>66.5</v>
      </c>
      <c r="O26" s="51">
        <v>3</v>
      </c>
      <c r="P26" s="51">
        <v>2.3199999999999998</v>
      </c>
      <c r="Q26" s="51">
        <v>9.26</v>
      </c>
      <c r="R26" s="43"/>
      <c r="S26" s="43"/>
      <c r="T26" s="43"/>
      <c r="U26" s="43"/>
    </row>
    <row r="27" spans="1:21" s="11" customFormat="1" ht="15">
      <c r="A27" s="50" t="s">
        <v>800</v>
      </c>
      <c r="B27" s="51">
        <v>31.96</v>
      </c>
      <c r="C27" s="51">
        <v>36.549999999999997</v>
      </c>
      <c r="D27" s="51">
        <v>68.45</v>
      </c>
      <c r="E27" s="51">
        <v>3.68</v>
      </c>
      <c r="F27" s="51">
        <v>2.54</v>
      </c>
      <c r="G27" s="51">
        <v>201.26</v>
      </c>
      <c r="H27" s="51">
        <v>19.899999999999999</v>
      </c>
      <c r="I27" s="51">
        <v>12.47</v>
      </c>
      <c r="J27" s="51">
        <v>0.63</v>
      </c>
      <c r="K27" s="51">
        <v>252.79</v>
      </c>
      <c r="L27" s="9" t="s">
        <v>15</v>
      </c>
      <c r="M27" s="51">
        <v>98.81</v>
      </c>
      <c r="N27" s="51">
        <v>20.399999999999999</v>
      </c>
      <c r="O27" s="51">
        <v>0</v>
      </c>
      <c r="P27" s="51">
        <v>2.82</v>
      </c>
      <c r="Q27" s="51">
        <v>19.489999999999998</v>
      </c>
      <c r="R27" s="43"/>
      <c r="S27" s="43"/>
      <c r="T27" s="43"/>
      <c r="U27" s="43"/>
    </row>
    <row r="28" spans="1:21" s="11" customFormat="1" ht="15">
      <c r="A28" s="50" t="s">
        <v>801</v>
      </c>
      <c r="B28" s="51">
        <v>12.11</v>
      </c>
      <c r="C28" s="51">
        <v>16.940000000000001</v>
      </c>
      <c r="D28" s="51">
        <v>29.05</v>
      </c>
      <c r="E28" s="51">
        <v>4.6399999999999997</v>
      </c>
      <c r="F28" s="51">
        <v>6.28</v>
      </c>
      <c r="G28" s="51">
        <v>118.29</v>
      </c>
      <c r="H28" s="51">
        <v>17.72</v>
      </c>
      <c r="I28" s="51">
        <v>11.94</v>
      </c>
      <c r="J28" s="51">
        <v>0.72</v>
      </c>
      <c r="K28" s="51">
        <v>295.33</v>
      </c>
      <c r="L28" s="9" t="s">
        <v>15</v>
      </c>
      <c r="M28" s="51">
        <v>91.05</v>
      </c>
      <c r="N28" s="51">
        <v>17.600000000000001</v>
      </c>
      <c r="O28" s="51">
        <v>1</v>
      </c>
      <c r="P28" s="51">
        <v>0.97</v>
      </c>
      <c r="Q28" s="51">
        <v>16.62</v>
      </c>
      <c r="R28" s="43"/>
      <c r="S28" s="43"/>
      <c r="T28" s="43"/>
      <c r="U28" s="43"/>
    </row>
    <row r="29" spans="1:21" s="11" customFormat="1" ht="15">
      <c r="A29" s="50" t="s">
        <v>802</v>
      </c>
      <c r="B29" s="51">
        <v>8.7799999999999994</v>
      </c>
      <c r="C29" s="51">
        <v>13.78</v>
      </c>
      <c r="D29" s="51">
        <v>22.55</v>
      </c>
      <c r="E29" s="51">
        <v>6.04</v>
      </c>
      <c r="F29" s="51">
        <v>4.58</v>
      </c>
      <c r="G29" s="51">
        <v>26.43</v>
      </c>
      <c r="H29" s="51">
        <v>12.68</v>
      </c>
      <c r="I29" s="51">
        <v>8.7100000000000009</v>
      </c>
      <c r="J29" s="51">
        <v>1.05</v>
      </c>
      <c r="K29" s="51">
        <v>239.60</v>
      </c>
      <c r="L29" s="9" t="s">
        <v>15</v>
      </c>
      <c r="M29" s="51">
        <v>93.57</v>
      </c>
      <c r="N29" s="51">
        <v>15.40</v>
      </c>
      <c r="O29" s="51">
        <v>0</v>
      </c>
      <c r="P29" s="51">
        <v>0.93</v>
      </c>
      <c r="Q29" s="51">
        <v>18.239999999999998</v>
      </c>
      <c r="R29" s="43"/>
      <c r="S29" s="43"/>
      <c r="T29" s="43"/>
      <c r="U29" s="43"/>
    </row>
    <row r="30" spans="1:21" s="11" customFormat="1" ht="15">
      <c r="A30" s="50" t="s">
        <v>803</v>
      </c>
      <c r="B30" s="51">
        <v>7.54</v>
      </c>
      <c r="C30" s="51">
        <v>11.78</v>
      </c>
      <c r="D30" s="51">
        <v>19.32</v>
      </c>
      <c r="E30" s="51">
        <v>6.24</v>
      </c>
      <c r="F30" s="51">
        <v>2.04</v>
      </c>
      <c r="G30" s="51">
        <v>33.630000000000003</v>
      </c>
      <c r="H30" s="51">
        <v>9.10</v>
      </c>
      <c r="I30" s="51">
        <v>9.0299999999999994</v>
      </c>
      <c r="J30" s="51">
        <v>1.53</v>
      </c>
      <c r="K30" s="51">
        <v>184.10</v>
      </c>
      <c r="L30" s="9" t="s">
        <v>15</v>
      </c>
      <c r="M30" s="51">
        <v>90.13</v>
      </c>
      <c r="N30" s="51">
        <v>16.399999999999999</v>
      </c>
      <c r="O30" s="51">
        <v>0</v>
      </c>
      <c r="P30" s="51">
        <v>0.85</v>
      </c>
      <c r="Q30" s="51">
        <v>11.82</v>
      </c>
      <c r="R30" s="43"/>
      <c r="S30" s="43"/>
      <c r="T30" s="43"/>
      <c r="U30" s="43"/>
    </row>
    <row r="31" spans="1:21" s="11" customFormat="1" ht="15">
      <c r="A31" s="50" t="s">
        <v>804</v>
      </c>
      <c r="B31" s="51">
        <v>6.08</v>
      </c>
      <c r="C31" s="51">
        <v>10.60</v>
      </c>
      <c r="D31" s="51">
        <v>16.68</v>
      </c>
      <c r="E31" s="51">
        <v>5.78</v>
      </c>
      <c r="F31" s="51">
        <v>3.90</v>
      </c>
      <c r="G31" s="51">
        <v>8.26</v>
      </c>
      <c r="H31" s="51">
        <v>8.18</v>
      </c>
      <c r="I31" s="51">
        <v>8.43</v>
      </c>
      <c r="J31" s="51">
        <v>0.79</v>
      </c>
      <c r="K31" s="51">
        <v>319.55</v>
      </c>
      <c r="L31" s="9" t="s">
        <v>15</v>
      </c>
      <c r="M31" s="51">
        <v>86.70</v>
      </c>
      <c r="N31" s="51">
        <v>16</v>
      </c>
      <c r="O31" s="51">
        <v>0</v>
      </c>
      <c r="P31" s="51">
        <v>0.74</v>
      </c>
      <c r="Q31" s="51">
        <v>14.39</v>
      </c>
      <c r="R31" s="43"/>
      <c r="S31" s="43"/>
      <c r="T31" s="43"/>
      <c r="U31" s="43"/>
    </row>
    <row r="32" spans="1:21" s="11" customFormat="1" ht="15">
      <c r="A32" s="50" t="s">
        <v>805</v>
      </c>
      <c r="B32" s="51">
        <v>6.18</v>
      </c>
      <c r="C32" s="51">
        <v>9.93</v>
      </c>
      <c r="D32" s="51">
        <v>15.94</v>
      </c>
      <c r="E32" s="51">
        <v>6.67</v>
      </c>
      <c r="F32" s="51">
        <v>2.2400000000000002</v>
      </c>
      <c r="G32" s="51">
        <v>17.43</v>
      </c>
      <c r="H32" s="51">
        <v>6.23</v>
      </c>
      <c r="I32" s="51">
        <v>8.8699999999999992</v>
      </c>
      <c r="J32" s="51">
        <v>1.76</v>
      </c>
      <c r="K32" s="51">
        <v>172.67</v>
      </c>
      <c r="L32" s="9" t="s">
        <v>15</v>
      </c>
      <c r="M32" s="51">
        <v>88.48</v>
      </c>
      <c r="N32" s="51">
        <v>15.80</v>
      </c>
      <c r="O32" s="51">
        <v>0</v>
      </c>
      <c r="P32" s="51">
        <v>0.70</v>
      </c>
      <c r="Q32" s="51">
        <v>16.82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1.1899999999999999</v>
      </c>
      <c r="C34" s="28">
        <f t="shared" si="0"/>
        <v>7.4400000000000004</v>
      </c>
      <c r="D34" s="28">
        <f t="shared" si="0"/>
        <v>9.8399999999999999</v>
      </c>
      <c r="E34" s="28">
        <f t="shared" si="0"/>
        <v>2.54</v>
      </c>
      <c r="F34" s="28">
        <f t="shared" si="0"/>
        <v>2.0299999999999998</v>
      </c>
      <c r="G34" s="28">
        <f t="shared" si="0"/>
        <v>8.2599999999999998</v>
      </c>
      <c r="H34" s="28">
        <f t="shared" si="0"/>
        <v>5.4500000000000002</v>
      </c>
      <c r="I34" s="28">
        <f t="shared" si="0"/>
        <v>4.3200000000000003</v>
      </c>
      <c r="J34" s="28">
        <f t="shared" si="0"/>
        <v>0.63</v>
      </c>
      <c r="K34" s="28">
        <f t="shared" si="0"/>
        <v>164.31999999999999</v>
      </c>
      <c r="L34" s="28">
        <f t="shared" si="0"/>
        <v>0</v>
      </c>
      <c r="M34" s="28">
        <f t="shared" si="0"/>
        <v>56.82</v>
      </c>
      <c r="N34" s="28">
        <f t="shared" si="0"/>
        <v>14.800000000000001</v>
      </c>
      <c r="O34" s="28">
        <f t="shared" si="0"/>
        <v>0</v>
      </c>
      <c r="P34" s="28">
        <f t="shared" si="0"/>
        <v>0.45000000000000001</v>
      </c>
      <c r="Q34" s="28">
        <f t="shared" si="0"/>
        <v>9.2599999999999998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31.960000000000001</v>
      </c>
      <c r="C35" s="29">
        <f t="shared" si="1"/>
        <v>36.549999999999997</v>
      </c>
      <c r="D35" s="29">
        <f t="shared" si="1"/>
        <v>68.450000000000003</v>
      </c>
      <c r="E35" s="29">
        <f t="shared" si="1"/>
        <v>7.0700000000000003</v>
      </c>
      <c r="F35" s="29">
        <f t="shared" si="1"/>
        <v>25.420000000000002</v>
      </c>
      <c r="G35" s="29">
        <f t="shared" si="1"/>
        <v>201.25999999999999</v>
      </c>
      <c r="H35" s="29">
        <f t="shared" si="1"/>
        <v>19.899999999999999</v>
      </c>
      <c r="I35" s="29">
        <f t="shared" si="1"/>
        <v>12.470000000000001</v>
      </c>
      <c r="J35" s="29">
        <f t="shared" si="1"/>
        <v>2.3399999999999999</v>
      </c>
      <c r="K35" s="29">
        <f t="shared" si="1"/>
        <v>345.08999999999997</v>
      </c>
      <c r="L35" s="29">
        <f t="shared" si="1"/>
        <v>0</v>
      </c>
      <c r="M35" s="29">
        <f t="shared" si="1"/>
        <v>99.120000000000005</v>
      </c>
      <c r="N35" s="29">
        <f t="shared" si="1"/>
        <v>1090.0999999999999</v>
      </c>
      <c r="O35" s="29">
        <f t="shared" si="1"/>
        <v>3</v>
      </c>
      <c r="P35" s="29">
        <f t="shared" si="1"/>
        <v>2.8199999999999998</v>
      </c>
      <c r="Q35" s="29">
        <f t="shared" si="1"/>
        <v>24.489999999999998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6.2674999999999992</v>
      </c>
      <c r="C36" s="28">
        <f t="shared" si="2"/>
        <v>12.170416666666666</v>
      </c>
      <c r="D36" s="28">
        <f t="shared" si="2"/>
        <v>18.366666666666671</v>
      </c>
      <c r="E36" s="28">
        <f t="shared" si="2"/>
        <v>5.2729166666666671</v>
      </c>
      <c r="F36" s="28">
        <f t="shared" si="2"/>
        <v>6.1958333333333337</v>
      </c>
      <c r="G36" s="28">
        <f t="shared" si="2"/>
        <v>35.499583333333327</v>
      </c>
      <c r="H36" s="28">
        <f t="shared" si="2"/>
        <v>11.294166666666667</v>
      </c>
      <c r="I36" s="28">
        <f t="shared" si="2"/>
        <v>8.2958333333333343</v>
      </c>
      <c r="J36" s="28">
        <f t="shared" si="2"/>
        <v>1.4170833333333335</v>
      </c>
      <c r="K36" s="28">
        <f t="shared" si="2"/>
        <v>232.26041666666671</v>
      </c>
      <c r="L36" s="28" t="e">
        <f t="shared" si="2"/>
        <v>#DIV/0!</v>
      </c>
      <c r="M36" s="28">
        <f t="shared" si="2"/>
        <v>84.584166666666661</v>
      </c>
      <c r="N36" s="28">
        <f t="shared" si="2"/>
        <v>316.78749999999997</v>
      </c>
      <c r="O36" s="28">
        <f t="shared" si="2"/>
        <v>0.17500000000000002</v>
      </c>
      <c r="P36" s="28">
        <f t="shared" si="2"/>
        <v>0.7729166666666667</v>
      </c>
      <c r="Q36" s="28">
        <f t="shared" si="2"/>
        <v>18.362916666666667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6.8890614303622204</v>
      </c>
      <c r="C37" s="28">
        <f t="shared" si="3" ref="C37:Q37">STDEV(C9:C32)</f>
        <v>7.3954477650056809</v>
      </c>
      <c r="D37" s="28">
        <f t="shared" si="3"/>
        <v>14.032667373781376</v>
      </c>
      <c r="E37" s="28">
        <f t="shared" si="3"/>
        <v>1.2069345977261572</v>
      </c>
      <c r="F37" s="28">
        <f t="shared" si="3"/>
        <v>5.8438997675142943</v>
      </c>
      <c r="G37" s="28">
        <f t="shared" si="3"/>
        <v>44.59421969553479</v>
      </c>
      <c r="H37" s="28">
        <f t="shared" si="3"/>
        <v>4.4413451905305985</v>
      </c>
      <c r="I37" s="28">
        <f t="shared" si="3"/>
        <v>2.0901381619959629</v>
      </c>
      <c r="J37" s="28">
        <f t="shared" si="3"/>
        <v>0.49091289554715523</v>
      </c>
      <c r="K37" s="28">
        <f t="shared" si="3"/>
        <v>62.720630021178849</v>
      </c>
      <c r="L37" s="28" t="e">
        <f t="shared" si="3"/>
        <v>#DIV/0!</v>
      </c>
      <c r="M37" s="28">
        <f t="shared" si="3"/>
        <v>13.837468641547163</v>
      </c>
      <c r="N37" s="28">
        <f t="shared" si="3"/>
        <v>390.26678423923647</v>
      </c>
      <c r="O37" s="28">
        <f t="shared" si="3"/>
        <v>0.63605441386040573</v>
      </c>
      <c r="P37" s="28">
        <f t="shared" si="3"/>
        <v>0.5787203211784836</v>
      </c>
      <c r="Q37" s="28">
        <f t="shared" si="3"/>
        <v>4.3890877324551418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0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&lt;90%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LESS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64e795-90c2-4e80-be5e-e9f8841765f8}">
  <sheetPr codeName=""/>
  <dimension ref="A1:X54"/>
  <sheetViews>
    <sheetView zoomScale="85" zoomScaleNormal="85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I27" sqref="I27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6" width="8.85714285714286" style="11"/>
    <col min="17" max="17" width="9.71428571428571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01-08-2022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01-08-2022 01:00</v>
      </c>
      <c r="B9" s="24">
        <f>'01'!B36</f>
        <v>14.414166666666667</v>
      </c>
      <c r="C9" s="24">
        <f>'01'!C36</f>
        <v>19.452500000000004</v>
      </c>
      <c r="D9" s="24">
        <f>'01'!D36</f>
        <v>33.036666666666669</v>
      </c>
      <c r="E9" s="24">
        <f>'01'!E36</f>
        <v>5.0741666666666658</v>
      </c>
      <c r="F9" s="24">
        <f>'01'!F36</f>
        <v>1.1912499999999997</v>
      </c>
      <c r="G9" s="8" t="s">
        <v>8</v>
      </c>
      <c r="H9" s="24">
        <f>'01'!H36</f>
        <v>31.815000000000001</v>
      </c>
      <c r="I9" s="24">
        <f>'01'!I36</f>
        <v>7.580000000000001</v>
      </c>
      <c r="J9" s="24">
        <f>'01'!J36</f>
        <v>0.58166666666666667</v>
      </c>
      <c r="K9" s="24">
        <f>'01'!K36</f>
        <v>289.50749999999999</v>
      </c>
      <c r="L9" s="8" t="s">
        <v>8</v>
      </c>
      <c r="M9" s="24">
        <f>'01'!M36</f>
        <v>78.68249999999999</v>
      </c>
      <c r="N9" s="24">
        <f>'01'!N36</f>
        <v>205.63750000000002</v>
      </c>
      <c r="O9" s="24">
        <f>'01'!O36</f>
        <v>0</v>
      </c>
      <c r="P9" s="30">
        <f>'01'!$P$36</f>
        <v>3.8266666666666667</v>
      </c>
      <c r="Q9" s="24">
        <f>'01'!Q36</f>
        <v>8.7058333333333326</v>
      </c>
      <c r="R9" s="45"/>
      <c r="S9" s="45"/>
      <c r="T9" s="45"/>
      <c r="U9" s="46"/>
    </row>
    <row r="10" spans="1:21" s="34" customFormat="1" ht="15">
      <c r="A10" s="36" t="str">
        <f>'02'!$B$2</f>
        <v>02-08-2022 01:00</v>
      </c>
      <c r="B10" s="33">
        <f>'02'!B36</f>
        <v>12.2525</v>
      </c>
      <c r="C10" s="33">
        <f>'02'!C36</f>
        <v>16.075833333333332</v>
      </c>
      <c r="D10" s="33">
        <f>'02'!D36</f>
        <v>28.037500000000005</v>
      </c>
      <c r="E10" s="33">
        <f>'02'!E36</f>
        <v>5.0612499999999985</v>
      </c>
      <c r="F10" s="33">
        <f>'02'!F36</f>
        <v>0.59333333333333338</v>
      </c>
      <c r="G10" s="8" t="s">
        <v>8</v>
      </c>
      <c r="H10" s="33">
        <f>'02'!H36</f>
        <v>22.027500000000003</v>
      </c>
      <c r="I10" s="33">
        <f>'02'!I36</f>
        <v>5.8829166666666666</v>
      </c>
      <c r="J10" s="33">
        <f>'02'!J36</f>
        <v>0.59708333333333319</v>
      </c>
      <c r="K10" s="33">
        <f>'02'!K36</f>
        <v>297.94874999999996</v>
      </c>
      <c r="L10" s="8" t="s">
        <v>8</v>
      </c>
      <c r="M10" s="33">
        <f>'02'!M36</f>
        <v>74.089166666666671</v>
      </c>
      <c r="N10" s="33">
        <f>'02'!N36</f>
        <v>235.26250000000002</v>
      </c>
      <c r="O10" s="33">
        <f>'02'!O36</f>
        <v>0</v>
      </c>
      <c r="P10" s="30">
        <f>'02'!$P$36</f>
        <v>3.6416666666666671</v>
      </c>
      <c r="Q10" s="33">
        <f>'02'!Q36</f>
        <v>7.9408333333333339</v>
      </c>
      <c r="R10" s="47"/>
      <c r="S10" s="47"/>
      <c r="T10" s="47"/>
      <c r="U10" s="47"/>
    </row>
    <row r="11" spans="1:21" s="34" customFormat="1" ht="15">
      <c r="A11" s="36" t="str">
        <f>'03'!$B$2</f>
        <v>03-08-2022 01:00</v>
      </c>
      <c r="B11" s="33">
        <f>'03'!B36</f>
        <v>13.404999999999999</v>
      </c>
      <c r="C11" s="33">
        <f>'03'!C36</f>
        <v>15.655000000000003</v>
      </c>
      <c r="D11" s="33">
        <f>'03'!D36</f>
        <v>28.782916666666665</v>
      </c>
      <c r="E11" s="33">
        <f>'03'!E36</f>
        <v>5.4170833333333341</v>
      </c>
      <c r="F11" s="33">
        <f>'03'!F36</f>
        <v>1.3479166666666667</v>
      </c>
      <c r="G11" s="8" t="s">
        <v>8</v>
      </c>
      <c r="H11" s="33">
        <f>'03'!H36</f>
        <v>32.856249999999996</v>
      </c>
      <c r="I11" s="33">
        <f>'03'!I36</f>
        <v>6.1524999999999999</v>
      </c>
      <c r="J11" s="33">
        <f>'03'!J36</f>
        <v>0.94750000000000012</v>
      </c>
      <c r="K11" s="33">
        <f>'03'!K36</f>
        <v>247.11708333333331</v>
      </c>
      <c r="L11" s="8" t="s">
        <v>8</v>
      </c>
      <c r="M11" s="33">
        <f>'03'!M36</f>
        <v>78.95708333333333</v>
      </c>
      <c r="N11" s="33">
        <f>'03'!N36</f>
        <v>264.15000000000003</v>
      </c>
      <c r="O11" s="33">
        <f>'03'!O36</f>
        <v>0.13333333333333333</v>
      </c>
      <c r="P11" s="30">
        <f>'03'!$P$36</f>
        <v>3.6500000000000004</v>
      </c>
      <c r="Q11" s="33">
        <f>'03'!Q36</f>
        <v>14.925833333333332</v>
      </c>
      <c r="R11" s="47"/>
      <c r="S11" s="47"/>
      <c r="T11" s="47"/>
      <c r="U11" s="47"/>
    </row>
    <row r="12" spans="1:21" s="34" customFormat="1" ht="15">
      <c r="A12" s="36" t="str">
        <f>'04'!$B$2</f>
        <v>04-08-2022 01:00</v>
      </c>
      <c r="B12" s="33">
        <f>'04'!B36</f>
        <v>8.026250000000001</v>
      </c>
      <c r="C12" s="33">
        <f>'04'!C36</f>
        <v>13.046666666666667</v>
      </c>
      <c r="D12" s="33">
        <f>'04'!D36</f>
        <v>20.685833333333335</v>
      </c>
      <c r="E12" s="33">
        <f>'04'!E36</f>
        <v>6.0637499999999998</v>
      </c>
      <c r="F12" s="33">
        <f>'04'!F36</f>
        <v>0.39499999999999996</v>
      </c>
      <c r="G12" s="9" t="s">
        <v>15</v>
      </c>
      <c r="H12" s="33">
        <f>'04'!H36</f>
        <v>19.141666666666669</v>
      </c>
      <c r="I12" s="33">
        <f>'04'!I36</f>
        <v>5.1829166666666664</v>
      </c>
      <c r="J12" s="33">
        <f>'04'!J36</f>
        <v>0.9437500000000002</v>
      </c>
      <c r="K12" s="33">
        <f>'04'!K36</f>
        <v>165.29875000000001</v>
      </c>
      <c r="L12" s="9" t="s">
        <v>15</v>
      </c>
      <c r="M12" s="33">
        <f>'04'!M36</f>
        <v>84.46583333333335</v>
      </c>
      <c r="N12" s="33">
        <f>'04'!N36</f>
        <v>184.50416666666663</v>
      </c>
      <c r="O12" s="33">
        <f>'04'!O36</f>
        <v>0</v>
      </c>
      <c r="P12" s="30">
        <f>'04'!$P$36</f>
        <v>3.5537500000000009</v>
      </c>
      <c r="Q12" s="33">
        <f>'04'!Q36</f>
        <v>13.96666666666667</v>
      </c>
      <c r="R12" s="47"/>
      <c r="S12" s="47"/>
      <c r="T12" s="47"/>
      <c r="U12" s="47"/>
    </row>
    <row r="13" spans="1:21" s="34" customFormat="1" ht="15">
      <c r="A13" s="36" t="str">
        <f>'05'!$B$2</f>
        <v>05-08-2022 01:00</v>
      </c>
      <c r="B13" s="33">
        <f>'05'!B36</f>
        <v>5.3408333333333333</v>
      </c>
      <c r="C13" s="33">
        <f>'05'!C36</f>
        <v>11.104166666666666</v>
      </c>
      <c r="D13" s="33">
        <f>'05'!D36</f>
        <v>16.315000000000001</v>
      </c>
      <c r="E13" s="33">
        <f>'05'!E36</f>
        <v>7.1833333333333327</v>
      </c>
      <c r="F13" s="33">
        <f>'05'!F36</f>
        <v>0.61416666666666675</v>
      </c>
      <c r="G13" s="9" t="s">
        <v>15</v>
      </c>
      <c r="H13" s="33">
        <f>'05'!H36</f>
        <v>11.425833333333332</v>
      </c>
      <c r="I13" s="33">
        <f>'05'!I36</f>
        <v>5.699583333333333</v>
      </c>
      <c r="J13" s="33">
        <f>'05'!J36</f>
        <v>0.86499999999999988</v>
      </c>
      <c r="K13" s="33">
        <f>'05'!K36</f>
        <v>216.84916666666663</v>
      </c>
      <c r="L13" s="9" t="s">
        <v>15</v>
      </c>
      <c r="M13" s="33">
        <f>'05'!M36</f>
        <v>81.326666666666668</v>
      </c>
      <c r="N13" s="33">
        <f>'05'!N36</f>
        <v>310.61666666666673</v>
      </c>
      <c r="O13" s="33">
        <f>'05'!O36</f>
        <v>0.10833333333333334</v>
      </c>
      <c r="P13" s="30">
        <f>'05'!$P$36</f>
        <v>3.4750000000000001</v>
      </c>
      <c r="Q13" s="33">
        <f>'05'!Q36</f>
        <v>11.456249999999999</v>
      </c>
      <c r="R13" s="47"/>
      <c r="S13" s="47"/>
      <c r="T13" s="47"/>
      <c r="U13" s="47"/>
    </row>
    <row r="14" spans="1:21" s="34" customFormat="1" ht="15">
      <c r="A14" s="36" t="str">
        <f>'06'!$B$2</f>
        <v>06-08-2022 01:00</v>
      </c>
      <c r="B14" s="33">
        <f>'06'!B36</f>
        <v>4.5587500000000007</v>
      </c>
      <c r="C14" s="33">
        <f>'06'!C36</f>
        <v>12.900416666666665</v>
      </c>
      <c r="D14" s="33">
        <f>'06'!D36</f>
        <v>17.302083333333332</v>
      </c>
      <c r="E14" s="33">
        <f>'06'!E36</f>
        <v>5.8741666666666648</v>
      </c>
      <c r="F14" s="33">
        <f>'06'!F36</f>
        <v>0.72583333333333355</v>
      </c>
      <c r="G14" s="9" t="s">
        <v>15</v>
      </c>
      <c r="H14" s="33">
        <f>'06'!H36</f>
        <v>10.895000000000001</v>
      </c>
      <c r="I14" s="33">
        <f>'06'!I36</f>
        <v>5.557500000000001</v>
      </c>
      <c r="J14" s="33">
        <f>'06'!J36</f>
        <v>0.8933333333333332</v>
      </c>
      <c r="K14" s="33">
        <f>'06'!K36</f>
        <v>263.20333333333338</v>
      </c>
      <c r="L14" s="9" t="s">
        <v>15</v>
      </c>
      <c r="M14" s="33">
        <f>'06'!M36</f>
        <v>82.940416666666678</v>
      </c>
      <c r="N14" s="33">
        <f>'06'!N36</f>
        <v>231.10000000000002</v>
      </c>
      <c r="O14" s="33">
        <f>'06'!O36</f>
        <v>0.6333333333333333</v>
      </c>
      <c r="P14" s="30">
        <f>'06'!$P$36</f>
        <v>3.4704166666666665</v>
      </c>
      <c r="Q14" s="33">
        <f>'06'!Q36</f>
        <v>8.2658333333333331</v>
      </c>
      <c r="R14" s="47"/>
      <c r="S14" s="47"/>
      <c r="T14" s="47"/>
      <c r="U14" s="47"/>
    </row>
    <row r="15" spans="1:21" s="34" customFormat="1" ht="15">
      <c r="A15" s="36" t="str">
        <f>'07'!$B$2</f>
        <v>07-08-2022 01:00</v>
      </c>
      <c r="B15" s="33">
        <f>'07'!B36</f>
        <v>9.8054166666666678</v>
      </c>
      <c r="C15" s="33">
        <f>'07'!C36</f>
        <v>15.085000000000003</v>
      </c>
      <c r="D15" s="33">
        <f>'07'!D36</f>
        <v>24.602499999999996</v>
      </c>
      <c r="E15" s="33">
        <f>'07'!E36</f>
        <v>7.2466666666666661</v>
      </c>
      <c r="F15" s="33">
        <f>'07'!F36</f>
        <v>0.62958333333333316</v>
      </c>
      <c r="G15" s="9" t="s">
        <v>15</v>
      </c>
      <c r="H15" s="33">
        <f>'07'!H36</f>
        <v>22.625000000000004</v>
      </c>
      <c r="I15" s="33">
        <f>'07'!I36</f>
        <v>6.5991666666666662</v>
      </c>
      <c r="J15" s="33">
        <f>'07'!J36</f>
        <v>1.23</v>
      </c>
      <c r="K15" s="33">
        <f>'07'!K36</f>
        <v>324.98374999999999</v>
      </c>
      <c r="L15" s="33">
        <f>'07'!L36</f>
        <v>42.310416666666669</v>
      </c>
      <c r="M15" s="33">
        <f>'07'!M36</f>
        <v>86.84583333333336</v>
      </c>
      <c r="N15" s="8" t="s">
        <v>8</v>
      </c>
      <c r="O15" s="8" t="s">
        <v>8</v>
      </c>
      <c r="P15" s="8" t="s">
        <v>8</v>
      </c>
      <c r="Q15" s="33">
        <f>'07'!Q36</f>
        <v>11.20833333333333</v>
      </c>
      <c r="R15" s="47"/>
      <c r="S15" s="47"/>
      <c r="T15" s="47"/>
      <c r="U15" s="47"/>
    </row>
    <row r="16" spans="1:21" s="34" customFormat="1" ht="15">
      <c r="A16" s="36" t="str">
        <f>'08'!$B$2</f>
        <v>08-08-2022 01:00</v>
      </c>
      <c r="B16" s="33">
        <f>'08'!B36</f>
        <v>17.015833333333333</v>
      </c>
      <c r="C16" s="33">
        <f>'08'!C36</f>
        <v>12.39291666666667</v>
      </c>
      <c r="D16" s="33">
        <f>'08'!D36</f>
        <v>29.151250000000001</v>
      </c>
      <c r="E16" s="33">
        <f>'08'!E36</f>
        <v>7.2850000000000001</v>
      </c>
      <c r="F16" s="33">
        <f>'08'!F36</f>
        <v>0.50791666666666679</v>
      </c>
      <c r="G16" s="9" t="s">
        <v>15</v>
      </c>
      <c r="H16" s="33">
        <f>'08'!H36</f>
        <v>13.675416666666663</v>
      </c>
      <c r="I16" s="33">
        <f>'08'!I36</f>
        <v>6.6408333333333331</v>
      </c>
      <c r="J16" s="33">
        <f>'08'!J36</f>
        <v>1.0762499999999999</v>
      </c>
      <c r="K16" s="33">
        <f>'08'!K36</f>
        <v>183.9758333333333</v>
      </c>
      <c r="L16" s="33">
        <f>'08'!L36</f>
        <v>41.645833333333336</v>
      </c>
      <c r="M16" s="33">
        <f>'08'!M36</f>
        <v>91.082083333333344</v>
      </c>
      <c r="N16" s="33">
        <f>'08'!N36</f>
        <v>229.51666666666662</v>
      </c>
      <c r="O16" s="33">
        <f>'08'!O36</f>
        <v>0.10833333333333334</v>
      </c>
      <c r="P16" s="30">
        <f>'08'!$P$36</f>
        <v>3.7783333333333338</v>
      </c>
      <c r="Q16" s="33">
        <f>'08'!Q36</f>
        <v>12.853333333333333</v>
      </c>
      <c r="R16" s="47"/>
      <c r="S16" s="47"/>
      <c r="T16" s="47"/>
      <c r="U16" s="47"/>
    </row>
    <row r="17" spans="1:24" s="34" customFormat="1" ht="15">
      <c r="A17" s="36" t="str">
        <f>'09'!$B$2</f>
        <v>09-08-2022 01:00</v>
      </c>
      <c r="B17" s="33">
        <f>'09'!B36</f>
        <v>19.993750000000002</v>
      </c>
      <c r="C17" s="33">
        <f>'09'!C36</f>
        <v>13.110833333333332</v>
      </c>
      <c r="D17" s="33">
        <f>'09'!D36</f>
        <v>32.847916666666663</v>
      </c>
      <c r="E17" s="33">
        <f>'09'!E36</f>
        <v>6.9995833333333337</v>
      </c>
      <c r="F17" s="33">
        <f>'09'!F36</f>
        <v>0.55625000000000002</v>
      </c>
      <c r="G17" s="9" t="s">
        <v>15</v>
      </c>
      <c r="H17" s="33">
        <f>'09'!H36</f>
        <v>16.628750000000004</v>
      </c>
      <c r="I17" s="33">
        <f>'09'!I36</f>
        <v>8.3229166666666661</v>
      </c>
      <c r="J17" s="33">
        <f>'09'!J36</f>
        <v>0.67833333333333357</v>
      </c>
      <c r="K17" s="33">
        <f>'09'!K36</f>
        <v>300.39041666666662</v>
      </c>
      <c r="L17" s="33">
        <f>'09'!L36</f>
        <v>36.389166666666668</v>
      </c>
      <c r="M17" s="33">
        <f>'09'!M36</f>
        <v>98.367916666666702</v>
      </c>
      <c r="N17" s="8" t="s">
        <v>8</v>
      </c>
      <c r="O17" s="8" t="s">
        <v>8</v>
      </c>
      <c r="P17" s="8" t="s">
        <v>8</v>
      </c>
      <c r="Q17" s="33">
        <f>'09'!Q36</f>
        <v>13.574583333333335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10-08-2022 01:00</v>
      </c>
      <c r="B18" s="33">
        <f>'10'!B36</f>
        <v>2.9599999999999995</v>
      </c>
      <c r="C18" s="33">
        <f>'10'!C36</f>
        <v>9.8591666666666651</v>
      </c>
      <c r="D18" s="33">
        <f>'10'!D36</f>
        <v>12.660000000000002</v>
      </c>
      <c r="E18" s="33">
        <f>'10'!E36</f>
        <v>4.6445833333333342</v>
      </c>
      <c r="F18" s="33">
        <f>'10'!F36</f>
        <v>0.66749999999999998</v>
      </c>
      <c r="G18" s="9" t="s">
        <v>15</v>
      </c>
      <c r="H18" s="33">
        <f>'10'!H36</f>
        <v>3.77</v>
      </c>
      <c r="I18" s="33">
        <f>'10'!I36</f>
        <v>4.9445833333333331</v>
      </c>
      <c r="J18" s="33">
        <f>'10'!J36</f>
        <v>0.66500000000000004</v>
      </c>
      <c r="K18" s="33">
        <f>'10'!K36</f>
        <v>185.72249999999997</v>
      </c>
      <c r="L18" s="33">
        <f>'10'!L36</f>
        <v>36.533749999999998</v>
      </c>
      <c r="M18" s="33">
        <f>'10'!M36</f>
        <v>95.976250000000007</v>
      </c>
      <c r="N18" s="33">
        <f>'10'!N36</f>
        <v>68.241666666666688</v>
      </c>
      <c r="O18" s="33">
        <f>'10'!O36</f>
        <v>0.29166666666666669</v>
      </c>
      <c r="P18" s="30">
        <f>'10'!$P$36</f>
        <v>3.4283333333333332</v>
      </c>
      <c r="Q18" s="33">
        <f>'10'!Q36</f>
        <v>4.0412500000000007</v>
      </c>
      <c r="R18" s="47"/>
      <c r="S18" s="47"/>
      <c r="T18" s="47"/>
      <c r="U18" s="47"/>
    </row>
    <row r="19" spans="1:21" s="34" customFormat="1" ht="15">
      <c r="A19" s="36" t="str">
        <f>'11'!$B$2</f>
        <v>11-08-2022 01:00</v>
      </c>
      <c r="B19" s="33">
        <f>'11'!B36</f>
        <v>3.1917391304347831</v>
      </c>
      <c r="C19" s="33">
        <f>'11'!C36</f>
        <v>9.0930434782608689</v>
      </c>
      <c r="D19" s="33">
        <f>'11'!D36</f>
        <v>12.044782608695652</v>
      </c>
      <c r="E19" s="33">
        <f>'11'!E36</f>
        <v>5.1070833333333328</v>
      </c>
      <c r="F19" s="33">
        <f>'11'!F36</f>
        <v>0.81333333333333346</v>
      </c>
      <c r="G19" s="9" t="s">
        <v>15</v>
      </c>
      <c r="H19" s="33">
        <f>'11'!H36</f>
        <v>3.538749999999999</v>
      </c>
      <c r="I19" s="33">
        <f>'11'!I36</f>
        <v>13.505416666666667</v>
      </c>
      <c r="J19" s="33">
        <f>'11'!J36</f>
        <v>0.50250000000000006</v>
      </c>
      <c r="K19" s="33">
        <f>'11'!K36</f>
        <v>226.18583333333336</v>
      </c>
      <c r="L19" s="33">
        <f>'11'!L36</f>
        <v>39.814705882352939</v>
      </c>
      <c r="M19" s="33">
        <f>'11'!M36</f>
        <v>94.677083333333329</v>
      </c>
      <c r="N19" s="33">
        <f>'11'!N36</f>
        <v>132.16666666666671</v>
      </c>
      <c r="O19" s="33">
        <f>'11'!O36</f>
        <v>0.29166666666666669</v>
      </c>
      <c r="P19" s="33">
        <f>'11'!P36</f>
        <v>3.4120833333333334</v>
      </c>
      <c r="Q19" s="33">
        <f>'11'!Q36</f>
        <v>4.7754166666666666</v>
      </c>
      <c r="R19" s="47"/>
      <c r="S19" s="47"/>
      <c r="T19" s="47"/>
      <c r="U19" s="47"/>
    </row>
    <row r="20" spans="1:21" s="34" customFormat="1" ht="15">
      <c r="A20" s="36" t="str">
        <f>'12'!$B$2</f>
        <v>12-08-2022 01:00</v>
      </c>
      <c r="B20" s="33">
        <f>'12'!B36</f>
        <v>4.2662500000000003</v>
      </c>
      <c r="C20" s="33">
        <f>'12'!C36</f>
        <v>11.479583333333331</v>
      </c>
      <c r="D20" s="33">
        <f>'12'!D36</f>
        <v>15.269166666666669</v>
      </c>
      <c r="E20" s="33">
        <f>'12'!E36</f>
        <v>4.3583333333333334</v>
      </c>
      <c r="F20" s="33">
        <f>'12'!F36</f>
        <v>1.3149999999999997</v>
      </c>
      <c r="G20" s="9" t="s">
        <v>15</v>
      </c>
      <c r="H20" s="33">
        <f>'12'!H36</f>
        <v>6.8620833333333335</v>
      </c>
      <c r="I20" s="33">
        <f>'12'!I36</f>
        <v>5.2562500000000005</v>
      </c>
      <c r="J20" s="33">
        <f>'12'!J36</f>
        <v>0.26541666666666669</v>
      </c>
      <c r="K20" s="33">
        <f>'12'!K36</f>
        <v>254.74791666666667</v>
      </c>
      <c r="L20" s="33">
        <f>'12'!L36</f>
        <v>34.754761904761907</v>
      </c>
      <c r="M20" s="33">
        <f>'12'!M36</f>
        <v>84.609166666666695</v>
      </c>
      <c r="N20" s="33">
        <f>'12'!N36</f>
        <v>267.68750000000006</v>
      </c>
      <c r="O20" s="33">
        <f>'12'!O36</f>
        <v>0.083333333333333329</v>
      </c>
      <c r="P20" s="33">
        <f>'12'!P36</f>
        <v>3.4954166666666668</v>
      </c>
      <c r="Q20" s="33">
        <f>'12'!Q36</f>
        <v>9.6770833333333339</v>
      </c>
      <c r="R20" s="47"/>
      <c r="S20" s="47"/>
      <c r="T20" s="47"/>
      <c r="U20" s="47"/>
    </row>
    <row r="21" spans="1:21" s="34" customFormat="1" ht="15">
      <c r="A21" s="36" t="str">
        <f>'13'!$B$2</f>
        <v>13-08-2022 01:00</v>
      </c>
      <c r="B21" s="33">
        <f>'13'!B36</f>
        <v>8.2650000000000006</v>
      </c>
      <c r="C21" s="33">
        <f>'13'!C36</f>
        <v>11.059166666666664</v>
      </c>
      <c r="D21" s="33">
        <f>'13'!D36</f>
        <v>19.14875</v>
      </c>
      <c r="E21" s="33">
        <f>'13'!E36</f>
        <v>5.5666666666666664</v>
      </c>
      <c r="F21" s="33">
        <f>'13'!F36</f>
        <v>0.50166666666666659</v>
      </c>
      <c r="G21" s="9" t="s">
        <v>15</v>
      </c>
      <c r="H21" s="33">
        <f>'13'!H36</f>
        <v>8.9591666666666665</v>
      </c>
      <c r="I21" s="33">
        <f>'13'!I36</f>
        <v>5.0620833333333328</v>
      </c>
      <c r="J21" s="33">
        <f>'13'!J36</f>
        <v>0.23625000000000007</v>
      </c>
      <c r="K21" s="33">
        <f>'13'!K36</f>
        <v>258.51249999999999</v>
      </c>
      <c r="L21" s="33">
        <f>'13'!L36</f>
        <v>34.261666666666677</v>
      </c>
      <c r="M21" s="33">
        <f>'13'!M36</f>
        <v>95.939166666666679</v>
      </c>
      <c r="N21" s="33">
        <f>'13'!N36</f>
        <v>82.900000000000006</v>
      </c>
      <c r="O21" s="33">
        <f>'13'!O36</f>
        <v>0.47499999999999987</v>
      </c>
      <c r="P21" s="33">
        <f>'13'!P36</f>
        <v>3.6800000000000002</v>
      </c>
      <c r="Q21" s="33">
        <f>'13'!Q36</f>
        <v>11.649999999999999</v>
      </c>
      <c r="R21" s="47"/>
      <c r="S21" s="47"/>
      <c r="T21" s="47"/>
      <c r="U21" s="47"/>
    </row>
    <row r="22" spans="1:21" s="34" customFormat="1" ht="15">
      <c r="A22" s="36" t="str">
        <f>'14'!$B$2</f>
        <v>14-08-2022 01:00</v>
      </c>
      <c r="B22" s="30">
        <f>'14'!B36</f>
        <v>8.7787500000000005</v>
      </c>
      <c r="C22" s="30">
        <f>'14'!C36</f>
        <v>14.027083333333335</v>
      </c>
      <c r="D22" s="30">
        <f>'14'!D36</f>
        <v>22.521666666666672</v>
      </c>
      <c r="E22" s="30">
        <f>'14'!E36</f>
        <v>5.1749999999999989</v>
      </c>
      <c r="F22" s="30">
        <f>'14'!F36</f>
        <v>0.47416666666666668</v>
      </c>
      <c r="G22" s="9" t="s">
        <v>15</v>
      </c>
      <c r="H22" s="30">
        <f>'14'!H36</f>
        <v>6.6366666666666676</v>
      </c>
      <c r="I22" s="30">
        <f>'14'!I36</f>
        <v>5.3608333333333347</v>
      </c>
      <c r="J22" s="30">
        <f>'14'!J36</f>
        <v>0.32541666666666663</v>
      </c>
      <c r="K22" s="30">
        <f>'14'!K36</f>
        <v>297.46416666666676</v>
      </c>
      <c r="L22" s="30">
        <f>'14'!L36</f>
        <v>31.167391304347831</v>
      </c>
      <c r="M22" s="30">
        <f>'14'!M36</f>
        <v>98.36541666666669</v>
      </c>
      <c r="N22" s="30">
        <f>'14'!N36</f>
        <v>66.979166666666671</v>
      </c>
      <c r="O22" s="30">
        <f>'14'!O36</f>
        <v>0.53333333333333333</v>
      </c>
      <c r="P22" s="30">
        <f>'14'!P36</f>
        <v>3.6785714285714284</v>
      </c>
      <c r="Q22" s="30">
        <f>'14'!Q36</f>
        <v>9.0249999999999986</v>
      </c>
      <c r="R22" s="48"/>
      <c r="S22" s="48"/>
      <c r="T22" s="48"/>
      <c r="U22" s="48"/>
    </row>
    <row r="23" spans="1:21" s="34" customFormat="1" ht="15">
      <c r="A23" s="36" t="str">
        <f>'15'!$B$2</f>
        <v>15-08-2022 01:00</v>
      </c>
      <c r="B23" s="33">
        <f>'15'!B36</f>
        <v>1.9991666666666663</v>
      </c>
      <c r="C23" s="33">
        <f>'15'!C36</f>
        <v>12.674583333333331</v>
      </c>
      <c r="D23" s="33">
        <f>'15'!D36</f>
        <v>14.563750000000001</v>
      </c>
      <c r="E23" s="33">
        <f>'15'!E36</f>
        <v>3.2387500000000009</v>
      </c>
      <c r="F23" s="33">
        <f>'15'!F36</f>
        <v>1.0062500000000003</v>
      </c>
      <c r="G23" s="9" t="s">
        <v>15</v>
      </c>
      <c r="H23" s="33">
        <f>'15'!H36</f>
        <v>3.1745833333333331</v>
      </c>
      <c r="I23" s="33">
        <f>'15'!I36</f>
        <v>3.5879166666666662</v>
      </c>
      <c r="J23" s="33">
        <f>'15'!J36</f>
        <v>0.80125000000000002</v>
      </c>
      <c r="K23" s="33">
        <f>'15'!K36</f>
        <v>193.07041666666666</v>
      </c>
      <c r="L23" s="33">
        <f>'15'!L36</f>
        <v>37.416250000000012</v>
      </c>
      <c r="M23" s="33">
        <f>'15'!M36</f>
        <v>96.774999999999991</v>
      </c>
      <c r="N23" s="33">
        <f>'15'!N36</f>
        <v>64.829166666666666</v>
      </c>
      <c r="O23" s="33">
        <f>'15'!O36</f>
        <v>0.80833333333333324</v>
      </c>
      <c r="P23" s="30">
        <f>'15'!P36</f>
        <v>3.6537499999999992</v>
      </c>
      <c r="Q23" s="30">
        <f>'15'!Q36</f>
        <v>4.0883333333333338</v>
      </c>
      <c r="R23" s="48"/>
      <c r="S23" s="48"/>
      <c r="T23" s="48"/>
      <c r="U23" s="47"/>
    </row>
    <row r="24" spans="1:21" s="34" customFormat="1" ht="15">
      <c r="A24" s="36" t="str">
        <f>'16'!$B$2</f>
        <v>16-08-2022 01:00</v>
      </c>
      <c r="B24" s="33">
        <f>'16'!B36</f>
        <v>5.9575000000000005</v>
      </c>
      <c r="C24" s="33">
        <f>'16'!C36</f>
        <v>10.719999999999999</v>
      </c>
      <c r="D24" s="33">
        <f>'16'!D36</f>
        <v>16.537083333333332</v>
      </c>
      <c r="E24" s="33">
        <f>'16'!E36</f>
        <v>5.2241666666666662</v>
      </c>
      <c r="F24" s="33">
        <f>'16'!F36</f>
        <v>0.60333333333333328</v>
      </c>
      <c r="G24" s="9" t="s">
        <v>15</v>
      </c>
      <c r="H24" s="33">
        <f>'16'!H36</f>
        <v>7.105833333333333</v>
      </c>
      <c r="I24" s="33">
        <f>'16'!I36</f>
        <v>3.9737500000000003</v>
      </c>
      <c r="J24" s="33">
        <f>'16'!J36</f>
        <v>0.6695833333333332</v>
      </c>
      <c r="K24" s="33">
        <f>'16'!K36</f>
        <v>217.89083333333335</v>
      </c>
      <c r="L24" s="33">
        <f>'16'!L36</f>
        <v>46.10916666666666</v>
      </c>
      <c r="M24" s="33">
        <f>'16'!M36</f>
        <v>81.092916666666653</v>
      </c>
      <c r="N24" s="33">
        <f>'16'!N36</f>
        <v>305.4083333333333</v>
      </c>
      <c r="O24" s="33">
        <f>'16'!O36</f>
        <v>0</v>
      </c>
      <c r="P24" s="30">
        <f>'16'!P36</f>
        <v>3.4552380952380948</v>
      </c>
      <c r="Q24" s="30">
        <f>'16'!Q36</f>
        <v>5.5116666666666667</v>
      </c>
      <c r="R24" s="48"/>
      <c r="S24" s="48"/>
      <c r="T24" s="48"/>
      <c r="U24" s="47"/>
    </row>
    <row r="25" spans="1:21" s="34" customFormat="1" ht="15">
      <c r="A25" s="36" t="str">
        <f>'17'!$B$2</f>
        <v>17-08-2022 01:00</v>
      </c>
      <c r="B25" s="33">
        <f>'17'!B36</f>
        <v>11.400833333333331</v>
      </c>
      <c r="C25" s="33">
        <f>'17'!C36</f>
        <v>13.362916666666669</v>
      </c>
      <c r="D25" s="33">
        <f>'17'!D36</f>
        <v>24.323333333333338</v>
      </c>
      <c r="E25" s="33">
        <f>'17'!E36</f>
        <v>7.0412500000000007</v>
      </c>
      <c r="F25" s="33">
        <f>'17'!F36</f>
        <v>0.67208333333333325</v>
      </c>
      <c r="G25" s="9" t="s">
        <v>15</v>
      </c>
      <c r="H25" s="33">
        <f>'17'!H36</f>
        <v>13.066250000000002</v>
      </c>
      <c r="I25" s="33">
        <f>'17'!I36</f>
        <v>5.5550000000000006</v>
      </c>
      <c r="J25" s="33">
        <f>'17'!J36</f>
        <v>0.24916666666666668</v>
      </c>
      <c r="K25" s="33">
        <f>'17'!K36</f>
        <v>261.8945833333334</v>
      </c>
      <c r="L25" s="33">
        <f>'17'!L36</f>
        <v>45.213076923076933</v>
      </c>
      <c r="M25" s="33">
        <f>'17'!M36</f>
        <v>78.820416666666674</v>
      </c>
      <c r="N25" s="33">
        <f>'17'!N36</f>
        <v>303.30416666666667</v>
      </c>
      <c r="O25" s="33">
        <f>'17'!O36</f>
        <v>0</v>
      </c>
      <c r="P25" s="30">
        <f>'17'!P36</f>
        <v>3.7908333333333348</v>
      </c>
      <c r="Q25" s="30">
        <f>'17'!Q36</f>
        <v>337.76750000000004</v>
      </c>
      <c r="R25" s="48"/>
      <c r="S25" s="48"/>
      <c r="T25" s="48"/>
      <c r="U25" s="47"/>
    </row>
    <row r="26" spans="1:21" s="34" customFormat="1" ht="15">
      <c r="A26" s="36" t="str">
        <f>'18'!$B$2</f>
        <v>18-08-2022 01:00</v>
      </c>
      <c r="B26" s="33">
        <f>'18'!B36</f>
        <v>6.977083333333332</v>
      </c>
      <c r="C26" s="33">
        <f>'18'!C36</f>
        <v>13.840416666666668</v>
      </c>
      <c r="D26" s="33">
        <f>'18'!D36</f>
        <v>20.520416666666669</v>
      </c>
      <c r="E26" s="33">
        <f>'18'!E36</f>
        <v>4.5024999999999995</v>
      </c>
      <c r="F26" s="33">
        <f>'18'!F36</f>
        <v>0.88625000000000009</v>
      </c>
      <c r="G26" s="9" t="s">
        <v>15</v>
      </c>
      <c r="H26" s="33">
        <f>'18'!H36</f>
        <v>82.530000000000001</v>
      </c>
      <c r="I26" s="33">
        <f>'18'!I36</f>
        <v>5.8066666666666675</v>
      </c>
      <c r="J26" s="33">
        <f>'18'!J36</f>
        <v>0.49791666666666673</v>
      </c>
      <c r="K26" s="33">
        <f>'18'!K36</f>
        <v>287.68333333333334</v>
      </c>
      <c r="L26" s="33">
        <f>'18'!L36</f>
        <v>42.952307692307699</v>
      </c>
      <c r="M26" s="33">
        <f>'18'!M36</f>
        <v>74.927500000000009</v>
      </c>
      <c r="N26" s="33">
        <f>'18'!N36</f>
        <v>301.69166666666666</v>
      </c>
      <c r="O26" s="33">
        <f>'18'!O36</f>
        <v>0</v>
      </c>
      <c r="P26" s="30">
        <f>'18'!P36</f>
        <v>3.7412500000000004</v>
      </c>
      <c r="Q26" s="30">
        <f>'18'!Q36</f>
        <v>90.300416666666692</v>
      </c>
      <c r="R26" s="48"/>
      <c r="S26" s="48"/>
      <c r="T26" s="48"/>
      <c r="U26" s="47"/>
    </row>
    <row r="27" spans="1:21" s="34" customFormat="1" ht="15">
      <c r="A27" s="36" t="str">
        <f>'19'!$B$2</f>
        <v>19-08-2022 01:00</v>
      </c>
      <c r="B27" s="33">
        <f>'19'!B36</f>
        <v>9.1191666666666666</v>
      </c>
      <c r="C27" s="33">
        <f>'19'!C36</f>
        <v>11.655416666666666</v>
      </c>
      <c r="D27" s="33">
        <f>'19'!D36</f>
        <v>20.616250000000001</v>
      </c>
      <c r="E27" s="33">
        <f>'19'!E36</f>
        <v>5.8620833333333353</v>
      </c>
      <c r="F27" s="33">
        <f>'19'!F36</f>
        <v>0.42416666666666675</v>
      </c>
      <c r="G27" s="9" t="s">
        <v>15</v>
      </c>
      <c r="H27" s="33">
        <f>'19'!H36</f>
        <v>167.85291666666669</v>
      </c>
      <c r="I27" s="8" t="s">
        <v>8</v>
      </c>
      <c r="J27" s="33">
        <f>'19'!J36</f>
        <v>0.71083333333333332</v>
      </c>
      <c r="K27" s="33">
        <f>'19'!K36</f>
        <v>291.35791666666665</v>
      </c>
      <c r="L27" s="33">
        <f>'19'!L36</f>
        <v>41.51958333333333</v>
      </c>
      <c r="M27" s="33">
        <f>'19'!M36</f>
        <v>87.084166666666661</v>
      </c>
      <c r="N27" s="33">
        <f>'19'!N36</f>
        <v>189.37083333333331</v>
      </c>
      <c r="O27" s="33">
        <f>'19'!O36</f>
        <v>0.30000000000000004</v>
      </c>
      <c r="P27" s="30">
        <f>'19'!P36</f>
        <v>3.8754166666666658</v>
      </c>
      <c r="Q27" s="30">
        <f>'19'!Q36</f>
        <v>18.649166666666666</v>
      </c>
      <c r="R27" s="48"/>
      <c r="S27" s="48"/>
      <c r="T27" s="48"/>
      <c r="U27" s="47"/>
    </row>
    <row r="28" spans="1:21" s="34" customFormat="1" ht="15">
      <c r="A28" s="36" t="str">
        <f>'20'!$B$2</f>
        <v>20-08-2022 01:00</v>
      </c>
      <c r="B28" s="33">
        <f>'20'!B36</f>
        <v>6.1670833333333333</v>
      </c>
      <c r="C28" s="33">
        <f>'20'!C36</f>
        <v>14.001249999999999</v>
      </c>
      <c r="D28" s="33">
        <f>'20'!D36</f>
        <v>19.899583333333329</v>
      </c>
      <c r="E28" s="33">
        <f>'20'!E36</f>
        <v>4.5837499999999993</v>
      </c>
      <c r="F28" s="33">
        <f>'20'!F36</f>
        <v>0.88041666666666696</v>
      </c>
      <c r="G28" s="9" t="s">
        <v>15</v>
      </c>
      <c r="H28" s="33">
        <f>'20'!H36</f>
        <v>118.98874999999998</v>
      </c>
      <c r="I28" s="33">
        <f>'20'!I36</f>
        <v>4.2471428571428564</v>
      </c>
      <c r="J28" s="33">
        <f>'20'!J36</f>
        <v>0.59375</v>
      </c>
      <c r="K28" s="33">
        <f>'20'!K36</f>
        <v>263.21500000000003</v>
      </c>
      <c r="L28" s="33">
        <f>'20'!L36</f>
        <v>33.112083333333331</v>
      </c>
      <c r="M28" s="33">
        <f>'20'!M36</f>
        <v>86.615833333333327</v>
      </c>
      <c r="N28" s="33">
        <f>'20'!N36</f>
        <v>159.99999999999997</v>
      </c>
      <c r="O28" s="33">
        <f>'20'!O36</f>
        <v>0.05000000000000001</v>
      </c>
      <c r="P28" s="30">
        <f>'20'!P36</f>
        <v>3.7966666666666682</v>
      </c>
      <c r="Q28" s="30">
        <f>'20'!Q36</f>
        <v>9.0104166666666661</v>
      </c>
      <c r="R28" s="48"/>
      <c r="S28" s="48"/>
      <c r="T28" s="48"/>
      <c r="U28" s="47"/>
    </row>
    <row r="29" spans="1:21" s="34" customFormat="1" ht="15">
      <c r="A29" s="36" t="str">
        <f>'21'!$B$2</f>
        <v>21-08-2022 01:00</v>
      </c>
      <c r="B29" s="33">
        <f>'21'!B36</f>
        <v>1.6629166666666668</v>
      </c>
      <c r="C29" s="33">
        <f>'21'!C36</f>
        <v>10.36125</v>
      </c>
      <c r="D29" s="33">
        <f>'21'!D36</f>
        <v>11.92375</v>
      </c>
      <c r="E29" s="33">
        <f>'21'!E36</f>
        <v>3.4675000000000011</v>
      </c>
      <c r="F29" s="33">
        <f>'21'!F36</f>
        <v>1.0491666666666668</v>
      </c>
      <c r="G29" s="33">
        <f>'21'!G36</f>
        <v>37.569999999999993</v>
      </c>
      <c r="H29" s="33">
        <f>'21'!H36</f>
        <v>88.229583333333323</v>
      </c>
      <c r="I29" s="33">
        <f>'21'!I36</f>
        <v>2.9658333333333338</v>
      </c>
      <c r="J29" s="33">
        <f>'21'!J36</f>
        <v>0.23875000000000002</v>
      </c>
      <c r="K29" s="33">
        <f>'21'!K36</f>
        <v>235.39500000000001</v>
      </c>
      <c r="L29" s="33">
        <f>'21'!L36</f>
        <v>34.493749999999999</v>
      </c>
      <c r="M29" s="33">
        <f>'21'!M36</f>
        <v>87.927083333333329</v>
      </c>
      <c r="N29" s="33">
        <f>'21'!N36</f>
        <v>136.85833333333332</v>
      </c>
      <c r="O29" s="33">
        <f>'21'!O36</f>
        <v>0.074999999999999997</v>
      </c>
      <c r="P29" s="30">
        <f>'21'!P36</f>
        <v>3.6212499999999999</v>
      </c>
      <c r="Q29" s="30">
        <f>'21'!Q36</f>
        <v>34.446666666666665</v>
      </c>
      <c r="R29" s="48"/>
      <c r="S29" s="48"/>
      <c r="T29" s="48"/>
      <c r="U29" s="47"/>
    </row>
    <row r="30" spans="1:21" s="34" customFormat="1" ht="15">
      <c r="A30" s="36" t="str">
        <f>'22'!$B$2</f>
        <v>22-08-2022 01:00</v>
      </c>
      <c r="B30" s="33">
        <f>'22'!B36</f>
        <v>2.5520833333333335</v>
      </c>
      <c r="C30" s="33">
        <f>'22'!C36</f>
        <v>9.2674999999999965</v>
      </c>
      <c r="D30" s="33">
        <f>'22'!D36</f>
        <v>11.731666666666667</v>
      </c>
      <c r="E30" s="33">
        <f>'22'!E36</f>
        <v>4.665</v>
      </c>
      <c r="F30" s="33">
        <f>'22'!F36</f>
        <v>0.81416666666666659</v>
      </c>
      <c r="G30" s="33">
        <f>'22'!G36</f>
        <v>44.677916666666668</v>
      </c>
      <c r="H30" s="33">
        <f>'22'!H36</f>
        <v>135.46124999999998</v>
      </c>
      <c r="I30" s="33">
        <f>'22'!I36</f>
        <v>4.9241666666666672</v>
      </c>
      <c r="J30" s="33">
        <f>'22'!J36</f>
        <v>0.5525000000000001</v>
      </c>
      <c r="K30" s="33">
        <f>'22'!K36</f>
        <v>218.35416666666671</v>
      </c>
      <c r="L30" s="33">
        <f>'22'!L36</f>
        <v>40.364166666666655</v>
      </c>
      <c r="M30" s="33">
        <f>'22'!M36</f>
        <v>81.665833333333325</v>
      </c>
      <c r="N30" s="33">
        <f>'22'!N36</f>
        <v>272.04999999999995</v>
      </c>
      <c r="O30" s="33">
        <f>'22'!O36</f>
        <v>0.0083333333333333332</v>
      </c>
      <c r="P30" s="30">
        <f>'22'!P36</f>
        <v>3.6508333333333343</v>
      </c>
      <c r="Q30" s="30">
        <f>'22'!Q36</f>
        <v>52.347916666666663</v>
      </c>
      <c r="R30" s="48"/>
      <c r="S30" s="47"/>
      <c r="T30" s="47"/>
      <c r="U30" s="47"/>
    </row>
    <row r="31" spans="1:21" s="34" customFormat="1" ht="15">
      <c r="A31" s="36" t="str">
        <f>'23'!$B$2</f>
        <v>23-08-2022 01:00</v>
      </c>
      <c r="B31" s="33">
        <f>'23'!B36</f>
        <v>7.6320833333333331</v>
      </c>
      <c r="C31" s="33">
        <f>'23'!C36</f>
        <v>12.545</v>
      </c>
      <c r="D31" s="33">
        <f>'23'!D36</f>
        <v>19.853749999999998</v>
      </c>
      <c r="E31" s="33">
        <f>'23'!E36</f>
        <v>4.8983333333333343</v>
      </c>
      <c r="F31" s="33">
        <f>'23'!F36</f>
        <v>0.59666666666666657</v>
      </c>
      <c r="G31" s="33">
        <f>'23'!G36</f>
        <v>34.736956521739124</v>
      </c>
      <c r="H31" s="33">
        <f>'23'!H36</f>
        <v>120.67652173913045</v>
      </c>
      <c r="I31" s="33">
        <f>'23'!I36</f>
        <v>6.9837499999999997</v>
      </c>
      <c r="J31" s="33">
        <f>'23'!J36</f>
        <v>0.53625</v>
      </c>
      <c r="K31" s="33">
        <f>'23'!K36</f>
        <v>241.38458333333332</v>
      </c>
      <c r="L31" s="33">
        <f>'23'!L36</f>
        <v>37.856666666666676</v>
      </c>
      <c r="M31" s="33">
        <f>'23'!M36</f>
        <v>79.40833333333336</v>
      </c>
      <c r="N31" s="33">
        <f>'23'!N36</f>
        <v>308.15833333333336</v>
      </c>
      <c r="O31" s="33">
        <f>'23'!O36</f>
        <v>0</v>
      </c>
      <c r="P31" s="33">
        <f>'23'!P36</f>
        <v>3.6195833333333343</v>
      </c>
      <c r="Q31" s="33">
        <f>'23'!Q36</f>
        <v>57.699166666666656</v>
      </c>
      <c r="R31" s="47"/>
      <c r="S31" s="47"/>
      <c r="T31" s="47"/>
      <c r="U31" s="47"/>
    </row>
    <row r="32" spans="1:21" s="34" customFormat="1" ht="15">
      <c r="A32" s="36" t="str">
        <f>'24'!$B$2</f>
        <v>24-08-2022 01:00</v>
      </c>
      <c r="B32" s="33">
        <f>'24'!B36</f>
        <v>9.7041666666666639</v>
      </c>
      <c r="C32" s="33">
        <f>'24'!C36</f>
        <v>14.068750000000001</v>
      </c>
      <c r="D32" s="33">
        <f>'24'!D36</f>
        <v>23.352499999999996</v>
      </c>
      <c r="E32" s="33">
        <f>'24'!E36</f>
        <v>5.9695238095238095</v>
      </c>
      <c r="F32" s="33">
        <f>'24'!F36</f>
        <v>0.89541666666666675</v>
      </c>
      <c r="G32" s="33">
        <f>'24'!G36</f>
        <v>284.40434782608702</v>
      </c>
      <c r="H32" s="33">
        <f>'24'!H36</f>
        <v>23.39043478260869</v>
      </c>
      <c r="I32" s="33">
        <f>'24'!I36</f>
        <v>28.310769230769232</v>
      </c>
      <c r="J32" s="33">
        <f>'24'!J36</f>
        <v>0.76166666666666671</v>
      </c>
      <c r="K32" s="33">
        <f>'24'!K36</f>
        <v>270.72208333333333</v>
      </c>
      <c r="L32" s="33">
        <f>'24'!L36</f>
        <v>34.923333333333325</v>
      </c>
      <c r="M32" s="33">
        <f>'24'!M36</f>
        <v>84.391666666666652</v>
      </c>
      <c r="N32" s="33">
        <f>'24'!N36</f>
        <v>200.6166666666667</v>
      </c>
      <c r="O32" s="33">
        <f>'24'!O36</f>
        <v>0.22499999999999998</v>
      </c>
      <c r="P32" s="33">
        <f>'24'!P36</f>
        <v>2.2000000000000006</v>
      </c>
      <c r="Q32" s="33">
        <f>'24'!Q36</f>
        <v>50.128095238095227</v>
      </c>
      <c r="R32" s="47"/>
      <c r="S32" s="47"/>
      <c r="T32" s="47"/>
      <c r="U32" s="47"/>
    </row>
    <row r="33" spans="1:21" s="34" customFormat="1" ht="15">
      <c r="A33" s="36" t="str">
        <f>'25'!$B$2</f>
        <v>25-08-2022 01:00</v>
      </c>
      <c r="B33" s="33">
        <f>'25'!B36</f>
        <v>4.8987499999999997</v>
      </c>
      <c r="C33" s="33">
        <f>'25'!C36</f>
        <v>10.820833333333333</v>
      </c>
      <c r="D33" s="33">
        <f>'25'!D36</f>
        <v>15.453749999999999</v>
      </c>
      <c r="E33" s="33">
        <f>'25'!E36</f>
        <v>7.0612500000000011</v>
      </c>
      <c r="F33" s="33">
        <f>'25'!F36</f>
        <v>0.61833333333333329</v>
      </c>
      <c r="G33" s="33">
        <f>'25'!G36</f>
        <v>23.417894736842104</v>
      </c>
      <c r="H33" s="33">
        <f>'25'!H36</f>
        <v>13.294583333333334</v>
      </c>
      <c r="I33" s="33">
        <f>'25'!I36</f>
        <v>42.645833333333329</v>
      </c>
      <c r="J33" s="33">
        <f>'25'!J36</f>
        <v>1.0325</v>
      </c>
      <c r="K33" s="33">
        <f>'25'!K36</f>
        <v>234.73541666666674</v>
      </c>
      <c r="L33" s="33">
        <f>'25'!L36</f>
        <v>34.031904761904762</v>
      </c>
      <c r="M33" s="33">
        <f>'25'!M36</f>
        <v>87.576250000000016</v>
      </c>
      <c r="N33" s="33">
        <f>'25'!N36</f>
        <v>277.77916666666664</v>
      </c>
      <c r="O33" s="33">
        <f>'25'!O36</f>
        <v>0.4916666666666667</v>
      </c>
      <c r="P33" s="33">
        <f>'25'!P36</f>
        <v>0.71250000000000002</v>
      </c>
      <c r="Q33" s="33">
        <f>'25'!Q36</f>
        <v>26.877083333333331</v>
      </c>
      <c r="R33" s="47"/>
      <c r="S33" s="47"/>
      <c r="T33" s="47"/>
      <c r="U33" s="47"/>
    </row>
    <row r="34" spans="1:21" s="34" customFormat="1" ht="15">
      <c r="A34" s="36" t="str">
        <f>'26'!$B$2</f>
        <v>26-08-2022 01:00</v>
      </c>
      <c r="B34" s="33">
        <f>'26'!B36</f>
        <v>8.7208333333333314</v>
      </c>
      <c r="C34" s="33">
        <f>'26'!C36</f>
        <v>13.038333333333334</v>
      </c>
      <c r="D34" s="33">
        <f>'26'!D36</f>
        <v>21.475416666666664</v>
      </c>
      <c r="E34" s="33">
        <f>'26'!E36</f>
        <v>6.2637500000000008</v>
      </c>
      <c r="F34" s="33">
        <f>'26'!F36</f>
        <v>0.53166666666666673</v>
      </c>
      <c r="G34" s="33">
        <f>'26'!G36</f>
        <v>34.018749999999997</v>
      </c>
      <c r="H34" s="33">
        <f>'26'!H36</f>
        <v>18.50375</v>
      </c>
      <c r="I34" s="33">
        <f>'26'!I36</f>
        <v>11.612666666666666</v>
      </c>
      <c r="J34" s="33">
        <f>'26'!J36</f>
        <v>0.48875000000000002</v>
      </c>
      <c r="K34" s="33">
        <f>'26'!K36</f>
        <v>306.41166666666669</v>
      </c>
      <c r="L34" s="33">
        <f>'26'!L36</f>
        <v>39.025999999999996</v>
      </c>
      <c r="M34" s="33">
        <f>'26'!M36</f>
        <v>77.396249999999966</v>
      </c>
      <c r="N34" s="33">
        <f>'26'!N36</f>
        <v>304.2374999999999</v>
      </c>
      <c r="O34" s="33">
        <f>'26'!O36</f>
        <v>0</v>
      </c>
      <c r="P34" s="33">
        <f>'26'!P36</f>
        <v>0.84583333333333355</v>
      </c>
      <c r="Q34" s="33">
        <f>'26'!Q36</f>
        <v>19.524166666666666</v>
      </c>
      <c r="R34" s="47"/>
      <c r="S34" s="47"/>
      <c r="T34" s="47"/>
      <c r="U34" s="47"/>
    </row>
    <row r="35" spans="1:21" s="34" customFormat="1" ht="15">
      <c r="A35" s="36" t="str">
        <f>'27'!$B$2</f>
        <v>27-08-2022 01:00</v>
      </c>
      <c r="B35" s="33">
        <f>'27'!B36</f>
        <v>6.7195833333333326</v>
      </c>
      <c r="C35" s="33">
        <f>'27'!C36</f>
        <v>14.373749999999999</v>
      </c>
      <c r="D35" s="33">
        <f>'27'!D36</f>
        <v>20.754583333333333</v>
      </c>
      <c r="E35" s="33">
        <f>'27'!E36</f>
        <v>5.4508333333333345</v>
      </c>
      <c r="F35" s="33">
        <f>'27'!F36</f>
        <v>0.67416666666666669</v>
      </c>
      <c r="G35" s="33">
        <f>'27'!G36</f>
        <v>33.973999999999997</v>
      </c>
      <c r="H35" s="33">
        <f>'27'!H36</f>
        <v>27.240416666666675</v>
      </c>
      <c r="I35" s="8" t="s">
        <v>8</v>
      </c>
      <c r="J35" s="33">
        <f>'27'!J36</f>
        <v>0.4291666666666667</v>
      </c>
      <c r="K35" s="33">
        <f>'27'!K36</f>
        <v>310.73624999999998</v>
      </c>
      <c r="L35" s="33">
        <f>'27'!L36</f>
        <v>37.468888888888891</v>
      </c>
      <c r="M35" s="33">
        <f>'27'!M36</f>
        <v>74.027500000000018</v>
      </c>
      <c r="N35" s="33">
        <f>'27'!N36</f>
        <v>294.35000000000002</v>
      </c>
      <c r="O35" s="33">
        <f>'27'!O36</f>
        <v>0</v>
      </c>
      <c r="P35" s="30">
        <f>'27'!P36</f>
        <v>0.81916666666666671</v>
      </c>
      <c r="Q35" s="33">
        <f>'27'!Q36</f>
        <v>14.805833333333334</v>
      </c>
      <c r="R35" s="47"/>
      <c r="S35" s="47"/>
      <c r="T35" s="47"/>
      <c r="U35" s="47"/>
    </row>
    <row r="36" spans="1:21" s="34" customFormat="1" ht="15">
      <c r="A36" s="36" t="str">
        <f>'28'!$B$2</f>
        <v>28-08-2022 01:00</v>
      </c>
      <c r="B36" s="33">
        <f>'28'!B36</f>
        <v>8.8029166666666665</v>
      </c>
      <c r="C36" s="33">
        <f>'28'!C36</f>
        <v>15.365416666666668</v>
      </c>
      <c r="D36" s="33">
        <f>'28'!D36</f>
        <v>23.876249999999999</v>
      </c>
      <c r="E36" s="33">
        <f>'28'!E36</f>
        <v>6.2124999999999995</v>
      </c>
      <c r="F36" s="33">
        <f>'28'!F36</f>
        <v>0.76250000000000007</v>
      </c>
      <c r="G36" s="33">
        <f>'28'!G36</f>
        <v>34.064583333333339</v>
      </c>
      <c r="H36" s="33">
        <f>'28'!H36</f>
        <v>21.61375</v>
      </c>
      <c r="I36" s="8" t="s">
        <v>8</v>
      </c>
      <c r="J36" s="33">
        <f>'28'!J36</f>
        <v>0.86708333333333343</v>
      </c>
      <c r="K36" s="33">
        <f>'28'!K36</f>
        <v>323.78500000000008</v>
      </c>
      <c r="L36" s="9" t="s">
        <v>15</v>
      </c>
      <c r="M36" s="33">
        <f>'28'!M36</f>
        <v>82.690000000000012</v>
      </c>
      <c r="N36" s="33">
        <f>'28'!N36</f>
        <v>239.28333333333333</v>
      </c>
      <c r="O36" s="33">
        <f>'28'!O36</f>
        <v>0.76666666666666661</v>
      </c>
      <c r="P36" s="30">
        <f>'28'!P36</f>
        <v>0.90791666666666659</v>
      </c>
      <c r="Q36" s="33">
        <f>'28'!Q36</f>
        <v>18.055833333333332</v>
      </c>
      <c r="R36" s="47"/>
      <c r="S36" s="47"/>
      <c r="T36" s="47"/>
      <c r="U36" s="47"/>
    </row>
    <row r="37" spans="1:21" s="34" customFormat="1" ht="15">
      <c r="A37" s="36" t="str">
        <f>'29'!$B$2</f>
        <v>29-08-2022 01:00</v>
      </c>
      <c r="B37" s="33">
        <f>'29'!B36</f>
        <v>5.2029166666666669</v>
      </c>
      <c r="C37" s="33">
        <f>'29'!C36</f>
        <v>17.385833333333334</v>
      </c>
      <c r="D37" s="33">
        <f>'29'!D36</f>
        <v>22.267083333333332</v>
      </c>
      <c r="E37" s="33">
        <f>'29'!E36</f>
        <v>5.746666666666667</v>
      </c>
      <c r="F37" s="33">
        <f>'29'!F36</f>
        <v>15.376666666666665</v>
      </c>
      <c r="G37" s="33">
        <f>'29'!G36</f>
        <v>19.044782608695652</v>
      </c>
      <c r="H37" s="33">
        <f>'29'!H36</f>
        <v>9.3712500000000016</v>
      </c>
      <c r="I37" s="33">
        <f>'29'!I36</f>
        <v>12.067142857142859</v>
      </c>
      <c r="J37" s="33">
        <f>'29'!J36</f>
        <v>1.4329166666666666</v>
      </c>
      <c r="K37" s="33">
        <f>'29'!K36</f>
        <v>186.41916666666668</v>
      </c>
      <c r="L37" s="9" t="s">
        <v>15</v>
      </c>
      <c r="M37" s="33">
        <f>'29'!M36</f>
        <v>82.928749999999994</v>
      </c>
      <c r="N37" s="33">
        <f>'29'!N36</f>
        <v>283.5333333333333</v>
      </c>
      <c r="O37" s="33">
        <f>'29'!O36</f>
        <v>0.016666666666666666</v>
      </c>
      <c r="P37" s="33">
        <f>'29'!P36</f>
        <v>0.82416666666666671</v>
      </c>
      <c r="Q37" s="33">
        <f>'29'!Q36</f>
        <v>46.364166666666655</v>
      </c>
      <c r="R37" s="47"/>
      <c r="S37" s="47"/>
      <c r="T37" s="47"/>
      <c r="U37" s="47"/>
    </row>
    <row r="38" spans="1:21" s="34" customFormat="1" ht="15">
      <c r="A38" s="36" t="str">
        <f>'30'!$B$2</f>
        <v>30-08-2022 01:00</v>
      </c>
      <c r="B38" s="33">
        <f>'30'!B36</f>
        <v>4.6525000000000007</v>
      </c>
      <c r="C38" s="33">
        <f>'30'!C36</f>
        <v>12.647083333333333</v>
      </c>
      <c r="D38" s="33">
        <f>'30'!D36</f>
        <v>17.178750000000004</v>
      </c>
      <c r="E38" s="33">
        <f>'30'!E36</f>
        <v>5.677083333333333</v>
      </c>
      <c r="F38" s="33">
        <f>'30'!F36</f>
        <v>10.077499999999999</v>
      </c>
      <c r="G38" s="33">
        <f>'30'!G36</f>
        <v>20.172083333333333</v>
      </c>
      <c r="H38" s="33">
        <f>'30'!H36</f>
        <v>12.864166666666668</v>
      </c>
      <c r="I38" s="33">
        <f>'30'!I36</f>
        <v>8.5365000000000002</v>
      </c>
      <c r="J38" s="33">
        <f>'30'!J36</f>
        <v>1.5254166666666664</v>
      </c>
      <c r="K38" s="33">
        <f>'30'!K36</f>
        <v>261.77500000000003</v>
      </c>
      <c r="L38" s="9" t="s">
        <v>15</v>
      </c>
      <c r="M38" s="33">
        <f>'30'!M36</f>
        <v>82.07416666666667</v>
      </c>
      <c r="N38" s="33">
        <f>'30'!N36</f>
        <v>302.24166666666667</v>
      </c>
      <c r="O38" s="33">
        <f>'30'!O36</f>
        <v>0.20833333333333334</v>
      </c>
      <c r="P38" s="33">
        <f>'30'!P36</f>
        <v>0.68500000000000005</v>
      </c>
      <c r="Q38" s="33">
        <f>'30'!Q36</f>
        <v>26.523333333333337</v>
      </c>
      <c r="R38" s="47"/>
      <c r="S38" s="47"/>
      <c r="T38" s="47"/>
      <c r="U38" s="47"/>
    </row>
    <row r="39" spans="1:21" ht="15">
      <c r="A39" s="36" t="str">
        <f>'31'!$B$2</f>
        <v>31-08-2022 01:00</v>
      </c>
      <c r="B39" s="58">
        <f>'31'!B36</f>
        <v>6.2674999999999992</v>
      </c>
      <c r="C39" s="58">
        <f>'31'!C36</f>
        <v>12.170416666666666</v>
      </c>
      <c r="D39" s="58">
        <f>'31'!D36</f>
        <v>18.366666666666671</v>
      </c>
      <c r="E39" s="58">
        <f>'31'!E36</f>
        <v>5.2729166666666671</v>
      </c>
      <c r="F39" s="58">
        <f>'31'!F36</f>
        <v>6.1958333333333337</v>
      </c>
      <c r="G39" s="58">
        <f>'31'!G36</f>
        <v>35.499583333333327</v>
      </c>
      <c r="H39" s="58">
        <f>'31'!H36</f>
        <v>11.294166666666667</v>
      </c>
      <c r="I39" s="58">
        <f>'31'!I36</f>
        <v>8.2958333333333343</v>
      </c>
      <c r="J39" s="58">
        <f>'31'!J36</f>
        <v>1.4170833333333335</v>
      </c>
      <c r="K39" s="58">
        <f>'31'!K36</f>
        <v>232.26041666666671</v>
      </c>
      <c r="L39" s="58" t="e">
        <f>'31'!L36</f>
        <v>#DIV/0!</v>
      </c>
      <c r="M39" s="58">
        <f>'31'!M36</f>
        <v>84.584166666666661</v>
      </c>
      <c r="N39" s="58">
        <f>'31'!N36</f>
        <v>316.78749999999997</v>
      </c>
      <c r="O39" s="58">
        <f>'31'!O36</f>
        <v>0.17500000000000002</v>
      </c>
      <c r="P39" s="58">
        <f>'31'!P36</f>
        <v>0.7729166666666667</v>
      </c>
      <c r="Q39" s="58">
        <f>'31'!Q36</f>
        <v>18.362916666666667</v>
      </c>
      <c r="R39" s="20"/>
      <c r="S39" s="20"/>
      <c r="T39" s="20"/>
      <c r="U39" s="49"/>
    </row>
    <row r="40" spans="1:21" s="21" customFormat="1" ht="15">
      <c r="A40" s="14" t="s">
        <v>30</v>
      </c>
      <c r="B40" s="15">
        <f t="shared" si="0" ref="B40:Q40">MIN(B9:B38)</f>
        <v>1.6629166666666668</v>
      </c>
      <c r="C40" s="15">
        <f t="shared" si="0"/>
        <v>9.0930434782608689</v>
      </c>
      <c r="D40" s="15">
        <f t="shared" si="0"/>
        <v>11.731666666666667</v>
      </c>
      <c r="E40" s="15">
        <f t="shared" si="0"/>
        <v>3.2387500000000009</v>
      </c>
      <c r="F40" s="15">
        <f t="shared" si="0"/>
        <v>0.39499999999999996</v>
      </c>
      <c r="G40" s="15">
        <f t="shared" si="0"/>
        <v>19.044782608695652</v>
      </c>
      <c r="H40" s="15">
        <f t="shared" si="0"/>
        <v>3.1745833333333331</v>
      </c>
      <c r="I40" s="15">
        <f t="shared" si="0"/>
        <v>2.9658333333333338</v>
      </c>
      <c r="J40" s="15">
        <f t="shared" si="0"/>
        <v>0.23625000000000007</v>
      </c>
      <c r="K40" s="15">
        <f t="shared" si="0"/>
        <v>165.29875000000001</v>
      </c>
      <c r="L40" s="15">
        <f t="shared" si="0"/>
        <v>31.167391304347831</v>
      </c>
      <c r="M40" s="15">
        <f t="shared" si="0"/>
        <v>74.027500000000018</v>
      </c>
      <c r="N40" s="15">
        <f t="shared" si="0"/>
        <v>64.829166666666666</v>
      </c>
      <c r="O40" s="15">
        <f t="shared" si="0"/>
        <v>0</v>
      </c>
      <c r="P40" s="15">
        <f t="shared" si="0"/>
        <v>0.68500000000000005</v>
      </c>
      <c r="Q40" s="15">
        <f t="shared" si="0"/>
        <v>4.0412500000000007</v>
      </c>
      <c r="R40" s="28"/>
      <c r="S40" s="28"/>
      <c r="T40" s="28"/>
      <c r="U40" s="28"/>
    </row>
    <row r="41" spans="1:21" s="21" customFormat="1" ht="15">
      <c r="A41" s="14" t="s">
        <v>31</v>
      </c>
      <c r="B41" s="15">
        <f t="shared" si="1" ref="B41:Q41">MAX(B9:B38)</f>
        <v>19.993750000000002</v>
      </c>
      <c r="C41" s="15">
        <f t="shared" si="1"/>
        <v>19.452500000000004</v>
      </c>
      <c r="D41" s="15">
        <f t="shared" si="1"/>
        <v>33.036666666666669</v>
      </c>
      <c r="E41" s="15">
        <f t="shared" si="1"/>
        <v>7.2850000000000001</v>
      </c>
      <c r="F41" s="15">
        <f t="shared" si="1"/>
        <v>15.376666666666665</v>
      </c>
      <c r="G41" s="15">
        <f t="shared" si="1"/>
        <v>284.40434782608702</v>
      </c>
      <c r="H41" s="15">
        <f t="shared" si="1"/>
        <v>167.85291666666669</v>
      </c>
      <c r="I41" s="15">
        <f t="shared" si="1"/>
        <v>42.645833333333329</v>
      </c>
      <c r="J41" s="15">
        <f t="shared" si="1"/>
        <v>1.5254166666666664</v>
      </c>
      <c r="K41" s="15">
        <f t="shared" si="1"/>
        <v>324.98374999999999</v>
      </c>
      <c r="L41" s="15">
        <f t="shared" si="1"/>
        <v>46.10916666666666</v>
      </c>
      <c r="M41" s="15">
        <f t="shared" si="1"/>
        <v>98.367916666666702</v>
      </c>
      <c r="N41" s="15">
        <f t="shared" si="1"/>
        <v>310.61666666666673</v>
      </c>
      <c r="O41" s="15">
        <f t="shared" si="1"/>
        <v>0.80833333333333324</v>
      </c>
      <c r="P41" s="15">
        <f t="shared" si="1"/>
        <v>3.8754166666666658</v>
      </c>
      <c r="Q41" s="15">
        <f t="shared" si="1"/>
        <v>337.76750000000004</v>
      </c>
      <c r="R41" s="28"/>
      <c r="S41" s="28"/>
      <c r="T41" s="28"/>
      <c r="U41" s="28"/>
    </row>
    <row r="42" spans="1:21" s="21" customFormat="1" ht="15">
      <c r="A42" s="14" t="s">
        <v>32</v>
      </c>
      <c r="B42" s="15">
        <f t="shared" si="2" ref="B42:Q42">AVERAGE(B9:B38)</f>
        <v>7.8147940821256032</v>
      </c>
      <c r="C42" s="15">
        <f t="shared" si="2"/>
        <v>13.015657004830917</v>
      </c>
      <c r="D42" s="15">
        <f t="shared" si="2"/>
        <v>20.557798309178747</v>
      </c>
      <c r="E42" s="15">
        <f t="shared" si="2"/>
        <v>5.5640535714285715</v>
      </c>
      <c r="F42" s="15">
        <f t="shared" si="2"/>
        <v>1.5400555555555555</v>
      </c>
      <c r="G42" s="15">
        <f t="shared" si="2"/>
        <v>56.608131502669735</v>
      </c>
      <c r="H42" s="15">
        <f t="shared" si="2"/>
        <v>35.807370772946861</v>
      </c>
      <c r="I42" s="15">
        <f t="shared" si="2"/>
        <v>8.6283199362366041</v>
      </c>
      <c r="J42" s="15">
        <f t="shared" si="2"/>
        <v>0.70650000000000002</v>
      </c>
      <c r="K42" s="15">
        <f t="shared" si="2"/>
        <v>253.89126388888889</v>
      </c>
      <c r="L42" s="15">
        <f t="shared" si="2"/>
        <v>38.160231937665436</v>
      </c>
      <c r="M42" s="15">
        <f t="shared" si="2"/>
        <v>85.057541666666694</v>
      </c>
      <c r="N42" s="15">
        <f t="shared" si="2"/>
        <v>222.23125000000007</v>
      </c>
      <c r="O42" s="15">
        <f t="shared" si="2"/>
        <v>0.20029761904761906</v>
      </c>
      <c r="P42" s="15">
        <f t="shared" si="2"/>
        <v>2.974630102040817</v>
      </c>
      <c r="Q42" s="15">
        <f t="shared" si="2"/>
        <v>31.805533730158732</v>
      </c>
      <c r="R42" s="28"/>
      <c r="S42" s="28"/>
      <c r="T42" s="28"/>
      <c r="U42" s="28"/>
    </row>
    <row r="43" spans="1:21" s="21" customFormat="1" ht="15">
      <c r="A43" s="14" t="s">
        <v>38</v>
      </c>
      <c r="B43" s="15">
        <f t="shared" si="3" ref="B43:Q43">STDEV(B9:B38)</f>
        <v>4.3927547618661853</v>
      </c>
      <c r="C43" s="15">
        <f t="shared" si="3"/>
        <v>2.3600356945834409</v>
      </c>
      <c r="D43" s="15">
        <f t="shared" si="3"/>
        <v>5.8651510117830119</v>
      </c>
      <c r="E43" s="15">
        <f t="shared" si="3"/>
        <v>1.065100035465957</v>
      </c>
      <c r="F43" s="15">
        <f t="shared" si="3"/>
        <v>3.1291754111891934</v>
      </c>
      <c r="G43" s="15">
        <f t="shared" si="3"/>
        <v>80.446823827899948</v>
      </c>
      <c r="H43" s="15">
        <f t="shared" si="3"/>
        <v>44.914601413841531</v>
      </c>
      <c r="I43" s="15">
        <f t="shared" si="3"/>
        <v>8.3721565852990469</v>
      </c>
      <c r="J43" s="15">
        <f t="shared" si="3"/>
        <v>0.33335961821653082</v>
      </c>
      <c r="K43" s="15">
        <f t="shared" si="3"/>
        <v>44.565206565354252</v>
      </c>
      <c r="L43" s="15">
        <f t="shared" si="3"/>
        <v>4.0862214569160979</v>
      </c>
      <c r="M43" s="15">
        <f t="shared" si="3"/>
        <v>7.1918119585738376</v>
      </c>
      <c r="N43" s="15">
        <f t="shared" si="3"/>
        <v>82.01012566631951</v>
      </c>
      <c r="O43" s="15">
        <f t="shared" si="3"/>
        <v>0.24956219013122219</v>
      </c>
      <c r="P43" s="15">
        <f t="shared" si="3"/>
        <v>1.1944918872476407</v>
      </c>
      <c r="Q43" s="15">
        <f t="shared" si="3"/>
        <v>61.088264172416878</v>
      </c>
      <c r="R43" s="28"/>
      <c r="S43" s="28"/>
      <c r="T43" s="28"/>
      <c r="U43" s="28"/>
    </row>
    <row r="44" spans="1:21" s="21" customFormat="1" ht="15">
      <c r="A44" s="14" t="s">
        <v>33</v>
      </c>
      <c r="B44" s="12">
        <f t="shared" si="4" ref="B44:Q44">COUNT(B9:B38)</f>
        <v>30</v>
      </c>
      <c r="C44" s="12">
        <f t="shared" si="4"/>
        <v>30</v>
      </c>
      <c r="D44" s="12">
        <f t="shared" si="4"/>
        <v>30</v>
      </c>
      <c r="E44" s="12">
        <f t="shared" si="4"/>
        <v>30</v>
      </c>
      <c r="F44" s="12">
        <f t="shared" si="4"/>
        <v>30</v>
      </c>
      <c r="G44" s="12">
        <f t="shared" si="4"/>
        <v>10</v>
      </c>
      <c r="H44" s="12">
        <f t="shared" si="4"/>
        <v>30</v>
      </c>
      <c r="I44" s="12">
        <f t="shared" si="4"/>
        <v>27</v>
      </c>
      <c r="J44" s="12">
        <f t="shared" si="4"/>
        <v>30</v>
      </c>
      <c r="K44" s="12">
        <f t="shared" si="4"/>
        <v>30</v>
      </c>
      <c r="L44" s="12">
        <f t="shared" si="4"/>
        <v>21</v>
      </c>
      <c r="M44" s="12">
        <f t="shared" si="4"/>
        <v>30</v>
      </c>
      <c r="N44" s="12">
        <f t="shared" si="4"/>
        <v>28</v>
      </c>
      <c r="O44" s="12">
        <f t="shared" si="4"/>
        <v>28</v>
      </c>
      <c r="P44" s="12">
        <f t="shared" si="4"/>
        <v>28</v>
      </c>
      <c r="Q44" s="12">
        <f t="shared" si="4"/>
        <v>30</v>
      </c>
      <c r="R44" s="29"/>
      <c r="S44" s="29"/>
      <c r="T44" s="29"/>
      <c r="U44" s="29"/>
    </row>
    <row r="45" spans="1:21" s="21" customFormat="1" ht="15">
      <c r="A45" s="14" t="s">
        <v>34</v>
      </c>
      <c r="B45" s="12" t="str">
        <f>IF(B44&gt;=28,"&gt;90%",IF(B44&lt;=28,"&lt;90%"))</f>
        <v>&gt;90%</v>
      </c>
      <c r="C45" s="12" t="str">
        <f t="shared" si="5" ref="C45:Q4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&lt;90%</v>
      </c>
      <c r="H45" s="12" t="str">
        <f t="shared" si="5"/>
        <v>&gt;90%</v>
      </c>
      <c r="I45" s="12" t="str">
        <f t="shared" si="5"/>
        <v>&lt;90%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&lt;90%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 ht="15">
      <c r="A46" s="14" t="s">
        <v>1</v>
      </c>
      <c r="B46" s="12" t="str">
        <f>IF(B44&gt;=28,"OK",IF(B44&lt;=28,"LESS"))</f>
        <v>OK</v>
      </c>
      <c r="C46" s="12" t="str">
        <f t="shared" si="6" ref="C46:Q4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LESS</v>
      </c>
      <c r="H46" s="12" t="str">
        <f t="shared" si="6"/>
        <v>OK</v>
      </c>
      <c r="I46" s="12" t="str">
        <f t="shared" si="6"/>
        <v>LESS</v>
      </c>
      <c r="J46" s="12" t="str">
        <f t="shared" si="6"/>
        <v>OK</v>
      </c>
      <c r="K46" s="12" t="str">
        <f t="shared" si="6"/>
        <v>OK</v>
      </c>
      <c r="L46" s="12" t="str">
        <f t="shared" si="6"/>
        <v>LESS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2:20" ht="1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ht="15">
      <c r="A49" s="14" t="s">
        <v>35</v>
      </c>
      <c r="B49" s="40" t="s">
        <v>41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>
      <c r="A51" s="17" t="s">
        <v>36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</row>
    <row r="52" spans="1:16" ht="1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sheetProtection/>
  <mergeCells count="1">
    <mergeCell ref="B51:P5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30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2024-08-30T15:29:49Z</dcterms:modified>
  <cp:category/>
</cp:coreProperties>
</file>