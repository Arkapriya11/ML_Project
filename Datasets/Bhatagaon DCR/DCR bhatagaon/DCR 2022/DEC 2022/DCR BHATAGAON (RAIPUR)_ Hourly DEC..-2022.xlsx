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31" sheetId="42" r:id="rId33"/>
    <sheet name="MONTHLY " sheetId="39" r:id="rId34"/>
  </sheets>
  <definedNames/>
  <calcPr calcId="144525"/>
</workbook>
</file>

<file path=xl/calcChain.xml><?xml version="1.0" encoding="utf-8"?>
<calcChain xmlns="http://schemas.openxmlformats.org/spreadsheetml/2006/main">
  <c r="B2" i="16" l="1"/>
</calcChain>
</file>

<file path=xl/sharedStrings.xml><?xml version="1.0" encoding="utf-8"?>
<sst xmlns="http://schemas.openxmlformats.org/spreadsheetml/2006/main" count="3108" uniqueCount="807">
  <si>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</si>
  <si>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</si>
  <si>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</si>
  <si>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</si>
  <si>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</si>
  <si>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</si>
  <si>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</si>
  <si>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</si>
  <si>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</si>
  <si>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</si>
  <si>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</si>
  <si>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</si>
  <si>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</si>
  <si>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</si>
  <si>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</si>
  <si>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</si>
  <si>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</si>
  <si>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</si>
  <si>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</si>
  <si>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</si>
  <si>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</si>
  <si>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</si>
  <si>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</si>
  <si>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</si>
  <si>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</si>
  <si>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</si>
  <si>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</si>
  <si>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</si>
  <si>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</si>
  <si>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</si>
  <si>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</si>
  <si>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</si>
  <si>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</si>
  <si>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</si>
  <si>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</si>
  <si>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</si>
  <si>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</si>
  <si>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</si>
  <si>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</si>
  <si>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</si>
  <si>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</si>
  <si>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</si>
  <si>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</si>
  <si>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</si>
  <si>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</si>
  <si>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</si>
  <si>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</si>
  <si>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</si>
  <si>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</si>
  <si>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</si>
  <si>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</si>
  <si>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</si>
  <si>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</si>
  <si>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</si>
  <si>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</si>
  <si>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</si>
  <si>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</si>
  <si>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</si>
  <si>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</si>
  <si>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</si>
  <si>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SUROJIT</t>
  </si>
  <si>
    <t>surojit</t>
  </si>
  <si>
    <t>01-12-2022 01:00</t>
  </si>
  <si>
    <t>01-12-2022 02:00</t>
  </si>
  <si>
    <t>01-12-2022 03:00</t>
  </si>
  <si>
    <t>01-12-2022 04:00</t>
  </si>
  <si>
    <t>01-12-2022 05:00</t>
  </si>
  <si>
    <t>01-12-2022 06:00</t>
  </si>
  <si>
    <t>01-12-2022 07:00</t>
  </si>
  <si>
    <t>01-12-2022 08:00</t>
  </si>
  <si>
    <t>01-12-2022 09:00</t>
  </si>
  <si>
    <t>01-12-2022 10:00</t>
  </si>
  <si>
    <t>01-12-2022 11:00</t>
  </si>
  <si>
    <t>01-12-2022 12:00</t>
  </si>
  <si>
    <t>01-12-2022 13:00</t>
  </si>
  <si>
    <t>01-12-2022 14:00</t>
  </si>
  <si>
    <t>01-12-2022 15:00</t>
  </si>
  <si>
    <t>01-12-2022 16:00</t>
  </si>
  <si>
    <t>01-12-2022 17:00</t>
  </si>
  <si>
    <t>01-12-2022 18:00</t>
  </si>
  <si>
    <t>01-12-2022 19:00</t>
  </si>
  <si>
    <t>01-12-2022 20:00</t>
  </si>
  <si>
    <t>01-12-2022 21:00</t>
  </si>
  <si>
    <t>01-12-2022 22:00</t>
  </si>
  <si>
    <t>01-12-2022 23:00</t>
  </si>
  <si>
    <t>01-12-2022 24:00</t>
  </si>
  <si>
    <t>02-12-2022 01:00</t>
  </si>
  <si>
    <t>02-12-2022 02:00</t>
  </si>
  <si>
    <t>02-12-2022 03:00</t>
  </si>
  <si>
    <t>02-12-2022 04:00</t>
  </si>
  <si>
    <t>02-12-2022 05:00</t>
  </si>
  <si>
    <t>02-12-2022 06:00</t>
  </si>
  <si>
    <t>02-12-2022 07:00</t>
  </si>
  <si>
    <t>02-12-2022 08:00</t>
  </si>
  <si>
    <t>02-12-2022 09:00</t>
  </si>
  <si>
    <t>02-12-2022 10:00</t>
  </si>
  <si>
    <t>02-12-2022 11:00</t>
  </si>
  <si>
    <t>02-12-2022 12:00</t>
  </si>
  <si>
    <t>02-12-2022 13:00</t>
  </si>
  <si>
    <t>02-12-2022 14:00</t>
  </si>
  <si>
    <t>02-12-2022 15:00</t>
  </si>
  <si>
    <t>02-12-2022 16:00</t>
  </si>
  <si>
    <t>02-12-2022 17:00</t>
  </si>
  <si>
    <t>02-12-2022 18:00</t>
  </si>
  <si>
    <t>02-12-2022 19:00</t>
  </si>
  <si>
    <t>02-12-2022 20:00</t>
  </si>
  <si>
    <t>02-12-2022 21:00</t>
  </si>
  <si>
    <t>02-12-2022 22:00</t>
  </si>
  <si>
    <t>02-12-2022 23:00</t>
  </si>
  <si>
    <t>02-12-2022 24:00</t>
  </si>
  <si>
    <t>03-12-2022 01:00</t>
  </si>
  <si>
    <t>03-12-2022 02:00</t>
  </si>
  <si>
    <t>03-12-2022 03:00</t>
  </si>
  <si>
    <t>03-12-2022 04:00</t>
  </si>
  <si>
    <t>03-12-2022 05:00</t>
  </si>
  <si>
    <t>03-12-2022 06:00</t>
  </si>
  <si>
    <t>03-12-2022 07:00</t>
  </si>
  <si>
    <t>03-12-2022 08:00</t>
  </si>
  <si>
    <t>03-12-2022 09:00</t>
  </si>
  <si>
    <t>03-12-2022 10:00</t>
  </si>
  <si>
    <t>03-12-2022 11:00</t>
  </si>
  <si>
    <t>03-12-2022 12:00</t>
  </si>
  <si>
    <t>03-12-2022 13:00</t>
  </si>
  <si>
    <t>03-12-2022 14:00</t>
  </si>
  <si>
    <t>03-12-2022 15:00</t>
  </si>
  <si>
    <t>03-12-2022 16:00</t>
  </si>
  <si>
    <t>03-12-2022 17:00</t>
  </si>
  <si>
    <t>03-12-2022 18:00</t>
  </si>
  <si>
    <t>03-12-2022 19:00</t>
  </si>
  <si>
    <t>03-12-2022 20:00</t>
  </si>
  <si>
    <t>03-12-2022 21:00</t>
  </si>
  <si>
    <t>03-12-2022 22:00</t>
  </si>
  <si>
    <t>03-12-2022 23:00</t>
  </si>
  <si>
    <t>03-12-2022 24:00</t>
  </si>
  <si>
    <t>04-12-2022 01:00</t>
  </si>
  <si>
    <t>04-12-2022 02:00</t>
  </si>
  <si>
    <t>04-12-2022 03:00</t>
  </si>
  <si>
    <t>04-12-2022 04:00</t>
  </si>
  <si>
    <t>04-12-2022 05:00</t>
  </si>
  <si>
    <t>04-12-2022 06:00</t>
  </si>
  <si>
    <t>04-12-2022 07:00</t>
  </si>
  <si>
    <t>04-12-2022 08:00</t>
  </si>
  <si>
    <t>04-12-2022 09:00</t>
  </si>
  <si>
    <t>04-12-2022 10:00</t>
  </si>
  <si>
    <t>04-12-2022 11:00</t>
  </si>
  <si>
    <t>04-12-2022 12:00</t>
  </si>
  <si>
    <t>04-12-2022 13:00</t>
  </si>
  <si>
    <t>04-12-2022 14:00</t>
  </si>
  <si>
    <t>04-12-2022 15:00</t>
  </si>
  <si>
    <t>04-12-2022 16:00</t>
  </si>
  <si>
    <t>04-12-2022 17:00</t>
  </si>
  <si>
    <t>04-12-2022 18:00</t>
  </si>
  <si>
    <t>04-12-2022 19:00</t>
  </si>
  <si>
    <t>04-12-2022 20:00</t>
  </si>
  <si>
    <t>04-12-2022 21:00</t>
  </si>
  <si>
    <t>04-12-2022 22:00</t>
  </si>
  <si>
    <t>04-12-2022 23:00</t>
  </si>
  <si>
    <t>04-12-2022 24:00</t>
  </si>
  <si>
    <t>05-12-2022 01:00</t>
  </si>
  <si>
    <t>05-12-2022 02:00</t>
  </si>
  <si>
    <t>05-12-2022 03:00</t>
  </si>
  <si>
    <t>05-12-2022 04:00</t>
  </si>
  <si>
    <t>05-12-2022 05:00</t>
  </si>
  <si>
    <t>05-12-2022 06:00</t>
  </si>
  <si>
    <t>05-12-2022 07:00</t>
  </si>
  <si>
    <t>05-12-2022 08:00</t>
  </si>
  <si>
    <t>05-12-2022 09:00</t>
  </si>
  <si>
    <t>05-12-2022 10:00</t>
  </si>
  <si>
    <t>05-12-2022 11:00</t>
  </si>
  <si>
    <t>05-12-2022 12:00</t>
  </si>
  <si>
    <t>05-12-2022 13:00</t>
  </si>
  <si>
    <t>05-12-2022 14:00</t>
  </si>
  <si>
    <t>05-12-2022 15:00</t>
  </si>
  <si>
    <t>05-12-2022 16:00</t>
  </si>
  <si>
    <t>05-12-2022 17:00</t>
  </si>
  <si>
    <t>05-12-2022 18:00</t>
  </si>
  <si>
    <t>05-12-2022 19:00</t>
  </si>
  <si>
    <t>05-12-2022 20:00</t>
  </si>
  <si>
    <t>05-12-2022 21:00</t>
  </si>
  <si>
    <t>05-12-2022 22:00</t>
  </si>
  <si>
    <t>05-12-2022 23:00</t>
  </si>
  <si>
    <t>05-12-2022 24:00</t>
  </si>
  <si>
    <t>06-12-2022 01:00</t>
  </si>
  <si>
    <t>06-12-2022 02:00</t>
  </si>
  <si>
    <t>06-12-2022 03:00</t>
  </si>
  <si>
    <t>06-12-2022 04:00</t>
  </si>
  <si>
    <t>06-12-2022 05:00</t>
  </si>
  <si>
    <t>06-12-2022 06:00</t>
  </si>
  <si>
    <t>06-12-2022 07:00</t>
  </si>
  <si>
    <t>06-12-2022 08:00</t>
  </si>
  <si>
    <t>06-12-2022 09:00</t>
  </si>
  <si>
    <t>06-12-2022 10:00</t>
  </si>
  <si>
    <t>06-12-2022 11:00</t>
  </si>
  <si>
    <t>06-12-2022 12:00</t>
  </si>
  <si>
    <t>06-12-2022 13:00</t>
  </si>
  <si>
    <t>06-12-2022 14:00</t>
  </si>
  <si>
    <t>06-12-2022 15:00</t>
  </si>
  <si>
    <t>06-12-2022 16:00</t>
  </si>
  <si>
    <t>06-12-2022 17:00</t>
  </si>
  <si>
    <t>06-12-2022 18:00</t>
  </si>
  <si>
    <t>06-12-2022 19:00</t>
  </si>
  <si>
    <t>06-12-2022 20:00</t>
  </si>
  <si>
    <t>06-12-2022 21:00</t>
  </si>
  <si>
    <t>06-12-2022 22:00</t>
  </si>
  <si>
    <t>06-12-2022 23:00</t>
  </si>
  <si>
    <t>06-12-2022 24:00</t>
  </si>
  <si>
    <t>07-12-2022 01:00</t>
  </si>
  <si>
    <t>07-12-2022 02:00</t>
  </si>
  <si>
    <t>07-12-2022 03:00</t>
  </si>
  <si>
    <t>07-12-2022 04:00</t>
  </si>
  <si>
    <t>07-12-2022 05:00</t>
  </si>
  <si>
    <t>07-12-2022 06:00</t>
  </si>
  <si>
    <t>07-12-2022 07:00</t>
  </si>
  <si>
    <t>07-12-2022 08:00</t>
  </si>
  <si>
    <t>07-12-2022 09:00</t>
  </si>
  <si>
    <t>07-12-2022 10:00</t>
  </si>
  <si>
    <t>07-12-2022 11:00</t>
  </si>
  <si>
    <t>07-12-2022 12:00</t>
  </si>
  <si>
    <t>07-12-2022 13:00</t>
  </si>
  <si>
    <t>07-12-2022 14:00</t>
  </si>
  <si>
    <t>07-12-2022 15:00</t>
  </si>
  <si>
    <t>07-12-2022 16:00</t>
  </si>
  <si>
    <t>07-12-2022 17:00</t>
  </si>
  <si>
    <t>07-12-2022 18:00</t>
  </si>
  <si>
    <t>07-12-2022 19:00</t>
  </si>
  <si>
    <t>07-12-2022 20:00</t>
  </si>
  <si>
    <t>07-12-2022 21:00</t>
  </si>
  <si>
    <t>07-12-2022 22:00</t>
  </si>
  <si>
    <t>07-12-2022 23:00</t>
  </si>
  <si>
    <t>07-12-2022 24:00</t>
  </si>
  <si>
    <t>08-12-2022 01:00</t>
  </si>
  <si>
    <t>08-12-2022 02:00</t>
  </si>
  <si>
    <t>08-12-2022 03:00</t>
  </si>
  <si>
    <t>08-12-2022 04:00</t>
  </si>
  <si>
    <t>08-12-2022 05:00</t>
  </si>
  <si>
    <t>08-12-2022 06:00</t>
  </si>
  <si>
    <t>08-12-2022 07:00</t>
  </si>
  <si>
    <t>08-12-2022 08:00</t>
  </si>
  <si>
    <t>08-12-2022 09:00</t>
  </si>
  <si>
    <t>08-12-2022 10:00</t>
  </si>
  <si>
    <t>08-12-2022 11:00</t>
  </si>
  <si>
    <t>08-12-2022 12:00</t>
  </si>
  <si>
    <t>08-12-2022 13:00</t>
  </si>
  <si>
    <t>08-12-2022 14:00</t>
  </si>
  <si>
    <t>08-12-2022 15:00</t>
  </si>
  <si>
    <t>08-12-2022 16:00</t>
  </si>
  <si>
    <t>08-12-2022 17:00</t>
  </si>
  <si>
    <t>08-12-2022 18:00</t>
  </si>
  <si>
    <t>08-12-2022 19:00</t>
  </si>
  <si>
    <t>08-12-2022 20:00</t>
  </si>
  <si>
    <t>08-12-2022 21:00</t>
  </si>
  <si>
    <t>08-12-2022 22:00</t>
  </si>
  <si>
    <t>08-12-2022 23:00</t>
  </si>
  <si>
    <t>08-12-2022 24:00</t>
  </si>
  <si>
    <t>09-12-2022 06:00</t>
  </si>
  <si>
    <t>09-12-2022 07:00</t>
  </si>
  <si>
    <t>09-12-2022 08:00</t>
  </si>
  <si>
    <t>09-12-2022 09:00</t>
  </si>
  <si>
    <t>09-12-2022 10:00</t>
  </si>
  <si>
    <t>09-12-2022 11:00</t>
  </si>
  <si>
    <t>09-12-2022 12:00</t>
  </si>
  <si>
    <t>09-12-2022 13:00</t>
  </si>
  <si>
    <t>09-12-2022 14:00</t>
  </si>
  <si>
    <t>09-12-2022 15:00</t>
  </si>
  <si>
    <t>09-12-2022 16:00</t>
  </si>
  <si>
    <t>09-12-2022 17:00</t>
  </si>
  <si>
    <t>09-12-2022 18:00</t>
  </si>
  <si>
    <t>09-12-2022 19:00</t>
  </si>
  <si>
    <t>09-12-2022 20:00</t>
  </si>
  <si>
    <t>09-12-2022 21:00</t>
  </si>
  <si>
    <t>09-12-2022 22:00</t>
  </si>
  <si>
    <t>09-12-2022 23:00</t>
  </si>
  <si>
    <t>09-12-2022 24:00</t>
  </si>
  <si>
    <t>10-12-2022 01:00</t>
  </si>
  <si>
    <t>10-12-2022 02:00</t>
  </si>
  <si>
    <t>10-12-2022 03:00</t>
  </si>
  <si>
    <t>10-12-2022 04:00</t>
  </si>
  <si>
    <t>10-12-2022 05:00</t>
  </si>
  <si>
    <t>10-12-2022 06:00</t>
  </si>
  <si>
    <t>10-12-2022 07:00</t>
  </si>
  <si>
    <t>10-12-2022 08:00</t>
  </si>
  <si>
    <t>10-12-2022 09:00</t>
  </si>
  <si>
    <t>10-12-2022 10:00</t>
  </si>
  <si>
    <t>10-12-2022 11:00</t>
  </si>
  <si>
    <t>10-12-2022 12:00</t>
  </si>
  <si>
    <t>10-12-2022 13:00</t>
  </si>
  <si>
    <t>10-12-2022 14:00</t>
  </si>
  <si>
    <t>10-12-2022 15:00</t>
  </si>
  <si>
    <t>10-12-2022 16:00</t>
  </si>
  <si>
    <t>10-12-2022 17:00</t>
  </si>
  <si>
    <t>10-12-2022 18:00</t>
  </si>
  <si>
    <t>10-12-2022 19:00</t>
  </si>
  <si>
    <t>10-12-2022 20:00</t>
  </si>
  <si>
    <t>10-12-2022 21:00</t>
  </si>
  <si>
    <t>10-12-2022 22:00</t>
  </si>
  <si>
    <t>10-12-2022 23:00</t>
  </si>
  <si>
    <t>10-12-2022 24:00</t>
  </si>
  <si>
    <t>11-12-2022 01:00</t>
  </si>
  <si>
    <t>11-12-2022 02:00</t>
  </si>
  <si>
    <t>11-12-2022 03:00</t>
  </si>
  <si>
    <t>11-12-2022 04:00</t>
  </si>
  <si>
    <t>11-12-2022 05:00</t>
  </si>
  <si>
    <t>11-12-2022 06:00</t>
  </si>
  <si>
    <t>11-12-2022 07:00</t>
  </si>
  <si>
    <t>11-12-2022 08:00</t>
  </si>
  <si>
    <t>11-12-2022 09:00</t>
  </si>
  <si>
    <t>11-12-2022 10:00</t>
  </si>
  <si>
    <t>11-12-2022 11:00</t>
  </si>
  <si>
    <t>11-12-2022 12:00</t>
  </si>
  <si>
    <t>11-12-2022 13:00</t>
  </si>
  <si>
    <t>11-12-2022 14:00</t>
  </si>
  <si>
    <t>11-12-2022 15:00</t>
  </si>
  <si>
    <t>11-12-2022 16:00</t>
  </si>
  <si>
    <t>11-12-2022 17:00</t>
  </si>
  <si>
    <t>11-12-2022 18:00</t>
  </si>
  <si>
    <t>11-12-2022 19:00</t>
  </si>
  <si>
    <t>11-12-2022 20:00</t>
  </si>
  <si>
    <t>11-12-2022 21:00</t>
  </si>
  <si>
    <t>11-12-2022 22:00</t>
  </si>
  <si>
    <t>11-12-2022 23:00</t>
  </si>
  <si>
    <t>11-12-2022 24:00</t>
  </si>
  <si>
    <t>09-12-2022 01:00</t>
  </si>
  <si>
    <t>09-12-2022 02:00</t>
  </si>
  <si>
    <t>09-12-2022 03:00</t>
  </si>
  <si>
    <t>09-12-2022 04:00</t>
  </si>
  <si>
    <t>09-12-2022 05:00</t>
  </si>
  <si>
    <t>12-12-2022 01:00</t>
  </si>
  <si>
    <t>12-12-2022 02:00</t>
  </si>
  <si>
    <t>12-12-2022 03:00</t>
  </si>
  <si>
    <t>12-12-2022 04:00</t>
  </si>
  <si>
    <t>12-12-2022 05:00</t>
  </si>
  <si>
    <t>12-12-2022 06:00</t>
  </si>
  <si>
    <t>12-12-2022 07:00</t>
  </si>
  <si>
    <t>12-12-2022 08:00</t>
  </si>
  <si>
    <t>12-12-2022 09:00</t>
  </si>
  <si>
    <t>12-12-2022 10:00</t>
  </si>
  <si>
    <t>12-12-2022 11:00</t>
  </si>
  <si>
    <t>12-12-2022 12:00</t>
  </si>
  <si>
    <t>12-12-2022 13:00</t>
  </si>
  <si>
    <t>12-12-2022 14:00</t>
  </si>
  <si>
    <t>12-12-2022 15:00</t>
  </si>
  <si>
    <t>12-12-2022 16:00</t>
  </si>
  <si>
    <t>12-12-2022 17:00</t>
  </si>
  <si>
    <t>12-12-2022 18:00</t>
  </si>
  <si>
    <t>12-12-2022 19:00</t>
  </si>
  <si>
    <t>12-12-2022 20:00</t>
  </si>
  <si>
    <t>12-12-2022 21:00</t>
  </si>
  <si>
    <t>12-12-2022 22:00</t>
  </si>
  <si>
    <t>12-12-2022 23:00</t>
  </si>
  <si>
    <t>12-12-2022 24:00</t>
  </si>
  <si>
    <t>13-12-2022 01:00</t>
  </si>
  <si>
    <t>13-12-2022 02:00</t>
  </si>
  <si>
    <t>13-12-2022 03:00</t>
  </si>
  <si>
    <t>13-12-2022 04:00</t>
  </si>
  <si>
    <t>13-12-2022 05:00</t>
  </si>
  <si>
    <t>13-12-2022 06:00</t>
  </si>
  <si>
    <t>13-12-2022 07:00</t>
  </si>
  <si>
    <t>13-12-2022 08:00</t>
  </si>
  <si>
    <t>13-12-2022 09:00</t>
  </si>
  <si>
    <t>13-12-2022 10:00</t>
  </si>
  <si>
    <t>13-12-2022 11:00</t>
  </si>
  <si>
    <t>13-12-2022 12:00</t>
  </si>
  <si>
    <t>13-12-2022 13:00</t>
  </si>
  <si>
    <t>13-12-2022 14:00</t>
  </si>
  <si>
    <t>13-12-2022 15:00</t>
  </si>
  <si>
    <t>13-12-2022 16:00</t>
  </si>
  <si>
    <t>13-12-2022 17:00</t>
  </si>
  <si>
    <t>13-12-2022 18:00</t>
  </si>
  <si>
    <t>13-12-2022 19:00</t>
  </si>
  <si>
    <t>13-12-2022 20:00</t>
  </si>
  <si>
    <t>13-12-2022 21:00</t>
  </si>
  <si>
    <t>13-12-2022 22:00</t>
  </si>
  <si>
    <t>13-12-2022 23:00</t>
  </si>
  <si>
    <t>13-12-2022 24:00</t>
  </si>
  <si>
    <t>14-12-2022 01:00</t>
  </si>
  <si>
    <t>14-12-2022 02:00</t>
  </si>
  <si>
    <t>14-12-2022 03:00</t>
  </si>
  <si>
    <t>14-12-2022 04:00</t>
  </si>
  <si>
    <t>14-12-2022 05:00</t>
  </si>
  <si>
    <t>14-12-2022 06:00</t>
  </si>
  <si>
    <t>14-12-2022 07:00</t>
  </si>
  <si>
    <t>14-12-2022 08:00</t>
  </si>
  <si>
    <t>14-12-2022 09:00</t>
  </si>
  <si>
    <t>14-12-2022 10:00</t>
  </si>
  <si>
    <t>14-12-2022 11:00</t>
  </si>
  <si>
    <t>14-12-2022 12:00</t>
  </si>
  <si>
    <t>14-12-2022 13:00</t>
  </si>
  <si>
    <t>14-12-2022 14:00</t>
  </si>
  <si>
    <t>14-12-2022 15:00</t>
  </si>
  <si>
    <t>14-12-2022 16:00</t>
  </si>
  <si>
    <t>14-12-2022 17:00</t>
  </si>
  <si>
    <t>14-12-2022 18:00</t>
  </si>
  <si>
    <t>14-12-2022 19:00</t>
  </si>
  <si>
    <t>14-12-2022 20:00</t>
  </si>
  <si>
    <t>14-12-2022 21:00</t>
  </si>
  <si>
    <t>14-12-2022 22:00</t>
  </si>
  <si>
    <t>14-12-2022 23:00</t>
  </si>
  <si>
    <t>14-12-2022 24:00</t>
  </si>
  <si>
    <t>15-12-2022 01:00</t>
  </si>
  <si>
    <t>15-12-2022 02:00</t>
  </si>
  <si>
    <t>15-12-2022 03:00</t>
  </si>
  <si>
    <t>15-12-2022 04:00</t>
  </si>
  <si>
    <t>15-12-2022 05:00</t>
  </si>
  <si>
    <t>15-12-2022 06:00</t>
  </si>
  <si>
    <t>15-12-2022 07:00</t>
  </si>
  <si>
    <t>15-12-2022 08:00</t>
  </si>
  <si>
    <t>15-12-2022 09:00</t>
  </si>
  <si>
    <t>15-12-2022 10:00</t>
  </si>
  <si>
    <t>15-12-2022 11:00</t>
  </si>
  <si>
    <t>15-12-2022 12:00</t>
  </si>
  <si>
    <t>15-12-2022 13:00</t>
  </si>
  <si>
    <t>15-12-2022 14:00</t>
  </si>
  <si>
    <t>15-12-2022 15:00</t>
  </si>
  <si>
    <t>15-12-2022 16:00</t>
  </si>
  <si>
    <t>15-12-2022 17:00</t>
  </si>
  <si>
    <t>15-12-2022 18:00</t>
  </si>
  <si>
    <t>15-12-2022 19:00</t>
  </si>
  <si>
    <t>15-12-2022 20:00</t>
  </si>
  <si>
    <t>15-12-2022 21:00</t>
  </si>
  <si>
    <t>15-12-2022 22:00</t>
  </si>
  <si>
    <t>15-12-2022 23:00</t>
  </si>
  <si>
    <t>15-12-2022 24:00</t>
  </si>
  <si>
    <t>16-12-2022 01:00</t>
  </si>
  <si>
    <t>16-12-2022 02:00</t>
  </si>
  <si>
    <t>16-12-2022 03:00</t>
  </si>
  <si>
    <t>16-12-2022 04:00</t>
  </si>
  <si>
    <t>16-12-2022 05:00</t>
  </si>
  <si>
    <t>16-12-2022 06:00</t>
  </si>
  <si>
    <t>16-12-2022 07:00</t>
  </si>
  <si>
    <t>16-12-2022 08:00</t>
  </si>
  <si>
    <t>16-12-2022 09:00</t>
  </si>
  <si>
    <t>16-12-2022 10:00</t>
  </si>
  <si>
    <t>16-12-2022 11:00</t>
  </si>
  <si>
    <t>16-12-2022 12:00</t>
  </si>
  <si>
    <t>16-12-2022 13:00</t>
  </si>
  <si>
    <t>16-12-2022 14:00</t>
  </si>
  <si>
    <t>16-12-2022 15:00</t>
  </si>
  <si>
    <t>16-12-2022 16:00</t>
  </si>
  <si>
    <t>16-12-2022 17:00</t>
  </si>
  <si>
    <t>16-12-2022 18:00</t>
  </si>
  <si>
    <t>16-12-2022 19:00</t>
  </si>
  <si>
    <t>16-12-2022 20:00</t>
  </si>
  <si>
    <t>16-12-2022 21:00</t>
  </si>
  <si>
    <t>16-12-2022 22:00</t>
  </si>
  <si>
    <t>16-12-2022 23:00</t>
  </si>
  <si>
    <t>16-12-2022 24:00</t>
  </si>
  <si>
    <t>17-12-2022 01:00</t>
  </si>
  <si>
    <t>17-12-2022 02:00</t>
  </si>
  <si>
    <t>17-12-2022 03:00</t>
  </si>
  <si>
    <t>17-12-2022 04:00</t>
  </si>
  <si>
    <t>17-12-2022 05:00</t>
  </si>
  <si>
    <t>17-12-2022 06:00</t>
  </si>
  <si>
    <t>17-12-2022 07:00</t>
  </si>
  <si>
    <t>17-12-2022 08:00</t>
  </si>
  <si>
    <t>17-12-2022 09:00</t>
  </si>
  <si>
    <t>17-12-2022 10:00</t>
  </si>
  <si>
    <t>17-12-2022 11:00</t>
  </si>
  <si>
    <t>17-12-2022 12:00</t>
  </si>
  <si>
    <t>17-12-2022 13:00</t>
  </si>
  <si>
    <t>17-12-2022 14:00</t>
  </si>
  <si>
    <t>17-12-2022 15:00</t>
  </si>
  <si>
    <t>17-12-2022 16:00</t>
  </si>
  <si>
    <t>17-12-2022 17:00</t>
  </si>
  <si>
    <t>17-12-2022 18:00</t>
  </si>
  <si>
    <t>17-12-2022 19:00</t>
  </si>
  <si>
    <t>17-12-2022 20:00</t>
  </si>
  <si>
    <t>17-12-2022 21:00</t>
  </si>
  <si>
    <t>17-12-2022 22:00</t>
  </si>
  <si>
    <t>17-12-2022 23:00</t>
  </si>
  <si>
    <t>17-12-2022 24:00</t>
  </si>
  <si>
    <t>18-12-2022 01:00</t>
  </si>
  <si>
    <t>18-12-2022 02:00</t>
  </si>
  <si>
    <t>18-12-2022 03:00</t>
  </si>
  <si>
    <t>18-12-2022 04:00</t>
  </si>
  <si>
    <t>18-12-2022 05:00</t>
  </si>
  <si>
    <t>18-12-2022 06:00</t>
  </si>
  <si>
    <t>18-12-2022 07:00</t>
  </si>
  <si>
    <t>18-12-2022 08:00</t>
  </si>
  <si>
    <t>18-12-2022 09:00</t>
  </si>
  <si>
    <t>18-12-2022 10:00</t>
  </si>
  <si>
    <t>18-12-2022 11:00</t>
  </si>
  <si>
    <t>18-12-2022 12:00</t>
  </si>
  <si>
    <t>18-12-2022 13:00</t>
  </si>
  <si>
    <t>18-12-2022 14:00</t>
  </si>
  <si>
    <t>18-12-2022 15:00</t>
  </si>
  <si>
    <t>18-12-2022 16:00</t>
  </si>
  <si>
    <t>18-12-2022 17:00</t>
  </si>
  <si>
    <t>18-12-2022 18:00</t>
  </si>
  <si>
    <t>18-12-2022 19:00</t>
  </si>
  <si>
    <t>18-12-2022 20:00</t>
  </si>
  <si>
    <t>18-12-2022 21:00</t>
  </si>
  <si>
    <t>18-12-2022 22:00</t>
  </si>
  <si>
    <t>18-12-2022 23:00</t>
  </si>
  <si>
    <t>18-12-2022 24:00</t>
  </si>
  <si>
    <t>19-12-2022 01:00</t>
  </si>
  <si>
    <t>19-12-2022 02:00</t>
  </si>
  <si>
    <t>19-12-2022 03:00</t>
  </si>
  <si>
    <t>19-12-2022 04:00</t>
  </si>
  <si>
    <t>19-12-2022 05:00</t>
  </si>
  <si>
    <t>19-12-2022 06:00</t>
  </si>
  <si>
    <t>19-12-2022 07:00</t>
  </si>
  <si>
    <t>19-12-2022 08:00</t>
  </si>
  <si>
    <t>19-12-2022 09:00</t>
  </si>
  <si>
    <t>19-12-2022 10:00</t>
  </si>
  <si>
    <t>19-12-2022 11:00</t>
  </si>
  <si>
    <t>19-12-2022 12:00</t>
  </si>
  <si>
    <t>19-12-2022 13:00</t>
  </si>
  <si>
    <t>19-12-2022 14:00</t>
  </si>
  <si>
    <t>19-12-2022 15:00</t>
  </si>
  <si>
    <t>19-12-2022 16:00</t>
  </si>
  <si>
    <t>19-12-2022 17:00</t>
  </si>
  <si>
    <t>19-12-2022 18:00</t>
  </si>
  <si>
    <t>19-12-2022 19:00</t>
  </si>
  <si>
    <t>19-12-2022 20:00</t>
  </si>
  <si>
    <t>19-12-2022 21:00</t>
  </si>
  <si>
    <t>19-12-2022 22:00</t>
  </si>
  <si>
    <t>19-12-2022 23:00</t>
  </si>
  <si>
    <t>19-12-2022 24:00</t>
  </si>
  <si>
    <t>20-12-2022 01:00</t>
  </si>
  <si>
    <t>20-12-2022 02:00</t>
  </si>
  <si>
    <t>20-12-2022 03:00</t>
  </si>
  <si>
    <t>20-12-2022 04:00</t>
  </si>
  <si>
    <t>20-12-2022 05:00</t>
  </si>
  <si>
    <t>20-12-2022 06:00</t>
  </si>
  <si>
    <t>20-12-2022 07:00</t>
  </si>
  <si>
    <t>20-12-2022 08:00</t>
  </si>
  <si>
    <t>20-12-2022 09:00</t>
  </si>
  <si>
    <t>20-12-2022 10:00</t>
  </si>
  <si>
    <t>20-12-2022 11:00</t>
  </si>
  <si>
    <t>20-12-2022 12:00</t>
  </si>
  <si>
    <t>20-12-2022 13:00</t>
  </si>
  <si>
    <t>20-12-2022 14:00</t>
  </si>
  <si>
    <t>20-12-2022 15:00</t>
  </si>
  <si>
    <t>20-12-2022 16:00</t>
  </si>
  <si>
    <t>20-12-2022 17:00</t>
  </si>
  <si>
    <t>20-12-2022 18:00</t>
  </si>
  <si>
    <t>20-12-2022 19:00</t>
  </si>
  <si>
    <t>20-12-2022 20:00</t>
  </si>
  <si>
    <t>20-12-2022 21:00</t>
  </si>
  <si>
    <t>20-12-2022 22:00</t>
  </si>
  <si>
    <t>20-12-2022 23:00</t>
  </si>
  <si>
    <t>20-12-2022 24:00</t>
  </si>
  <si>
    <t>21-12-2022 01:00</t>
  </si>
  <si>
    <t>21-12-2022 02:00</t>
  </si>
  <si>
    <t>21-12-2022 03:00</t>
  </si>
  <si>
    <t>21-12-2022 04:00</t>
  </si>
  <si>
    <t>21-12-2022 05:00</t>
  </si>
  <si>
    <t>21-12-2022 06:00</t>
  </si>
  <si>
    <t>21-12-2022 07:00</t>
  </si>
  <si>
    <t>21-12-2022 08:00</t>
  </si>
  <si>
    <t>21-12-2022 09:00</t>
  </si>
  <si>
    <t>21-12-2022 10:00</t>
  </si>
  <si>
    <t>21-12-2022 11:00</t>
  </si>
  <si>
    <t>21-12-2022 12:00</t>
  </si>
  <si>
    <t>21-12-2022 13:00</t>
  </si>
  <si>
    <t>21-12-2022 14:00</t>
  </si>
  <si>
    <t>21-12-2022 15:00</t>
  </si>
  <si>
    <t>21-12-2022 16:00</t>
  </si>
  <si>
    <t>21-12-2022 17:00</t>
  </si>
  <si>
    <t>21-12-2022 18:00</t>
  </si>
  <si>
    <t>21-12-2022 19:00</t>
  </si>
  <si>
    <t>21-12-2022 20:00</t>
  </si>
  <si>
    <t>21-12-2022 21:00</t>
  </si>
  <si>
    <t>21-12-2022 22:00</t>
  </si>
  <si>
    <t>21-12-2022 23:00</t>
  </si>
  <si>
    <t>21-12-2022 24:00</t>
  </si>
  <si>
    <t>22-12-2022 01:00</t>
  </si>
  <si>
    <t>22-12-2022 02:00</t>
  </si>
  <si>
    <t>22-12-2022 03:00</t>
  </si>
  <si>
    <t>22-12-2022 04:00</t>
  </si>
  <si>
    <t>22-12-2022 05:00</t>
  </si>
  <si>
    <t>22-12-2022 06:00</t>
  </si>
  <si>
    <t>22-12-2022 07:00</t>
  </si>
  <si>
    <t>22-12-2022 08:00</t>
  </si>
  <si>
    <t>22-12-2022 09:00</t>
  </si>
  <si>
    <t>22-12-2022 10:00</t>
  </si>
  <si>
    <t>22-12-2022 11:00</t>
  </si>
  <si>
    <t>22-12-2022 12:00</t>
  </si>
  <si>
    <t>22-12-2022 13:00</t>
  </si>
  <si>
    <t>22-12-2022 14:00</t>
  </si>
  <si>
    <t>22-12-2022 15:00</t>
  </si>
  <si>
    <t>22-12-2022 16:00</t>
  </si>
  <si>
    <t>22-12-2022 17:00</t>
  </si>
  <si>
    <t>22-12-2022 18:00</t>
  </si>
  <si>
    <t>22-12-2022 19:00</t>
  </si>
  <si>
    <t>22-12-2022 20:00</t>
  </si>
  <si>
    <t>22-12-2022 21:00</t>
  </si>
  <si>
    <t>22-12-2022 22:00</t>
  </si>
  <si>
    <t>22-12-2022 23:00</t>
  </si>
  <si>
    <t>22-12-2022 24:00</t>
  </si>
  <si>
    <t>23-12-2022 01:00</t>
  </si>
  <si>
    <t>23-12-2022 02:00</t>
  </si>
  <si>
    <t>23-12-2022 03:00</t>
  </si>
  <si>
    <t>23-12-2022 04:00</t>
  </si>
  <si>
    <t>23-12-2022 05:00</t>
  </si>
  <si>
    <t>23-12-2022 06:00</t>
  </si>
  <si>
    <t>23-12-2022 07:00</t>
  </si>
  <si>
    <t>23-12-2022 08:00</t>
  </si>
  <si>
    <t>23-12-2022 09:00</t>
  </si>
  <si>
    <t>23-12-2022 10:00</t>
  </si>
  <si>
    <t>23-12-2022 11:00</t>
  </si>
  <si>
    <t>23-12-2022 12:00</t>
  </si>
  <si>
    <t>23-12-2022 13:00</t>
  </si>
  <si>
    <t>23-12-2022 14:00</t>
  </si>
  <si>
    <t>23-12-2022 15:00</t>
  </si>
  <si>
    <t>23-12-2022 16:00</t>
  </si>
  <si>
    <t>23-12-2022 17:00</t>
  </si>
  <si>
    <t>23-12-2022 18:00</t>
  </si>
  <si>
    <t>23-12-2022 19:00</t>
  </si>
  <si>
    <t>23-12-2022 20:00</t>
  </si>
  <si>
    <t>23-12-2022 21:00</t>
  </si>
  <si>
    <t>23-12-2022 22:00</t>
  </si>
  <si>
    <t>23-12-2022 23:00</t>
  </si>
  <si>
    <t>23-12-2022 24:00</t>
  </si>
  <si>
    <t>24-12-2022 01:00</t>
  </si>
  <si>
    <t>24-12-2022 02:00</t>
  </si>
  <si>
    <t>24-12-2022 03:00</t>
  </si>
  <si>
    <t>24-12-2022 04:00</t>
  </si>
  <si>
    <t>24-12-2022 05:00</t>
  </si>
  <si>
    <t>24-12-2022 06:00</t>
  </si>
  <si>
    <t>24-12-2022 07:00</t>
  </si>
  <si>
    <t>24-12-2022 08:00</t>
  </si>
  <si>
    <t>24-12-2022 09:00</t>
  </si>
  <si>
    <t>24-12-2022 10:00</t>
  </si>
  <si>
    <t>24-12-2022 11:00</t>
  </si>
  <si>
    <t>24-12-2022 12:00</t>
  </si>
  <si>
    <t>24-12-2022 13:00</t>
  </si>
  <si>
    <t>24-12-2022 14:00</t>
  </si>
  <si>
    <t>24-12-2022 15:00</t>
  </si>
  <si>
    <t>24-12-2022 16:00</t>
  </si>
  <si>
    <t>24-12-2022 17:00</t>
  </si>
  <si>
    <t>24-12-2022 18:00</t>
  </si>
  <si>
    <t>24-12-2022 19:00</t>
  </si>
  <si>
    <t>24-12-2022 20:00</t>
  </si>
  <si>
    <t>24-12-2022 21:00</t>
  </si>
  <si>
    <t>24-12-2022 22:00</t>
  </si>
  <si>
    <t>24-12-2022 23:00</t>
  </si>
  <si>
    <t>24-12-2022 24:00</t>
  </si>
  <si>
    <t>rahul</t>
  </si>
  <si>
    <t>25-12-2022 01:00</t>
  </si>
  <si>
    <t>25-12-2022 02:00</t>
  </si>
  <si>
    <t>25-12-2022 03:00</t>
  </si>
  <si>
    <t>25-12-2022 04:00</t>
  </si>
  <si>
    <t>25-12-2022 05:00</t>
  </si>
  <si>
    <t>25-12-2022 06:00</t>
  </si>
  <si>
    <t>25-12-2022 07:00</t>
  </si>
  <si>
    <t>25-12-2022 08:00</t>
  </si>
  <si>
    <t>25-12-2022 09:00</t>
  </si>
  <si>
    <t>25-12-2022 10:00</t>
  </si>
  <si>
    <t>25-12-2022 11:00</t>
  </si>
  <si>
    <t>25-12-2022 12:00</t>
  </si>
  <si>
    <t>25-12-2022 13:00</t>
  </si>
  <si>
    <t>25-12-2022 14:00</t>
  </si>
  <si>
    <t>25-12-2022 15:00</t>
  </si>
  <si>
    <t>25-12-2022 16:00</t>
  </si>
  <si>
    <t>25-12-2022 17:00</t>
  </si>
  <si>
    <t>25-12-2022 18:00</t>
  </si>
  <si>
    <t>25-12-2022 19:00</t>
  </si>
  <si>
    <t>25-12-2022 20:00</t>
  </si>
  <si>
    <t>25-12-2022 21:00</t>
  </si>
  <si>
    <t>25-12-2022 22:00</t>
  </si>
  <si>
    <t>25-12-2022 23:00</t>
  </si>
  <si>
    <t>25-12-2022 24:00</t>
  </si>
  <si>
    <t>26-12-2022 01:00</t>
  </si>
  <si>
    <t>26-12-2022 02:00</t>
  </si>
  <si>
    <t>26-12-2022 03:00</t>
  </si>
  <si>
    <t>26-12-2022 04:00</t>
  </si>
  <si>
    <t>26-12-2022 05:00</t>
  </si>
  <si>
    <t>26-12-2022 06:00</t>
  </si>
  <si>
    <t>26-12-2022 07:00</t>
  </si>
  <si>
    <t>26-12-2022 08:00</t>
  </si>
  <si>
    <t>26-12-2022 09:00</t>
  </si>
  <si>
    <t>26-12-2022 10:00</t>
  </si>
  <si>
    <t>26-12-2022 11:00</t>
  </si>
  <si>
    <t>26-12-2022 12:00</t>
  </si>
  <si>
    <t>26-12-2022 13:00</t>
  </si>
  <si>
    <t>26-12-2022 14:00</t>
  </si>
  <si>
    <t>26-12-2022 15:00</t>
  </si>
  <si>
    <t>26-12-2022 16:00</t>
  </si>
  <si>
    <t>26-12-2022 17:00</t>
  </si>
  <si>
    <t>26-12-2022 18:00</t>
  </si>
  <si>
    <t>26-12-2022 19:00</t>
  </si>
  <si>
    <t>26-12-2022 20:00</t>
  </si>
  <si>
    <t>26-12-2022 21:00</t>
  </si>
  <si>
    <t>26-12-2022 22:00</t>
  </si>
  <si>
    <t>26-12-2022 23:00</t>
  </si>
  <si>
    <t>26-12-2022 24:00</t>
  </si>
  <si>
    <t>27-12-2022 01:00</t>
  </si>
  <si>
    <t>27-12-2022 02:00</t>
  </si>
  <si>
    <t>27-12-2022 03:00</t>
  </si>
  <si>
    <t>27-12-2022 04:00</t>
  </si>
  <si>
    <t>27-12-2022 05:00</t>
  </si>
  <si>
    <t>27-12-2022 06:00</t>
  </si>
  <si>
    <t>27-12-2022 07:00</t>
  </si>
  <si>
    <t>27-12-2022 08:00</t>
  </si>
  <si>
    <t>27-12-2022 09:00</t>
  </si>
  <si>
    <t>27-12-2022 10:00</t>
  </si>
  <si>
    <t>27-12-2022 11:00</t>
  </si>
  <si>
    <t>27-12-2022 12:00</t>
  </si>
  <si>
    <t>27-12-2022 13:00</t>
  </si>
  <si>
    <t>27-12-2022 14:00</t>
  </si>
  <si>
    <t>27-12-2022 15:00</t>
  </si>
  <si>
    <t>27-12-2022 16:00</t>
  </si>
  <si>
    <t>27-12-2022 17:00</t>
  </si>
  <si>
    <t>27-12-2022 18:00</t>
  </si>
  <si>
    <t>27-12-2022 19:00</t>
  </si>
  <si>
    <t>27-12-2022 20:00</t>
  </si>
  <si>
    <t>27-12-2022 21:00</t>
  </si>
  <si>
    <t>27-12-2022 22:00</t>
  </si>
  <si>
    <t>27-12-2022 23:00</t>
  </si>
  <si>
    <t>27-12-2022 24:00</t>
  </si>
  <si>
    <t>28-12-2022 01:00</t>
  </si>
  <si>
    <t>28-12-2022 02:00</t>
  </si>
  <si>
    <t>28-12-2022 03:00</t>
  </si>
  <si>
    <t>28-12-2022 04:00</t>
  </si>
  <si>
    <t>28-12-2022 05:00</t>
  </si>
  <si>
    <t>28-12-2022 06:00</t>
  </si>
  <si>
    <t>28-12-2022 07:00</t>
  </si>
  <si>
    <t>28-12-2022 08:00</t>
  </si>
  <si>
    <t>28-12-2022 09:00</t>
  </si>
  <si>
    <t>28-12-2022 10:00</t>
  </si>
  <si>
    <t>28-12-2022 11:00</t>
  </si>
  <si>
    <t>28-12-2022 12:00</t>
  </si>
  <si>
    <t>28-12-2022 13:00</t>
  </si>
  <si>
    <t>28-12-2022 14:00</t>
  </si>
  <si>
    <t>28-12-2022 15:00</t>
  </si>
  <si>
    <t>28-12-2022 16:00</t>
  </si>
  <si>
    <t>28-12-2022 17:00</t>
  </si>
  <si>
    <t>28-12-2022 18:00</t>
  </si>
  <si>
    <t>28-12-2022 19:00</t>
  </si>
  <si>
    <t>28-12-2022 20:00</t>
  </si>
  <si>
    <t>28-12-2022 21:00</t>
  </si>
  <si>
    <t>28-12-2022 22:00</t>
  </si>
  <si>
    <t>28-12-2022 23:00</t>
  </si>
  <si>
    <t>28-12-2022 24:00</t>
  </si>
  <si>
    <t>29-12-2022 01:00</t>
  </si>
  <si>
    <t>29-12-2022 02:00</t>
  </si>
  <si>
    <t>29-12-2022 03:00</t>
  </si>
  <si>
    <t>29-12-2022 04:00</t>
  </si>
  <si>
    <t>29-12-2022 05:00</t>
  </si>
  <si>
    <t>29-12-2022 06:00</t>
  </si>
  <si>
    <t>29-12-2022 07:00</t>
  </si>
  <si>
    <t>29-12-2022 08:00</t>
  </si>
  <si>
    <t>29-12-2022 09:00</t>
  </si>
  <si>
    <t>29-12-2022 10:00</t>
  </si>
  <si>
    <t>29-12-2022 11:00</t>
  </si>
  <si>
    <t>29-12-2022 12:00</t>
  </si>
  <si>
    <t>29-12-2022 13:00</t>
  </si>
  <si>
    <t>29-12-2022 14:00</t>
  </si>
  <si>
    <t>29-12-2022 15:00</t>
  </si>
  <si>
    <t>29-12-2022 16:00</t>
  </si>
  <si>
    <t>29-12-2022 17:00</t>
  </si>
  <si>
    <t>29-12-2022 18:00</t>
  </si>
  <si>
    <t>29-12-2022 19:00</t>
  </si>
  <si>
    <t>29-12-2022 20:00</t>
  </si>
  <si>
    <t>29-12-2022 21:00</t>
  </si>
  <si>
    <t>29-12-2022 22:00</t>
  </si>
  <si>
    <t>29-12-2022 23:00</t>
  </si>
  <si>
    <t>29-12-2022 24:00</t>
  </si>
  <si>
    <t>30-12-2022 01:00</t>
  </si>
  <si>
    <t>30-12-2022 02:00</t>
  </si>
  <si>
    <t>30-12-2022 03:00</t>
  </si>
  <si>
    <t>30-12-2022 04:00</t>
  </si>
  <si>
    <t>30-12-2022 05:00</t>
  </si>
  <si>
    <t>30-12-2022 06:00</t>
  </si>
  <si>
    <t>30-12-2022 07:00</t>
  </si>
  <si>
    <t>30-12-2022 08:00</t>
  </si>
  <si>
    <t>30-12-2022 09:00</t>
  </si>
  <si>
    <t>30-12-2022 10:00</t>
  </si>
  <si>
    <t>30-12-2022 11:00</t>
  </si>
  <si>
    <t>30-12-2022 12:00</t>
  </si>
  <si>
    <t>30-12-2022 13:00</t>
  </si>
  <si>
    <t>30-12-2022 14:00</t>
  </si>
  <si>
    <t>30-12-2022 15:00</t>
  </si>
  <si>
    <t>30-12-2022 16:00</t>
  </si>
  <si>
    <t>30-12-2022 17:00</t>
  </si>
  <si>
    <t>30-12-2022 18:00</t>
  </si>
  <si>
    <t>30-12-2022 19:00</t>
  </si>
  <si>
    <t>30-12-2022 20:00</t>
  </si>
  <si>
    <t>30-12-2022 21:00</t>
  </si>
  <si>
    <t>30-12-2022 22:00</t>
  </si>
  <si>
    <t>30-12-2022 23:00</t>
  </si>
  <si>
    <t>30-12-2022 24:00</t>
  </si>
  <si>
    <t>31-12-2022 01:00</t>
  </si>
  <si>
    <t>31-12-2022 02:00</t>
  </si>
  <si>
    <t>31-12-2022 03:00</t>
  </si>
  <si>
    <t>31-12-2022 04:00</t>
  </si>
  <si>
    <t>31-12-2022 05:00</t>
  </si>
  <si>
    <t>31-12-2022 06:00</t>
  </si>
  <si>
    <t>31-12-2022 07:00</t>
  </si>
  <si>
    <t>31-12-2022 08:00</t>
  </si>
  <si>
    <t>31-12-2022 09:00</t>
  </si>
  <si>
    <t>31-12-2022 10:00</t>
  </si>
  <si>
    <t>31-12-2022 11:00</t>
  </si>
  <si>
    <t>31-12-2022 12:00</t>
  </si>
  <si>
    <t>31-12-2022 13:00</t>
  </si>
  <si>
    <t>31-12-2022 14:00</t>
  </si>
  <si>
    <t>31-12-2022 15:00</t>
  </si>
  <si>
    <t>31-12-2022 16:00</t>
  </si>
  <si>
    <t>31-12-2022 17:00</t>
  </si>
  <si>
    <t>31-12-2022 18:00</t>
  </si>
  <si>
    <t>31-12-2022 19:00</t>
  </si>
  <si>
    <t>31-12-2022 20:00</t>
  </si>
  <si>
    <t>31-12-2022 21:00</t>
  </si>
  <si>
    <t>31-12-2022 22:00</t>
  </si>
  <si>
    <t>31-12-2022 23:00</t>
  </si>
  <si>
    <t>31-12-2022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</si>
</sst>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8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0" fontId="10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8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29" Type="http://schemas.openxmlformats.org/officeDocument/2006/relationships/worksheet" Target="worksheets/sheet27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28" Type="http://schemas.openxmlformats.org/officeDocument/2006/relationships/worksheet" Target="worksheets/sheet26.xml" /><Relationship Id="rId26" Type="http://schemas.openxmlformats.org/officeDocument/2006/relationships/worksheet" Target="worksheets/sheet24.xml" /><Relationship Id="rId36" Type="http://schemas.openxmlformats.org/officeDocument/2006/relationships/calcChain" Target="calcChain.xml" /><Relationship Id="rId23" Type="http://schemas.openxmlformats.org/officeDocument/2006/relationships/worksheet" Target="worksheets/sheet21.xml" /><Relationship Id="rId9" Type="http://schemas.openxmlformats.org/officeDocument/2006/relationships/worksheet" Target="worksheets/sheet7.xml" /><Relationship Id="rId34" Type="http://schemas.openxmlformats.org/officeDocument/2006/relationships/worksheet" Target="worksheets/sheet32.xml" /><Relationship Id="rId22" Type="http://schemas.openxmlformats.org/officeDocument/2006/relationships/worksheet" Target="worksheets/sheet20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4" Type="http://schemas.openxmlformats.org/officeDocument/2006/relationships/worksheet" Target="worksheets/sheet12.xml" /><Relationship Id="rId25" Type="http://schemas.openxmlformats.org/officeDocument/2006/relationships/worksheet" Target="worksheets/sheet23.xml" /><Relationship Id="rId19" Type="http://schemas.openxmlformats.org/officeDocument/2006/relationships/worksheet" Target="worksheets/sheet17.xml" /><Relationship Id="rId12" Type="http://schemas.openxmlformats.org/officeDocument/2006/relationships/worksheet" Target="worksheets/sheet10.xml" /><Relationship Id="rId21" Type="http://schemas.openxmlformats.org/officeDocument/2006/relationships/worksheet" Target="worksheets/sheet19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33" Type="http://schemas.openxmlformats.org/officeDocument/2006/relationships/worksheet" Target="worksheets/sheet31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11" Type="http://schemas.openxmlformats.org/officeDocument/2006/relationships/worksheet" Target="worksheets/sheet9.xml" /><Relationship Id="rId32" Type="http://schemas.openxmlformats.org/officeDocument/2006/relationships/worksheet" Target="worksheets/sheet30.xml" /><Relationship Id="rId15" Type="http://schemas.openxmlformats.org/officeDocument/2006/relationships/worksheet" Target="worksheets/sheet13.xml" /><Relationship Id="rId31" Type="http://schemas.openxmlformats.org/officeDocument/2006/relationships/worksheet" Target="worksheets/sheet29.xml" /><Relationship Id="rId20" Type="http://schemas.openxmlformats.org/officeDocument/2006/relationships/worksheet" Target="worksheets/sheet18.xml" /><Relationship Id="rId13" Type="http://schemas.openxmlformats.org/officeDocument/2006/relationships/worksheet" Target="worksheets/sheet11.xml" /><Relationship Id="rId24" Type="http://schemas.openxmlformats.org/officeDocument/2006/relationships/worksheet" Target="worksheets/sheet22.xml" /><Relationship Id="rId27" Type="http://schemas.openxmlformats.org/officeDocument/2006/relationships/worksheet" Target="worksheets/sheet25.xml" /><Relationship Id="rId18" Type="http://schemas.openxmlformats.org/officeDocument/2006/relationships/worksheet" Target="worksheets/sheet16.xml" /><Relationship Id="rId10" Type="http://schemas.openxmlformats.org/officeDocument/2006/relationships/worksheet" Target="worksheets/sheet8.xml" /><Relationship Id="rId3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30" Type="http://schemas.openxmlformats.org/officeDocument/2006/relationships/worksheet" Target="worksheets/sheet2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88cf8f0-2eb7-447d-b64a-0e9947a8484b}">
  <sheetPr codeName=""/>
  <dimension ref="A1:U119"/>
  <sheetViews>
    <sheetView workbookViewId="0" topLeftCell="A1">
      <pane xSplit="2" ySplit="8" topLeftCell="C27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N12" sqref="N12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62</v>
      </c>
      <c r="B9" s="51">
        <v>93.87</v>
      </c>
      <c r="C9" s="51">
        <v>136.52000000000001</v>
      </c>
      <c r="D9" s="51">
        <v>150.61000000000001</v>
      </c>
      <c r="E9" s="51">
        <v>5.15</v>
      </c>
      <c r="F9" s="51">
        <v>0.77</v>
      </c>
      <c r="G9" s="51">
        <v>223.96</v>
      </c>
      <c r="H9" s="51">
        <v>66.47</v>
      </c>
      <c r="I9" s="51">
        <v>1.54</v>
      </c>
      <c r="J9" s="51">
        <v>0.20</v>
      </c>
      <c r="K9" s="51">
        <v>294.27</v>
      </c>
      <c r="L9" s="51">
        <v>18.079999999999998</v>
      </c>
      <c r="M9" s="51">
        <v>91</v>
      </c>
      <c r="N9" s="53" t="s">
        <v>8</v>
      </c>
      <c r="O9" s="51">
        <v>0</v>
      </c>
      <c r="P9" s="51">
        <v>3.84</v>
      </c>
      <c r="Q9" s="51">
        <v>151.77000000000001</v>
      </c>
      <c r="R9" s="43"/>
      <c r="S9" s="43"/>
      <c r="T9" s="43"/>
      <c r="U9" s="43"/>
    </row>
    <row r="10" spans="1:21" s="11" customFormat="1" ht="15">
      <c r="A10" s="50" t="s">
        <v>63</v>
      </c>
      <c r="B10" s="51">
        <v>88.51</v>
      </c>
      <c r="C10" s="51">
        <v>131.68</v>
      </c>
      <c r="D10" s="51">
        <v>143.65</v>
      </c>
      <c r="E10" s="51">
        <v>5.04</v>
      </c>
      <c r="F10" s="51">
        <v>0.63</v>
      </c>
      <c r="G10" s="51">
        <v>185.45</v>
      </c>
      <c r="H10" s="51">
        <v>63.78</v>
      </c>
      <c r="I10" s="51">
        <v>1.53</v>
      </c>
      <c r="J10" s="51">
        <v>0.48</v>
      </c>
      <c r="K10" s="51">
        <v>294.61</v>
      </c>
      <c r="L10" s="51">
        <v>17.88</v>
      </c>
      <c r="M10" s="51">
        <v>92</v>
      </c>
      <c r="N10" s="53" t="s">
        <v>8</v>
      </c>
      <c r="O10" s="51">
        <v>0</v>
      </c>
      <c r="P10" s="51">
        <v>3.5</v>
      </c>
      <c r="Q10" s="51">
        <v>149.59</v>
      </c>
      <c r="R10" s="43"/>
      <c r="S10" s="43"/>
      <c r="T10" s="43"/>
      <c r="U10" s="43"/>
    </row>
    <row r="11" spans="1:21" s="11" customFormat="1" ht="15">
      <c r="A11" s="50" t="s">
        <v>64</v>
      </c>
      <c r="B11" s="51">
        <v>68.64</v>
      </c>
      <c r="C11" s="51">
        <v>116.89</v>
      </c>
      <c r="D11" s="51">
        <v>119.55</v>
      </c>
      <c r="E11" s="51">
        <v>4.6500000000000004</v>
      </c>
      <c r="F11" s="51">
        <v>0.66</v>
      </c>
      <c r="G11" s="51">
        <v>193.63</v>
      </c>
      <c r="H11" s="51">
        <v>73.84</v>
      </c>
      <c r="I11" s="51">
        <v>1.42</v>
      </c>
      <c r="J11" s="51">
        <v>0.38</v>
      </c>
      <c r="K11" s="51">
        <v>278.93</v>
      </c>
      <c r="L11" s="51">
        <v>17.62</v>
      </c>
      <c r="M11" s="51">
        <v>89</v>
      </c>
      <c r="N11" s="53" t="s">
        <v>8</v>
      </c>
      <c r="O11" s="51">
        <v>0</v>
      </c>
      <c r="P11" s="51">
        <v>3.19</v>
      </c>
      <c r="Q11" s="51">
        <v>141.69999999999999</v>
      </c>
      <c r="R11" s="43"/>
      <c r="S11" s="43"/>
      <c r="T11" s="43"/>
      <c r="U11" s="43"/>
    </row>
    <row r="12" spans="1:21" s="11" customFormat="1" ht="15">
      <c r="A12" s="50" t="s">
        <v>65</v>
      </c>
      <c r="B12" s="51">
        <v>51.32</v>
      </c>
      <c r="C12" s="51">
        <v>104.72</v>
      </c>
      <c r="D12" s="51">
        <v>98.95</v>
      </c>
      <c r="E12" s="51">
        <v>4.84</v>
      </c>
      <c r="F12" s="51">
        <v>0.74</v>
      </c>
      <c r="G12" s="51">
        <v>193.63</v>
      </c>
      <c r="H12" s="51">
        <v>73.84</v>
      </c>
      <c r="I12" s="51">
        <v>1.20</v>
      </c>
      <c r="J12" s="51">
        <v>0.24</v>
      </c>
      <c r="K12" s="51">
        <v>270.74</v>
      </c>
      <c r="L12" s="51">
        <v>17.54</v>
      </c>
      <c r="M12" s="51">
        <v>68</v>
      </c>
      <c r="N12" s="53" t="s">
        <v>8</v>
      </c>
      <c r="O12" s="51">
        <v>0</v>
      </c>
      <c r="P12" s="51">
        <v>2.85</v>
      </c>
      <c r="Q12" s="51">
        <v>132.05000000000001</v>
      </c>
      <c r="R12" s="43"/>
      <c r="S12" s="43"/>
      <c r="T12" s="43"/>
      <c r="U12" s="43"/>
    </row>
    <row r="13" spans="1:21" s="11" customFormat="1" ht="15">
      <c r="A13" s="50" t="s">
        <v>66</v>
      </c>
      <c r="B13" s="51">
        <v>37.72</v>
      </c>
      <c r="C13" s="51">
        <v>95.78</v>
      </c>
      <c r="D13" s="51">
        <v>83.11</v>
      </c>
      <c r="E13" s="51">
        <v>5.63</v>
      </c>
      <c r="F13" s="51">
        <v>0.72</v>
      </c>
      <c r="G13" s="51">
        <v>165.87</v>
      </c>
      <c r="H13" s="51">
        <v>71.59</v>
      </c>
      <c r="I13" s="51">
        <v>1</v>
      </c>
      <c r="J13" s="51">
        <v>0.30</v>
      </c>
      <c r="K13" s="51">
        <v>294.54000000000002</v>
      </c>
      <c r="L13" s="51">
        <v>17.12</v>
      </c>
      <c r="M13" s="51">
        <v>96</v>
      </c>
      <c r="N13" s="53" t="s">
        <v>8</v>
      </c>
      <c r="O13" s="51">
        <v>0</v>
      </c>
      <c r="P13" s="51">
        <v>2.56</v>
      </c>
      <c r="Q13" s="51">
        <v>128.32</v>
      </c>
      <c r="R13" s="43"/>
      <c r="S13" s="43"/>
      <c r="T13" s="43"/>
      <c r="U13" s="43"/>
    </row>
    <row r="14" spans="1:21" s="11" customFormat="1" ht="15">
      <c r="A14" s="50" t="s">
        <v>67</v>
      </c>
      <c r="B14" s="51">
        <v>31.34</v>
      </c>
      <c r="C14" s="51">
        <v>90.89</v>
      </c>
      <c r="D14" s="51">
        <v>75.290000000000006</v>
      </c>
      <c r="E14" s="51">
        <v>5.39</v>
      </c>
      <c r="F14" s="51">
        <v>0.81</v>
      </c>
      <c r="G14" s="51">
        <v>151.27000000000001</v>
      </c>
      <c r="H14" s="51">
        <v>66.09</v>
      </c>
      <c r="I14" s="51">
        <v>0.84</v>
      </c>
      <c r="J14" s="51">
        <v>0.22</v>
      </c>
      <c r="K14" s="51">
        <v>297.26</v>
      </c>
      <c r="L14" s="51">
        <v>17.12</v>
      </c>
      <c r="M14" s="51">
        <v>66</v>
      </c>
      <c r="N14" s="53" t="s">
        <v>8</v>
      </c>
      <c r="O14" s="51">
        <v>0</v>
      </c>
      <c r="P14" s="51">
        <v>2.36</v>
      </c>
      <c r="Q14" s="51">
        <v>124.02</v>
      </c>
      <c r="R14" s="43"/>
      <c r="S14" s="43"/>
      <c r="T14" s="43"/>
      <c r="U14" s="43"/>
    </row>
    <row r="15" spans="1:21" s="11" customFormat="1" ht="15">
      <c r="A15" s="50" t="s">
        <v>68</v>
      </c>
      <c r="B15" s="51">
        <v>38.29</v>
      </c>
      <c r="C15" s="51">
        <v>92.64</v>
      </c>
      <c r="D15" s="51">
        <v>81.84</v>
      </c>
      <c r="E15" s="51">
        <v>5.12</v>
      </c>
      <c r="F15" s="51">
        <v>0.72</v>
      </c>
      <c r="G15" s="51">
        <v>116.33</v>
      </c>
      <c r="H15" s="51">
        <v>59.78</v>
      </c>
      <c r="I15" s="51">
        <v>0.72</v>
      </c>
      <c r="J15" s="51">
        <v>0.23</v>
      </c>
      <c r="K15" s="51">
        <v>294.47000000000003</v>
      </c>
      <c r="L15" s="51">
        <v>16.68</v>
      </c>
      <c r="M15" s="51">
        <v>86</v>
      </c>
      <c r="N15" s="53" t="s">
        <v>8</v>
      </c>
      <c r="O15" s="51">
        <v>0</v>
      </c>
      <c r="P15" s="51">
        <v>2.08</v>
      </c>
      <c r="Q15" s="51">
        <v>121.25</v>
      </c>
      <c r="R15" s="43"/>
      <c r="S15" s="43"/>
      <c r="T15" s="43"/>
      <c r="U15" s="43"/>
    </row>
    <row r="16" spans="1:21" s="11" customFormat="1" ht="15">
      <c r="A16" s="50" t="s">
        <v>69</v>
      </c>
      <c r="B16" s="51">
        <v>44.94</v>
      </c>
      <c r="C16" s="51">
        <v>100.72</v>
      </c>
      <c r="D16" s="51">
        <v>91.15</v>
      </c>
      <c r="E16" s="51">
        <v>5.0599999999999996</v>
      </c>
      <c r="F16" s="51">
        <v>0.75</v>
      </c>
      <c r="G16" s="51">
        <v>107.39</v>
      </c>
      <c r="H16" s="51">
        <v>49.12</v>
      </c>
      <c r="I16" s="51">
        <v>0.65</v>
      </c>
      <c r="J16" s="51">
        <v>0.86</v>
      </c>
      <c r="K16" s="51">
        <v>282.52</v>
      </c>
      <c r="L16" s="51">
        <v>21.58</v>
      </c>
      <c r="M16" s="51">
        <v>87</v>
      </c>
      <c r="N16" s="51">
        <v>76</v>
      </c>
      <c r="O16" s="51">
        <v>0</v>
      </c>
      <c r="P16" s="51">
        <v>2.02</v>
      </c>
      <c r="Q16" s="51">
        <v>124.61</v>
      </c>
      <c r="R16" s="43"/>
      <c r="S16" s="43"/>
      <c r="T16" s="43"/>
      <c r="U16" s="43"/>
    </row>
    <row r="17" spans="1:21" s="11" customFormat="1" ht="15">
      <c r="A17" s="50" t="s">
        <v>70</v>
      </c>
      <c r="B17" s="51">
        <v>43.07</v>
      </c>
      <c r="C17" s="51">
        <v>102.70</v>
      </c>
      <c r="D17" s="51">
        <v>90.72</v>
      </c>
      <c r="E17" s="51">
        <v>5.07</v>
      </c>
      <c r="F17" s="51">
        <v>0.78</v>
      </c>
      <c r="G17" s="51">
        <v>107.39</v>
      </c>
      <c r="H17" s="51">
        <v>49.12</v>
      </c>
      <c r="I17" s="51">
        <v>0.64</v>
      </c>
      <c r="J17" s="51">
        <v>0.69</v>
      </c>
      <c r="K17" s="51">
        <v>200.89</v>
      </c>
      <c r="L17" s="51">
        <v>24.04</v>
      </c>
      <c r="M17" s="51">
        <v>85</v>
      </c>
      <c r="N17" s="51">
        <v>182</v>
      </c>
      <c r="O17" s="51">
        <v>0</v>
      </c>
      <c r="P17" s="51">
        <v>1.90</v>
      </c>
      <c r="Q17" s="51">
        <v>124.87</v>
      </c>
      <c r="R17" s="43"/>
      <c r="S17" s="43"/>
      <c r="T17" s="43"/>
      <c r="U17" s="43"/>
    </row>
    <row r="18" spans="1:21" s="11" customFormat="1" ht="15">
      <c r="A18" s="50" t="s">
        <v>71</v>
      </c>
      <c r="B18" s="51">
        <v>35.119999999999997</v>
      </c>
      <c r="C18" s="51">
        <v>100.65</v>
      </c>
      <c r="D18" s="51">
        <v>83.71</v>
      </c>
      <c r="E18" s="51">
        <v>5.19</v>
      </c>
      <c r="F18" s="51">
        <v>0.97</v>
      </c>
      <c r="G18" s="51">
        <v>81.790000000000006</v>
      </c>
      <c r="H18" s="51">
        <v>44.49</v>
      </c>
      <c r="I18" s="51">
        <v>0.61</v>
      </c>
      <c r="J18" s="51">
        <v>1.52</v>
      </c>
      <c r="K18" s="51">
        <v>202.37</v>
      </c>
      <c r="L18" s="51">
        <v>25.20</v>
      </c>
      <c r="M18" s="51">
        <v>67</v>
      </c>
      <c r="N18" s="51">
        <v>243.70</v>
      </c>
      <c r="O18" s="51">
        <v>0</v>
      </c>
      <c r="P18" s="51">
        <v>1.74</v>
      </c>
      <c r="Q18" s="51">
        <v>123.88</v>
      </c>
      <c r="R18" s="43"/>
      <c r="S18" s="43"/>
      <c r="T18" s="43"/>
      <c r="U18" s="43"/>
    </row>
    <row r="19" spans="1:21" s="11" customFormat="1" ht="15">
      <c r="A19" s="50" t="s">
        <v>72</v>
      </c>
      <c r="B19" s="51">
        <v>21.72</v>
      </c>
      <c r="C19" s="51">
        <v>93.09</v>
      </c>
      <c r="D19" s="51">
        <v>68.31</v>
      </c>
      <c r="E19" s="51">
        <v>5.04</v>
      </c>
      <c r="F19" s="51">
        <v>2</v>
      </c>
      <c r="G19" s="51">
        <v>80.959999999999994</v>
      </c>
      <c r="H19" s="51">
        <v>42.27</v>
      </c>
      <c r="I19" s="51">
        <v>0.57999999999999996</v>
      </c>
      <c r="J19" s="51">
        <v>1.45</v>
      </c>
      <c r="K19" s="51">
        <v>177.79</v>
      </c>
      <c r="L19" s="51">
        <v>26.84</v>
      </c>
      <c r="M19" s="51">
        <v>71</v>
      </c>
      <c r="N19" s="51">
        <v>289.20</v>
      </c>
      <c r="O19" s="51">
        <v>0</v>
      </c>
      <c r="P19" s="51">
        <v>1.58</v>
      </c>
      <c r="Q19" s="51">
        <v>115.79</v>
      </c>
      <c r="R19" s="43"/>
      <c r="S19" s="43"/>
      <c r="T19" s="43"/>
      <c r="U19" s="43"/>
    </row>
    <row r="20" spans="1:21" s="11" customFormat="1" ht="15">
      <c r="A20" s="50" t="s">
        <v>73</v>
      </c>
      <c r="B20" s="51">
        <v>13.22</v>
      </c>
      <c r="C20" s="51">
        <v>89.58</v>
      </c>
      <c r="D20" s="51">
        <v>60.04</v>
      </c>
      <c r="E20" s="51">
        <v>5.21</v>
      </c>
      <c r="F20" s="51">
        <v>2.10</v>
      </c>
      <c r="G20" s="51">
        <v>80.540000000000006</v>
      </c>
      <c r="H20" s="51">
        <v>40.69</v>
      </c>
      <c r="I20" s="51">
        <v>0.54</v>
      </c>
      <c r="J20" s="51">
        <v>1.1399999999999999</v>
      </c>
      <c r="K20" s="51">
        <v>175.97</v>
      </c>
      <c r="L20" s="51">
        <v>28.02</v>
      </c>
      <c r="M20" s="51">
        <v>93</v>
      </c>
      <c r="N20" s="51">
        <v>291.80</v>
      </c>
      <c r="O20" s="51">
        <v>0</v>
      </c>
      <c r="P20" s="51">
        <v>1.40</v>
      </c>
      <c r="Q20" s="51">
        <v>116.32</v>
      </c>
      <c r="R20" s="43"/>
      <c r="S20" s="43"/>
      <c r="T20" s="43"/>
      <c r="U20" s="43"/>
    </row>
    <row r="21" spans="1:21" s="11" customFormat="1" ht="15">
      <c r="A21" s="50" t="s">
        <v>74</v>
      </c>
      <c r="B21" s="51">
        <v>6.89</v>
      </c>
      <c r="C21" s="51">
        <v>83.61</v>
      </c>
      <c r="D21" s="51">
        <v>51.67</v>
      </c>
      <c r="E21" s="51">
        <v>6.11</v>
      </c>
      <c r="F21" s="51">
        <v>2.52</v>
      </c>
      <c r="G21" s="51">
        <v>72.28</v>
      </c>
      <c r="H21" s="51">
        <v>40.25</v>
      </c>
      <c r="I21" s="51">
        <v>0.51</v>
      </c>
      <c r="J21" s="51">
        <v>0.70</v>
      </c>
      <c r="K21" s="51">
        <v>172.60</v>
      </c>
      <c r="L21" s="51">
        <v>30.98</v>
      </c>
      <c r="M21" s="51">
        <v>82</v>
      </c>
      <c r="N21" s="51">
        <v>284.30</v>
      </c>
      <c r="O21" s="51">
        <v>0</v>
      </c>
      <c r="P21" s="51">
        <v>1.27</v>
      </c>
      <c r="Q21" s="51">
        <v>119.78</v>
      </c>
      <c r="R21" s="43"/>
      <c r="S21" s="43"/>
      <c r="T21" s="43"/>
      <c r="U21" s="43"/>
    </row>
    <row r="22" spans="1:21" s="11" customFormat="1" ht="15">
      <c r="A22" s="50" t="s">
        <v>75</v>
      </c>
      <c r="B22" s="51">
        <v>3.47</v>
      </c>
      <c r="C22" s="51">
        <v>80.95</v>
      </c>
      <c r="D22" s="51">
        <v>47.46</v>
      </c>
      <c r="E22" s="51">
        <v>5.94</v>
      </c>
      <c r="F22" s="51">
        <v>4.6900000000000004</v>
      </c>
      <c r="G22" s="51">
        <v>72.28</v>
      </c>
      <c r="H22" s="51">
        <v>40.25</v>
      </c>
      <c r="I22" s="51">
        <v>0.51</v>
      </c>
      <c r="J22" s="51">
        <v>1.06</v>
      </c>
      <c r="K22" s="51">
        <v>137.35</v>
      </c>
      <c r="L22" s="51">
        <v>31.66</v>
      </c>
      <c r="M22" s="51">
        <v>93</v>
      </c>
      <c r="N22" s="51">
        <v>257.5</v>
      </c>
      <c r="O22" s="51">
        <v>0</v>
      </c>
      <c r="P22" s="51">
        <v>1.20</v>
      </c>
      <c r="Q22" s="51">
        <v>116.06</v>
      </c>
      <c r="R22" s="43"/>
      <c r="S22" s="43"/>
      <c r="T22" s="43"/>
      <c r="U22" s="43"/>
    </row>
    <row r="23" spans="1:21" s="11" customFormat="1" ht="15">
      <c r="A23" s="50" t="s">
        <v>76</v>
      </c>
      <c r="B23" s="51">
        <v>2</v>
      </c>
      <c r="C23" s="51">
        <v>77.98</v>
      </c>
      <c r="D23" s="51">
        <v>44.43</v>
      </c>
      <c r="E23" s="51">
        <v>18.28</v>
      </c>
      <c r="F23" s="51">
        <v>18.57</v>
      </c>
      <c r="G23" s="51">
        <v>67.03</v>
      </c>
      <c r="H23" s="51">
        <v>37.75</v>
      </c>
      <c r="I23" s="51">
        <v>0.45</v>
      </c>
      <c r="J23" s="51">
        <v>0.71</v>
      </c>
      <c r="K23" s="51">
        <v>141.05000000000001</v>
      </c>
      <c r="L23" s="51">
        <v>29.67</v>
      </c>
      <c r="M23" s="51">
        <v>66</v>
      </c>
      <c r="N23" s="51">
        <v>171.60</v>
      </c>
      <c r="O23" s="51">
        <v>0</v>
      </c>
      <c r="P23" s="51">
        <v>1.1000000000000001</v>
      </c>
      <c r="Q23" s="51">
        <v>107.64</v>
      </c>
      <c r="R23" s="43"/>
      <c r="S23" s="43"/>
      <c r="T23" s="43"/>
      <c r="U23" s="43"/>
    </row>
    <row r="24" spans="1:21" s="11" customFormat="1" ht="15">
      <c r="A24" s="50" t="s">
        <v>77</v>
      </c>
      <c r="B24" s="51">
        <v>2.36</v>
      </c>
      <c r="C24" s="51">
        <v>85.59</v>
      </c>
      <c r="D24" s="51">
        <v>49.08</v>
      </c>
      <c r="E24" s="51">
        <v>22.82</v>
      </c>
      <c r="F24" s="51">
        <v>21.21</v>
      </c>
      <c r="G24" s="51">
        <v>75.95</v>
      </c>
      <c r="H24" s="51">
        <v>35.99</v>
      </c>
      <c r="I24" s="51">
        <v>0.33</v>
      </c>
      <c r="J24" s="51">
        <v>2.5299999999999998</v>
      </c>
      <c r="K24" s="51">
        <v>146.78</v>
      </c>
      <c r="L24" s="51">
        <v>29.53</v>
      </c>
      <c r="M24" s="51">
        <v>92</v>
      </c>
      <c r="N24" s="51">
        <v>66.599999999999994</v>
      </c>
      <c r="O24" s="51">
        <v>0</v>
      </c>
      <c r="P24" s="51">
        <v>1.1399999999999999</v>
      </c>
      <c r="Q24" s="51">
        <v>98.15</v>
      </c>
      <c r="R24" s="43"/>
      <c r="S24" s="43"/>
      <c r="T24" s="43"/>
      <c r="U24" s="43"/>
    </row>
    <row r="25" spans="1:21" s="11" customFormat="1" ht="15">
      <c r="A25" s="50" t="s">
        <v>78</v>
      </c>
      <c r="B25" s="51">
        <v>4.20</v>
      </c>
      <c r="C25" s="51">
        <v>108.54</v>
      </c>
      <c r="D25" s="51">
        <v>63.27</v>
      </c>
      <c r="E25" s="51">
        <v>10.59</v>
      </c>
      <c r="F25" s="51">
        <v>16.850000000000001</v>
      </c>
      <c r="G25" s="51">
        <v>75.95</v>
      </c>
      <c r="H25" s="51">
        <v>35.99</v>
      </c>
      <c r="I25" s="51">
        <v>0.32</v>
      </c>
      <c r="J25" s="51">
        <v>0.71</v>
      </c>
      <c r="K25" s="51">
        <v>215.22</v>
      </c>
      <c r="L25" s="51">
        <v>84.46</v>
      </c>
      <c r="M25" s="51">
        <v>99</v>
      </c>
      <c r="N25" s="53" t="s">
        <v>8</v>
      </c>
      <c r="O25" s="51">
        <v>0</v>
      </c>
      <c r="P25" s="51">
        <v>1.60</v>
      </c>
      <c r="Q25" s="51">
        <v>95.18</v>
      </c>
      <c r="R25" s="43"/>
      <c r="S25" s="43"/>
      <c r="T25" s="43"/>
      <c r="U25" s="43"/>
    </row>
    <row r="26" spans="1:21" s="11" customFormat="1" ht="15">
      <c r="A26" s="50" t="s">
        <v>79</v>
      </c>
      <c r="B26" s="51">
        <v>12.63</v>
      </c>
      <c r="C26" s="51">
        <v>129.08000000000001</v>
      </c>
      <c r="D26" s="51">
        <v>76.819999999999993</v>
      </c>
      <c r="E26" s="51">
        <v>4.58</v>
      </c>
      <c r="F26" s="51">
        <v>2.0499999999999998</v>
      </c>
      <c r="G26" s="51">
        <v>99.78</v>
      </c>
      <c r="H26" s="51">
        <v>41.70</v>
      </c>
      <c r="I26" s="51">
        <v>0.38</v>
      </c>
      <c r="J26" s="51">
        <v>0.22</v>
      </c>
      <c r="K26" s="51">
        <v>222.39</v>
      </c>
      <c r="L26" s="51">
        <v>25.10</v>
      </c>
      <c r="M26" s="51">
        <v>77</v>
      </c>
      <c r="N26" s="53" t="s">
        <v>8</v>
      </c>
      <c r="O26" s="51">
        <v>0</v>
      </c>
      <c r="P26" s="51">
        <v>1.88</v>
      </c>
      <c r="Q26" s="51">
        <v>94.11</v>
      </c>
      <c r="R26" s="43"/>
      <c r="S26" s="43"/>
      <c r="T26" s="43"/>
      <c r="U26" s="43"/>
    </row>
    <row r="27" spans="1:21" s="11" customFormat="1" ht="15">
      <c r="A27" s="50" t="s">
        <v>80</v>
      </c>
      <c r="B27" s="51">
        <v>26.69</v>
      </c>
      <c r="C27" s="51">
        <v>119.99</v>
      </c>
      <c r="D27" s="51">
        <v>87.02</v>
      </c>
      <c r="E27" s="51">
        <v>4.30</v>
      </c>
      <c r="F27" s="51">
        <v>0.71</v>
      </c>
      <c r="G27" s="51">
        <v>164.12</v>
      </c>
      <c r="H27" s="51">
        <v>44.86</v>
      </c>
      <c r="I27" s="51">
        <v>0.56000000000000005</v>
      </c>
      <c r="J27" s="51">
        <v>0.20</v>
      </c>
      <c r="K27" s="53" t="s">
        <v>8</v>
      </c>
      <c r="L27" s="51">
        <v>22.65</v>
      </c>
      <c r="M27" s="51">
        <v>69</v>
      </c>
      <c r="N27" s="53" t="s">
        <v>8</v>
      </c>
      <c r="O27" s="51">
        <v>0</v>
      </c>
      <c r="P27" s="51">
        <v>2.29</v>
      </c>
      <c r="Q27" s="51">
        <v>113.96</v>
      </c>
      <c r="R27" s="43"/>
      <c r="S27" s="43"/>
      <c r="T27" s="43"/>
      <c r="U27" s="43"/>
    </row>
    <row r="28" spans="1:21" s="11" customFormat="1" ht="15">
      <c r="A28" s="50" t="s">
        <v>81</v>
      </c>
      <c r="B28" s="51">
        <v>37.950000000000003</v>
      </c>
      <c r="C28" s="51">
        <v>117.24</v>
      </c>
      <c r="D28" s="51">
        <v>93.90</v>
      </c>
      <c r="E28" s="51">
        <v>4.54</v>
      </c>
      <c r="F28" s="51">
        <v>0.82</v>
      </c>
      <c r="G28" s="51">
        <v>179.79</v>
      </c>
      <c r="H28" s="51">
        <v>49.46</v>
      </c>
      <c r="I28" s="51">
        <v>0.86</v>
      </c>
      <c r="J28" s="51">
        <v>0.28000000000000003</v>
      </c>
      <c r="K28" s="53" t="s">
        <v>8</v>
      </c>
      <c r="L28" s="51">
        <v>22.39</v>
      </c>
      <c r="M28" s="51">
        <v>41</v>
      </c>
      <c r="N28" s="53" t="s">
        <v>8</v>
      </c>
      <c r="O28" s="51">
        <v>0</v>
      </c>
      <c r="P28" s="51">
        <v>2.73</v>
      </c>
      <c r="Q28" s="51">
        <v>125.51</v>
      </c>
      <c r="R28" s="43"/>
      <c r="S28" s="43"/>
      <c r="T28" s="43"/>
      <c r="U28" s="43"/>
    </row>
    <row r="29" spans="1:21" s="11" customFormat="1" ht="15">
      <c r="A29" s="50" t="s">
        <v>82</v>
      </c>
      <c r="B29" s="51">
        <v>37.46</v>
      </c>
      <c r="C29" s="51">
        <v>112.05</v>
      </c>
      <c r="D29" s="51">
        <v>90.78</v>
      </c>
      <c r="E29" s="51">
        <v>4.1500000000000004</v>
      </c>
      <c r="F29" s="51">
        <v>0.72</v>
      </c>
      <c r="G29" s="51">
        <v>179.79</v>
      </c>
      <c r="H29" s="51">
        <v>49.46</v>
      </c>
      <c r="I29" s="51">
        <v>1.03</v>
      </c>
      <c r="J29" s="51">
        <v>0.31</v>
      </c>
      <c r="K29" s="53" t="s">
        <v>8</v>
      </c>
      <c r="L29" s="51">
        <v>22.49</v>
      </c>
      <c r="M29" s="51">
        <v>20</v>
      </c>
      <c r="N29" s="53" t="s">
        <v>8</v>
      </c>
      <c r="O29" s="51">
        <v>0</v>
      </c>
      <c r="P29" s="51">
        <v>2.83</v>
      </c>
      <c r="Q29" s="51">
        <v>123.97</v>
      </c>
      <c r="R29" s="43"/>
      <c r="S29" s="43"/>
      <c r="T29" s="43"/>
      <c r="U29" s="43"/>
    </row>
    <row r="30" spans="1:21" s="11" customFormat="1" ht="15">
      <c r="A30" s="50" t="s">
        <v>83</v>
      </c>
      <c r="B30" s="51">
        <v>32.71</v>
      </c>
      <c r="C30" s="51">
        <v>110.85</v>
      </c>
      <c r="D30" s="51">
        <v>87.41</v>
      </c>
      <c r="E30" s="51">
        <v>4.05</v>
      </c>
      <c r="F30" s="51">
        <v>0.66</v>
      </c>
      <c r="G30" s="51">
        <v>135.25</v>
      </c>
      <c r="H30" s="51">
        <v>52.09</v>
      </c>
      <c r="I30" s="51">
        <v>1.07</v>
      </c>
      <c r="J30" s="51">
        <v>0.24</v>
      </c>
      <c r="K30" s="53" t="s">
        <v>8</v>
      </c>
      <c r="L30" s="51">
        <v>21.55</v>
      </c>
      <c r="M30" s="51">
        <v>46</v>
      </c>
      <c r="N30" s="53" t="s">
        <v>8</v>
      </c>
      <c r="O30" s="51">
        <v>0</v>
      </c>
      <c r="P30" s="51">
        <v>2.84</v>
      </c>
      <c r="Q30" s="51">
        <v>127.25</v>
      </c>
      <c r="R30" s="43"/>
      <c r="S30" s="43"/>
      <c r="T30" s="43"/>
      <c r="U30" s="43"/>
    </row>
    <row r="31" spans="1:21" s="11" customFormat="1" ht="15">
      <c r="A31" s="50" t="s">
        <v>84</v>
      </c>
      <c r="B31" s="51">
        <v>37.49</v>
      </c>
      <c r="C31" s="51">
        <v>111.08</v>
      </c>
      <c r="D31" s="51">
        <v>91.37</v>
      </c>
      <c r="E31" s="51">
        <v>4.42</v>
      </c>
      <c r="F31" s="51">
        <v>0.63</v>
      </c>
      <c r="G31" s="51">
        <v>135.25</v>
      </c>
      <c r="H31" s="51">
        <v>52.09</v>
      </c>
      <c r="I31" s="51">
        <v>1.1100000000000001</v>
      </c>
      <c r="J31" s="51">
        <v>0.19</v>
      </c>
      <c r="K31" s="53" t="s">
        <v>8</v>
      </c>
      <c r="L31" s="51">
        <v>20.309999999999999</v>
      </c>
      <c r="M31" s="51">
        <v>86</v>
      </c>
      <c r="N31" s="53" t="s">
        <v>8</v>
      </c>
      <c r="O31" s="51">
        <v>0</v>
      </c>
      <c r="P31" s="51">
        <v>2.90</v>
      </c>
      <c r="Q31" s="51">
        <v>132.61000000000001</v>
      </c>
      <c r="R31" s="43"/>
      <c r="S31" s="43"/>
      <c r="T31" s="43"/>
      <c r="U31" s="43"/>
    </row>
    <row r="32" spans="1:21" s="11" customFormat="1" ht="15">
      <c r="A32" s="50" t="s">
        <v>85</v>
      </c>
      <c r="B32" s="51">
        <v>63.64</v>
      </c>
      <c r="C32" s="51">
        <v>118.63</v>
      </c>
      <c r="D32" s="51">
        <v>116.51</v>
      </c>
      <c r="E32" s="51">
        <v>4.5999999999999996</v>
      </c>
      <c r="F32" s="51">
        <v>0.66</v>
      </c>
      <c r="G32" s="51">
        <v>173.90</v>
      </c>
      <c r="H32" s="51">
        <v>52.01</v>
      </c>
      <c r="I32" s="51">
        <v>1.21</v>
      </c>
      <c r="J32" s="51">
        <v>0.18</v>
      </c>
      <c r="K32" s="53" t="s">
        <v>8</v>
      </c>
      <c r="L32" s="51">
        <v>18.920000000000002</v>
      </c>
      <c r="M32" s="51">
        <v>82</v>
      </c>
      <c r="N32" s="53" t="s">
        <v>8</v>
      </c>
      <c r="O32" s="51">
        <v>0</v>
      </c>
      <c r="P32" s="51">
        <v>3.01</v>
      </c>
      <c r="Q32" s="51">
        <v>139.78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</v>
      </c>
      <c r="C34" s="28">
        <f t="shared" si="0"/>
        <v>77.980000000000004</v>
      </c>
      <c r="D34" s="28">
        <f t="shared" si="0"/>
        <v>44.43</v>
      </c>
      <c r="E34" s="28">
        <f t="shared" si="0"/>
        <v>4.0499999999999998</v>
      </c>
      <c r="F34" s="28">
        <f t="shared" si="0"/>
        <v>0.63</v>
      </c>
      <c r="G34" s="28">
        <f t="shared" si="0"/>
        <v>67.030000000000001</v>
      </c>
      <c r="H34" s="28">
        <f t="shared" si="0"/>
        <v>35.990000000000002</v>
      </c>
      <c r="I34" s="28">
        <f t="shared" si="0"/>
        <v>0.32000000000000001</v>
      </c>
      <c r="J34" s="28">
        <f t="shared" si="0"/>
        <v>0.17999999999999999</v>
      </c>
      <c r="K34" s="28">
        <f t="shared" si="0"/>
        <v>137.34999999999999</v>
      </c>
      <c r="L34" s="28">
        <f t="shared" si="0"/>
        <v>16.68</v>
      </c>
      <c r="M34" s="28">
        <f t="shared" si="0"/>
        <v>20</v>
      </c>
      <c r="N34" s="28">
        <f t="shared" si="0"/>
        <v>66.599999999999994</v>
      </c>
      <c r="O34" s="28">
        <f t="shared" si="0"/>
        <v>0</v>
      </c>
      <c r="P34" s="28">
        <f t="shared" si="0"/>
        <v>1.1000000000000001</v>
      </c>
      <c r="Q34" s="28">
        <f t="shared" si="0"/>
        <v>94.109999999999999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93.870000000000005</v>
      </c>
      <c r="C35" s="29">
        <f t="shared" si="1"/>
        <v>136.52000000000001</v>
      </c>
      <c r="D35" s="29">
        <f t="shared" si="1"/>
        <v>150.61000000000001</v>
      </c>
      <c r="E35" s="29">
        <f t="shared" si="1"/>
        <v>22.82</v>
      </c>
      <c r="F35" s="29">
        <f t="shared" si="1"/>
        <v>21.210000000000001</v>
      </c>
      <c r="G35" s="29">
        <f t="shared" si="1"/>
        <v>223.96000000000001</v>
      </c>
      <c r="H35" s="29">
        <f t="shared" si="1"/>
        <v>73.840000000000003</v>
      </c>
      <c r="I35" s="29">
        <f t="shared" si="1"/>
        <v>1.54</v>
      </c>
      <c r="J35" s="29">
        <f t="shared" si="1"/>
        <v>2.5299999999999998</v>
      </c>
      <c r="K35" s="29">
        <f t="shared" si="1"/>
        <v>297.25999999999999</v>
      </c>
      <c r="L35" s="29">
        <f t="shared" si="1"/>
        <v>84.459999999999994</v>
      </c>
      <c r="M35" s="29">
        <f t="shared" si="1"/>
        <v>99</v>
      </c>
      <c r="N35" s="29">
        <f t="shared" si="1"/>
        <v>291.80000000000001</v>
      </c>
      <c r="O35" s="29">
        <f t="shared" si="1"/>
        <v>0</v>
      </c>
      <c r="P35" s="29">
        <f t="shared" si="1"/>
        <v>3.8399999999999999</v>
      </c>
      <c r="Q35" s="29">
        <f t="shared" si="1"/>
        <v>151.77000000000001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34.802083333333343</v>
      </c>
      <c r="C36" s="28">
        <f t="shared" si="2"/>
        <v>104.64375</v>
      </c>
      <c r="D36" s="28">
        <f t="shared" si="2"/>
        <v>85.277083333333351</v>
      </c>
      <c r="E36" s="28">
        <f t="shared" si="2"/>
        <v>6.4904166666666674</v>
      </c>
      <c r="F36" s="28">
        <f t="shared" si="2"/>
        <v>3.4058333333333324</v>
      </c>
      <c r="G36" s="28">
        <f t="shared" si="2"/>
        <v>129.98249999999999</v>
      </c>
      <c r="H36" s="28">
        <f t="shared" si="2"/>
        <v>51.37416666666666</v>
      </c>
      <c r="I36" s="28">
        <f t="shared" si="2"/>
        <v>0.81708333333333327</v>
      </c>
      <c r="J36" s="28">
        <f t="shared" si="2"/>
        <v>0.62666666666666659</v>
      </c>
      <c r="K36" s="28">
        <f t="shared" si="2"/>
        <v>227.76388888888889</v>
      </c>
      <c r="L36" s="28">
        <f t="shared" si="2"/>
        <v>25.309583333333332</v>
      </c>
      <c r="M36" s="28">
        <f t="shared" si="2"/>
        <v>76.833333333333329</v>
      </c>
      <c r="N36" s="28">
        <f t="shared" si="2"/>
        <v>206.96666666666664</v>
      </c>
      <c r="O36" s="28">
        <f t="shared" si="2"/>
        <v>0</v>
      </c>
      <c r="P36" s="28">
        <f t="shared" si="2"/>
        <v>2.242083333333333</v>
      </c>
      <c r="Q36" s="28">
        <f t="shared" si="2"/>
        <v>122.84041666666668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25.431562208023692</v>
      </c>
      <c r="C37" s="28">
        <f t="shared" si="3" ref="C37:Q37">STDEV(C9:C32)</f>
        <v>16.310959189266413</v>
      </c>
      <c r="D37" s="28">
        <f t="shared" si="3"/>
        <v>27.476426651913261</v>
      </c>
      <c r="E37" s="28">
        <f t="shared" si="3"/>
        <v>4.5577821448276952</v>
      </c>
      <c r="F37" s="28">
        <f t="shared" si="3"/>
        <v>6.0789672439998563</v>
      </c>
      <c r="G37" s="28">
        <f t="shared" si="3"/>
        <v>49.172977489851064</v>
      </c>
      <c r="H37" s="28">
        <f t="shared" si="3"/>
        <v>12.145744975689791</v>
      </c>
      <c r="I37" s="28">
        <f t="shared" si="3"/>
        <v>0.37507656223260821</v>
      </c>
      <c r="J37" s="28">
        <f t="shared" si="3"/>
        <v>0.57402216793026584</v>
      </c>
      <c r="K37" s="28">
        <f t="shared" si="3"/>
        <v>60.450160525149521</v>
      </c>
      <c r="L37" s="28">
        <f t="shared" si="3"/>
        <v>13.468835035374996</v>
      </c>
      <c r="M37" s="28">
        <f t="shared" si="3"/>
        <v>19.282040904667632</v>
      </c>
      <c r="N37" s="28">
        <f t="shared" si="3"/>
        <v>88.438976136090659</v>
      </c>
      <c r="O37" s="28">
        <f t="shared" si="3"/>
        <v>0</v>
      </c>
      <c r="P37" s="28">
        <f t="shared" si="3"/>
        <v>0.78491749312554804</v>
      </c>
      <c r="Q37" s="28">
        <f t="shared" si="3"/>
        <v>14.895449693042783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v>24</v>
      </c>
      <c r="I38" s="32">
        <f t="shared" si="4"/>
        <v>24</v>
      </c>
      <c r="J38" s="32">
        <f t="shared" si="4"/>
        <v>24</v>
      </c>
      <c r="K38" s="32">
        <f>COUNT(K9:K32)+6</f>
        <v>24</v>
      </c>
      <c r="L38" s="32">
        <f t="shared" si="4"/>
        <v>24</v>
      </c>
      <c r="M38" s="32">
        <f t="shared" si="4"/>
        <v>24</v>
      </c>
      <c r="N38" s="32">
        <f>COUNT(N9:N32)+15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91e804-a74f-49ec-8b7a-cc24a49ac9ea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N38" sqref="N3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2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86</v>
      </c>
      <c r="B9" s="51">
        <v>64.20</v>
      </c>
      <c r="C9" s="51">
        <v>118.58</v>
      </c>
      <c r="D9" s="51">
        <v>116.92</v>
      </c>
      <c r="E9" s="51">
        <v>4.38</v>
      </c>
      <c r="F9" s="51">
        <v>0.65</v>
      </c>
      <c r="G9" s="51">
        <v>173.90</v>
      </c>
      <c r="H9" s="51">
        <v>50.66</v>
      </c>
      <c r="I9" s="51">
        <v>1.21</v>
      </c>
      <c r="J9" s="51">
        <v>0.24</v>
      </c>
      <c r="K9" s="53" t="s">
        <v>8</v>
      </c>
      <c r="L9" s="51">
        <v>18.54</v>
      </c>
      <c r="M9" s="53" t="s">
        <v>8</v>
      </c>
      <c r="N9" s="53" t="s">
        <v>8</v>
      </c>
      <c r="O9" s="51">
        <v>0</v>
      </c>
      <c r="P9" s="51">
        <v>2.96</v>
      </c>
      <c r="Q9" s="51">
        <v>139.46</v>
      </c>
      <c r="R9" s="43"/>
      <c r="S9" s="43"/>
      <c r="T9" s="43"/>
      <c r="U9" s="43"/>
    </row>
    <row r="10" spans="1:21" s="11" customFormat="1" ht="15">
      <c r="A10" s="50" t="s">
        <v>87</v>
      </c>
      <c r="B10" s="51">
        <v>56.76</v>
      </c>
      <c r="C10" s="51">
        <v>111.99</v>
      </c>
      <c r="D10" s="51">
        <v>107.32</v>
      </c>
      <c r="E10" s="51">
        <v>4.67</v>
      </c>
      <c r="F10" s="51">
        <v>0.57999999999999996</v>
      </c>
      <c r="G10" s="51">
        <v>118.66</v>
      </c>
      <c r="H10" s="51">
        <v>49.80</v>
      </c>
      <c r="I10" s="51">
        <v>1.1599999999999999</v>
      </c>
      <c r="J10" s="51">
        <v>0.32</v>
      </c>
      <c r="K10" s="53" t="s">
        <v>8</v>
      </c>
      <c r="L10" s="51">
        <v>18.59</v>
      </c>
      <c r="M10" s="53" t="s">
        <v>8</v>
      </c>
      <c r="N10" s="53" t="s">
        <v>8</v>
      </c>
      <c r="O10" s="51">
        <v>0</v>
      </c>
      <c r="P10" s="51">
        <v>2.75</v>
      </c>
      <c r="Q10" s="51">
        <v>137.74</v>
      </c>
      <c r="R10" s="43"/>
      <c r="S10" s="43"/>
      <c r="T10" s="43"/>
      <c r="U10" s="43"/>
    </row>
    <row r="11" spans="1:21" s="11" customFormat="1" ht="15">
      <c r="A11" s="50" t="s">
        <v>88</v>
      </c>
      <c r="B11" s="51">
        <v>50.39</v>
      </c>
      <c r="C11" s="51">
        <v>106.25</v>
      </c>
      <c r="D11" s="51">
        <v>99.05</v>
      </c>
      <c r="E11" s="51">
        <v>4.92</v>
      </c>
      <c r="F11" s="51">
        <v>0.5</v>
      </c>
      <c r="G11" s="51">
        <v>118.66</v>
      </c>
      <c r="H11" s="51">
        <v>48.65</v>
      </c>
      <c r="I11" s="53" t="s">
        <v>8</v>
      </c>
      <c r="J11" s="51">
        <v>0.14000000000000001</v>
      </c>
      <c r="K11" s="53" t="s">
        <v>8</v>
      </c>
      <c r="L11" s="51">
        <v>17.48</v>
      </c>
      <c r="M11" s="53" t="s">
        <v>8</v>
      </c>
      <c r="N11" s="53" t="s">
        <v>8</v>
      </c>
      <c r="O11" s="51">
        <v>0</v>
      </c>
      <c r="P11" s="51">
        <v>2.66</v>
      </c>
      <c r="Q11" s="51">
        <v>136.31</v>
      </c>
      <c r="R11" s="43"/>
      <c r="S11" s="43"/>
      <c r="T11" s="43"/>
      <c r="U11" s="43"/>
    </row>
    <row r="12" spans="1:21" s="11" customFormat="1" ht="15">
      <c r="A12" s="50" t="s">
        <v>89</v>
      </c>
      <c r="B12" s="51">
        <v>44.30</v>
      </c>
      <c r="C12" s="51">
        <v>97.21</v>
      </c>
      <c r="D12" s="51">
        <v>89.18</v>
      </c>
      <c r="E12" s="51">
        <v>4.24</v>
      </c>
      <c r="F12" s="51">
        <v>0.55000000000000004</v>
      </c>
      <c r="G12" s="51">
        <v>146.05000000000001</v>
      </c>
      <c r="H12" s="51">
        <v>50.47</v>
      </c>
      <c r="I12" s="53" t="s">
        <v>8</v>
      </c>
      <c r="J12" s="51">
        <v>0.15</v>
      </c>
      <c r="K12" s="53" t="s">
        <v>8</v>
      </c>
      <c r="L12" s="51">
        <v>17.04</v>
      </c>
      <c r="M12" s="53" t="s">
        <v>8</v>
      </c>
      <c r="N12" s="53" t="s">
        <v>8</v>
      </c>
      <c r="O12" s="51">
        <v>0</v>
      </c>
      <c r="P12" s="51">
        <v>2.5</v>
      </c>
      <c r="Q12" s="51">
        <v>133.27000000000001</v>
      </c>
      <c r="R12" s="43"/>
      <c r="S12" s="43"/>
      <c r="T12" s="43"/>
      <c r="U12" s="43"/>
    </row>
    <row r="13" spans="1:21" s="11" customFormat="1" ht="15">
      <c r="A13" s="50" t="s">
        <v>90</v>
      </c>
      <c r="B13" s="51">
        <v>39.71</v>
      </c>
      <c r="C13" s="51">
        <v>90.78</v>
      </c>
      <c r="D13" s="51">
        <v>81.94</v>
      </c>
      <c r="E13" s="51">
        <v>4.4000000000000004</v>
      </c>
      <c r="F13" s="51">
        <v>0.68</v>
      </c>
      <c r="G13" s="51">
        <v>171.95</v>
      </c>
      <c r="H13" s="51">
        <v>53.79</v>
      </c>
      <c r="I13" s="53" t="s">
        <v>8</v>
      </c>
      <c r="J13" s="51">
        <v>0.27</v>
      </c>
      <c r="K13" s="53" t="s">
        <v>8</v>
      </c>
      <c r="L13" s="51">
        <v>17.440000000000001</v>
      </c>
      <c r="M13" s="53" t="s">
        <v>8</v>
      </c>
      <c r="N13" s="53" t="s">
        <v>8</v>
      </c>
      <c r="O13" s="51">
        <v>0</v>
      </c>
      <c r="P13" s="51">
        <v>2.40</v>
      </c>
      <c r="Q13" s="51">
        <v>129.38999999999999</v>
      </c>
      <c r="R13" s="43"/>
      <c r="S13" s="43"/>
      <c r="T13" s="43"/>
      <c r="U13" s="43"/>
    </row>
    <row r="14" spans="1:21" s="11" customFormat="1" ht="15">
      <c r="A14" s="50" t="s">
        <v>91</v>
      </c>
      <c r="B14" s="51">
        <v>34.36</v>
      </c>
      <c r="C14" s="51">
        <v>89.21</v>
      </c>
      <c r="D14" s="51">
        <v>76.78</v>
      </c>
      <c r="E14" s="51">
        <v>4.3600000000000003</v>
      </c>
      <c r="F14" s="51">
        <v>0.54</v>
      </c>
      <c r="G14" s="51">
        <v>171.95</v>
      </c>
      <c r="H14" s="51">
        <v>53.79</v>
      </c>
      <c r="I14" s="53" t="s">
        <v>8</v>
      </c>
      <c r="J14" s="51">
        <v>0.53</v>
      </c>
      <c r="K14" s="53" t="s">
        <v>8</v>
      </c>
      <c r="L14" s="51">
        <v>17.46</v>
      </c>
      <c r="M14" s="53" t="s">
        <v>8</v>
      </c>
      <c r="N14" s="53" t="s">
        <v>8</v>
      </c>
      <c r="O14" s="51">
        <v>0</v>
      </c>
      <c r="P14" s="51">
        <v>2.36</v>
      </c>
      <c r="Q14" s="51">
        <v>127.48</v>
      </c>
      <c r="R14" s="43"/>
      <c r="S14" s="43"/>
      <c r="T14" s="43"/>
      <c r="U14" s="43"/>
    </row>
    <row r="15" spans="1:21" s="11" customFormat="1" ht="15">
      <c r="A15" s="50" t="s">
        <v>92</v>
      </c>
      <c r="B15" s="51">
        <v>28.17</v>
      </c>
      <c r="C15" s="51">
        <v>86.09</v>
      </c>
      <c r="D15" s="51">
        <v>70.099999999999994</v>
      </c>
      <c r="E15" s="51">
        <v>4.07</v>
      </c>
      <c r="F15" s="51">
        <v>0.64</v>
      </c>
      <c r="G15" s="51">
        <v>142.19</v>
      </c>
      <c r="H15" s="51">
        <v>52.78</v>
      </c>
      <c r="I15" s="53" t="s">
        <v>8</v>
      </c>
      <c r="J15" s="51">
        <v>0.40</v>
      </c>
      <c r="K15" s="53" t="s">
        <v>8</v>
      </c>
      <c r="L15" s="51">
        <v>17.510000000000002</v>
      </c>
      <c r="M15" s="53" t="s">
        <v>8</v>
      </c>
      <c r="N15" s="53" t="s">
        <v>8</v>
      </c>
      <c r="O15" s="51">
        <v>0</v>
      </c>
      <c r="P15" s="51">
        <v>2.14</v>
      </c>
      <c r="Q15" s="51">
        <v>123.04</v>
      </c>
      <c r="R15" s="43"/>
      <c r="S15" s="43"/>
      <c r="T15" s="43"/>
      <c r="U15" s="43"/>
    </row>
    <row r="16" spans="1:21" s="11" customFormat="1" ht="15">
      <c r="A16" s="50" t="s">
        <v>93</v>
      </c>
      <c r="B16" s="51">
        <v>24.44</v>
      </c>
      <c r="C16" s="51">
        <v>82.78</v>
      </c>
      <c r="D16" s="51">
        <v>65.27</v>
      </c>
      <c r="E16" s="51">
        <v>4.53</v>
      </c>
      <c r="F16" s="51">
        <v>0.81</v>
      </c>
      <c r="G16" s="51">
        <v>106.91</v>
      </c>
      <c r="H16" s="51">
        <v>49.95</v>
      </c>
      <c r="I16" s="53" t="s">
        <v>8</v>
      </c>
      <c r="J16" s="51">
        <v>1.1399999999999999</v>
      </c>
      <c r="K16" s="53" t="s">
        <v>8</v>
      </c>
      <c r="L16" s="51">
        <v>19.829999999999998</v>
      </c>
      <c r="M16" s="53" t="s">
        <v>8</v>
      </c>
      <c r="N16" s="51">
        <v>47.90</v>
      </c>
      <c r="O16" s="51">
        <v>0</v>
      </c>
      <c r="P16" s="51">
        <v>1.90</v>
      </c>
      <c r="Q16" s="51">
        <v>119.98</v>
      </c>
      <c r="R16" s="43"/>
      <c r="S16" s="43"/>
      <c r="T16" s="43"/>
      <c r="U16" s="43"/>
    </row>
    <row r="17" spans="1:21" s="11" customFormat="1" ht="15">
      <c r="A17" s="50" t="s">
        <v>94</v>
      </c>
      <c r="B17" s="51">
        <v>23.38</v>
      </c>
      <c r="C17" s="51">
        <v>83.85</v>
      </c>
      <c r="D17" s="51">
        <v>64.16</v>
      </c>
      <c r="E17" s="51">
        <v>4.88</v>
      </c>
      <c r="F17" s="51">
        <v>0.84</v>
      </c>
      <c r="G17" s="51">
        <v>100.87</v>
      </c>
      <c r="H17" s="51">
        <v>47.92</v>
      </c>
      <c r="I17" s="53" t="s">
        <v>8</v>
      </c>
      <c r="J17" s="51">
        <v>1.1599999999999999</v>
      </c>
      <c r="K17" s="53" t="s">
        <v>8</v>
      </c>
      <c r="L17" s="51">
        <v>23.37</v>
      </c>
      <c r="M17" s="53" t="s">
        <v>8</v>
      </c>
      <c r="N17" s="51">
        <v>150.10</v>
      </c>
      <c r="O17" s="51">
        <v>0</v>
      </c>
      <c r="P17" s="51">
        <v>1.79</v>
      </c>
      <c r="Q17" s="51">
        <v>120.53</v>
      </c>
      <c r="R17" s="43"/>
      <c r="S17" s="43"/>
      <c r="T17" s="43"/>
      <c r="U17" s="43"/>
    </row>
    <row r="18" spans="1:21" s="11" customFormat="1" ht="15">
      <c r="A18" s="50" t="s">
        <v>95</v>
      </c>
      <c r="B18" s="51">
        <v>18.75</v>
      </c>
      <c r="C18" s="51">
        <v>84.08</v>
      </c>
      <c r="D18" s="51">
        <v>61.44</v>
      </c>
      <c r="E18" s="51">
        <v>4.9800000000000004</v>
      </c>
      <c r="F18" s="51">
        <v>1.1200000000000001</v>
      </c>
      <c r="G18" s="51">
        <v>102.58</v>
      </c>
      <c r="H18" s="51">
        <v>44.36</v>
      </c>
      <c r="I18" s="53" t="s">
        <v>8</v>
      </c>
      <c r="J18" s="51">
        <v>1.38</v>
      </c>
      <c r="K18" s="53" t="s">
        <v>8</v>
      </c>
      <c r="L18" s="51">
        <v>24.15</v>
      </c>
      <c r="M18" s="53" t="s">
        <v>8</v>
      </c>
      <c r="N18" s="51">
        <v>219.5</v>
      </c>
      <c r="O18" s="51">
        <v>0</v>
      </c>
      <c r="P18" s="51">
        <v>1.64</v>
      </c>
      <c r="Q18" s="51">
        <v>119.65</v>
      </c>
      <c r="R18" s="43"/>
      <c r="S18" s="43"/>
      <c r="T18" s="43"/>
      <c r="U18" s="43"/>
    </row>
    <row r="19" spans="1:21" s="11" customFormat="1" ht="15">
      <c r="A19" s="50" t="s">
        <v>96</v>
      </c>
      <c r="B19" s="51">
        <v>11.53</v>
      </c>
      <c r="C19" s="51">
        <v>80.5</v>
      </c>
      <c r="D19" s="51">
        <v>53.49</v>
      </c>
      <c r="E19" s="51">
        <v>4.8600000000000003</v>
      </c>
      <c r="F19" s="51">
        <v>1.28</v>
      </c>
      <c r="G19" s="51">
        <v>102.58</v>
      </c>
      <c r="H19" s="51">
        <v>42.48</v>
      </c>
      <c r="I19" s="53" t="s">
        <v>8</v>
      </c>
      <c r="J19" s="51">
        <v>1.07</v>
      </c>
      <c r="K19" s="53" t="s">
        <v>8</v>
      </c>
      <c r="L19" s="51">
        <v>26.90</v>
      </c>
      <c r="M19" s="53" t="s">
        <v>8</v>
      </c>
      <c r="N19" s="51">
        <v>258.5</v>
      </c>
      <c r="O19" s="51">
        <v>0</v>
      </c>
      <c r="P19" s="51">
        <v>1.45</v>
      </c>
      <c r="Q19" s="51">
        <v>116.61</v>
      </c>
      <c r="R19" s="43"/>
      <c r="S19" s="43"/>
      <c r="T19" s="43"/>
      <c r="U19" s="43"/>
    </row>
    <row r="20" spans="1:21" s="11" customFormat="1" ht="15">
      <c r="A20" s="50" t="s">
        <v>97</v>
      </c>
      <c r="B20" s="51">
        <v>6.20</v>
      </c>
      <c r="C20" s="51">
        <v>77.84</v>
      </c>
      <c r="D20" s="51">
        <v>47.93</v>
      </c>
      <c r="E20" s="51">
        <v>8.52</v>
      </c>
      <c r="F20" s="51">
        <v>9.7799999999999994</v>
      </c>
      <c r="G20" s="51">
        <v>91.78</v>
      </c>
      <c r="H20" s="51">
        <v>41.23</v>
      </c>
      <c r="I20" s="51">
        <v>0.42</v>
      </c>
      <c r="J20" s="51">
        <v>0.99</v>
      </c>
      <c r="K20" s="53" t="s">
        <v>8</v>
      </c>
      <c r="L20" s="51">
        <v>29.5</v>
      </c>
      <c r="M20" s="53" t="s">
        <v>8</v>
      </c>
      <c r="N20" s="51">
        <v>266.70</v>
      </c>
      <c r="O20" s="51">
        <v>0</v>
      </c>
      <c r="P20" s="51">
        <v>1.32</v>
      </c>
      <c r="Q20" s="51">
        <v>111.06</v>
      </c>
      <c r="R20" s="43"/>
      <c r="S20" s="43"/>
      <c r="T20" s="43"/>
      <c r="U20" s="43"/>
    </row>
    <row r="21" spans="1:21" s="11" customFormat="1" ht="15">
      <c r="A21" s="50" t="s">
        <v>98</v>
      </c>
      <c r="B21" s="51">
        <v>6.76</v>
      </c>
      <c r="C21" s="51">
        <v>80.63</v>
      </c>
      <c r="D21" s="51">
        <v>47.45</v>
      </c>
      <c r="E21" s="51">
        <v>18.600000000000001</v>
      </c>
      <c r="F21" s="51">
        <v>20.13</v>
      </c>
      <c r="G21" s="51">
        <v>73.209999999999994</v>
      </c>
      <c r="H21" s="51">
        <v>39.03</v>
      </c>
      <c r="I21" s="51">
        <v>0.36</v>
      </c>
      <c r="J21" s="51">
        <v>0.92</v>
      </c>
      <c r="K21" s="53" t="s">
        <v>8</v>
      </c>
      <c r="L21" s="51">
        <v>31.82</v>
      </c>
      <c r="M21" s="53" t="s">
        <v>8</v>
      </c>
      <c r="N21" s="51">
        <v>260.39999999999998</v>
      </c>
      <c r="O21" s="51">
        <v>0</v>
      </c>
      <c r="P21" s="51">
        <v>1.01</v>
      </c>
      <c r="Q21" s="51">
        <v>71.89</v>
      </c>
      <c r="R21" s="43"/>
      <c r="S21" s="43"/>
      <c r="T21" s="43"/>
      <c r="U21" s="43"/>
    </row>
    <row r="22" spans="1:21" s="11" customFormat="1" ht="15">
      <c r="A22" s="50" t="s">
        <v>99</v>
      </c>
      <c r="B22" s="51">
        <v>3.18</v>
      </c>
      <c r="C22" s="51">
        <v>74.62</v>
      </c>
      <c r="D22" s="51">
        <v>43.55</v>
      </c>
      <c r="E22" s="51">
        <v>15.75</v>
      </c>
      <c r="F22" s="51">
        <v>20.440000000000001</v>
      </c>
      <c r="G22" s="51">
        <v>72.150000000000006</v>
      </c>
      <c r="H22" s="51">
        <v>39.700000000000003</v>
      </c>
      <c r="I22" s="51">
        <v>0.24</v>
      </c>
      <c r="J22" s="51">
        <v>1.1000000000000001</v>
      </c>
      <c r="K22" s="53" t="s">
        <v>8</v>
      </c>
      <c r="L22" s="51">
        <v>34.11</v>
      </c>
      <c r="M22" s="53" t="s">
        <v>8</v>
      </c>
      <c r="N22" s="51">
        <v>223.40</v>
      </c>
      <c r="O22" s="51">
        <v>0</v>
      </c>
      <c r="P22" s="51">
        <v>0.99</v>
      </c>
      <c r="Q22" s="51">
        <v>70.709999999999994</v>
      </c>
      <c r="R22" s="43"/>
      <c r="S22" s="43"/>
      <c r="T22" s="43"/>
      <c r="U22" s="43"/>
    </row>
    <row r="23" spans="1:21" s="11" customFormat="1" ht="15">
      <c r="A23" s="50" t="s">
        <v>100</v>
      </c>
      <c r="B23" s="51">
        <v>2.84</v>
      </c>
      <c r="C23" s="51">
        <v>88.97</v>
      </c>
      <c r="D23" s="51">
        <v>51.38</v>
      </c>
      <c r="E23" s="51">
        <v>13.05</v>
      </c>
      <c r="F23" s="51">
        <v>22.38</v>
      </c>
      <c r="G23" s="51">
        <v>73.58</v>
      </c>
      <c r="H23" s="51">
        <v>39.700000000000003</v>
      </c>
      <c r="I23" s="51">
        <v>0.25</v>
      </c>
      <c r="J23" s="51">
        <v>0.93</v>
      </c>
      <c r="K23" s="53" t="s">
        <v>8</v>
      </c>
      <c r="L23" s="51">
        <v>32.68</v>
      </c>
      <c r="M23" s="53" t="s">
        <v>8</v>
      </c>
      <c r="N23" s="51">
        <v>298.5</v>
      </c>
      <c r="O23" s="51">
        <v>0</v>
      </c>
      <c r="P23" s="51">
        <v>1.1200000000000001</v>
      </c>
      <c r="Q23" s="51">
        <v>73.12</v>
      </c>
      <c r="R23" s="43"/>
      <c r="S23" s="43"/>
      <c r="T23" s="43"/>
      <c r="U23" s="43"/>
    </row>
    <row r="24" spans="1:21" s="11" customFormat="1" ht="15">
      <c r="A24" s="50" t="s">
        <v>101</v>
      </c>
      <c r="B24" s="51">
        <v>5.0599999999999996</v>
      </c>
      <c r="C24" s="51">
        <v>113.32</v>
      </c>
      <c r="D24" s="51">
        <v>66.599999999999994</v>
      </c>
      <c r="E24" s="51">
        <v>16.21</v>
      </c>
      <c r="F24" s="51">
        <v>37.729999999999997</v>
      </c>
      <c r="G24" s="51">
        <v>73.58</v>
      </c>
      <c r="H24" s="51">
        <v>37.590000000000003</v>
      </c>
      <c r="I24" s="51">
        <v>0.25</v>
      </c>
      <c r="J24" s="51">
        <v>0.45</v>
      </c>
      <c r="K24" s="51">
        <v>145.10</v>
      </c>
      <c r="L24" s="51">
        <v>30.18</v>
      </c>
      <c r="M24" s="53" t="s">
        <v>8</v>
      </c>
      <c r="N24" s="51">
        <v>213.5</v>
      </c>
      <c r="O24" s="51">
        <v>0</v>
      </c>
      <c r="P24" s="51">
        <v>1.39</v>
      </c>
      <c r="Q24" s="51">
        <v>74.02</v>
      </c>
      <c r="R24" s="43"/>
      <c r="S24" s="43"/>
      <c r="T24" s="43"/>
      <c r="U24" s="43"/>
    </row>
    <row r="25" spans="1:21" s="11" customFormat="1" ht="15">
      <c r="A25" s="50" t="s">
        <v>102</v>
      </c>
      <c r="B25" s="51">
        <v>9.33</v>
      </c>
      <c r="C25" s="51">
        <v>65.47</v>
      </c>
      <c r="D25" s="51">
        <v>41.64</v>
      </c>
      <c r="E25" s="51">
        <v>17.66</v>
      </c>
      <c r="F25" s="51">
        <v>32.270000000000003</v>
      </c>
      <c r="G25" s="51">
        <v>73.03</v>
      </c>
      <c r="H25" s="51">
        <v>35.65</v>
      </c>
      <c r="I25" s="51">
        <v>0.28999999999999998</v>
      </c>
      <c r="J25" s="51">
        <v>0.37</v>
      </c>
      <c r="K25" s="51">
        <v>213.11</v>
      </c>
      <c r="L25" s="51">
        <v>28.22</v>
      </c>
      <c r="M25" s="53" t="s">
        <v>8</v>
      </c>
      <c r="N25" s="51">
        <v>76.80</v>
      </c>
      <c r="O25" s="51">
        <v>0</v>
      </c>
      <c r="P25" s="51">
        <v>1.90</v>
      </c>
      <c r="Q25" s="51">
        <v>55.22</v>
      </c>
      <c r="R25" s="43"/>
      <c r="S25" s="43"/>
      <c r="T25" s="43"/>
      <c r="U25" s="43"/>
    </row>
    <row r="26" spans="1:21" s="11" customFormat="1" ht="15">
      <c r="A26" s="50" t="s">
        <v>103</v>
      </c>
      <c r="B26" s="51">
        <v>8.9700000000000006</v>
      </c>
      <c r="C26" s="51">
        <v>67.209999999999994</v>
      </c>
      <c r="D26" s="51">
        <v>41.64</v>
      </c>
      <c r="E26" s="51">
        <v>8.83</v>
      </c>
      <c r="F26" s="51">
        <v>5.37</v>
      </c>
      <c r="G26" s="51">
        <v>99.90</v>
      </c>
      <c r="H26" s="51">
        <v>37.590000000000003</v>
      </c>
      <c r="I26" s="51">
        <v>0.48</v>
      </c>
      <c r="J26" s="51">
        <v>0.21</v>
      </c>
      <c r="K26" s="51">
        <v>218.94</v>
      </c>
      <c r="L26" s="51">
        <v>25.54</v>
      </c>
      <c r="M26" s="53" t="s">
        <v>8</v>
      </c>
      <c r="N26" s="51">
        <v>39</v>
      </c>
      <c r="O26" s="51">
        <v>0</v>
      </c>
      <c r="P26" s="51">
        <v>2.14</v>
      </c>
      <c r="Q26" s="51">
        <v>40.40</v>
      </c>
      <c r="R26" s="43"/>
      <c r="S26" s="43"/>
      <c r="T26" s="43"/>
      <c r="U26" s="43"/>
    </row>
    <row r="27" spans="1:21" s="11" customFormat="1" ht="15">
      <c r="A27" s="50" t="s">
        <v>104</v>
      </c>
      <c r="B27" s="51">
        <v>28.34</v>
      </c>
      <c r="C27" s="51">
        <v>55.32</v>
      </c>
      <c r="D27" s="51">
        <v>48.39</v>
      </c>
      <c r="E27" s="51">
        <v>3.73</v>
      </c>
      <c r="F27" s="51">
        <v>0.86</v>
      </c>
      <c r="G27" s="51">
        <v>167.96</v>
      </c>
      <c r="H27" s="51">
        <v>40.86</v>
      </c>
      <c r="I27" s="51">
        <v>0.68</v>
      </c>
      <c r="J27" s="51">
        <v>0.15</v>
      </c>
      <c r="K27" s="51">
        <v>231.49</v>
      </c>
      <c r="L27" s="51">
        <v>24.34</v>
      </c>
      <c r="M27" s="53" t="s">
        <v>8</v>
      </c>
      <c r="N27" s="51">
        <v>34.700000000000003</v>
      </c>
      <c r="O27" s="51">
        <v>0</v>
      </c>
      <c r="P27" s="51">
        <v>2.79</v>
      </c>
      <c r="Q27" s="51">
        <v>43.31</v>
      </c>
      <c r="R27" s="43"/>
      <c r="S27" s="43"/>
      <c r="T27" s="43"/>
      <c r="U27" s="43"/>
    </row>
    <row r="28" spans="1:21" s="11" customFormat="1" ht="15">
      <c r="A28" s="50" t="s">
        <v>105</v>
      </c>
      <c r="B28" s="51">
        <v>35.409999999999997</v>
      </c>
      <c r="C28" s="51">
        <v>43.01</v>
      </c>
      <c r="D28" s="51">
        <v>52.13</v>
      </c>
      <c r="E28" s="51">
        <v>4.72</v>
      </c>
      <c r="F28" s="51">
        <v>1</v>
      </c>
      <c r="G28" s="51">
        <v>183.51</v>
      </c>
      <c r="H28" s="51">
        <v>50.01</v>
      </c>
      <c r="I28" s="51">
        <v>0.95</v>
      </c>
      <c r="J28" s="51">
        <v>0.26</v>
      </c>
      <c r="K28" s="51">
        <v>204.60</v>
      </c>
      <c r="L28" s="51">
        <v>24.05</v>
      </c>
      <c r="M28" s="53" t="s">
        <v>8</v>
      </c>
      <c r="N28" s="51">
        <v>34.40</v>
      </c>
      <c r="O28" s="51">
        <v>0</v>
      </c>
      <c r="P28" s="51">
        <v>3.05</v>
      </c>
      <c r="Q28" s="51">
        <v>47.33</v>
      </c>
      <c r="R28" s="43"/>
      <c r="S28" s="43"/>
      <c r="T28" s="43"/>
      <c r="U28" s="43"/>
    </row>
    <row r="29" spans="1:21" s="11" customFormat="1" ht="15">
      <c r="A29" s="50" t="s">
        <v>106</v>
      </c>
      <c r="B29" s="51">
        <v>42.92</v>
      </c>
      <c r="C29" s="51">
        <v>37.65</v>
      </c>
      <c r="D29" s="51">
        <v>52.07</v>
      </c>
      <c r="E29" s="51">
        <v>5.53</v>
      </c>
      <c r="F29" s="51">
        <v>0.68</v>
      </c>
      <c r="G29" s="51">
        <v>201.65</v>
      </c>
      <c r="H29" s="51">
        <v>61.14</v>
      </c>
      <c r="I29" s="51">
        <v>1.1399999999999999</v>
      </c>
      <c r="J29" s="51">
        <v>0.24</v>
      </c>
      <c r="K29" s="51">
        <v>212.12</v>
      </c>
      <c r="L29" s="51">
        <v>23.63</v>
      </c>
      <c r="M29" s="53" t="s">
        <v>8</v>
      </c>
      <c r="N29" s="51">
        <v>34.60</v>
      </c>
      <c r="O29" s="51">
        <v>0</v>
      </c>
      <c r="P29" s="51">
        <v>3.31</v>
      </c>
      <c r="Q29" s="51">
        <v>51.90</v>
      </c>
      <c r="R29" s="43"/>
      <c r="S29" s="43"/>
      <c r="T29" s="43"/>
      <c r="U29" s="43"/>
    </row>
    <row r="30" spans="1:21" s="11" customFormat="1" ht="15">
      <c r="A30" s="50" t="s">
        <v>107</v>
      </c>
      <c r="B30" s="51">
        <v>41.84</v>
      </c>
      <c r="C30" s="51">
        <v>33.75</v>
      </c>
      <c r="D30" s="51">
        <v>50.64</v>
      </c>
      <c r="E30" s="51">
        <v>5.22</v>
      </c>
      <c r="F30" s="51">
        <v>0.83</v>
      </c>
      <c r="G30" s="51">
        <v>201.65</v>
      </c>
      <c r="H30" s="51">
        <v>61.14</v>
      </c>
      <c r="I30" s="51">
        <v>1.27</v>
      </c>
      <c r="J30" s="51">
        <v>0.15</v>
      </c>
      <c r="K30" s="51">
        <v>243.48</v>
      </c>
      <c r="L30" s="51">
        <v>22.57</v>
      </c>
      <c r="M30" s="53" t="s">
        <v>8</v>
      </c>
      <c r="N30" s="51">
        <v>34.799999999999997</v>
      </c>
      <c r="O30" s="51">
        <v>0</v>
      </c>
      <c r="P30" s="51">
        <v>3.32</v>
      </c>
      <c r="Q30" s="51">
        <v>52.15</v>
      </c>
      <c r="R30" s="43"/>
      <c r="S30" s="43"/>
      <c r="T30" s="43"/>
      <c r="U30" s="43"/>
    </row>
    <row r="31" spans="1:21" s="11" customFormat="1" ht="15">
      <c r="A31" s="50" t="s">
        <v>108</v>
      </c>
      <c r="B31" s="51">
        <v>64.80</v>
      </c>
      <c r="C31" s="51">
        <v>29.73</v>
      </c>
      <c r="D31" s="51">
        <v>61.46</v>
      </c>
      <c r="E31" s="51">
        <v>5.45</v>
      </c>
      <c r="F31" s="51">
        <v>0.65</v>
      </c>
      <c r="G31" s="51">
        <v>187.77</v>
      </c>
      <c r="H31" s="51">
        <v>60.38</v>
      </c>
      <c r="I31" s="51">
        <v>1.34</v>
      </c>
      <c r="J31" s="51">
        <v>0.17</v>
      </c>
      <c r="K31" s="51">
        <v>262.94</v>
      </c>
      <c r="L31" s="51">
        <v>21.19</v>
      </c>
      <c r="M31" s="53" t="s">
        <v>8</v>
      </c>
      <c r="N31" s="51">
        <v>34.700000000000003</v>
      </c>
      <c r="O31" s="51">
        <v>0</v>
      </c>
      <c r="P31" s="51">
        <v>3.57</v>
      </c>
      <c r="Q31" s="51">
        <v>52.29</v>
      </c>
      <c r="R31" s="43"/>
      <c r="S31" s="43"/>
      <c r="T31" s="43"/>
      <c r="U31" s="43"/>
    </row>
    <row r="32" spans="1:21" s="11" customFormat="1" ht="15">
      <c r="A32" s="50" t="s">
        <v>109</v>
      </c>
      <c r="B32" s="51">
        <v>78.80</v>
      </c>
      <c r="C32" s="51">
        <v>14.80</v>
      </c>
      <c r="D32" s="51">
        <v>66.569999999999993</v>
      </c>
      <c r="E32" s="51">
        <v>5.1100000000000003</v>
      </c>
      <c r="F32" s="51">
        <v>0.80</v>
      </c>
      <c r="G32" s="51">
        <v>187.77</v>
      </c>
      <c r="H32" s="51">
        <v>60.38</v>
      </c>
      <c r="I32" s="51">
        <v>1.46</v>
      </c>
      <c r="J32" s="51">
        <v>0.15</v>
      </c>
      <c r="K32" s="51">
        <v>274.42</v>
      </c>
      <c r="L32" s="51">
        <v>20.239999999999998</v>
      </c>
      <c r="M32" s="53" t="s">
        <v>8</v>
      </c>
      <c r="N32" s="51">
        <v>34.700000000000003</v>
      </c>
      <c r="O32" s="51">
        <v>0</v>
      </c>
      <c r="P32" s="51">
        <v>3.61</v>
      </c>
      <c r="Q32" s="51">
        <v>54.74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2.8399999999999999</v>
      </c>
      <c r="C34" s="28">
        <f t="shared" si="0"/>
        <v>14.800000000000001</v>
      </c>
      <c r="D34" s="28">
        <f t="shared" si="0"/>
        <v>41.640000000000001</v>
      </c>
      <c r="E34" s="28">
        <f t="shared" si="0"/>
        <v>3.73</v>
      </c>
      <c r="F34" s="28">
        <f t="shared" si="0"/>
        <v>0.5</v>
      </c>
      <c r="G34" s="28">
        <f t="shared" si="0"/>
        <v>72.150000000000006</v>
      </c>
      <c r="H34" s="28">
        <f t="shared" si="0"/>
        <v>35.649999999999999</v>
      </c>
      <c r="I34" s="28">
        <f t="shared" si="0"/>
        <v>0.23999999999999999</v>
      </c>
      <c r="J34" s="28">
        <f t="shared" si="0"/>
        <v>0.14000000000000001</v>
      </c>
      <c r="K34" s="28">
        <f t="shared" si="0"/>
        <v>145.09999999999999</v>
      </c>
      <c r="L34" s="28">
        <f t="shared" si="0"/>
        <v>17.039999999999999</v>
      </c>
      <c r="M34" s="28">
        <f t="shared" si="0"/>
        <v>0</v>
      </c>
      <c r="N34" s="28">
        <f t="shared" si="0"/>
        <v>34.399999999999999</v>
      </c>
      <c r="O34" s="28">
        <f t="shared" si="0"/>
        <v>0</v>
      </c>
      <c r="P34" s="28">
        <f t="shared" si="0"/>
        <v>0.98999999999999999</v>
      </c>
      <c r="Q34" s="28">
        <f t="shared" si="0"/>
        <v>40.399999999999999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78.799999999999997</v>
      </c>
      <c r="C35" s="29">
        <f t="shared" si="1"/>
        <v>118.58</v>
      </c>
      <c r="D35" s="29">
        <f t="shared" si="1"/>
        <v>116.92</v>
      </c>
      <c r="E35" s="29">
        <f t="shared" si="1"/>
        <v>18.600000000000001</v>
      </c>
      <c r="F35" s="29">
        <f t="shared" si="1"/>
        <v>37.729999999999997</v>
      </c>
      <c r="G35" s="29">
        <f t="shared" si="1"/>
        <v>201.65000000000001</v>
      </c>
      <c r="H35" s="29">
        <f t="shared" si="1"/>
        <v>61.140000000000001</v>
      </c>
      <c r="I35" s="29">
        <f t="shared" si="1"/>
        <v>1.46</v>
      </c>
      <c r="J35" s="29">
        <f t="shared" si="1"/>
        <v>1.3799999999999999</v>
      </c>
      <c r="K35" s="29">
        <f t="shared" si="1"/>
        <v>274.42000000000002</v>
      </c>
      <c r="L35" s="29">
        <f t="shared" si="1"/>
        <v>34.109999999999999</v>
      </c>
      <c r="M35" s="29">
        <f t="shared" si="1"/>
        <v>0</v>
      </c>
      <c r="N35" s="29">
        <f t="shared" si="1"/>
        <v>298.5</v>
      </c>
      <c r="O35" s="29">
        <f t="shared" si="1"/>
        <v>0</v>
      </c>
      <c r="P35" s="29">
        <f t="shared" si="1"/>
        <v>3.6099999999999999</v>
      </c>
      <c r="Q35" s="29">
        <f t="shared" si="1"/>
        <v>139.46000000000001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30.434999999999992</v>
      </c>
      <c r="C36" s="28">
        <f t="shared" si="2"/>
        <v>75.568333333333328</v>
      </c>
      <c r="D36" s="28">
        <f t="shared" si="2"/>
        <v>64.879166666666691</v>
      </c>
      <c r="E36" s="28">
        <f t="shared" si="2"/>
        <v>7.4445833333333331</v>
      </c>
      <c r="F36" s="28">
        <f t="shared" si="2"/>
        <v>6.7129166666666684</v>
      </c>
      <c r="G36" s="28">
        <f t="shared" si="2"/>
        <v>130.99333333333334</v>
      </c>
      <c r="H36" s="28">
        <f t="shared" si="2"/>
        <v>47.877083333333353</v>
      </c>
      <c r="I36" s="28">
        <f t="shared" si="2"/>
        <v>0.76666666666666672</v>
      </c>
      <c r="J36" s="28">
        <f t="shared" si="2"/>
        <v>0.53708333333333336</v>
      </c>
      <c r="K36" s="28">
        <f t="shared" si="2"/>
        <v>222.91111111111115</v>
      </c>
      <c r="L36" s="28">
        <f t="shared" si="2"/>
        <v>23.599166666666672</v>
      </c>
      <c r="M36" s="28" t="e">
        <f t="shared" si="2"/>
        <v>#DIV/0!</v>
      </c>
      <c r="N36" s="28">
        <f t="shared" si="2"/>
        <v>133.07058823529411</v>
      </c>
      <c r="O36" s="28">
        <f t="shared" si="2"/>
        <v>0</v>
      </c>
      <c r="P36" s="28">
        <f t="shared" si="2"/>
        <v>2.2529166666666667</v>
      </c>
      <c r="Q36" s="28">
        <f t="shared" si="2"/>
        <v>91.733333333333334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22.014982052743292</v>
      </c>
      <c r="C37" s="28">
        <f t="shared" si="3" ref="C37:Q37">STDEV(C9:C32)</f>
        <v>27.65524915449328</v>
      </c>
      <c r="D37" s="28">
        <f t="shared" si="3"/>
        <v>20.84823106179017</v>
      </c>
      <c r="E37" s="28">
        <f t="shared" si="3"/>
        <v>4.8458973944947523</v>
      </c>
      <c r="F37" s="28">
        <f t="shared" si="3"/>
        <v>11.116831922483742</v>
      </c>
      <c r="G37" s="28">
        <f t="shared" si="3"/>
        <v>46.047675073885621</v>
      </c>
      <c r="H37" s="28">
        <f t="shared" si="3"/>
        <v>8.0598362693298036</v>
      </c>
      <c r="I37" s="28">
        <f t="shared" si="3"/>
        <v>0.46296662432414626</v>
      </c>
      <c r="J37" s="28">
        <f t="shared" si="3"/>
        <v>0.41671050494022399</v>
      </c>
      <c r="K37" s="28">
        <f t="shared" si="3"/>
        <v>37.699965996153132</v>
      </c>
      <c r="L37" s="28">
        <f t="shared" si="3"/>
        <v>5.3241949109020359</v>
      </c>
      <c r="M37" s="28" t="e">
        <f t="shared" si="3"/>
        <v>#DIV/0!</v>
      </c>
      <c r="N37" s="28">
        <f t="shared" si="3"/>
        <v>105.16261672230468</v>
      </c>
      <c r="O37" s="28">
        <f t="shared" si="3"/>
        <v>0</v>
      </c>
      <c r="P37" s="28">
        <f t="shared" si="3"/>
        <v>0.81589363739168363</v>
      </c>
      <c r="Q37" s="28">
        <f t="shared" si="3"/>
        <v>36.736543666759275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v>24</v>
      </c>
      <c r="G38" s="32">
        <f t="shared" si="4"/>
        <v>24</v>
      </c>
      <c r="H38" s="32">
        <f t="shared" si="4"/>
        <v>24</v>
      </c>
      <c r="I38" s="32">
        <f>COUNT(I9:I32)+9</f>
        <v>24</v>
      </c>
      <c r="J38" s="32">
        <f t="shared" si="4"/>
        <v>24</v>
      </c>
      <c r="K38" s="32">
        <f>COUNT(K9:K32)+15</f>
        <v>24</v>
      </c>
      <c r="L38" s="32">
        <f t="shared" si="4"/>
        <v>24</v>
      </c>
      <c r="M38" s="32">
        <f>COUNT(M9:M32)+24</f>
        <v>24</v>
      </c>
      <c r="N38" s="32">
        <f>COUNT(N9:N32)+7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61786b9-798c-437f-af64-27a33f5a3d6f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110</v>
      </c>
      <c r="B9" s="51">
        <v>80.20</v>
      </c>
      <c r="C9" s="51">
        <v>4.79</v>
      </c>
      <c r="D9" s="51">
        <v>66.72</v>
      </c>
      <c r="E9" s="51">
        <v>5.75</v>
      </c>
      <c r="F9" s="51">
        <v>0.56000000000000005</v>
      </c>
      <c r="G9" s="51">
        <v>159.52000000000001</v>
      </c>
      <c r="H9" s="51">
        <v>57.55</v>
      </c>
      <c r="I9" s="51">
        <v>1.48</v>
      </c>
      <c r="J9" s="51">
        <v>0.21</v>
      </c>
      <c r="K9" s="51">
        <v>285.13</v>
      </c>
      <c r="L9" s="51">
        <v>20.07</v>
      </c>
      <c r="M9" s="51">
        <v>36</v>
      </c>
      <c r="N9" s="51">
        <v>34.60</v>
      </c>
      <c r="O9" s="51">
        <v>0</v>
      </c>
      <c r="P9" s="51">
        <v>3.56</v>
      </c>
      <c r="Q9" s="51">
        <v>56.32</v>
      </c>
      <c r="R9" s="43"/>
      <c r="S9" s="43"/>
      <c r="T9" s="43"/>
      <c r="U9" s="43"/>
    </row>
    <row r="10" spans="1:21" s="11" customFormat="1" ht="15">
      <c r="A10" s="50" t="s">
        <v>111</v>
      </c>
      <c r="B10" s="51">
        <v>76.05</v>
      </c>
      <c r="C10" s="51">
        <v>4.0599999999999996</v>
      </c>
      <c r="D10" s="51">
        <v>62.90</v>
      </c>
      <c r="E10" s="51">
        <v>5.55</v>
      </c>
      <c r="F10" s="51">
        <v>0.74</v>
      </c>
      <c r="G10" s="51">
        <v>148.53</v>
      </c>
      <c r="H10" s="51">
        <v>57.5</v>
      </c>
      <c r="I10" s="51">
        <v>1.44</v>
      </c>
      <c r="J10" s="51">
        <v>0.26</v>
      </c>
      <c r="K10" s="51">
        <v>302.17</v>
      </c>
      <c r="L10" s="51">
        <v>19.239999999999998</v>
      </c>
      <c r="M10" s="51">
        <v>45</v>
      </c>
      <c r="N10" s="51">
        <v>34.60</v>
      </c>
      <c r="O10" s="51">
        <v>0</v>
      </c>
      <c r="P10" s="51">
        <v>3.26</v>
      </c>
      <c r="Q10" s="51">
        <v>54.75</v>
      </c>
      <c r="R10" s="43"/>
      <c r="S10" s="43"/>
      <c r="T10" s="43"/>
      <c r="U10" s="43"/>
    </row>
    <row r="11" spans="1:21" s="11" customFormat="1" ht="15">
      <c r="A11" s="50" t="s">
        <v>112</v>
      </c>
      <c r="B11" s="51">
        <v>69.02</v>
      </c>
      <c r="C11" s="51">
        <v>5.47</v>
      </c>
      <c r="D11" s="51">
        <v>57.95</v>
      </c>
      <c r="E11" s="51">
        <v>5.43</v>
      </c>
      <c r="F11" s="51">
        <v>0.75</v>
      </c>
      <c r="G11" s="51">
        <v>166.15</v>
      </c>
      <c r="H11" s="51">
        <v>61.54</v>
      </c>
      <c r="I11" s="51">
        <v>1.32</v>
      </c>
      <c r="J11" s="51">
        <v>0.14000000000000001</v>
      </c>
      <c r="K11" s="51">
        <v>298.31</v>
      </c>
      <c r="L11" s="51">
        <v>19.03</v>
      </c>
      <c r="M11" s="51">
        <v>39</v>
      </c>
      <c r="N11" s="51">
        <v>34.60</v>
      </c>
      <c r="O11" s="51">
        <v>0</v>
      </c>
      <c r="P11" s="51">
        <v>3.04</v>
      </c>
      <c r="Q11" s="51">
        <v>53.24</v>
      </c>
      <c r="R11" s="43"/>
      <c r="S11" s="43"/>
      <c r="T11" s="43"/>
      <c r="U11" s="43"/>
    </row>
    <row r="12" spans="1:21" s="11" customFormat="1" ht="15">
      <c r="A12" s="50" t="s">
        <v>113</v>
      </c>
      <c r="B12" s="51">
        <v>62.89</v>
      </c>
      <c r="C12" s="51">
        <v>8.82</v>
      </c>
      <c r="D12" s="51">
        <v>54.02</v>
      </c>
      <c r="E12" s="51">
        <v>5.48</v>
      </c>
      <c r="F12" s="51">
        <v>1.04</v>
      </c>
      <c r="G12" s="51">
        <v>190.32</v>
      </c>
      <c r="H12" s="51">
        <v>69.099999999999994</v>
      </c>
      <c r="I12" s="51">
        <v>1.25</v>
      </c>
      <c r="J12" s="51">
        <v>0.19</v>
      </c>
      <c r="K12" s="51">
        <v>300.64999999999998</v>
      </c>
      <c r="L12" s="51">
        <v>18.68</v>
      </c>
      <c r="M12" s="51">
        <v>23</v>
      </c>
      <c r="N12" s="51">
        <v>34.60</v>
      </c>
      <c r="O12" s="51">
        <v>0</v>
      </c>
      <c r="P12" s="51">
        <v>2.87</v>
      </c>
      <c r="Q12" s="51">
        <v>53.38</v>
      </c>
      <c r="R12" s="43"/>
      <c r="S12" s="43"/>
      <c r="T12" s="43"/>
      <c r="U12" s="43"/>
    </row>
    <row r="13" spans="1:21" s="11" customFormat="1" ht="15">
      <c r="A13" s="50" t="s">
        <v>114</v>
      </c>
      <c r="B13" s="51">
        <v>54.45</v>
      </c>
      <c r="C13" s="51">
        <v>13.61</v>
      </c>
      <c r="D13" s="51">
        <v>48.85</v>
      </c>
      <c r="E13" s="51">
        <v>5.90</v>
      </c>
      <c r="F13" s="51">
        <v>0.47</v>
      </c>
      <c r="G13" s="51">
        <v>196.80</v>
      </c>
      <c r="H13" s="51">
        <v>70.70</v>
      </c>
      <c r="I13" s="51">
        <v>1.17</v>
      </c>
      <c r="J13" s="51">
        <v>0.14000000000000001</v>
      </c>
      <c r="K13" s="51">
        <v>296.62</v>
      </c>
      <c r="L13" s="51">
        <v>18.82</v>
      </c>
      <c r="M13" s="51">
        <v>19</v>
      </c>
      <c r="N13" s="51">
        <v>34.60</v>
      </c>
      <c r="O13" s="51">
        <v>0</v>
      </c>
      <c r="P13" s="51">
        <v>2.69</v>
      </c>
      <c r="Q13" s="51">
        <v>54.05</v>
      </c>
      <c r="R13" s="43"/>
      <c r="S13" s="43"/>
      <c r="T13" s="43"/>
      <c r="U13" s="43"/>
    </row>
    <row r="14" spans="1:21" s="11" customFormat="1" ht="15">
      <c r="A14" s="50" t="s">
        <v>115</v>
      </c>
      <c r="B14" s="51">
        <v>61.10</v>
      </c>
      <c r="C14" s="51">
        <v>13.02</v>
      </c>
      <c r="D14" s="51">
        <v>53.48</v>
      </c>
      <c r="E14" s="51">
        <v>5.35</v>
      </c>
      <c r="F14" s="51">
        <v>0.74</v>
      </c>
      <c r="G14" s="51">
        <v>216.64</v>
      </c>
      <c r="H14" s="51">
        <v>72.510000000000005</v>
      </c>
      <c r="I14" s="51">
        <v>1.02</v>
      </c>
      <c r="J14" s="51">
        <v>0.17</v>
      </c>
      <c r="K14" s="51">
        <v>305.36</v>
      </c>
      <c r="L14" s="51">
        <v>18.309999999999999</v>
      </c>
      <c r="M14" s="51">
        <v>33</v>
      </c>
      <c r="N14" s="51">
        <v>34.60</v>
      </c>
      <c r="O14" s="51">
        <v>0</v>
      </c>
      <c r="P14" s="51">
        <v>2.5299999999999998</v>
      </c>
      <c r="Q14" s="51">
        <v>52.32</v>
      </c>
      <c r="R14" s="43"/>
      <c r="S14" s="43"/>
      <c r="T14" s="43"/>
      <c r="U14" s="43"/>
    </row>
    <row r="15" spans="1:21" s="11" customFormat="1" ht="15">
      <c r="A15" s="50" t="s">
        <v>116</v>
      </c>
      <c r="B15" s="51">
        <v>59.14</v>
      </c>
      <c r="C15" s="51">
        <v>10.199999999999999</v>
      </c>
      <c r="D15" s="51">
        <v>52.14</v>
      </c>
      <c r="E15" s="51">
        <v>5.78</v>
      </c>
      <c r="F15" s="51">
        <v>0.67</v>
      </c>
      <c r="G15" s="51">
        <v>216.64</v>
      </c>
      <c r="H15" s="51">
        <v>72.510000000000005</v>
      </c>
      <c r="I15" s="51">
        <v>0.92</v>
      </c>
      <c r="J15" s="51">
        <v>0.22</v>
      </c>
      <c r="K15" s="51">
        <v>288.62</v>
      </c>
      <c r="L15" s="51">
        <v>18.52</v>
      </c>
      <c r="M15" s="51">
        <v>27</v>
      </c>
      <c r="N15" s="51">
        <v>55.80</v>
      </c>
      <c r="O15" s="51">
        <v>0</v>
      </c>
      <c r="P15" s="51">
        <v>2.44</v>
      </c>
      <c r="Q15" s="51">
        <v>52.02</v>
      </c>
      <c r="R15" s="43"/>
      <c r="S15" s="43"/>
      <c r="T15" s="43"/>
      <c r="U15" s="43"/>
    </row>
    <row r="16" spans="1:21" s="11" customFormat="1" ht="15">
      <c r="A16" s="50" t="s">
        <v>117</v>
      </c>
      <c r="B16" s="51">
        <v>60.78</v>
      </c>
      <c r="C16" s="51">
        <v>7.94</v>
      </c>
      <c r="D16" s="51">
        <v>52.86</v>
      </c>
      <c r="E16" s="51">
        <v>5.78</v>
      </c>
      <c r="F16" s="51">
        <v>0.61</v>
      </c>
      <c r="G16" s="51">
        <v>169.44</v>
      </c>
      <c r="H16" s="51">
        <v>71.89</v>
      </c>
      <c r="I16" s="53" t="s">
        <v>8</v>
      </c>
      <c r="J16" s="51">
        <v>0.78</v>
      </c>
      <c r="K16" s="51">
        <v>274.64</v>
      </c>
      <c r="L16" s="51">
        <v>20.58</v>
      </c>
      <c r="M16" s="51">
        <v>12</v>
      </c>
      <c r="N16" s="51">
        <v>157.40</v>
      </c>
      <c r="O16" s="51">
        <v>0</v>
      </c>
      <c r="P16" s="51">
        <v>2.36</v>
      </c>
      <c r="Q16" s="51">
        <v>53.17</v>
      </c>
      <c r="R16" s="43"/>
      <c r="S16" s="43"/>
      <c r="T16" s="43"/>
      <c r="U16" s="43"/>
    </row>
    <row r="17" spans="1:21" s="11" customFormat="1" ht="15">
      <c r="A17" s="50" t="s">
        <v>118</v>
      </c>
      <c r="B17" s="51">
        <v>53.39</v>
      </c>
      <c r="C17" s="51">
        <v>19.920000000000002</v>
      </c>
      <c r="D17" s="51">
        <v>49.12</v>
      </c>
      <c r="E17" s="51">
        <v>4.95</v>
      </c>
      <c r="F17" s="51">
        <v>0.92</v>
      </c>
      <c r="G17" s="51">
        <v>161.84</v>
      </c>
      <c r="H17" s="51">
        <v>71.89</v>
      </c>
      <c r="I17" s="53" t="s">
        <v>8</v>
      </c>
      <c r="J17" s="51">
        <v>1.03</v>
      </c>
      <c r="K17" s="51">
        <v>235.45</v>
      </c>
      <c r="L17" s="51">
        <v>23.35</v>
      </c>
      <c r="M17" s="51">
        <v>15</v>
      </c>
      <c r="N17" s="51">
        <v>285.39999999999998</v>
      </c>
      <c r="O17" s="51">
        <v>0</v>
      </c>
      <c r="P17" s="51">
        <v>2.2599999999999998</v>
      </c>
      <c r="Q17" s="51">
        <v>52.22</v>
      </c>
      <c r="R17" s="43"/>
      <c r="S17" s="43"/>
      <c r="T17" s="43"/>
      <c r="U17" s="43"/>
    </row>
    <row r="18" spans="1:21" s="11" customFormat="1" ht="15">
      <c r="A18" s="50" t="s">
        <v>119</v>
      </c>
      <c r="B18" s="51">
        <v>37.94</v>
      </c>
      <c r="C18" s="51">
        <v>32.61</v>
      </c>
      <c r="D18" s="51">
        <v>43.24</v>
      </c>
      <c r="E18" s="51">
        <v>5.22</v>
      </c>
      <c r="F18" s="51">
        <v>0.92</v>
      </c>
      <c r="G18" s="51">
        <v>126.63</v>
      </c>
      <c r="H18" s="51">
        <v>63.98</v>
      </c>
      <c r="I18" s="53" t="s">
        <v>8</v>
      </c>
      <c r="J18" s="51">
        <v>0.94</v>
      </c>
      <c r="K18" s="51">
        <v>191.58</v>
      </c>
      <c r="L18" s="51">
        <v>28.68</v>
      </c>
      <c r="M18" s="51">
        <v>46</v>
      </c>
      <c r="N18" s="51">
        <v>367.30</v>
      </c>
      <c r="O18" s="51">
        <v>0</v>
      </c>
      <c r="P18" s="51">
        <v>2.0299999999999998</v>
      </c>
      <c r="Q18" s="51">
        <v>50.66</v>
      </c>
      <c r="R18" s="43"/>
      <c r="S18" s="43"/>
      <c r="T18" s="43"/>
      <c r="U18" s="43"/>
    </row>
    <row r="19" spans="1:21" s="11" customFormat="1" ht="15">
      <c r="A19" s="50" t="s">
        <v>120</v>
      </c>
      <c r="B19" s="51">
        <v>25.64</v>
      </c>
      <c r="C19" s="51">
        <v>39.159999999999997</v>
      </c>
      <c r="D19" s="51">
        <v>39.08</v>
      </c>
      <c r="E19" s="51">
        <v>5.0599999999999996</v>
      </c>
      <c r="F19" s="51">
        <v>1.33</v>
      </c>
      <c r="G19" s="51">
        <v>113.82</v>
      </c>
      <c r="H19" s="51">
        <v>63.98</v>
      </c>
      <c r="I19" s="53" t="s">
        <v>8</v>
      </c>
      <c r="J19" s="51">
        <v>1</v>
      </c>
      <c r="K19" s="51">
        <v>186.98</v>
      </c>
      <c r="L19" s="51">
        <v>31.20</v>
      </c>
      <c r="M19" s="51">
        <v>37</v>
      </c>
      <c r="N19" s="51">
        <v>393.20</v>
      </c>
      <c r="O19" s="51">
        <v>0</v>
      </c>
      <c r="P19" s="51">
        <v>1.95</v>
      </c>
      <c r="Q19" s="51">
        <v>51.37</v>
      </c>
      <c r="R19" s="43"/>
      <c r="S19" s="43"/>
      <c r="T19" s="43"/>
      <c r="U19" s="43"/>
    </row>
    <row r="20" spans="1:21" s="11" customFormat="1" ht="15">
      <c r="A20" s="50" t="s">
        <v>121</v>
      </c>
      <c r="B20" s="51">
        <v>14.53</v>
      </c>
      <c r="C20" s="51">
        <v>48.33</v>
      </c>
      <c r="D20" s="51">
        <v>34.619999999999997</v>
      </c>
      <c r="E20" s="51">
        <v>5.34</v>
      </c>
      <c r="F20" s="51">
        <v>1.58</v>
      </c>
      <c r="G20" s="51">
        <v>105.19</v>
      </c>
      <c r="H20" s="51">
        <v>63.16</v>
      </c>
      <c r="I20" s="53" t="s">
        <v>8</v>
      </c>
      <c r="J20" s="51">
        <v>0.90</v>
      </c>
      <c r="K20" s="51">
        <v>142.13999999999999</v>
      </c>
      <c r="L20" s="51">
        <v>32.46</v>
      </c>
      <c r="M20" s="51">
        <v>40</v>
      </c>
      <c r="N20" s="51">
        <v>411.30</v>
      </c>
      <c r="O20" s="51">
        <v>0</v>
      </c>
      <c r="P20" s="51">
        <v>1.90</v>
      </c>
      <c r="Q20" s="51">
        <v>52.60</v>
      </c>
      <c r="R20" s="43"/>
      <c r="S20" s="43"/>
      <c r="T20" s="43"/>
      <c r="U20" s="43"/>
    </row>
    <row r="21" spans="1:21" s="11" customFormat="1" ht="15">
      <c r="A21" s="50" t="s">
        <v>122</v>
      </c>
      <c r="B21" s="51">
        <v>4.97</v>
      </c>
      <c r="C21" s="51">
        <v>48.83</v>
      </c>
      <c r="D21" s="51">
        <v>30.93</v>
      </c>
      <c r="E21" s="51">
        <v>5.08</v>
      </c>
      <c r="F21" s="51">
        <v>2.91</v>
      </c>
      <c r="G21" s="51">
        <v>93.01</v>
      </c>
      <c r="H21" s="51">
        <v>60.54</v>
      </c>
      <c r="I21" s="51">
        <v>0.68</v>
      </c>
      <c r="J21" s="51">
        <v>0.64</v>
      </c>
      <c r="K21" s="51">
        <v>135.33000000000001</v>
      </c>
      <c r="L21" s="51">
        <v>32.18</v>
      </c>
      <c r="M21" s="51">
        <v>29</v>
      </c>
      <c r="N21" s="51">
        <v>410.10</v>
      </c>
      <c r="O21" s="51">
        <v>0</v>
      </c>
      <c r="P21" s="51">
        <v>1.76</v>
      </c>
      <c r="Q21" s="51">
        <v>50.08</v>
      </c>
      <c r="R21" s="43"/>
      <c r="S21" s="43"/>
      <c r="T21" s="43"/>
      <c r="U21" s="43"/>
    </row>
    <row r="22" spans="1:21" s="11" customFormat="1" ht="15">
      <c r="A22" s="50" t="s">
        <v>123</v>
      </c>
      <c r="B22" s="51">
        <v>4.07</v>
      </c>
      <c r="C22" s="51">
        <v>46.16</v>
      </c>
      <c r="D22" s="51">
        <v>27.81</v>
      </c>
      <c r="E22" s="51">
        <v>9.11</v>
      </c>
      <c r="F22" s="51">
        <v>5.62</v>
      </c>
      <c r="G22" s="51">
        <v>99.81</v>
      </c>
      <c r="H22" s="51">
        <v>54.97</v>
      </c>
      <c r="I22" s="51">
        <v>0.59</v>
      </c>
      <c r="J22" s="51">
        <v>0.77</v>
      </c>
      <c r="K22" s="51">
        <v>147.5</v>
      </c>
      <c r="L22" s="51">
        <v>32</v>
      </c>
      <c r="M22" s="51">
        <v>39</v>
      </c>
      <c r="N22" s="51">
        <v>327.90</v>
      </c>
      <c r="O22" s="51">
        <v>0</v>
      </c>
      <c r="P22" s="51">
        <v>1.63</v>
      </c>
      <c r="Q22" s="51">
        <v>50.56</v>
      </c>
      <c r="R22" s="43"/>
      <c r="S22" s="43"/>
      <c r="T22" s="43"/>
      <c r="U22" s="43"/>
    </row>
    <row r="23" spans="1:21" s="11" customFormat="1" ht="15">
      <c r="A23" s="50" t="s">
        <v>124</v>
      </c>
      <c r="B23" s="51">
        <v>4.16</v>
      </c>
      <c r="C23" s="51">
        <v>43.39</v>
      </c>
      <c r="D23" s="51">
        <v>27.28</v>
      </c>
      <c r="E23" s="51">
        <v>5.73</v>
      </c>
      <c r="F23" s="51">
        <v>4.0199999999999996</v>
      </c>
      <c r="G23" s="51">
        <v>99.81</v>
      </c>
      <c r="H23" s="51">
        <v>54.97</v>
      </c>
      <c r="I23" s="51">
        <v>0.56999999999999995</v>
      </c>
      <c r="J23" s="51">
        <v>0.93</v>
      </c>
      <c r="K23" s="51">
        <v>126.61</v>
      </c>
      <c r="L23" s="51">
        <v>32.21</v>
      </c>
      <c r="M23" s="51">
        <v>41</v>
      </c>
      <c r="N23" s="51">
        <v>338.60</v>
      </c>
      <c r="O23" s="51">
        <v>0</v>
      </c>
      <c r="P23" s="51">
        <v>1.58</v>
      </c>
      <c r="Q23" s="51">
        <v>51.82</v>
      </c>
      <c r="R23" s="43"/>
      <c r="S23" s="43"/>
      <c r="T23" s="43"/>
      <c r="U23" s="43"/>
    </row>
    <row r="24" spans="1:21" s="11" customFormat="1" ht="15">
      <c r="A24" s="50" t="s">
        <v>125</v>
      </c>
      <c r="B24" s="51">
        <v>2.60</v>
      </c>
      <c r="C24" s="51">
        <v>44.30</v>
      </c>
      <c r="D24" s="51">
        <v>26.39</v>
      </c>
      <c r="E24" s="51">
        <v>4.70</v>
      </c>
      <c r="F24" s="51">
        <v>3.77</v>
      </c>
      <c r="G24" s="51">
        <v>80.84</v>
      </c>
      <c r="H24" s="51">
        <v>54.93</v>
      </c>
      <c r="I24" s="51">
        <v>0.56000000000000005</v>
      </c>
      <c r="J24" s="51">
        <v>0.99</v>
      </c>
      <c r="K24" s="51">
        <v>143.58000000000001</v>
      </c>
      <c r="L24" s="51">
        <v>31.33</v>
      </c>
      <c r="M24" s="51">
        <v>44</v>
      </c>
      <c r="N24" s="51">
        <v>201.60</v>
      </c>
      <c r="O24" s="51">
        <v>0</v>
      </c>
      <c r="P24" s="51">
        <v>1.49</v>
      </c>
      <c r="Q24" s="51">
        <v>51.69</v>
      </c>
      <c r="R24" s="43"/>
      <c r="S24" s="43"/>
      <c r="T24" s="43"/>
      <c r="U24" s="43"/>
    </row>
    <row r="25" spans="1:21" s="11" customFormat="1" ht="15">
      <c r="A25" s="50" t="s">
        <v>126</v>
      </c>
      <c r="B25" s="51">
        <v>5.28</v>
      </c>
      <c r="C25" s="51">
        <v>44.63</v>
      </c>
      <c r="D25" s="51">
        <v>28.39</v>
      </c>
      <c r="E25" s="51">
        <v>7</v>
      </c>
      <c r="F25" s="51">
        <v>7.46</v>
      </c>
      <c r="G25" s="51">
        <v>80.69</v>
      </c>
      <c r="H25" s="51">
        <v>49.09</v>
      </c>
      <c r="I25" s="51">
        <v>0.5</v>
      </c>
      <c r="J25" s="51">
        <v>0.83</v>
      </c>
      <c r="K25" s="51">
        <v>165.74</v>
      </c>
      <c r="L25" s="51">
        <v>28.5</v>
      </c>
      <c r="M25" s="51">
        <v>43</v>
      </c>
      <c r="N25" s="51">
        <v>78</v>
      </c>
      <c r="O25" s="51">
        <v>0</v>
      </c>
      <c r="P25" s="51">
        <v>1.55</v>
      </c>
      <c r="Q25" s="51">
        <v>49.63</v>
      </c>
      <c r="R25" s="43"/>
      <c r="S25" s="43"/>
      <c r="T25" s="43"/>
      <c r="U25" s="43"/>
    </row>
    <row r="26" spans="1:21" s="11" customFormat="1" ht="15">
      <c r="A26" s="50" t="s">
        <v>127</v>
      </c>
      <c r="B26" s="51">
        <v>15.60</v>
      </c>
      <c r="C26" s="51">
        <v>47.92</v>
      </c>
      <c r="D26" s="51">
        <v>37.71</v>
      </c>
      <c r="E26" s="51">
        <v>6.65</v>
      </c>
      <c r="F26" s="51">
        <v>4.4400000000000004</v>
      </c>
      <c r="G26" s="51">
        <v>99.48</v>
      </c>
      <c r="H26" s="51">
        <v>43.88</v>
      </c>
      <c r="I26" s="51">
        <v>0.55000000000000004</v>
      </c>
      <c r="J26" s="51">
        <v>0.45</v>
      </c>
      <c r="K26" s="51">
        <v>204.44</v>
      </c>
      <c r="L26" s="51">
        <v>25.93</v>
      </c>
      <c r="M26" s="51">
        <v>30</v>
      </c>
      <c r="N26" s="51">
        <v>38.700000000000003</v>
      </c>
      <c r="O26" s="51">
        <v>0</v>
      </c>
      <c r="P26" s="51">
        <v>1.98</v>
      </c>
      <c r="Q26" s="51">
        <v>51.08</v>
      </c>
      <c r="R26" s="43"/>
      <c r="S26" s="43"/>
      <c r="T26" s="43"/>
      <c r="U26" s="43"/>
    </row>
    <row r="27" spans="1:21" s="11" customFormat="1" ht="15">
      <c r="A27" s="50" t="s">
        <v>128</v>
      </c>
      <c r="B27" s="51">
        <v>22.80</v>
      </c>
      <c r="C27" s="51">
        <v>42.19</v>
      </c>
      <c r="D27" s="51">
        <v>39.90</v>
      </c>
      <c r="E27" s="51">
        <v>5.35</v>
      </c>
      <c r="F27" s="51">
        <v>1.1100000000000001</v>
      </c>
      <c r="G27" s="51">
        <v>138.87</v>
      </c>
      <c r="H27" s="51">
        <v>48.81</v>
      </c>
      <c r="I27" s="51">
        <v>0.74</v>
      </c>
      <c r="J27" s="51">
        <v>0.10</v>
      </c>
      <c r="K27" s="51">
        <v>235.08</v>
      </c>
      <c r="L27" s="51">
        <v>23.52</v>
      </c>
      <c r="M27" s="51">
        <v>39</v>
      </c>
      <c r="N27" s="51">
        <v>34.60</v>
      </c>
      <c r="O27" s="51">
        <v>0</v>
      </c>
      <c r="P27" s="51">
        <v>2.1800000000000002</v>
      </c>
      <c r="Q27" s="51">
        <v>54.69</v>
      </c>
      <c r="R27" s="43"/>
      <c r="S27" s="43"/>
      <c r="T27" s="43"/>
      <c r="U27" s="43"/>
    </row>
    <row r="28" spans="1:21" s="11" customFormat="1" ht="15">
      <c r="A28" s="50" t="s">
        <v>129</v>
      </c>
      <c r="B28" s="51">
        <v>47.69</v>
      </c>
      <c r="C28" s="51">
        <v>37.53</v>
      </c>
      <c r="D28" s="51">
        <v>54.05</v>
      </c>
      <c r="E28" s="51">
        <v>4.42</v>
      </c>
      <c r="F28" s="51">
        <v>0.90</v>
      </c>
      <c r="G28" s="51">
        <v>244.77</v>
      </c>
      <c r="H28" s="51">
        <v>53.87</v>
      </c>
      <c r="I28" s="51">
        <v>1</v>
      </c>
      <c r="J28" s="51">
        <v>0.09</v>
      </c>
      <c r="K28" s="51">
        <v>258.98</v>
      </c>
      <c r="L28" s="51">
        <v>21.82</v>
      </c>
      <c r="M28" s="51">
        <v>55</v>
      </c>
      <c r="N28" s="51">
        <v>34.60</v>
      </c>
      <c r="O28" s="51">
        <v>0</v>
      </c>
      <c r="P28" s="51">
        <v>2.82</v>
      </c>
      <c r="Q28" s="51">
        <v>54.92</v>
      </c>
      <c r="R28" s="43"/>
      <c r="S28" s="43"/>
      <c r="T28" s="43"/>
      <c r="U28" s="43"/>
    </row>
    <row r="29" spans="1:21" s="11" customFormat="1" ht="15">
      <c r="A29" s="50" t="s">
        <v>130</v>
      </c>
      <c r="B29" s="51">
        <v>83.72</v>
      </c>
      <c r="C29" s="51">
        <v>25.24</v>
      </c>
      <c r="D29" s="51">
        <v>70.150000000000006</v>
      </c>
      <c r="E29" s="51">
        <v>4.76</v>
      </c>
      <c r="F29" s="51">
        <v>0.73</v>
      </c>
      <c r="G29" s="51">
        <v>244.77</v>
      </c>
      <c r="H29" s="51">
        <v>62.91</v>
      </c>
      <c r="I29" s="51">
        <v>1.35</v>
      </c>
      <c r="J29" s="51">
        <v>0.18</v>
      </c>
      <c r="K29" s="51">
        <v>274.73</v>
      </c>
      <c r="L29" s="51">
        <v>21.17</v>
      </c>
      <c r="M29" s="51">
        <v>39</v>
      </c>
      <c r="N29" s="51">
        <v>34.5</v>
      </c>
      <c r="O29" s="51">
        <v>0</v>
      </c>
      <c r="P29" s="51">
        <v>3.66</v>
      </c>
      <c r="Q29" s="51">
        <v>56.95</v>
      </c>
      <c r="R29" s="43"/>
      <c r="S29" s="43"/>
      <c r="T29" s="43"/>
      <c r="U29" s="43"/>
    </row>
    <row r="30" spans="1:21" s="11" customFormat="1" ht="15">
      <c r="A30" s="50" t="s">
        <v>131</v>
      </c>
      <c r="B30" s="51">
        <v>121.69</v>
      </c>
      <c r="C30" s="57" t="s">
        <v>15</v>
      </c>
      <c r="D30" s="51">
        <v>88.43</v>
      </c>
      <c r="E30" s="51">
        <v>5.56</v>
      </c>
      <c r="F30" s="51">
        <v>0.64</v>
      </c>
      <c r="G30" s="51">
        <v>231.68</v>
      </c>
      <c r="H30" s="51">
        <v>66.39</v>
      </c>
      <c r="I30" s="51">
        <v>1.71</v>
      </c>
      <c r="J30" s="51">
        <v>0.17</v>
      </c>
      <c r="K30" s="51">
        <v>273.89999999999998</v>
      </c>
      <c r="L30" s="51">
        <v>20.47</v>
      </c>
      <c r="M30" s="51">
        <v>37</v>
      </c>
      <c r="N30" s="51">
        <v>34.40</v>
      </c>
      <c r="O30" s="51">
        <v>0</v>
      </c>
      <c r="P30" s="51">
        <v>4.34</v>
      </c>
      <c r="Q30" s="51">
        <v>61.27</v>
      </c>
      <c r="R30" s="43"/>
      <c r="S30" s="43"/>
      <c r="T30" s="43"/>
      <c r="U30" s="43"/>
    </row>
    <row r="31" spans="1:21" s="11" customFormat="1" ht="15">
      <c r="A31" s="50" t="s">
        <v>132</v>
      </c>
      <c r="B31" s="51">
        <v>125.40</v>
      </c>
      <c r="C31" s="57" t="s">
        <v>15</v>
      </c>
      <c r="D31" s="51">
        <v>90.08</v>
      </c>
      <c r="E31" s="51">
        <v>5.83</v>
      </c>
      <c r="F31" s="51">
        <v>0.65</v>
      </c>
      <c r="G31" s="51">
        <v>186.41</v>
      </c>
      <c r="H31" s="51">
        <v>66.39</v>
      </c>
      <c r="I31" s="51">
        <v>1.84</v>
      </c>
      <c r="J31" s="51">
        <v>0.20</v>
      </c>
      <c r="K31" s="51">
        <v>290.23</v>
      </c>
      <c r="L31" s="51">
        <v>20.18</v>
      </c>
      <c r="M31" s="51">
        <v>32</v>
      </c>
      <c r="N31" s="51">
        <v>34.60</v>
      </c>
      <c r="O31" s="51">
        <v>0</v>
      </c>
      <c r="P31" s="51">
        <v>4.42</v>
      </c>
      <c r="Q31" s="51">
        <v>62.46</v>
      </c>
      <c r="R31" s="43"/>
      <c r="S31" s="43"/>
      <c r="T31" s="43"/>
      <c r="U31" s="43"/>
    </row>
    <row r="32" spans="1:21" s="11" customFormat="1" ht="15">
      <c r="A32" s="50" t="s">
        <v>133</v>
      </c>
      <c r="B32" s="51">
        <v>145.16999999999999</v>
      </c>
      <c r="C32" s="57" t="s">
        <v>15</v>
      </c>
      <c r="D32" s="51">
        <v>97.24</v>
      </c>
      <c r="E32" s="51">
        <v>5.75</v>
      </c>
      <c r="F32" s="51">
        <v>0.62</v>
      </c>
      <c r="G32" s="51">
        <v>209.5</v>
      </c>
      <c r="H32" s="51">
        <v>68.62</v>
      </c>
      <c r="I32" s="51">
        <v>1.79</v>
      </c>
      <c r="J32" s="51">
        <v>0.27</v>
      </c>
      <c r="K32" s="51">
        <v>299.26</v>
      </c>
      <c r="L32" s="51">
        <v>19.12</v>
      </c>
      <c r="M32" s="51">
        <v>23</v>
      </c>
      <c r="N32" s="51">
        <v>34.40</v>
      </c>
      <c r="O32" s="51">
        <v>0</v>
      </c>
      <c r="P32" s="51">
        <v>4.33</v>
      </c>
      <c r="Q32" s="51">
        <v>59.5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2.6000000000000001</v>
      </c>
      <c r="C34" s="28">
        <f t="shared" si="0"/>
        <v>4.0599999999999996</v>
      </c>
      <c r="D34" s="28">
        <f t="shared" si="0"/>
        <v>26.390000000000001</v>
      </c>
      <c r="E34" s="28">
        <f t="shared" si="0"/>
        <v>4.4199999999999999</v>
      </c>
      <c r="F34" s="28">
        <f t="shared" si="0"/>
        <v>0.46999999999999997</v>
      </c>
      <c r="G34" s="28">
        <f t="shared" si="0"/>
        <v>80.689999999999998</v>
      </c>
      <c r="H34" s="28">
        <f t="shared" si="0"/>
        <v>43.880000000000003</v>
      </c>
      <c r="I34" s="28">
        <f t="shared" si="0"/>
        <v>0.5</v>
      </c>
      <c r="J34" s="28">
        <f t="shared" si="0"/>
        <v>0.089999999999999997</v>
      </c>
      <c r="K34" s="28">
        <f t="shared" si="0"/>
        <v>126.61</v>
      </c>
      <c r="L34" s="28">
        <f t="shared" si="0"/>
        <v>18.309999999999999</v>
      </c>
      <c r="M34" s="28">
        <f t="shared" si="0"/>
        <v>12</v>
      </c>
      <c r="N34" s="28">
        <f t="shared" si="0"/>
        <v>34.399999999999999</v>
      </c>
      <c r="O34" s="28">
        <f t="shared" si="0"/>
        <v>0</v>
      </c>
      <c r="P34" s="28">
        <f t="shared" si="0"/>
        <v>1.49</v>
      </c>
      <c r="Q34" s="28">
        <f t="shared" si="0"/>
        <v>49.630000000000003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145.16999999999999</v>
      </c>
      <c r="C35" s="29">
        <f t="shared" si="1"/>
        <v>48.829999999999998</v>
      </c>
      <c r="D35" s="29">
        <f t="shared" si="1"/>
        <v>97.239999999999995</v>
      </c>
      <c r="E35" s="29">
        <f t="shared" si="1"/>
        <v>9.1099999999999994</v>
      </c>
      <c r="F35" s="29">
        <f t="shared" si="1"/>
        <v>7.46</v>
      </c>
      <c r="G35" s="29">
        <f t="shared" si="1"/>
        <v>244.77000000000001</v>
      </c>
      <c r="H35" s="29">
        <f t="shared" si="1"/>
        <v>72.510000000000005</v>
      </c>
      <c r="I35" s="29">
        <f t="shared" si="1"/>
        <v>1.8400000000000001</v>
      </c>
      <c r="J35" s="29">
        <f t="shared" si="1"/>
        <v>1.03</v>
      </c>
      <c r="K35" s="29">
        <f t="shared" si="1"/>
        <v>305.36000000000001</v>
      </c>
      <c r="L35" s="29">
        <f t="shared" si="1"/>
        <v>32.460000000000001</v>
      </c>
      <c r="M35" s="29">
        <f t="shared" si="1"/>
        <v>55</v>
      </c>
      <c r="N35" s="29">
        <f t="shared" si="1"/>
        <v>411.30000000000001</v>
      </c>
      <c r="O35" s="29">
        <f t="shared" si="1"/>
        <v>0</v>
      </c>
      <c r="P35" s="29">
        <f t="shared" si="1"/>
        <v>4.4199999999999999</v>
      </c>
      <c r="Q35" s="29">
        <f t="shared" si="1"/>
        <v>62.460000000000001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51.595000000000006</v>
      </c>
      <c r="C36" s="28">
        <f t="shared" si="2"/>
        <v>28.00571428571428</v>
      </c>
      <c r="D36" s="28">
        <f t="shared" si="2"/>
        <v>51.389166666666654</v>
      </c>
      <c r="E36" s="28">
        <f t="shared" si="2"/>
        <v>5.6470833333333346</v>
      </c>
      <c r="F36" s="28">
        <f t="shared" si="2"/>
        <v>1.7999999999999996</v>
      </c>
      <c r="G36" s="28">
        <f t="shared" si="2"/>
        <v>157.54833333333332</v>
      </c>
      <c r="H36" s="28">
        <f t="shared" si="2"/>
        <v>61.736666666666679</v>
      </c>
      <c r="I36" s="28">
        <f t="shared" si="2"/>
        <v>1.0778947368421052</v>
      </c>
      <c r="J36" s="28">
        <f t="shared" si="2"/>
        <v>0.48333333333333323</v>
      </c>
      <c r="K36" s="28">
        <f t="shared" si="2"/>
        <v>235.95958333333328</v>
      </c>
      <c r="L36" s="28">
        <f t="shared" si="2"/>
        <v>24.057083333333328</v>
      </c>
      <c r="M36" s="28">
        <f t="shared" si="2"/>
        <v>34.291666666666664</v>
      </c>
      <c r="N36" s="28">
        <f t="shared" si="2"/>
        <v>144.99999999999997</v>
      </c>
      <c r="O36" s="28">
        <f t="shared" si="2"/>
        <v>0</v>
      </c>
      <c r="P36" s="28">
        <f t="shared" si="2"/>
        <v>2.6095833333333331</v>
      </c>
      <c r="Q36" s="28">
        <f t="shared" si="2"/>
        <v>53.781250000000007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40.56205894782655</v>
      </c>
      <c r="C37" s="28">
        <f t="shared" si="3" ref="C37:Q37">STDEV(C9:C32)</f>
        <v>17.32308274281128</v>
      </c>
      <c r="D37" s="28">
        <f t="shared" si="3"/>
        <v>20.102479820348972</v>
      </c>
      <c r="E37" s="28">
        <f t="shared" si="3"/>
        <v>0.92960711274062124</v>
      </c>
      <c r="F37" s="28">
        <f t="shared" si="3"/>
        <v>1.88674322577292</v>
      </c>
      <c r="G37" s="28">
        <f t="shared" si="3"/>
        <v>53.614725237744587</v>
      </c>
      <c r="H37" s="28">
        <f t="shared" si="3"/>
        <v>8.2347649403724255</v>
      </c>
      <c r="I37" s="28">
        <f t="shared" si="3"/>
        <v>0.44936472377208281</v>
      </c>
      <c r="J37" s="28">
        <f t="shared" si="3"/>
        <v>0.35824046656409175</v>
      </c>
      <c r="K37" s="28">
        <f t="shared" si="3"/>
        <v>64.472053566822296</v>
      </c>
      <c r="L37" s="28">
        <f t="shared" si="3"/>
        <v>5.4277030766619951</v>
      </c>
      <c r="M37" s="28">
        <f t="shared" si="3"/>
        <v>10.423548451407539</v>
      </c>
      <c r="N37" s="28">
        <f t="shared" si="3"/>
        <v>149.83045780800558</v>
      </c>
      <c r="O37" s="28">
        <f t="shared" si="3"/>
        <v>0</v>
      </c>
      <c r="P37" s="28">
        <f t="shared" si="3"/>
        <v>0.91266203643715949</v>
      </c>
      <c r="Q37" s="28">
        <f t="shared" si="3"/>
        <v>3.4007982598719129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21</v>
      </c>
      <c r="D38" s="32">
        <f t="shared" si="4"/>
        <v>24</v>
      </c>
      <c r="E38" s="32">
        <v>24</v>
      </c>
      <c r="F38" s="32">
        <v>24</v>
      </c>
      <c r="G38" s="32">
        <f t="shared" si="4"/>
        <v>24</v>
      </c>
      <c r="H38" s="32">
        <f t="shared" si="4"/>
        <v>24</v>
      </c>
      <c r="I38" s="32">
        <f>COUNT(I9:I32)+5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&lt;90%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LESS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588993b-d735-4db1-95d2-0151c415e593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M39" sqref="M39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134</v>
      </c>
      <c r="B9" s="51">
        <v>147.09</v>
      </c>
      <c r="C9" s="57" t="s">
        <v>15</v>
      </c>
      <c r="D9" s="51">
        <v>97.89</v>
      </c>
      <c r="E9" s="51">
        <v>5.08</v>
      </c>
      <c r="F9" s="51">
        <v>0.64</v>
      </c>
      <c r="G9" s="51">
        <v>209.5</v>
      </c>
      <c r="H9" s="51">
        <v>68.92</v>
      </c>
      <c r="I9" s="51">
        <v>1.75</v>
      </c>
      <c r="J9" s="51">
        <v>0.46</v>
      </c>
      <c r="K9" s="51">
        <v>297.77</v>
      </c>
      <c r="L9" s="51">
        <v>19.22</v>
      </c>
      <c r="M9" s="53" t="s">
        <v>8</v>
      </c>
      <c r="N9" s="51">
        <v>34.5</v>
      </c>
      <c r="O9" s="51">
        <v>0</v>
      </c>
      <c r="P9" s="51">
        <v>4.29</v>
      </c>
      <c r="Q9" s="51">
        <v>60.26</v>
      </c>
      <c r="R9" s="43"/>
      <c r="S9" s="43"/>
      <c r="T9" s="43"/>
      <c r="U9" s="43"/>
    </row>
    <row r="10" spans="1:21" s="11" customFormat="1" ht="15">
      <c r="A10" s="50" t="s">
        <v>135</v>
      </c>
      <c r="B10" s="51">
        <v>128.15</v>
      </c>
      <c r="C10" s="57" t="s">
        <v>15</v>
      </c>
      <c r="D10" s="51">
        <v>87.42</v>
      </c>
      <c r="E10" s="51">
        <v>5.14</v>
      </c>
      <c r="F10" s="51">
        <v>0.66</v>
      </c>
      <c r="G10" s="51">
        <v>172.70</v>
      </c>
      <c r="H10" s="51">
        <v>69.08</v>
      </c>
      <c r="I10" s="51">
        <v>1.71</v>
      </c>
      <c r="J10" s="51">
        <v>0.34</v>
      </c>
      <c r="K10" s="51">
        <v>277.43</v>
      </c>
      <c r="L10" s="51">
        <v>19.46</v>
      </c>
      <c r="M10" s="53" t="s">
        <v>8</v>
      </c>
      <c r="N10" s="51">
        <v>34.299999999999997</v>
      </c>
      <c r="O10" s="51">
        <v>0</v>
      </c>
      <c r="P10" s="51">
        <v>3.75</v>
      </c>
      <c r="Q10" s="51">
        <v>59.47</v>
      </c>
      <c r="R10" s="43"/>
      <c r="S10" s="43"/>
      <c r="T10" s="43"/>
      <c r="U10" s="43"/>
    </row>
    <row r="11" spans="1:21" s="11" customFormat="1" ht="15">
      <c r="A11" s="50" t="s">
        <v>136</v>
      </c>
      <c r="B11" s="51">
        <v>95.65</v>
      </c>
      <c r="C11" s="51">
        <v>2.15</v>
      </c>
      <c r="D11" s="51">
        <v>71.94</v>
      </c>
      <c r="E11" s="51">
        <v>4.71</v>
      </c>
      <c r="F11" s="51">
        <v>0.61</v>
      </c>
      <c r="G11" s="51">
        <v>218.92</v>
      </c>
      <c r="H11" s="51">
        <v>75.89</v>
      </c>
      <c r="I11" s="51">
        <v>1.53</v>
      </c>
      <c r="J11" s="51">
        <v>0.23</v>
      </c>
      <c r="K11" s="51">
        <v>298.98</v>
      </c>
      <c r="L11" s="51">
        <v>18.77</v>
      </c>
      <c r="M11" s="53" t="s">
        <v>8</v>
      </c>
      <c r="N11" s="51">
        <v>34.799999999999997</v>
      </c>
      <c r="O11" s="51">
        <v>0</v>
      </c>
      <c r="P11" s="51">
        <v>3.5</v>
      </c>
      <c r="Q11" s="51">
        <v>57.16</v>
      </c>
      <c r="R11" s="43"/>
      <c r="S11" s="43"/>
      <c r="T11" s="43"/>
      <c r="U11" s="43"/>
    </row>
    <row r="12" spans="1:21" s="11" customFormat="1" ht="15">
      <c r="A12" s="50" t="s">
        <v>137</v>
      </c>
      <c r="B12" s="51">
        <v>70.30</v>
      </c>
      <c r="C12" s="51">
        <v>7.16</v>
      </c>
      <c r="D12" s="51">
        <v>59.09</v>
      </c>
      <c r="E12" s="51">
        <v>4.09</v>
      </c>
      <c r="F12" s="51">
        <v>0.60</v>
      </c>
      <c r="G12" s="51">
        <v>218.92</v>
      </c>
      <c r="H12" s="51">
        <v>75.89</v>
      </c>
      <c r="I12" s="51">
        <v>1.25</v>
      </c>
      <c r="J12" s="51">
        <v>0.17</v>
      </c>
      <c r="K12" s="51">
        <v>311.29000000000002</v>
      </c>
      <c r="L12" s="51">
        <v>18.010000000000002</v>
      </c>
      <c r="M12" s="53" t="s">
        <v>8</v>
      </c>
      <c r="N12" s="51">
        <v>34.60</v>
      </c>
      <c r="O12" s="51">
        <v>0</v>
      </c>
      <c r="P12" s="51">
        <v>3.45</v>
      </c>
      <c r="Q12" s="51">
        <v>53.57</v>
      </c>
      <c r="R12" s="43"/>
      <c r="S12" s="43"/>
      <c r="T12" s="43"/>
      <c r="U12" s="43"/>
    </row>
    <row r="13" spans="1:21" s="11" customFormat="1" ht="15">
      <c r="A13" s="50" t="s">
        <v>138</v>
      </c>
      <c r="B13" s="51">
        <v>59.18</v>
      </c>
      <c r="C13" s="51">
        <v>6.91</v>
      </c>
      <c r="D13" s="51">
        <v>51.15</v>
      </c>
      <c r="E13" s="51">
        <v>4.1100000000000003</v>
      </c>
      <c r="F13" s="51">
        <v>0.55000000000000004</v>
      </c>
      <c r="G13" s="51">
        <v>173.51</v>
      </c>
      <c r="H13" s="51">
        <v>75.19</v>
      </c>
      <c r="I13" s="53" t="s">
        <v>8</v>
      </c>
      <c r="J13" s="51">
        <v>0.19</v>
      </c>
      <c r="K13" s="51">
        <v>319.04000000000002</v>
      </c>
      <c r="L13" s="51">
        <v>17</v>
      </c>
      <c r="M13" s="53" t="s">
        <v>8</v>
      </c>
      <c r="N13" s="51">
        <v>34.60</v>
      </c>
      <c r="O13" s="51">
        <v>0</v>
      </c>
      <c r="P13" s="51">
        <v>3.18</v>
      </c>
      <c r="Q13" s="51">
        <v>52.51</v>
      </c>
      <c r="R13" s="43"/>
      <c r="S13" s="43"/>
      <c r="T13" s="43"/>
      <c r="U13" s="43"/>
    </row>
    <row r="14" spans="1:21" s="11" customFormat="1" ht="15">
      <c r="A14" s="50" t="s">
        <v>139</v>
      </c>
      <c r="B14" s="51">
        <v>56.68</v>
      </c>
      <c r="C14" s="51">
        <v>6.79</v>
      </c>
      <c r="D14" s="51">
        <v>48.79</v>
      </c>
      <c r="E14" s="51">
        <v>3.70</v>
      </c>
      <c r="F14" s="51">
        <v>0.59</v>
      </c>
      <c r="G14" s="51">
        <v>151.13</v>
      </c>
      <c r="H14" s="51">
        <v>66.14</v>
      </c>
      <c r="I14" s="53" t="s">
        <v>8</v>
      </c>
      <c r="J14" s="51">
        <v>0.23</v>
      </c>
      <c r="K14" s="51">
        <v>324.67</v>
      </c>
      <c r="L14" s="51">
        <v>16.760000000000002</v>
      </c>
      <c r="M14" s="51">
        <v>32</v>
      </c>
      <c r="N14" s="51">
        <v>34.5</v>
      </c>
      <c r="O14" s="51">
        <v>0</v>
      </c>
      <c r="P14" s="51">
        <v>2.79</v>
      </c>
      <c r="Q14" s="51">
        <v>52.44</v>
      </c>
      <c r="R14" s="43"/>
      <c r="S14" s="43"/>
      <c r="T14" s="43"/>
      <c r="U14" s="43"/>
    </row>
    <row r="15" spans="1:21" s="11" customFormat="1" ht="15">
      <c r="A15" s="50" t="s">
        <v>140</v>
      </c>
      <c r="B15" s="51">
        <v>68.12</v>
      </c>
      <c r="C15" s="51">
        <v>5.49</v>
      </c>
      <c r="D15" s="51">
        <v>55.71</v>
      </c>
      <c r="E15" s="51">
        <v>3.97</v>
      </c>
      <c r="F15" s="51">
        <v>0.72</v>
      </c>
      <c r="G15" s="51">
        <v>167.01</v>
      </c>
      <c r="H15" s="51">
        <v>65</v>
      </c>
      <c r="I15" s="53" t="s">
        <v>8</v>
      </c>
      <c r="J15" s="51">
        <v>0.16</v>
      </c>
      <c r="K15" s="51">
        <v>321.62</v>
      </c>
      <c r="L15" s="51">
        <v>17.399999999999999</v>
      </c>
      <c r="M15" s="51">
        <v>21</v>
      </c>
      <c r="N15" s="51">
        <v>54.10</v>
      </c>
      <c r="O15" s="51">
        <v>0</v>
      </c>
      <c r="P15" s="51">
        <v>2.59</v>
      </c>
      <c r="Q15" s="51">
        <v>51.30</v>
      </c>
      <c r="R15" s="43"/>
      <c r="S15" s="43"/>
      <c r="T15" s="43"/>
      <c r="U15" s="43"/>
    </row>
    <row r="16" spans="1:21" s="11" customFormat="1" ht="15">
      <c r="A16" s="50" t="s">
        <v>141</v>
      </c>
      <c r="B16" s="51">
        <v>67.56</v>
      </c>
      <c r="C16" s="51">
        <v>11.51</v>
      </c>
      <c r="D16" s="51">
        <v>55.57</v>
      </c>
      <c r="E16" s="51">
        <v>3.85</v>
      </c>
      <c r="F16" s="51">
        <v>0.76</v>
      </c>
      <c r="G16" s="51">
        <v>167.01</v>
      </c>
      <c r="H16" s="51">
        <v>65</v>
      </c>
      <c r="I16" s="53" t="s">
        <v>8</v>
      </c>
      <c r="J16" s="51">
        <v>0.53</v>
      </c>
      <c r="K16" s="51">
        <v>292.69</v>
      </c>
      <c r="L16" s="51">
        <v>20.91</v>
      </c>
      <c r="M16" s="51">
        <v>25</v>
      </c>
      <c r="N16" s="51">
        <v>169.70</v>
      </c>
      <c r="O16" s="51">
        <v>0</v>
      </c>
      <c r="P16" s="51">
        <v>2.52</v>
      </c>
      <c r="Q16" s="51">
        <v>51.32</v>
      </c>
      <c r="R16" s="43"/>
      <c r="S16" s="43"/>
      <c r="T16" s="43"/>
      <c r="U16" s="43"/>
    </row>
    <row r="17" spans="1:21" s="11" customFormat="1" ht="15">
      <c r="A17" s="50" t="s">
        <v>142</v>
      </c>
      <c r="B17" s="51">
        <v>58.34</v>
      </c>
      <c r="C17" s="51">
        <v>14.56</v>
      </c>
      <c r="D17" s="51">
        <v>53.28</v>
      </c>
      <c r="E17" s="51">
        <v>4.76</v>
      </c>
      <c r="F17" s="51">
        <v>0.68</v>
      </c>
      <c r="G17" s="51">
        <v>113.71</v>
      </c>
      <c r="H17" s="51">
        <v>64.83</v>
      </c>
      <c r="I17" s="53" t="s">
        <v>8</v>
      </c>
      <c r="J17" s="51">
        <v>1.24</v>
      </c>
      <c r="K17" s="51">
        <v>248.29</v>
      </c>
      <c r="L17" s="51">
        <v>23.22</v>
      </c>
      <c r="M17" s="51">
        <v>21</v>
      </c>
      <c r="N17" s="51">
        <v>312.20</v>
      </c>
      <c r="O17" s="51">
        <v>0</v>
      </c>
      <c r="P17" s="51">
        <v>2.36</v>
      </c>
      <c r="Q17" s="51">
        <v>52.32</v>
      </c>
      <c r="R17" s="43"/>
      <c r="S17" s="43"/>
      <c r="T17" s="43"/>
      <c r="U17" s="43"/>
    </row>
    <row r="18" spans="1:21" s="11" customFormat="1" ht="15">
      <c r="A18" s="50" t="s">
        <v>143</v>
      </c>
      <c r="B18" s="51">
        <v>42.26</v>
      </c>
      <c r="C18" s="51">
        <v>33.159999999999997</v>
      </c>
      <c r="D18" s="51">
        <v>43.92</v>
      </c>
      <c r="E18" s="51">
        <v>4.92</v>
      </c>
      <c r="F18" s="51">
        <v>1.52</v>
      </c>
      <c r="G18" s="51">
        <v>99.66</v>
      </c>
      <c r="H18" s="51">
        <v>57.27</v>
      </c>
      <c r="I18" s="51">
        <v>0.61</v>
      </c>
      <c r="J18" s="51">
        <v>21.17</v>
      </c>
      <c r="K18" s="51">
        <v>217.43</v>
      </c>
      <c r="L18" s="51">
        <v>24.53</v>
      </c>
      <c r="M18" s="51">
        <v>37</v>
      </c>
      <c r="N18" s="51">
        <v>385</v>
      </c>
      <c r="O18" s="51">
        <v>0</v>
      </c>
      <c r="P18" s="51">
        <v>2.08</v>
      </c>
      <c r="Q18" s="51">
        <v>50.91</v>
      </c>
      <c r="R18" s="43"/>
      <c r="S18" s="43"/>
      <c r="T18" s="43"/>
      <c r="U18" s="43"/>
    </row>
    <row r="19" spans="1:21" s="11" customFormat="1" ht="15">
      <c r="A19" s="50" t="s">
        <v>144</v>
      </c>
      <c r="B19" s="51">
        <v>10.79</v>
      </c>
      <c r="C19" s="51">
        <v>43.04</v>
      </c>
      <c r="D19" s="51">
        <v>29.47</v>
      </c>
      <c r="E19" s="51">
        <v>6.16</v>
      </c>
      <c r="F19" s="51">
        <v>5.1100000000000003</v>
      </c>
      <c r="G19" s="51">
        <v>91.09</v>
      </c>
      <c r="H19" s="51">
        <v>54.92</v>
      </c>
      <c r="I19" s="51">
        <v>0.51</v>
      </c>
      <c r="J19" s="51">
        <v>7.08</v>
      </c>
      <c r="K19" s="51">
        <v>359.52</v>
      </c>
      <c r="L19" s="51">
        <v>29.73</v>
      </c>
      <c r="M19" s="51">
        <v>50</v>
      </c>
      <c r="N19" s="51">
        <v>428.90</v>
      </c>
      <c r="O19" s="51">
        <v>0</v>
      </c>
      <c r="P19" s="51">
        <v>1.63</v>
      </c>
      <c r="Q19" s="51">
        <v>41.91</v>
      </c>
      <c r="R19" s="43"/>
      <c r="S19" s="43"/>
      <c r="T19" s="43"/>
      <c r="U19" s="43"/>
    </row>
    <row r="20" spans="1:21" s="11" customFormat="1" ht="15">
      <c r="A20" s="50" t="s">
        <v>145</v>
      </c>
      <c r="B20" s="51">
        <v>6.21</v>
      </c>
      <c r="C20" s="51">
        <v>45.53</v>
      </c>
      <c r="D20" s="51">
        <v>29.01</v>
      </c>
      <c r="E20" s="51">
        <v>4.1399999999999997</v>
      </c>
      <c r="F20" s="51">
        <v>3.44</v>
      </c>
      <c r="G20" s="51">
        <v>103.59</v>
      </c>
      <c r="H20" s="51">
        <v>49.52</v>
      </c>
      <c r="I20" s="51">
        <v>0.41</v>
      </c>
      <c r="J20" s="51">
        <v>0.85</v>
      </c>
      <c r="K20" s="51">
        <v>329.19</v>
      </c>
      <c r="L20" s="53" t="s">
        <v>8</v>
      </c>
      <c r="M20" s="51">
        <v>44</v>
      </c>
      <c r="N20" s="51">
        <v>440.80</v>
      </c>
      <c r="O20" s="51">
        <v>0</v>
      </c>
      <c r="P20" s="51">
        <v>1.43</v>
      </c>
      <c r="Q20" s="51">
        <v>42.51</v>
      </c>
      <c r="R20" s="43"/>
      <c r="S20" s="43"/>
      <c r="T20" s="43"/>
      <c r="U20" s="43"/>
    </row>
    <row r="21" spans="1:21" s="11" customFormat="1" ht="15">
      <c r="A21" s="50" t="s">
        <v>146</v>
      </c>
      <c r="B21" s="51">
        <v>3.86</v>
      </c>
      <c r="C21" s="51">
        <v>48.69</v>
      </c>
      <c r="D21" s="51">
        <v>29.45</v>
      </c>
      <c r="E21" s="51">
        <v>5.30</v>
      </c>
      <c r="F21" s="51">
        <v>3.49</v>
      </c>
      <c r="G21" s="51">
        <v>103.59</v>
      </c>
      <c r="H21" s="51">
        <v>49.52</v>
      </c>
      <c r="I21" s="51">
        <v>0.44</v>
      </c>
      <c r="J21" s="51">
        <v>0.80</v>
      </c>
      <c r="K21" s="51">
        <v>350.99</v>
      </c>
      <c r="L21" s="53" t="s">
        <v>8</v>
      </c>
      <c r="M21" s="51">
        <v>35</v>
      </c>
      <c r="N21" s="51">
        <v>400.5</v>
      </c>
      <c r="O21" s="51">
        <v>0</v>
      </c>
      <c r="P21" s="51">
        <v>1.39</v>
      </c>
      <c r="Q21" s="51">
        <v>47.53</v>
      </c>
      <c r="R21" s="43"/>
      <c r="S21" s="43"/>
      <c r="T21" s="43"/>
      <c r="U21" s="43"/>
    </row>
    <row r="22" spans="1:21" s="11" customFormat="1" ht="15">
      <c r="A22" s="50" t="s">
        <v>147</v>
      </c>
      <c r="B22" s="51">
        <v>3.20</v>
      </c>
      <c r="C22" s="51">
        <v>47.98</v>
      </c>
      <c r="D22" s="51">
        <v>29.04</v>
      </c>
      <c r="E22" s="51">
        <v>6.49</v>
      </c>
      <c r="F22" s="51">
        <v>4.95</v>
      </c>
      <c r="G22" s="51">
        <v>88.21</v>
      </c>
      <c r="H22" s="51">
        <v>47.45</v>
      </c>
      <c r="I22" s="51">
        <v>0.44</v>
      </c>
      <c r="J22" s="51">
        <v>1.34</v>
      </c>
      <c r="K22" s="51">
        <v>340.60</v>
      </c>
      <c r="L22" s="53" t="s">
        <v>8</v>
      </c>
      <c r="M22" s="51">
        <v>30</v>
      </c>
      <c r="N22" s="51">
        <v>381.20</v>
      </c>
      <c r="O22" s="51">
        <v>0</v>
      </c>
      <c r="P22" s="51">
        <v>1.32</v>
      </c>
      <c r="Q22" s="51">
        <v>45.65</v>
      </c>
      <c r="R22" s="43"/>
      <c r="S22" s="43"/>
      <c r="T22" s="43"/>
      <c r="U22" s="43"/>
    </row>
    <row r="23" spans="1:21" s="11" customFormat="1" ht="15">
      <c r="A23" s="50" t="s">
        <v>148</v>
      </c>
      <c r="B23" s="51">
        <v>4.51</v>
      </c>
      <c r="C23" s="51">
        <v>42.71</v>
      </c>
      <c r="D23" s="51">
        <v>26.42</v>
      </c>
      <c r="E23" s="51">
        <v>6.82</v>
      </c>
      <c r="F23" s="51">
        <v>8.9600000000000009</v>
      </c>
      <c r="G23" s="51">
        <v>88.21</v>
      </c>
      <c r="H23" s="51">
        <v>46.80</v>
      </c>
      <c r="I23" s="51">
        <v>0.38</v>
      </c>
      <c r="J23" s="51">
        <v>1.07</v>
      </c>
      <c r="K23" s="51">
        <v>350.61</v>
      </c>
      <c r="L23" s="53" t="s">
        <v>8</v>
      </c>
      <c r="M23" s="51">
        <v>30</v>
      </c>
      <c r="N23" s="51">
        <v>317.39999999999998</v>
      </c>
      <c r="O23" s="51">
        <v>0</v>
      </c>
      <c r="P23" s="51">
        <v>1.23</v>
      </c>
      <c r="Q23" s="51">
        <v>44.19</v>
      </c>
      <c r="R23" s="43"/>
      <c r="S23" s="43"/>
      <c r="T23" s="43"/>
      <c r="U23" s="43"/>
    </row>
    <row r="24" spans="1:21" s="11" customFormat="1" ht="15">
      <c r="A24" s="50" t="s">
        <v>149</v>
      </c>
      <c r="B24" s="51">
        <v>5.66</v>
      </c>
      <c r="C24" s="51">
        <v>41.18</v>
      </c>
      <c r="D24" s="51">
        <v>26.77</v>
      </c>
      <c r="E24" s="51">
        <v>8.31</v>
      </c>
      <c r="F24" s="51">
        <v>12.26</v>
      </c>
      <c r="G24" s="51">
        <v>79.56</v>
      </c>
      <c r="H24" s="51">
        <v>45.38</v>
      </c>
      <c r="I24" s="51">
        <v>0.38</v>
      </c>
      <c r="J24" s="51">
        <v>0.83</v>
      </c>
      <c r="K24" s="51">
        <v>350.53</v>
      </c>
      <c r="L24" s="53" t="s">
        <v>8</v>
      </c>
      <c r="M24" s="51">
        <v>35</v>
      </c>
      <c r="N24" s="51">
        <v>201.40</v>
      </c>
      <c r="O24" s="51">
        <v>0</v>
      </c>
      <c r="P24" s="51">
        <v>1.25</v>
      </c>
      <c r="Q24" s="51">
        <v>47.46</v>
      </c>
      <c r="R24" s="43"/>
      <c r="S24" s="43"/>
      <c r="T24" s="43"/>
      <c r="U24" s="43"/>
    </row>
    <row r="25" spans="1:21" s="11" customFormat="1" ht="15">
      <c r="A25" s="50" t="s">
        <v>150</v>
      </c>
      <c r="B25" s="51">
        <v>4.92</v>
      </c>
      <c r="C25" s="51">
        <v>45.96</v>
      </c>
      <c r="D25" s="51">
        <v>29.29</v>
      </c>
      <c r="E25" s="51">
        <v>5.18</v>
      </c>
      <c r="F25" s="51">
        <v>3.52</v>
      </c>
      <c r="G25" s="51">
        <v>98.44</v>
      </c>
      <c r="H25" s="51">
        <v>42.67</v>
      </c>
      <c r="I25" s="51">
        <v>0.43</v>
      </c>
      <c r="J25" s="51">
        <v>0.78</v>
      </c>
      <c r="K25" s="51">
        <v>348.21</v>
      </c>
      <c r="L25" s="51">
        <v>28.37</v>
      </c>
      <c r="M25" s="51">
        <v>41</v>
      </c>
      <c r="N25" s="51">
        <v>66</v>
      </c>
      <c r="O25" s="51">
        <v>0</v>
      </c>
      <c r="P25" s="51">
        <v>1.43</v>
      </c>
      <c r="Q25" s="51">
        <v>48.78</v>
      </c>
      <c r="R25" s="43"/>
      <c r="S25" s="43"/>
      <c r="T25" s="43"/>
      <c r="U25" s="43"/>
    </row>
    <row r="26" spans="1:21" s="11" customFormat="1" ht="15">
      <c r="A26" s="50" t="s">
        <v>151</v>
      </c>
      <c r="B26" s="51">
        <v>8.1199999999999992</v>
      </c>
      <c r="C26" s="51">
        <v>48.76</v>
      </c>
      <c r="D26" s="51">
        <v>33.42</v>
      </c>
      <c r="E26" s="51">
        <v>4.74</v>
      </c>
      <c r="F26" s="51">
        <v>3.16</v>
      </c>
      <c r="G26" s="51">
        <v>116</v>
      </c>
      <c r="H26" s="51">
        <v>44.20</v>
      </c>
      <c r="I26" s="51">
        <v>0.47</v>
      </c>
      <c r="J26" s="51">
        <v>0.13</v>
      </c>
      <c r="K26" s="51">
        <v>135.52000000000001</v>
      </c>
      <c r="L26" s="51">
        <v>25.76</v>
      </c>
      <c r="M26" s="51">
        <v>56</v>
      </c>
      <c r="N26" s="51">
        <v>28.5</v>
      </c>
      <c r="O26" s="51">
        <v>0</v>
      </c>
      <c r="P26" s="51">
        <v>1.66</v>
      </c>
      <c r="Q26" s="51">
        <v>48.79</v>
      </c>
      <c r="R26" s="43"/>
      <c r="S26" s="43"/>
      <c r="T26" s="43"/>
      <c r="U26" s="43"/>
    </row>
    <row r="27" spans="1:21" s="11" customFormat="1" ht="15">
      <c r="A27" s="50" t="s">
        <v>152</v>
      </c>
      <c r="B27" s="51">
        <v>19.30</v>
      </c>
      <c r="C27" s="51">
        <v>44.01</v>
      </c>
      <c r="D27" s="51">
        <v>37.97</v>
      </c>
      <c r="E27" s="51">
        <v>4.58</v>
      </c>
      <c r="F27" s="51">
        <v>0.86</v>
      </c>
      <c r="G27" s="51">
        <v>139.97999999999999</v>
      </c>
      <c r="H27" s="51">
        <v>44.47</v>
      </c>
      <c r="I27" s="51">
        <v>0.65</v>
      </c>
      <c r="J27" s="51">
        <v>0.11</v>
      </c>
      <c r="K27" s="51">
        <v>333.42</v>
      </c>
      <c r="L27" s="51">
        <v>22.66</v>
      </c>
      <c r="M27" s="51">
        <v>64</v>
      </c>
      <c r="N27" s="51">
        <v>24.5</v>
      </c>
      <c r="O27" s="51">
        <v>0</v>
      </c>
      <c r="P27" s="51">
        <v>1.94</v>
      </c>
      <c r="Q27" s="51">
        <v>49.73</v>
      </c>
      <c r="R27" s="43"/>
      <c r="S27" s="43"/>
      <c r="T27" s="43"/>
      <c r="U27" s="43"/>
    </row>
    <row r="28" spans="1:21" s="11" customFormat="1" ht="15">
      <c r="A28" s="50" t="s">
        <v>153</v>
      </c>
      <c r="B28" s="51">
        <v>45.89</v>
      </c>
      <c r="C28" s="51">
        <v>34.53</v>
      </c>
      <c r="D28" s="51">
        <v>50.68</v>
      </c>
      <c r="E28" s="51">
        <v>5.49</v>
      </c>
      <c r="F28" s="51">
        <v>0.73</v>
      </c>
      <c r="G28" s="51">
        <v>167.55</v>
      </c>
      <c r="H28" s="51">
        <v>47.91</v>
      </c>
      <c r="I28" s="51">
        <v>0.89</v>
      </c>
      <c r="J28" s="51">
        <v>0.12</v>
      </c>
      <c r="K28" s="51">
        <v>331.29</v>
      </c>
      <c r="L28" s="51">
        <v>21.89</v>
      </c>
      <c r="M28" s="51">
        <v>69</v>
      </c>
      <c r="N28" s="51">
        <v>24.40</v>
      </c>
      <c r="O28" s="51">
        <v>0</v>
      </c>
      <c r="P28" s="51">
        <v>2.73</v>
      </c>
      <c r="Q28" s="51">
        <v>54.65</v>
      </c>
      <c r="R28" s="43"/>
      <c r="S28" s="43"/>
      <c r="T28" s="43"/>
      <c r="U28" s="43"/>
    </row>
    <row r="29" spans="1:21" s="11" customFormat="1" ht="15">
      <c r="A29" s="50" t="s">
        <v>154</v>
      </c>
      <c r="B29" s="51">
        <v>83.10</v>
      </c>
      <c r="C29" s="51">
        <v>19.32</v>
      </c>
      <c r="D29" s="51">
        <v>70.91</v>
      </c>
      <c r="E29" s="51">
        <v>5.25</v>
      </c>
      <c r="F29" s="51">
        <v>0.75</v>
      </c>
      <c r="G29" s="51">
        <v>187.75</v>
      </c>
      <c r="H29" s="51">
        <v>52.5</v>
      </c>
      <c r="I29" s="51">
        <v>1.18</v>
      </c>
      <c r="J29" s="51">
        <v>0.11</v>
      </c>
      <c r="K29" s="51">
        <v>321.66000000000003</v>
      </c>
      <c r="L29" s="51">
        <v>20.79</v>
      </c>
      <c r="M29" s="51">
        <v>71</v>
      </c>
      <c r="N29" s="51">
        <v>24.5</v>
      </c>
      <c r="O29" s="51">
        <v>0</v>
      </c>
      <c r="P29" s="51">
        <v>3.58</v>
      </c>
      <c r="Q29" s="51">
        <v>55.83</v>
      </c>
      <c r="R29" s="43"/>
      <c r="S29" s="43"/>
      <c r="T29" s="43"/>
      <c r="U29" s="43"/>
    </row>
    <row r="30" spans="1:21" s="11" customFormat="1" ht="15">
      <c r="A30" s="50" t="s">
        <v>155</v>
      </c>
      <c r="B30" s="51">
        <v>129.44</v>
      </c>
      <c r="C30" s="57" t="s">
        <v>15</v>
      </c>
      <c r="D30" s="51">
        <v>92.89</v>
      </c>
      <c r="E30" s="51">
        <v>5.66</v>
      </c>
      <c r="F30" s="51">
        <v>0.86</v>
      </c>
      <c r="G30" s="51">
        <v>191.23</v>
      </c>
      <c r="H30" s="51">
        <v>55.43</v>
      </c>
      <c r="I30" s="51">
        <v>1.44</v>
      </c>
      <c r="J30" s="51">
        <v>0.070000000000000007</v>
      </c>
      <c r="K30" s="51">
        <v>306.52</v>
      </c>
      <c r="L30" s="51">
        <v>19.96</v>
      </c>
      <c r="M30" s="51">
        <v>74</v>
      </c>
      <c r="N30" s="51">
        <v>24.5</v>
      </c>
      <c r="O30" s="51">
        <v>0</v>
      </c>
      <c r="P30" s="51">
        <v>4.03</v>
      </c>
      <c r="Q30" s="51">
        <v>57.47</v>
      </c>
      <c r="R30" s="43"/>
      <c r="S30" s="43"/>
      <c r="T30" s="43"/>
      <c r="U30" s="43"/>
    </row>
    <row r="31" spans="1:21" s="11" customFormat="1" ht="15">
      <c r="A31" s="50" t="s">
        <v>156</v>
      </c>
      <c r="B31" s="51">
        <v>166.91</v>
      </c>
      <c r="C31" s="57" t="s">
        <v>15</v>
      </c>
      <c r="D31" s="51">
        <v>110.16</v>
      </c>
      <c r="E31" s="51">
        <v>6.29</v>
      </c>
      <c r="F31" s="51">
        <v>0.79</v>
      </c>
      <c r="G31" s="51">
        <v>195.5</v>
      </c>
      <c r="H31" s="51">
        <v>58.32</v>
      </c>
      <c r="I31" s="51">
        <v>1.61</v>
      </c>
      <c r="J31" s="51">
        <v>0.16</v>
      </c>
      <c r="K31" s="51">
        <v>329.85</v>
      </c>
      <c r="L31" s="51">
        <v>19.53</v>
      </c>
      <c r="M31" s="51">
        <v>78</v>
      </c>
      <c r="N31" s="51">
        <v>24.30</v>
      </c>
      <c r="O31" s="51">
        <v>0</v>
      </c>
      <c r="P31" s="51">
        <v>4.29</v>
      </c>
      <c r="Q31" s="51">
        <v>60.53</v>
      </c>
      <c r="R31" s="43"/>
      <c r="S31" s="43"/>
      <c r="T31" s="43"/>
      <c r="U31" s="43"/>
    </row>
    <row r="32" spans="1:21" s="11" customFormat="1" ht="15">
      <c r="A32" s="50" t="s">
        <v>157</v>
      </c>
      <c r="B32" s="51">
        <v>179.87</v>
      </c>
      <c r="C32" s="57" t="s">
        <v>15</v>
      </c>
      <c r="D32" s="51">
        <v>115.88</v>
      </c>
      <c r="E32" s="51">
        <v>6.31</v>
      </c>
      <c r="F32" s="51">
        <v>0.82</v>
      </c>
      <c r="G32" s="51">
        <v>195.5</v>
      </c>
      <c r="H32" s="51">
        <v>58.32</v>
      </c>
      <c r="I32" s="51">
        <v>1.73</v>
      </c>
      <c r="J32" s="51">
        <v>0.15</v>
      </c>
      <c r="K32" s="51">
        <v>358.89</v>
      </c>
      <c r="L32" s="51">
        <v>20.53</v>
      </c>
      <c r="M32" s="51">
        <v>74</v>
      </c>
      <c r="N32" s="51">
        <v>24.20</v>
      </c>
      <c r="O32" s="51">
        <v>0</v>
      </c>
      <c r="P32" s="51">
        <v>4.3899999999999997</v>
      </c>
      <c r="Q32" s="51">
        <v>63.46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3.2000000000000002</v>
      </c>
      <c r="C34" s="28">
        <f t="shared" si="0"/>
        <v>2.1499999999999999</v>
      </c>
      <c r="D34" s="28">
        <f t="shared" si="0"/>
        <v>26.420000000000002</v>
      </c>
      <c r="E34" s="28">
        <f t="shared" si="0"/>
        <v>3.7000000000000002</v>
      </c>
      <c r="F34" s="28">
        <f t="shared" si="0"/>
        <v>0.55000000000000004</v>
      </c>
      <c r="G34" s="28">
        <f t="shared" si="0"/>
        <v>79.560000000000002</v>
      </c>
      <c r="H34" s="28">
        <f t="shared" si="0"/>
        <v>42.670000000000002</v>
      </c>
      <c r="I34" s="28">
        <f t="shared" si="0"/>
        <v>0.38</v>
      </c>
      <c r="J34" s="28">
        <f t="shared" si="0"/>
        <v>0.070000000000000007</v>
      </c>
      <c r="K34" s="28">
        <f t="shared" si="0"/>
        <v>135.52000000000001</v>
      </c>
      <c r="L34" s="28">
        <f t="shared" si="0"/>
        <v>16.760000000000002</v>
      </c>
      <c r="M34" s="28">
        <f t="shared" si="0"/>
        <v>21</v>
      </c>
      <c r="N34" s="28">
        <f t="shared" si="0"/>
        <v>24.199999999999999</v>
      </c>
      <c r="O34" s="28">
        <f t="shared" si="0"/>
        <v>0</v>
      </c>
      <c r="P34" s="28">
        <f t="shared" si="0"/>
        <v>1.23</v>
      </c>
      <c r="Q34" s="28">
        <f t="shared" si="0"/>
        <v>41.909999999999997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179.87</v>
      </c>
      <c r="C35" s="29">
        <f t="shared" si="1"/>
        <v>48.759999999999998</v>
      </c>
      <c r="D35" s="29">
        <f t="shared" si="1"/>
        <v>115.88</v>
      </c>
      <c r="E35" s="29">
        <f t="shared" si="1"/>
        <v>8.3100000000000005</v>
      </c>
      <c r="F35" s="29">
        <f t="shared" si="1"/>
        <v>12.26</v>
      </c>
      <c r="G35" s="29">
        <f t="shared" si="1"/>
        <v>218.91999999999999</v>
      </c>
      <c r="H35" s="29">
        <f t="shared" si="1"/>
        <v>75.890000000000001</v>
      </c>
      <c r="I35" s="29">
        <f t="shared" si="1"/>
        <v>1.75</v>
      </c>
      <c r="J35" s="29">
        <f t="shared" si="1"/>
        <v>21.170000000000002</v>
      </c>
      <c r="K35" s="29">
        <f t="shared" si="1"/>
        <v>359.51999999999998</v>
      </c>
      <c r="L35" s="29">
        <f t="shared" si="1"/>
        <v>29.73</v>
      </c>
      <c r="M35" s="29">
        <f t="shared" si="1"/>
        <v>78</v>
      </c>
      <c r="N35" s="29">
        <f t="shared" si="1"/>
        <v>440.80000000000001</v>
      </c>
      <c r="O35" s="29">
        <f t="shared" si="1"/>
        <v>0</v>
      </c>
      <c r="P35" s="29">
        <f t="shared" si="1"/>
        <v>4.3899999999999997</v>
      </c>
      <c r="Q35" s="29">
        <f t="shared" si="1"/>
        <v>63.460000000000001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61.046250000000008</v>
      </c>
      <c r="C36" s="28">
        <f t="shared" si="2"/>
        <v>28.917894736842101</v>
      </c>
      <c r="D36" s="28">
        <f t="shared" si="2"/>
        <v>55.67166666666666</v>
      </c>
      <c r="E36" s="28">
        <f t="shared" si="2"/>
        <v>5.2104166666666663</v>
      </c>
      <c r="F36" s="28">
        <f t="shared" si="2"/>
        <v>2.3762499999999998</v>
      </c>
      <c r="G36" s="28">
        <f t="shared" si="2"/>
        <v>147.42791666666668</v>
      </c>
      <c r="H36" s="28">
        <f t="shared" si="2"/>
        <v>57.525833333333331</v>
      </c>
      <c r="I36" s="28">
        <f t="shared" si="2"/>
        <v>0.93736842105263174</v>
      </c>
      <c r="J36" s="28">
        <f t="shared" si="2"/>
        <v>1.5966666666666667</v>
      </c>
      <c r="K36" s="28">
        <f t="shared" si="2"/>
        <v>310.66708333333338</v>
      </c>
      <c r="L36" s="28">
        <f t="shared" si="2"/>
        <v>21.289473684210527</v>
      </c>
      <c r="M36" s="28">
        <f t="shared" si="2"/>
        <v>46.684210526315788</v>
      </c>
      <c r="N36" s="28">
        <f t="shared" si="2"/>
        <v>147.47499999999999</v>
      </c>
      <c r="O36" s="28">
        <f t="shared" si="2"/>
        <v>0</v>
      </c>
      <c r="P36" s="28">
        <f t="shared" si="2"/>
        <v>2.617083333333333</v>
      </c>
      <c r="Q36" s="28">
        <f t="shared" si="2"/>
        <v>52.072916666666664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55.361261280280452</v>
      </c>
      <c r="C37" s="28">
        <f t="shared" si="3" ref="C37:Q37">STDEV(C9:C32)</f>
        <v>18.021237033303965</v>
      </c>
      <c r="D37" s="28">
        <f t="shared" si="3"/>
        <v>27.587262130991871</v>
      </c>
      <c r="E37" s="28">
        <f t="shared" si="3"/>
        <v>1.1006657241105933</v>
      </c>
      <c r="F37" s="28">
        <f t="shared" si="3"/>
        <v>2.9638676443194081</v>
      </c>
      <c r="G37" s="28">
        <f t="shared" si="3"/>
        <v>46.739208471202097</v>
      </c>
      <c r="H37" s="28">
        <f t="shared" si="3"/>
        <v>10.79522878371524</v>
      </c>
      <c r="I37" s="28">
        <f t="shared" si="3"/>
        <v>0.54483271750004048</v>
      </c>
      <c r="J37" s="28">
        <f t="shared" si="3"/>
        <v>4.3994166279936104</v>
      </c>
      <c r="K37" s="28">
        <f t="shared" si="3"/>
        <v>50.647098503027202</v>
      </c>
      <c r="L37" s="28">
        <f t="shared" si="3"/>
        <v>3.6699870930505831</v>
      </c>
      <c r="M37" s="28">
        <f t="shared" si="3"/>
        <v>19.618734333338253</v>
      </c>
      <c r="N37" s="28">
        <f t="shared" si="3"/>
        <v>161.05991661220497</v>
      </c>
      <c r="O37" s="28">
        <f t="shared" si="3"/>
        <v>0</v>
      </c>
      <c r="P37" s="28">
        <f t="shared" si="3"/>
        <v>1.0893415608668788</v>
      </c>
      <c r="Q37" s="28">
        <f t="shared" si="3"/>
        <v>5.7897867191825698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19</v>
      </c>
      <c r="D38" s="32">
        <f t="shared" si="4"/>
        <v>24</v>
      </c>
      <c r="E38" s="32">
        <f t="shared" si="4"/>
        <v>24</v>
      </c>
      <c r="F38" s="32">
        <v>24</v>
      </c>
      <c r="G38" s="32">
        <v>24</v>
      </c>
      <c r="H38" s="32">
        <v>24</v>
      </c>
      <c r="I38" s="32">
        <f>COUNT(I9:I32)+5</f>
        <v>24</v>
      </c>
      <c r="J38" s="32">
        <f t="shared" si="4"/>
        <v>24</v>
      </c>
      <c r="K38" s="32">
        <f t="shared" si="4"/>
        <v>24</v>
      </c>
      <c r="L38" s="32">
        <f>COUNT(L9:L32)+5</f>
        <v>24</v>
      </c>
      <c r="M38" s="32">
        <f>COUNT(M9:M32)+5</f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&lt;90%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LESS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187292-ab7a-43e8-b258-84226b9b0ef3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158</v>
      </c>
      <c r="B9" s="51">
        <v>142.91</v>
      </c>
      <c r="C9" s="57" t="s">
        <v>15</v>
      </c>
      <c r="D9" s="51">
        <v>97.61</v>
      </c>
      <c r="E9" s="51">
        <v>4.8499999999999996</v>
      </c>
      <c r="F9" s="51">
        <v>0.71</v>
      </c>
      <c r="G9" s="51">
        <v>172.84</v>
      </c>
      <c r="H9" s="51">
        <v>57.31</v>
      </c>
      <c r="I9" s="51">
        <v>1.60</v>
      </c>
      <c r="J9" s="51">
        <v>0.17</v>
      </c>
      <c r="K9" s="51">
        <v>283.63</v>
      </c>
      <c r="L9" s="51">
        <v>19.899999999999999</v>
      </c>
      <c r="M9" s="51">
        <v>75</v>
      </c>
      <c r="N9" s="51">
        <v>24.60</v>
      </c>
      <c r="O9" s="51">
        <v>0</v>
      </c>
      <c r="P9" s="51">
        <v>3.71</v>
      </c>
      <c r="Q9" s="51">
        <v>59.86</v>
      </c>
      <c r="R9" s="43"/>
      <c r="S9" s="43"/>
      <c r="T9" s="43"/>
      <c r="U9" s="43"/>
    </row>
    <row r="10" spans="1:21" s="11" customFormat="1" ht="15">
      <c r="A10" s="50" t="s">
        <v>159</v>
      </c>
      <c r="B10" s="51">
        <v>104.92</v>
      </c>
      <c r="C10" s="57" t="s">
        <v>15</v>
      </c>
      <c r="D10" s="51">
        <v>76.52</v>
      </c>
      <c r="E10" s="51">
        <v>4.26</v>
      </c>
      <c r="F10" s="51">
        <v>0.73</v>
      </c>
      <c r="G10" s="51">
        <v>155.41999999999999</v>
      </c>
      <c r="H10" s="51">
        <v>51.06</v>
      </c>
      <c r="I10" s="51">
        <v>1.27</v>
      </c>
      <c r="J10" s="51">
        <v>0.18</v>
      </c>
      <c r="K10" s="51">
        <v>262.04000000000002</v>
      </c>
      <c r="L10" s="51">
        <v>18.03</v>
      </c>
      <c r="M10" s="51">
        <v>82</v>
      </c>
      <c r="N10" s="51">
        <v>24.40</v>
      </c>
      <c r="O10" s="51">
        <v>0</v>
      </c>
      <c r="P10" s="51">
        <v>3.03</v>
      </c>
      <c r="Q10" s="51">
        <v>53.98</v>
      </c>
      <c r="R10" s="43"/>
      <c r="S10" s="43"/>
      <c r="T10" s="43"/>
      <c r="U10" s="43"/>
    </row>
    <row r="11" spans="1:21" s="11" customFormat="1" ht="15">
      <c r="A11" s="50" t="s">
        <v>160</v>
      </c>
      <c r="B11" s="51">
        <v>81.77</v>
      </c>
      <c r="C11" s="57" t="s">
        <v>15</v>
      </c>
      <c r="D11" s="51">
        <v>61.87</v>
      </c>
      <c r="E11" s="51">
        <v>4.41</v>
      </c>
      <c r="F11" s="51">
        <v>0.75</v>
      </c>
      <c r="G11" s="51">
        <v>155.41999999999999</v>
      </c>
      <c r="H11" s="51">
        <v>49.26</v>
      </c>
      <c r="I11" s="51">
        <v>1.1200000000000001</v>
      </c>
      <c r="J11" s="51">
        <v>0.13</v>
      </c>
      <c r="K11" s="51">
        <v>298.44</v>
      </c>
      <c r="L11" s="51">
        <v>17.43</v>
      </c>
      <c r="M11" s="51">
        <v>87</v>
      </c>
      <c r="N11" s="51">
        <v>24.60</v>
      </c>
      <c r="O11" s="51">
        <v>0</v>
      </c>
      <c r="P11" s="51">
        <v>2.74</v>
      </c>
      <c r="Q11" s="51">
        <v>53.77</v>
      </c>
      <c r="R11" s="43"/>
      <c r="S11" s="43"/>
      <c r="T11" s="43"/>
      <c r="U11" s="43"/>
    </row>
    <row r="12" spans="1:21" s="11" customFormat="1" ht="15">
      <c r="A12" s="50" t="s">
        <v>161</v>
      </c>
      <c r="B12" s="51">
        <v>68.290000000000006</v>
      </c>
      <c r="C12" s="57" t="s">
        <v>15</v>
      </c>
      <c r="D12" s="51">
        <v>53.32</v>
      </c>
      <c r="E12" s="51">
        <v>4.0599999999999996</v>
      </c>
      <c r="F12" s="51">
        <v>1.35</v>
      </c>
      <c r="G12" s="51">
        <v>112.38</v>
      </c>
      <c r="H12" s="51">
        <v>50.89</v>
      </c>
      <c r="I12" s="51">
        <v>1.01</v>
      </c>
      <c r="J12" s="51">
        <v>0.08</v>
      </c>
      <c r="K12" s="51">
        <v>145.88</v>
      </c>
      <c r="L12" s="51">
        <v>16.670000000000002</v>
      </c>
      <c r="M12" s="51">
        <v>89</v>
      </c>
      <c r="N12" s="51">
        <v>24.40</v>
      </c>
      <c r="O12" s="51">
        <v>0</v>
      </c>
      <c r="P12" s="51">
        <v>2.4500000000000002</v>
      </c>
      <c r="Q12" s="51">
        <v>53.32</v>
      </c>
      <c r="R12" s="43"/>
      <c r="S12" s="43"/>
      <c r="T12" s="43"/>
      <c r="U12" s="43"/>
    </row>
    <row r="13" spans="1:21" s="11" customFormat="1" ht="15">
      <c r="A13" s="50" t="s">
        <v>162</v>
      </c>
      <c r="B13" s="51">
        <v>59.46</v>
      </c>
      <c r="C13" s="51">
        <v>4.21</v>
      </c>
      <c r="D13" s="51">
        <v>48.04</v>
      </c>
      <c r="E13" s="51">
        <v>5.29</v>
      </c>
      <c r="F13" s="51">
        <v>1.03</v>
      </c>
      <c r="G13" s="51">
        <v>107.72</v>
      </c>
      <c r="H13" s="51">
        <v>50.89</v>
      </c>
      <c r="I13" s="51">
        <v>0.88</v>
      </c>
      <c r="J13" s="51">
        <v>0.13</v>
      </c>
      <c r="K13" s="51">
        <v>333.52</v>
      </c>
      <c r="L13" s="51">
        <v>16.649999999999999</v>
      </c>
      <c r="M13" s="51">
        <v>86</v>
      </c>
      <c r="N13" s="51">
        <v>24.20</v>
      </c>
      <c r="O13" s="51">
        <v>0</v>
      </c>
      <c r="P13" s="51">
        <v>2.2200000000000002</v>
      </c>
      <c r="Q13" s="51">
        <v>51.01</v>
      </c>
      <c r="R13" s="43"/>
      <c r="S13" s="43"/>
      <c r="T13" s="43"/>
      <c r="U13" s="43"/>
    </row>
    <row r="14" spans="1:21" s="11" customFormat="1" ht="15">
      <c r="A14" s="50" t="s">
        <v>163</v>
      </c>
      <c r="B14" s="51">
        <v>52.70</v>
      </c>
      <c r="C14" s="51">
        <v>6.52</v>
      </c>
      <c r="D14" s="51">
        <v>44.68</v>
      </c>
      <c r="E14" s="51">
        <v>5.44</v>
      </c>
      <c r="F14" s="51">
        <v>1.06</v>
      </c>
      <c r="G14" s="51">
        <v>113.63</v>
      </c>
      <c r="H14" s="51">
        <v>49.82</v>
      </c>
      <c r="I14" s="51">
        <v>0.81</v>
      </c>
      <c r="J14" s="51">
        <v>0.11</v>
      </c>
      <c r="K14" s="51">
        <v>319.20999999999998</v>
      </c>
      <c r="L14" s="51">
        <v>16.440000000000001</v>
      </c>
      <c r="M14" s="51">
        <v>85</v>
      </c>
      <c r="N14" s="51">
        <v>24.20</v>
      </c>
      <c r="O14" s="51">
        <v>0</v>
      </c>
      <c r="P14" s="51">
        <v>2.0099999999999998</v>
      </c>
      <c r="Q14" s="51">
        <v>48.43</v>
      </c>
      <c r="R14" s="43"/>
      <c r="S14" s="43"/>
      <c r="T14" s="43"/>
      <c r="U14" s="43"/>
    </row>
    <row r="15" spans="1:21" s="11" customFormat="1" ht="15">
      <c r="A15" s="50" t="s">
        <v>164</v>
      </c>
      <c r="B15" s="51">
        <v>54.24</v>
      </c>
      <c r="C15" s="51">
        <v>6.41</v>
      </c>
      <c r="D15" s="51">
        <v>45.95</v>
      </c>
      <c r="E15" s="51">
        <v>5.0999999999999996</v>
      </c>
      <c r="F15" s="51">
        <v>0.72</v>
      </c>
      <c r="G15" s="51">
        <v>113.63</v>
      </c>
      <c r="H15" s="51">
        <v>48.04</v>
      </c>
      <c r="I15" s="51">
        <v>0.76</v>
      </c>
      <c r="J15" s="51">
        <v>0.17</v>
      </c>
      <c r="K15" s="51">
        <v>92.01</v>
      </c>
      <c r="L15" s="51">
        <v>17.5</v>
      </c>
      <c r="M15" s="51">
        <v>81</v>
      </c>
      <c r="N15" s="51">
        <v>45.80</v>
      </c>
      <c r="O15" s="51">
        <v>0</v>
      </c>
      <c r="P15" s="51">
        <v>1.92</v>
      </c>
      <c r="Q15" s="51">
        <v>50.17</v>
      </c>
      <c r="R15" s="43"/>
      <c r="S15" s="43"/>
      <c r="T15" s="43"/>
      <c r="U15" s="43"/>
    </row>
    <row r="16" spans="1:21" s="11" customFormat="1" ht="15">
      <c r="A16" s="50" t="s">
        <v>165</v>
      </c>
      <c r="B16" s="51">
        <v>49.92</v>
      </c>
      <c r="C16" s="51">
        <v>17.149999999999999</v>
      </c>
      <c r="D16" s="51">
        <v>46.76</v>
      </c>
      <c r="E16" s="51">
        <v>5.0999999999999996</v>
      </c>
      <c r="F16" s="51">
        <v>0.80</v>
      </c>
      <c r="G16" s="51">
        <v>110.95</v>
      </c>
      <c r="H16" s="51">
        <v>48.04</v>
      </c>
      <c r="I16" s="51">
        <v>0.69</v>
      </c>
      <c r="J16" s="51">
        <v>0.88</v>
      </c>
      <c r="K16" s="51">
        <v>356.46</v>
      </c>
      <c r="L16" s="51">
        <v>21.74</v>
      </c>
      <c r="M16" s="51">
        <v>71</v>
      </c>
      <c r="N16" s="51">
        <v>180.5</v>
      </c>
      <c r="O16" s="51">
        <v>0</v>
      </c>
      <c r="P16" s="51">
        <v>1.82</v>
      </c>
      <c r="Q16" s="51">
        <v>49.17</v>
      </c>
      <c r="R16" s="43"/>
      <c r="S16" s="43"/>
      <c r="T16" s="43"/>
      <c r="U16" s="43"/>
    </row>
    <row r="17" spans="1:21" s="11" customFormat="1" ht="15">
      <c r="A17" s="50" t="s">
        <v>166</v>
      </c>
      <c r="B17" s="51">
        <v>45.73</v>
      </c>
      <c r="C17" s="51">
        <v>24.80</v>
      </c>
      <c r="D17" s="51">
        <v>47.87</v>
      </c>
      <c r="E17" s="51">
        <v>3.95</v>
      </c>
      <c r="F17" s="51">
        <v>1</v>
      </c>
      <c r="G17" s="51">
        <v>106.28</v>
      </c>
      <c r="H17" s="51">
        <v>46.65</v>
      </c>
      <c r="I17" s="51">
        <v>0.60</v>
      </c>
      <c r="J17" s="51">
        <v>0.86</v>
      </c>
      <c r="K17" s="51">
        <v>351.44</v>
      </c>
      <c r="L17" s="51">
        <v>25.97</v>
      </c>
      <c r="M17" s="51">
        <v>53</v>
      </c>
      <c r="N17" s="51">
        <v>307</v>
      </c>
      <c r="O17" s="51">
        <v>0</v>
      </c>
      <c r="P17" s="51">
        <v>1.82</v>
      </c>
      <c r="Q17" s="51">
        <v>45.73</v>
      </c>
      <c r="R17" s="43"/>
      <c r="S17" s="43"/>
      <c r="T17" s="43"/>
      <c r="U17" s="43"/>
    </row>
    <row r="18" spans="1:21" s="11" customFormat="1" ht="15">
      <c r="A18" s="50" t="s">
        <v>167</v>
      </c>
      <c r="B18" s="51">
        <v>35.119999999999997</v>
      </c>
      <c r="C18" s="51">
        <v>28.98</v>
      </c>
      <c r="D18" s="51">
        <v>42.86</v>
      </c>
      <c r="E18" s="51">
        <v>4.6399999999999997</v>
      </c>
      <c r="F18" s="51">
        <v>1.03</v>
      </c>
      <c r="G18" s="51">
        <v>100.72</v>
      </c>
      <c r="H18" s="51">
        <v>44.63</v>
      </c>
      <c r="I18" s="51">
        <v>0.59</v>
      </c>
      <c r="J18" s="51">
        <v>1.1200000000000001</v>
      </c>
      <c r="K18" s="51">
        <v>357.30</v>
      </c>
      <c r="L18" s="51">
        <v>26.51</v>
      </c>
      <c r="M18" s="51">
        <v>45</v>
      </c>
      <c r="N18" s="51">
        <v>398</v>
      </c>
      <c r="O18" s="51">
        <v>0</v>
      </c>
      <c r="P18" s="51">
        <v>1.73</v>
      </c>
      <c r="Q18" s="51">
        <v>47.47</v>
      </c>
      <c r="R18" s="43"/>
      <c r="S18" s="43"/>
      <c r="T18" s="43"/>
      <c r="U18" s="43"/>
    </row>
    <row r="19" spans="1:21" s="11" customFormat="1" ht="15">
      <c r="A19" s="50" t="s">
        <v>168</v>
      </c>
      <c r="B19" s="51">
        <v>32.81</v>
      </c>
      <c r="C19" s="51">
        <v>35.15</v>
      </c>
      <c r="D19" s="51">
        <v>43.70</v>
      </c>
      <c r="E19" s="51">
        <v>5.64</v>
      </c>
      <c r="F19" s="51">
        <v>2.16</v>
      </c>
      <c r="G19" s="51">
        <v>87.90</v>
      </c>
      <c r="H19" s="51">
        <v>41.65</v>
      </c>
      <c r="I19" s="51">
        <v>0.56999999999999995</v>
      </c>
      <c r="J19" s="51">
        <v>1.27</v>
      </c>
      <c r="K19" s="51">
        <v>350.69</v>
      </c>
      <c r="L19" s="51">
        <v>28.33</v>
      </c>
      <c r="M19" s="51">
        <v>44</v>
      </c>
      <c r="N19" s="51">
        <v>457</v>
      </c>
      <c r="O19" s="51">
        <v>0</v>
      </c>
      <c r="P19" s="51">
        <v>1.56</v>
      </c>
      <c r="Q19" s="51">
        <v>47.98</v>
      </c>
      <c r="R19" s="43"/>
      <c r="S19" s="43"/>
      <c r="T19" s="43"/>
      <c r="U19" s="43"/>
    </row>
    <row r="20" spans="1:21" s="11" customFormat="1" ht="15">
      <c r="A20" s="50" t="s">
        <v>169</v>
      </c>
      <c r="B20" s="51">
        <v>25.83</v>
      </c>
      <c r="C20" s="51">
        <v>50.61</v>
      </c>
      <c r="D20" s="51">
        <v>43.47</v>
      </c>
      <c r="E20" s="51">
        <v>7.37</v>
      </c>
      <c r="F20" s="51">
        <v>5.89</v>
      </c>
      <c r="G20" s="51">
        <v>77.59</v>
      </c>
      <c r="H20" s="51">
        <v>37.619999999999997</v>
      </c>
      <c r="I20" s="51">
        <v>0.48</v>
      </c>
      <c r="J20" s="51">
        <v>0.81</v>
      </c>
      <c r="K20" s="51">
        <v>354.34</v>
      </c>
      <c r="L20" s="51">
        <v>29.91</v>
      </c>
      <c r="M20" s="51">
        <v>40</v>
      </c>
      <c r="N20" s="51">
        <v>451.10</v>
      </c>
      <c r="O20" s="51">
        <v>0</v>
      </c>
      <c r="P20" s="51">
        <v>1.38</v>
      </c>
      <c r="Q20" s="51">
        <v>43.85</v>
      </c>
      <c r="R20" s="43"/>
      <c r="S20" s="43"/>
      <c r="T20" s="43"/>
      <c r="U20" s="43"/>
    </row>
    <row r="21" spans="1:21" s="11" customFormat="1" ht="15">
      <c r="A21" s="50" t="s">
        <v>170</v>
      </c>
      <c r="B21" s="51">
        <v>6.22</v>
      </c>
      <c r="C21" s="51">
        <v>48.86</v>
      </c>
      <c r="D21" s="51">
        <v>31.72</v>
      </c>
      <c r="E21" s="51">
        <v>11.95</v>
      </c>
      <c r="F21" s="51">
        <v>8.39</v>
      </c>
      <c r="G21" s="51">
        <v>77.59</v>
      </c>
      <c r="H21" s="51">
        <v>37.31</v>
      </c>
      <c r="I21" s="51">
        <v>0.32</v>
      </c>
      <c r="J21" s="51">
        <v>1.1399999999999999</v>
      </c>
      <c r="K21" s="51">
        <v>356.65</v>
      </c>
      <c r="L21" s="51">
        <v>31.62</v>
      </c>
      <c r="M21" s="51">
        <v>37</v>
      </c>
      <c r="N21" s="51">
        <v>436.80</v>
      </c>
      <c r="O21" s="51">
        <v>0</v>
      </c>
      <c r="P21" s="51">
        <v>1.1599999999999999</v>
      </c>
      <c r="Q21" s="51">
        <v>37.06</v>
      </c>
      <c r="R21" s="43"/>
      <c r="S21" s="43"/>
      <c r="T21" s="43"/>
      <c r="U21" s="43"/>
    </row>
    <row r="22" spans="1:21" s="11" customFormat="1" ht="15">
      <c r="A22" s="50" t="s">
        <v>171</v>
      </c>
      <c r="B22" s="51">
        <v>4.71</v>
      </c>
      <c r="C22" s="51">
        <v>45.67</v>
      </c>
      <c r="D22" s="51">
        <v>28.01</v>
      </c>
      <c r="E22" s="51">
        <v>14.45</v>
      </c>
      <c r="F22" s="51">
        <v>12.22</v>
      </c>
      <c r="G22" s="51">
        <v>84.38</v>
      </c>
      <c r="H22" s="51">
        <v>39.40</v>
      </c>
      <c r="I22" s="51">
        <v>0.33</v>
      </c>
      <c r="J22" s="51">
        <v>1.42</v>
      </c>
      <c r="K22" s="51">
        <v>358.13</v>
      </c>
      <c r="L22" s="51">
        <v>31.80</v>
      </c>
      <c r="M22" s="51">
        <v>31</v>
      </c>
      <c r="N22" s="51">
        <v>365.60</v>
      </c>
      <c r="O22" s="51">
        <v>0</v>
      </c>
      <c r="P22" s="51">
        <v>1.19</v>
      </c>
      <c r="Q22" s="51">
        <v>39.51</v>
      </c>
      <c r="R22" s="43"/>
      <c r="S22" s="43"/>
      <c r="T22" s="43"/>
      <c r="U22" s="43"/>
    </row>
    <row r="23" spans="1:21" s="11" customFormat="1" ht="15">
      <c r="A23" s="50" t="s">
        <v>172</v>
      </c>
      <c r="B23" s="51">
        <v>3.69</v>
      </c>
      <c r="C23" s="51">
        <v>45.31</v>
      </c>
      <c r="D23" s="51">
        <v>26.95</v>
      </c>
      <c r="E23" s="51">
        <v>5.05</v>
      </c>
      <c r="F23" s="51">
        <v>5.65</v>
      </c>
      <c r="G23" s="51">
        <v>84.38</v>
      </c>
      <c r="H23" s="51">
        <v>39.40</v>
      </c>
      <c r="I23" s="51">
        <v>0.30</v>
      </c>
      <c r="J23" s="51">
        <v>1.0900000000000001</v>
      </c>
      <c r="K23" s="51">
        <v>352.55</v>
      </c>
      <c r="L23" s="51">
        <v>32.17</v>
      </c>
      <c r="M23" s="51">
        <v>25</v>
      </c>
      <c r="N23" s="51">
        <v>330.80</v>
      </c>
      <c r="O23" s="51">
        <v>0</v>
      </c>
      <c r="P23" s="51">
        <v>1.20</v>
      </c>
      <c r="Q23" s="51">
        <v>37.090000000000003</v>
      </c>
      <c r="R23" s="43"/>
      <c r="S23" s="43"/>
      <c r="T23" s="43"/>
      <c r="U23" s="43"/>
    </row>
    <row r="24" spans="1:21" s="11" customFormat="1" ht="15">
      <c r="A24" s="50" t="s">
        <v>173</v>
      </c>
      <c r="B24" s="51">
        <v>8.98</v>
      </c>
      <c r="C24" s="51">
        <v>41.89</v>
      </c>
      <c r="D24" s="51">
        <v>29.81</v>
      </c>
      <c r="E24" s="51">
        <v>12.12</v>
      </c>
      <c r="F24" s="51">
        <v>11.03</v>
      </c>
      <c r="G24" s="51">
        <v>71.209999999999994</v>
      </c>
      <c r="H24" s="51">
        <v>37.08</v>
      </c>
      <c r="I24" s="51">
        <v>0.27</v>
      </c>
      <c r="J24" s="51">
        <v>0.80</v>
      </c>
      <c r="K24" s="51">
        <v>358.29</v>
      </c>
      <c r="L24" s="51">
        <v>30.45</v>
      </c>
      <c r="M24" s="51">
        <v>25</v>
      </c>
      <c r="N24" s="51">
        <v>221.60</v>
      </c>
      <c r="O24" s="51">
        <v>0</v>
      </c>
      <c r="P24" s="51">
        <v>1.24</v>
      </c>
      <c r="Q24" s="51">
        <v>38.270000000000003</v>
      </c>
      <c r="R24" s="43"/>
      <c r="S24" s="43"/>
      <c r="T24" s="43"/>
      <c r="U24" s="43"/>
    </row>
    <row r="25" spans="1:21" s="11" customFormat="1" ht="15">
      <c r="A25" s="50" t="s">
        <v>174</v>
      </c>
      <c r="B25" s="51">
        <v>5.92</v>
      </c>
      <c r="C25" s="51">
        <v>41.25</v>
      </c>
      <c r="D25" s="51">
        <v>27.27</v>
      </c>
      <c r="E25" s="51">
        <v>11.04</v>
      </c>
      <c r="F25" s="51">
        <v>14.12</v>
      </c>
      <c r="G25" s="51">
        <v>70.47</v>
      </c>
      <c r="H25" s="51">
        <v>37.08</v>
      </c>
      <c r="I25" s="51">
        <v>0.32</v>
      </c>
      <c r="J25" s="51">
        <v>0.28000000000000003</v>
      </c>
      <c r="K25" s="51">
        <v>74.06</v>
      </c>
      <c r="L25" s="51">
        <v>27.63</v>
      </c>
      <c r="M25" s="51">
        <v>35</v>
      </c>
      <c r="N25" s="51">
        <v>61.10</v>
      </c>
      <c r="O25" s="51">
        <v>0</v>
      </c>
      <c r="P25" s="51">
        <v>1.31</v>
      </c>
      <c r="Q25" s="51">
        <v>41.24</v>
      </c>
      <c r="R25" s="43"/>
      <c r="S25" s="43"/>
      <c r="T25" s="43"/>
      <c r="U25" s="43"/>
    </row>
    <row r="26" spans="1:21" s="11" customFormat="1" ht="15">
      <c r="A26" s="50" t="s">
        <v>175</v>
      </c>
      <c r="B26" s="51">
        <v>17.79</v>
      </c>
      <c r="C26" s="51">
        <v>39.340000000000003</v>
      </c>
      <c r="D26" s="51">
        <v>35.97</v>
      </c>
      <c r="E26" s="51">
        <v>4.4000000000000004</v>
      </c>
      <c r="F26" s="51">
        <v>0.93</v>
      </c>
      <c r="G26" s="51">
        <v>111.01</v>
      </c>
      <c r="H26" s="51">
        <v>36.44</v>
      </c>
      <c r="I26" s="51">
        <v>0.48</v>
      </c>
      <c r="J26" s="51">
        <v>0.10</v>
      </c>
      <c r="K26" s="51">
        <v>333.95</v>
      </c>
      <c r="L26" s="51">
        <v>25.03</v>
      </c>
      <c r="M26" s="51">
        <v>53</v>
      </c>
      <c r="N26" s="51">
        <v>29</v>
      </c>
      <c r="O26" s="51">
        <v>0</v>
      </c>
      <c r="P26" s="51">
        <v>1.69</v>
      </c>
      <c r="Q26" s="51">
        <v>45.07</v>
      </c>
      <c r="R26" s="43"/>
      <c r="S26" s="43"/>
      <c r="T26" s="43"/>
      <c r="U26" s="43"/>
    </row>
    <row r="27" spans="1:21" s="11" customFormat="1" ht="15">
      <c r="A27" s="50" t="s">
        <v>176</v>
      </c>
      <c r="B27" s="51">
        <v>38.40</v>
      </c>
      <c r="C27" s="51">
        <v>38.35</v>
      </c>
      <c r="D27" s="51">
        <v>49.01</v>
      </c>
      <c r="E27" s="51">
        <v>3.77</v>
      </c>
      <c r="F27" s="51">
        <v>0.84</v>
      </c>
      <c r="G27" s="51">
        <v>111.01</v>
      </c>
      <c r="H27" s="51">
        <v>42.29</v>
      </c>
      <c r="I27" s="51">
        <v>0.69</v>
      </c>
      <c r="J27" s="51">
        <v>0.12</v>
      </c>
      <c r="K27" s="51">
        <v>319.27999999999997</v>
      </c>
      <c r="L27" s="51">
        <v>21.89</v>
      </c>
      <c r="M27" s="51">
        <v>63</v>
      </c>
      <c r="N27" s="51">
        <v>24.60</v>
      </c>
      <c r="O27" s="51">
        <v>0</v>
      </c>
      <c r="P27" s="51">
        <v>2.14</v>
      </c>
      <c r="Q27" s="51">
        <v>46.96</v>
      </c>
      <c r="R27" s="43"/>
      <c r="S27" s="43"/>
      <c r="T27" s="43"/>
      <c r="U27" s="43"/>
    </row>
    <row r="28" spans="1:21" s="11" customFormat="1" ht="15">
      <c r="A28" s="50" t="s">
        <v>177</v>
      </c>
      <c r="B28" s="51">
        <v>71.900000000000006</v>
      </c>
      <c r="C28" s="51">
        <v>28.13</v>
      </c>
      <c r="D28" s="51">
        <v>64.349999999999994</v>
      </c>
      <c r="E28" s="51">
        <v>4.4000000000000004</v>
      </c>
      <c r="F28" s="51">
        <v>0.82</v>
      </c>
      <c r="G28" s="51">
        <v>85.75</v>
      </c>
      <c r="H28" s="51">
        <v>44.45</v>
      </c>
      <c r="I28" s="51">
        <v>0.97</v>
      </c>
      <c r="J28" s="51">
        <v>0.09</v>
      </c>
      <c r="K28" s="51">
        <v>329.86</v>
      </c>
      <c r="L28" s="51">
        <v>20.70</v>
      </c>
      <c r="M28" s="51">
        <v>65</v>
      </c>
      <c r="N28" s="51">
        <v>24.30</v>
      </c>
      <c r="O28" s="51">
        <v>0</v>
      </c>
      <c r="P28" s="51">
        <v>2.84</v>
      </c>
      <c r="Q28" s="51">
        <v>50.23</v>
      </c>
      <c r="R28" s="43"/>
      <c r="S28" s="43"/>
      <c r="T28" s="43"/>
      <c r="U28" s="43"/>
    </row>
    <row r="29" spans="1:21" s="11" customFormat="1" ht="15">
      <c r="A29" s="50" t="s">
        <v>178</v>
      </c>
      <c r="B29" s="51">
        <v>89.17</v>
      </c>
      <c r="C29" s="51">
        <v>7.35</v>
      </c>
      <c r="D29" s="51">
        <v>73.17</v>
      </c>
      <c r="E29" s="51">
        <v>3.94</v>
      </c>
      <c r="F29" s="51">
        <v>0.83</v>
      </c>
      <c r="G29" s="51">
        <v>193.99</v>
      </c>
      <c r="H29" s="51">
        <v>50.35</v>
      </c>
      <c r="I29" s="51">
        <v>1.36</v>
      </c>
      <c r="J29" s="51">
        <v>0.08</v>
      </c>
      <c r="K29" s="51">
        <v>247.86</v>
      </c>
      <c r="L29" s="51">
        <v>20.94</v>
      </c>
      <c r="M29" s="51">
        <v>63</v>
      </c>
      <c r="N29" s="51">
        <v>24.20</v>
      </c>
      <c r="O29" s="51">
        <v>0</v>
      </c>
      <c r="P29" s="51">
        <v>3.15</v>
      </c>
      <c r="Q29" s="51">
        <v>55.04</v>
      </c>
      <c r="R29" s="43"/>
      <c r="S29" s="43"/>
      <c r="T29" s="43"/>
      <c r="U29" s="43"/>
    </row>
    <row r="30" spans="1:21" s="11" customFormat="1" ht="15">
      <c r="A30" s="50" t="s">
        <v>179</v>
      </c>
      <c r="B30" s="51">
        <v>104.35</v>
      </c>
      <c r="C30" s="51">
        <v>3.14</v>
      </c>
      <c r="D30" s="51">
        <v>81.349999999999994</v>
      </c>
      <c r="E30" s="51">
        <v>4.16</v>
      </c>
      <c r="F30" s="51">
        <v>0.81</v>
      </c>
      <c r="G30" s="51">
        <v>193.99</v>
      </c>
      <c r="H30" s="51">
        <v>50.35</v>
      </c>
      <c r="I30" s="51">
        <v>1.41</v>
      </c>
      <c r="J30" s="51">
        <v>0.19</v>
      </c>
      <c r="K30" s="51">
        <v>354.09</v>
      </c>
      <c r="L30" s="51">
        <v>20.350000000000001</v>
      </c>
      <c r="M30" s="51">
        <v>58</v>
      </c>
      <c r="N30" s="51">
        <v>24.40</v>
      </c>
      <c r="O30" s="51">
        <v>0</v>
      </c>
      <c r="P30" s="51">
        <v>3.47</v>
      </c>
      <c r="Q30" s="51">
        <v>54.44</v>
      </c>
      <c r="R30" s="43"/>
      <c r="S30" s="43"/>
      <c r="T30" s="43"/>
      <c r="U30" s="43"/>
    </row>
    <row r="31" spans="1:21" s="11" customFormat="1" ht="15">
      <c r="A31" s="50" t="s">
        <v>180</v>
      </c>
      <c r="B31" s="51">
        <v>103.78</v>
      </c>
      <c r="C31" s="51">
        <v>0.52</v>
      </c>
      <c r="D31" s="51">
        <v>81.16</v>
      </c>
      <c r="E31" s="51">
        <v>4.1500000000000004</v>
      </c>
      <c r="F31" s="51">
        <v>0.86</v>
      </c>
      <c r="G31" s="51">
        <v>134.63</v>
      </c>
      <c r="H31" s="51">
        <v>47.62</v>
      </c>
      <c r="I31" s="51">
        <v>1.42</v>
      </c>
      <c r="J31" s="51">
        <v>0.18</v>
      </c>
      <c r="K31" s="51">
        <v>355.94</v>
      </c>
      <c r="L31" s="51">
        <v>20.37</v>
      </c>
      <c r="M31" s="51">
        <v>58</v>
      </c>
      <c r="N31" s="51">
        <v>24.5</v>
      </c>
      <c r="O31" s="51">
        <v>0</v>
      </c>
      <c r="P31" s="51">
        <v>3.43</v>
      </c>
      <c r="Q31" s="51">
        <v>54.04</v>
      </c>
      <c r="R31" s="43"/>
      <c r="S31" s="43"/>
      <c r="T31" s="43"/>
      <c r="U31" s="43"/>
    </row>
    <row r="32" spans="1:21" s="11" customFormat="1" ht="15">
      <c r="A32" s="50" t="s">
        <v>181</v>
      </c>
      <c r="B32" s="51">
        <v>89.42</v>
      </c>
      <c r="C32" s="51">
        <v>0.64</v>
      </c>
      <c r="D32" s="51">
        <v>71.69</v>
      </c>
      <c r="E32" s="51">
        <v>4.09</v>
      </c>
      <c r="F32" s="51">
        <v>0.73</v>
      </c>
      <c r="G32" s="51">
        <v>111.62</v>
      </c>
      <c r="H32" s="51">
        <v>45.41</v>
      </c>
      <c r="I32" s="51">
        <v>1.36</v>
      </c>
      <c r="J32" s="51">
        <v>0.09</v>
      </c>
      <c r="K32" s="51">
        <v>343.58</v>
      </c>
      <c r="L32" s="51">
        <v>19.54</v>
      </c>
      <c r="M32" s="51">
        <v>63</v>
      </c>
      <c r="N32" s="51">
        <v>24.60</v>
      </c>
      <c r="O32" s="51">
        <v>0</v>
      </c>
      <c r="P32" s="51">
        <v>3.19</v>
      </c>
      <c r="Q32" s="51">
        <v>52.40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3.6899999999999999</v>
      </c>
      <c r="C34" s="28">
        <f t="shared" si="0"/>
        <v>0.52000000000000002</v>
      </c>
      <c r="D34" s="28">
        <f t="shared" si="0"/>
        <v>26.949999999999999</v>
      </c>
      <c r="E34" s="28">
        <f t="shared" si="0"/>
        <v>3.77</v>
      </c>
      <c r="F34" s="28">
        <f t="shared" si="0"/>
        <v>0.70999999999999996</v>
      </c>
      <c r="G34" s="28">
        <f t="shared" si="0"/>
        <v>70.469999999999999</v>
      </c>
      <c r="H34" s="28">
        <f t="shared" si="0"/>
        <v>36.439999999999998</v>
      </c>
      <c r="I34" s="28">
        <f t="shared" si="0"/>
        <v>0.27000000000000002</v>
      </c>
      <c r="J34" s="28">
        <f t="shared" si="0"/>
        <v>0.080000000000000002</v>
      </c>
      <c r="K34" s="28">
        <f t="shared" si="0"/>
        <v>74.060000000000002</v>
      </c>
      <c r="L34" s="28">
        <f t="shared" si="0"/>
        <v>16.440000000000001</v>
      </c>
      <c r="M34" s="28">
        <f t="shared" si="0"/>
        <v>25</v>
      </c>
      <c r="N34" s="28">
        <f t="shared" si="0"/>
        <v>24.199999999999999</v>
      </c>
      <c r="O34" s="28">
        <f t="shared" si="0"/>
        <v>0</v>
      </c>
      <c r="P34" s="28">
        <f t="shared" si="0"/>
        <v>1.1599999999999999</v>
      </c>
      <c r="Q34" s="28">
        <f t="shared" si="0"/>
        <v>37.060000000000002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142.91</v>
      </c>
      <c r="C35" s="29">
        <f t="shared" si="1"/>
        <v>50.609999999999999</v>
      </c>
      <c r="D35" s="29">
        <f t="shared" si="1"/>
        <v>97.609999999999999</v>
      </c>
      <c r="E35" s="29">
        <f t="shared" si="1"/>
        <v>14.449999999999999</v>
      </c>
      <c r="F35" s="29">
        <f t="shared" si="1"/>
        <v>14.119999999999999</v>
      </c>
      <c r="G35" s="29">
        <f t="shared" si="1"/>
        <v>193.99000000000001</v>
      </c>
      <c r="H35" s="29">
        <f t="shared" si="1"/>
        <v>57.310000000000002</v>
      </c>
      <c r="I35" s="29">
        <f t="shared" si="1"/>
        <v>1.6000000000000001</v>
      </c>
      <c r="J35" s="29">
        <f t="shared" si="1"/>
        <v>1.4199999999999999</v>
      </c>
      <c r="K35" s="29">
        <f t="shared" si="1"/>
        <v>358.29000000000002</v>
      </c>
      <c r="L35" s="29">
        <f t="shared" si="1"/>
        <v>32.170000000000002</v>
      </c>
      <c r="M35" s="29">
        <f t="shared" si="1"/>
        <v>89</v>
      </c>
      <c r="N35" s="29">
        <f t="shared" si="1"/>
        <v>457</v>
      </c>
      <c r="O35" s="29">
        <f t="shared" si="1"/>
        <v>0</v>
      </c>
      <c r="P35" s="29">
        <f t="shared" si="1"/>
        <v>3.71</v>
      </c>
      <c r="Q35" s="29">
        <f t="shared" si="1"/>
        <v>59.859999999999999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54.084583333333335</v>
      </c>
      <c r="C36" s="28">
        <f t="shared" si="2"/>
        <v>25.713999999999999</v>
      </c>
      <c r="D36" s="28">
        <f t="shared" si="2"/>
        <v>52.212916666666672</v>
      </c>
      <c r="E36" s="28">
        <f t="shared" si="2"/>
        <v>5.984583333333334</v>
      </c>
      <c r="F36" s="28">
        <f t="shared" si="2"/>
        <v>3.1025000000000005</v>
      </c>
      <c r="G36" s="28">
        <f t="shared" si="2"/>
        <v>114.35458333333331</v>
      </c>
      <c r="H36" s="28">
        <f t="shared" si="2"/>
        <v>45.126666666666672</v>
      </c>
      <c r="I36" s="28">
        <f t="shared" si="2"/>
        <v>0.81708333333333327</v>
      </c>
      <c r="J36" s="28">
        <f t="shared" si="2"/>
        <v>0.47874999999999984</v>
      </c>
      <c r="K36" s="28">
        <f t="shared" si="2"/>
        <v>303.71666666666664</v>
      </c>
      <c r="L36" s="28">
        <f t="shared" si="2"/>
        <v>23.232083333333332</v>
      </c>
      <c r="M36" s="28">
        <f t="shared" si="2"/>
        <v>58.916666666666664</v>
      </c>
      <c r="N36" s="28">
        <f t="shared" si="2"/>
        <v>149.05416666666667</v>
      </c>
      <c r="O36" s="28">
        <f t="shared" si="2"/>
        <v>0</v>
      </c>
      <c r="P36" s="28">
        <f t="shared" si="2"/>
        <v>2.1833333333333331</v>
      </c>
      <c r="Q36" s="28">
        <f t="shared" si="2"/>
        <v>48.170416666666682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38.533036867779103</v>
      </c>
      <c r="C37" s="28">
        <f t="shared" si="3" ref="C37:Q37">STDEV(C9:C32)</f>
        <v>18.179833361519897</v>
      </c>
      <c r="D37" s="28">
        <f t="shared" si="3"/>
        <v>19.604160933480337</v>
      </c>
      <c r="E37" s="28">
        <f t="shared" si="3"/>
        <v>3.0679875561885064</v>
      </c>
      <c r="F37" s="28">
        <f t="shared" si="3"/>
        <v>4.1426207310999557</v>
      </c>
      <c r="G37" s="28">
        <f t="shared" si="3"/>
        <v>36.136866034222855</v>
      </c>
      <c r="H37" s="28">
        <f t="shared" si="3"/>
        <v>5.8166736846433134</v>
      </c>
      <c r="I37" s="28">
        <f t="shared" si="3"/>
        <v>0.41701297202914411</v>
      </c>
      <c r="J37" s="28">
        <f t="shared" si="3"/>
        <v>0.46704726974248895</v>
      </c>
      <c r="K37" s="28">
        <f t="shared" si="3"/>
        <v>83.772429607352464</v>
      </c>
      <c r="L37" s="28">
        <f t="shared" si="3"/>
        <v>5.3979625618227995</v>
      </c>
      <c r="M37" s="28">
        <f t="shared" si="3"/>
        <v>20.427851121673939</v>
      </c>
      <c r="N37" s="28">
        <f t="shared" si="3"/>
        <v>169.54940534088954</v>
      </c>
      <c r="O37" s="28">
        <f t="shared" si="3"/>
        <v>0</v>
      </c>
      <c r="P37" s="28">
        <f t="shared" si="3"/>
        <v>0.82145505403345309</v>
      </c>
      <c r="Q37" s="28">
        <f t="shared" si="3"/>
        <v>6.2135066617998511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20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&lt;90%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LESS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238b66-4d87-4196-b5b5-ca548d6ca479}">
  <sheetPr codeName=""/>
  <dimension ref="A1:U119"/>
  <sheetViews>
    <sheetView workbookViewId="0" topLeftCell="A1">
      <pane xSplit="2" ySplit="8" topLeftCell="C12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C29" sqref="C29:C30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182</v>
      </c>
      <c r="B9" s="51">
        <v>79.64</v>
      </c>
      <c r="C9" s="51">
        <v>7.33</v>
      </c>
      <c r="D9" s="51">
        <v>64.900000000000006</v>
      </c>
      <c r="E9" s="51">
        <v>4.79</v>
      </c>
      <c r="F9" s="51">
        <v>0.80</v>
      </c>
      <c r="G9" s="51">
        <v>111.62</v>
      </c>
      <c r="H9" s="51">
        <v>43.45</v>
      </c>
      <c r="I9" s="51">
        <v>1.28</v>
      </c>
      <c r="J9" s="51">
        <v>0.13</v>
      </c>
      <c r="K9" s="51">
        <v>321.82</v>
      </c>
      <c r="L9" s="51">
        <v>18.79</v>
      </c>
      <c r="M9" s="51">
        <v>71</v>
      </c>
      <c r="N9" s="51">
        <v>24.60</v>
      </c>
      <c r="O9" s="51">
        <v>0</v>
      </c>
      <c r="P9" s="51">
        <v>2.88</v>
      </c>
      <c r="Q9" s="51">
        <v>52.88</v>
      </c>
      <c r="R9" s="43"/>
      <c r="S9" s="43"/>
      <c r="T9" s="43"/>
      <c r="U9" s="43"/>
    </row>
    <row r="10" spans="1:21" s="11" customFormat="1" ht="15">
      <c r="A10" s="50" t="s">
        <v>183</v>
      </c>
      <c r="B10" s="51">
        <v>61.43</v>
      </c>
      <c r="C10" s="51">
        <v>11.56</v>
      </c>
      <c r="D10" s="51">
        <v>54.01</v>
      </c>
      <c r="E10" s="51">
        <v>4.51</v>
      </c>
      <c r="F10" s="51">
        <v>0.83</v>
      </c>
      <c r="G10" s="51">
        <v>95.64</v>
      </c>
      <c r="H10" s="51">
        <v>39.68</v>
      </c>
      <c r="I10" s="51">
        <v>1.0900000000000001</v>
      </c>
      <c r="J10" s="51">
        <v>0.15</v>
      </c>
      <c r="K10" s="51">
        <v>308.06</v>
      </c>
      <c r="L10" s="51">
        <v>17.34</v>
      </c>
      <c r="M10" s="51">
        <v>75</v>
      </c>
      <c r="N10" s="51">
        <v>24.5</v>
      </c>
      <c r="O10" s="51">
        <v>0</v>
      </c>
      <c r="P10" s="51">
        <v>2.36</v>
      </c>
      <c r="Q10" s="51">
        <v>50.89</v>
      </c>
      <c r="R10" s="43"/>
      <c r="S10" s="43"/>
      <c r="T10" s="43"/>
      <c r="U10" s="43"/>
    </row>
    <row r="11" spans="1:21" s="11" customFormat="1" ht="15">
      <c r="A11" s="50" t="s">
        <v>184</v>
      </c>
      <c r="B11" s="51">
        <v>50.26</v>
      </c>
      <c r="C11" s="51">
        <v>18.02</v>
      </c>
      <c r="D11" s="51">
        <v>47.18</v>
      </c>
      <c r="E11" s="51">
        <v>4.33</v>
      </c>
      <c r="F11" s="51">
        <v>0.90</v>
      </c>
      <c r="G11" s="51">
        <v>95.64</v>
      </c>
      <c r="H11" s="51">
        <v>36.450000000000003</v>
      </c>
      <c r="I11" s="51">
        <v>0.89</v>
      </c>
      <c r="J11" s="51">
        <v>0.39</v>
      </c>
      <c r="K11" s="51">
        <v>67.12</v>
      </c>
      <c r="L11" s="51">
        <v>19.03</v>
      </c>
      <c r="M11" s="51">
        <v>61</v>
      </c>
      <c r="N11" s="51">
        <v>24.10</v>
      </c>
      <c r="O11" s="51">
        <v>0</v>
      </c>
      <c r="P11" s="51">
        <v>2.09</v>
      </c>
      <c r="Q11" s="51">
        <v>47.88</v>
      </c>
      <c r="R11" s="43"/>
      <c r="S11" s="43"/>
      <c r="T11" s="43"/>
      <c r="U11" s="43"/>
    </row>
    <row r="12" spans="1:21" s="11" customFormat="1" ht="15">
      <c r="A12" s="50" t="s">
        <v>185</v>
      </c>
      <c r="B12" s="51">
        <v>33.950000000000003</v>
      </c>
      <c r="C12" s="51">
        <v>25</v>
      </c>
      <c r="D12" s="51">
        <v>37.81</v>
      </c>
      <c r="E12" s="51">
        <v>4.76</v>
      </c>
      <c r="F12" s="51">
        <v>0.99</v>
      </c>
      <c r="G12" s="51">
        <v>69.28</v>
      </c>
      <c r="H12" s="51">
        <v>34.68</v>
      </c>
      <c r="I12" s="51">
        <v>0.79</v>
      </c>
      <c r="J12" s="51">
        <v>0.61</v>
      </c>
      <c r="K12" s="51">
        <v>356.70</v>
      </c>
      <c r="L12" s="51">
        <v>18.73</v>
      </c>
      <c r="M12" s="51">
        <v>60</v>
      </c>
      <c r="N12" s="51">
        <v>24.20</v>
      </c>
      <c r="O12" s="51">
        <v>0</v>
      </c>
      <c r="P12" s="51">
        <v>1.71</v>
      </c>
      <c r="Q12" s="51">
        <v>47.26</v>
      </c>
      <c r="R12" s="43"/>
      <c r="S12" s="43"/>
      <c r="T12" s="43"/>
      <c r="U12" s="43"/>
    </row>
    <row r="13" spans="1:21" s="11" customFormat="1" ht="15">
      <c r="A13" s="50" t="s">
        <v>186</v>
      </c>
      <c r="B13" s="51">
        <v>22.54</v>
      </c>
      <c r="C13" s="51">
        <v>30.43</v>
      </c>
      <c r="D13" s="51">
        <v>32.71</v>
      </c>
      <c r="E13" s="51">
        <v>3.69</v>
      </c>
      <c r="F13" s="51">
        <v>0.97</v>
      </c>
      <c r="G13" s="51">
        <v>72.47</v>
      </c>
      <c r="H13" s="51">
        <v>28.62</v>
      </c>
      <c r="I13" s="51">
        <v>0.69</v>
      </c>
      <c r="J13" s="51">
        <v>0.62</v>
      </c>
      <c r="K13" s="51">
        <v>352.74</v>
      </c>
      <c r="L13" s="51">
        <v>18.45</v>
      </c>
      <c r="M13" s="51">
        <v>61</v>
      </c>
      <c r="N13" s="51">
        <v>24.30</v>
      </c>
      <c r="O13" s="51">
        <v>0</v>
      </c>
      <c r="P13" s="51">
        <v>1.40</v>
      </c>
      <c r="Q13" s="51">
        <v>46.81</v>
      </c>
      <c r="R13" s="43"/>
      <c r="S13" s="43"/>
      <c r="T13" s="43"/>
      <c r="U13" s="43"/>
    </row>
    <row r="14" spans="1:21" s="11" customFormat="1" ht="15">
      <c r="A14" s="50" t="s">
        <v>187</v>
      </c>
      <c r="B14" s="51">
        <v>14.84</v>
      </c>
      <c r="C14" s="51">
        <v>31.21</v>
      </c>
      <c r="D14" s="51">
        <v>29.03</v>
      </c>
      <c r="E14" s="51">
        <v>3.47</v>
      </c>
      <c r="F14" s="51">
        <v>0.87</v>
      </c>
      <c r="G14" s="51">
        <v>72.47</v>
      </c>
      <c r="H14" s="51">
        <v>27.29</v>
      </c>
      <c r="I14" s="51">
        <v>0.55000000000000004</v>
      </c>
      <c r="J14" s="51">
        <v>0.24</v>
      </c>
      <c r="K14" s="51">
        <v>88.17</v>
      </c>
      <c r="L14" s="51">
        <v>17.68</v>
      </c>
      <c r="M14" s="51">
        <v>64</v>
      </c>
      <c r="N14" s="51">
        <v>24.40</v>
      </c>
      <c r="O14" s="51">
        <v>0</v>
      </c>
      <c r="P14" s="51">
        <v>1.19</v>
      </c>
      <c r="Q14" s="51">
        <v>44.86</v>
      </c>
      <c r="R14" s="43"/>
      <c r="S14" s="43"/>
      <c r="T14" s="43"/>
      <c r="U14" s="43"/>
    </row>
    <row r="15" spans="1:21" s="11" customFormat="1" ht="15">
      <c r="A15" s="50" t="s">
        <v>188</v>
      </c>
      <c r="B15" s="51">
        <v>22.01</v>
      </c>
      <c r="C15" s="51">
        <v>30.74</v>
      </c>
      <c r="D15" s="51">
        <v>32.11</v>
      </c>
      <c r="E15" s="51">
        <v>3.53</v>
      </c>
      <c r="F15" s="51">
        <v>0.79</v>
      </c>
      <c r="G15" s="51">
        <v>88.18</v>
      </c>
      <c r="H15" s="51">
        <v>29.93</v>
      </c>
      <c r="I15" s="51">
        <v>0.5</v>
      </c>
      <c r="J15" s="51">
        <v>0.08</v>
      </c>
      <c r="K15" s="51">
        <v>314.5</v>
      </c>
      <c r="L15" s="51">
        <v>17.20</v>
      </c>
      <c r="M15" s="51">
        <v>72</v>
      </c>
      <c r="N15" s="51">
        <v>44.20</v>
      </c>
      <c r="O15" s="51">
        <v>0</v>
      </c>
      <c r="P15" s="51">
        <v>1.23</v>
      </c>
      <c r="Q15" s="51">
        <v>43.86</v>
      </c>
      <c r="R15" s="43"/>
      <c r="S15" s="43"/>
      <c r="T15" s="43"/>
      <c r="U15" s="43"/>
    </row>
    <row r="16" spans="1:21" s="11" customFormat="1" ht="15">
      <c r="A16" s="50" t="s">
        <v>189</v>
      </c>
      <c r="B16" s="51">
        <v>32.69</v>
      </c>
      <c r="C16" s="51">
        <v>23.95</v>
      </c>
      <c r="D16" s="51">
        <v>37.35</v>
      </c>
      <c r="E16" s="51">
        <v>4.29</v>
      </c>
      <c r="F16" s="51">
        <v>0.75</v>
      </c>
      <c r="G16" s="51">
        <v>116.91</v>
      </c>
      <c r="H16" s="51">
        <v>34.369999999999997</v>
      </c>
      <c r="I16" s="51">
        <v>0.5</v>
      </c>
      <c r="J16" s="51">
        <v>0.56999999999999995</v>
      </c>
      <c r="K16" s="51">
        <v>235.26</v>
      </c>
      <c r="L16" s="51">
        <v>20.99</v>
      </c>
      <c r="M16" s="51">
        <v>72</v>
      </c>
      <c r="N16" s="51">
        <v>222</v>
      </c>
      <c r="O16" s="51">
        <v>0</v>
      </c>
      <c r="P16" s="51">
        <v>1.35</v>
      </c>
      <c r="Q16" s="51">
        <v>45.99</v>
      </c>
      <c r="R16" s="43"/>
      <c r="S16" s="43"/>
      <c r="T16" s="43"/>
      <c r="U16" s="43"/>
    </row>
    <row r="17" spans="1:21" s="11" customFormat="1" ht="15">
      <c r="A17" s="50" t="s">
        <v>190</v>
      </c>
      <c r="B17" s="51">
        <v>30.73</v>
      </c>
      <c r="C17" s="51">
        <v>27.48</v>
      </c>
      <c r="D17" s="51">
        <v>36.82</v>
      </c>
      <c r="E17" s="51">
        <v>3.64</v>
      </c>
      <c r="F17" s="51">
        <v>0.88</v>
      </c>
      <c r="G17" s="51">
        <v>116.91</v>
      </c>
      <c r="H17" s="51">
        <v>34.369999999999997</v>
      </c>
      <c r="I17" s="51">
        <v>0.5</v>
      </c>
      <c r="J17" s="51">
        <v>1.37</v>
      </c>
      <c r="K17" s="51">
        <v>115.42</v>
      </c>
      <c r="L17" s="51">
        <v>22.07</v>
      </c>
      <c r="M17" s="51">
        <v>50</v>
      </c>
      <c r="N17" s="51">
        <v>356.20</v>
      </c>
      <c r="O17" s="51">
        <v>0</v>
      </c>
      <c r="P17" s="51">
        <v>1.33</v>
      </c>
      <c r="Q17" s="51">
        <v>45.40</v>
      </c>
      <c r="R17" s="43"/>
      <c r="S17" s="43"/>
      <c r="T17" s="43"/>
      <c r="U17" s="43"/>
    </row>
    <row r="18" spans="1:21" s="11" customFormat="1" ht="15">
      <c r="A18" s="50" t="s">
        <v>191</v>
      </c>
      <c r="B18" s="51">
        <v>22.33</v>
      </c>
      <c r="C18" s="51">
        <v>30.61</v>
      </c>
      <c r="D18" s="51">
        <v>33.60</v>
      </c>
      <c r="E18" s="51">
        <v>4.29</v>
      </c>
      <c r="F18" s="51">
        <v>1.1200000000000001</v>
      </c>
      <c r="G18" s="51">
        <v>69.47</v>
      </c>
      <c r="H18" s="51">
        <v>28.63</v>
      </c>
      <c r="I18" s="51">
        <v>0.47</v>
      </c>
      <c r="J18" s="51">
        <v>1.21</v>
      </c>
      <c r="K18" s="51">
        <v>111.61</v>
      </c>
      <c r="L18" s="51">
        <v>24.79</v>
      </c>
      <c r="M18" s="51">
        <v>46</v>
      </c>
      <c r="N18" s="51">
        <v>416.10</v>
      </c>
      <c r="O18" s="51">
        <v>0</v>
      </c>
      <c r="P18" s="51">
        <v>1.20</v>
      </c>
      <c r="Q18" s="51">
        <v>44.39</v>
      </c>
      <c r="R18" s="43"/>
      <c r="S18" s="43"/>
      <c r="T18" s="43"/>
      <c r="U18" s="43"/>
    </row>
    <row r="19" spans="1:21" s="11" customFormat="1" ht="15">
      <c r="A19" s="50" t="s">
        <v>192</v>
      </c>
      <c r="B19" s="51">
        <v>15.55</v>
      </c>
      <c r="C19" s="51">
        <v>35.25</v>
      </c>
      <c r="D19" s="51">
        <v>29.71</v>
      </c>
      <c r="E19" s="51">
        <v>4.1100000000000003</v>
      </c>
      <c r="F19" s="51">
        <v>2.4500000000000002</v>
      </c>
      <c r="G19" s="51">
        <v>63.76</v>
      </c>
      <c r="H19" s="51">
        <v>28.63</v>
      </c>
      <c r="I19" s="51">
        <v>0.46</v>
      </c>
      <c r="J19" s="51">
        <v>1.1599999999999999</v>
      </c>
      <c r="K19" s="51">
        <v>113.90</v>
      </c>
      <c r="L19" s="51">
        <v>26.41</v>
      </c>
      <c r="M19" s="51">
        <v>39</v>
      </c>
      <c r="N19" s="51">
        <v>469.20</v>
      </c>
      <c r="O19" s="51">
        <v>0</v>
      </c>
      <c r="P19" s="51">
        <v>1.1000000000000001</v>
      </c>
      <c r="Q19" s="51">
        <v>44.84</v>
      </c>
      <c r="R19" s="43"/>
      <c r="S19" s="43"/>
      <c r="T19" s="43"/>
      <c r="U19" s="43"/>
    </row>
    <row r="20" spans="1:21" s="11" customFormat="1" ht="15">
      <c r="A20" s="50" t="s">
        <v>193</v>
      </c>
      <c r="B20" s="51">
        <v>5.41</v>
      </c>
      <c r="C20" s="51">
        <v>36.06</v>
      </c>
      <c r="D20" s="51">
        <v>23.69</v>
      </c>
      <c r="E20" s="51">
        <v>3.89</v>
      </c>
      <c r="F20" s="51">
        <v>5.41</v>
      </c>
      <c r="G20" s="51">
        <v>58.99</v>
      </c>
      <c r="H20" s="51">
        <v>26.25</v>
      </c>
      <c r="I20" s="51">
        <v>0.42</v>
      </c>
      <c r="J20" s="51">
        <v>0.71</v>
      </c>
      <c r="K20" s="51">
        <v>85.41</v>
      </c>
      <c r="L20" s="51">
        <v>29.38</v>
      </c>
      <c r="M20" s="51">
        <v>33</v>
      </c>
      <c r="N20" s="51">
        <v>466.5</v>
      </c>
      <c r="O20" s="51">
        <v>0</v>
      </c>
      <c r="P20" s="51">
        <v>0.95</v>
      </c>
      <c r="Q20" s="51">
        <v>43.31</v>
      </c>
      <c r="R20" s="43"/>
      <c r="S20" s="43"/>
      <c r="T20" s="43"/>
      <c r="U20" s="43"/>
    </row>
    <row r="21" spans="1:21" s="11" customFormat="1" ht="15">
      <c r="A21" s="50" t="s">
        <v>194</v>
      </c>
      <c r="B21" s="51">
        <v>5.57</v>
      </c>
      <c r="C21" s="51">
        <v>37.44</v>
      </c>
      <c r="D21" s="51">
        <v>24.74</v>
      </c>
      <c r="E21" s="51">
        <v>9.15</v>
      </c>
      <c r="F21" s="51">
        <v>8.40</v>
      </c>
      <c r="G21" s="51">
        <v>55.74</v>
      </c>
      <c r="H21" s="51">
        <v>27.61</v>
      </c>
      <c r="I21" s="51">
        <v>0.33</v>
      </c>
      <c r="J21" s="51">
        <v>0.88</v>
      </c>
      <c r="K21" s="51">
        <v>353.89</v>
      </c>
      <c r="L21" s="51">
        <v>30.54</v>
      </c>
      <c r="M21" s="51">
        <v>31</v>
      </c>
      <c r="N21" s="51">
        <v>427.10</v>
      </c>
      <c r="O21" s="51">
        <v>0</v>
      </c>
      <c r="P21" s="51">
        <v>0.99</v>
      </c>
      <c r="Q21" s="51">
        <v>39.83</v>
      </c>
      <c r="R21" s="43"/>
      <c r="S21" s="43"/>
      <c r="T21" s="43"/>
      <c r="U21" s="43"/>
    </row>
    <row r="22" spans="1:21" s="11" customFormat="1" ht="15">
      <c r="A22" s="50" t="s">
        <v>195</v>
      </c>
      <c r="B22" s="51">
        <v>4.97</v>
      </c>
      <c r="C22" s="51">
        <v>36</v>
      </c>
      <c r="D22" s="51">
        <v>23.30</v>
      </c>
      <c r="E22" s="51">
        <v>6.80</v>
      </c>
      <c r="F22" s="51">
        <v>9.3000000000000007</v>
      </c>
      <c r="G22" s="51">
        <v>55.74</v>
      </c>
      <c r="H22" s="51">
        <v>27.95</v>
      </c>
      <c r="I22" s="51">
        <v>0.28999999999999998</v>
      </c>
      <c r="J22" s="51">
        <v>1.29</v>
      </c>
      <c r="K22" s="51">
        <v>7.63</v>
      </c>
      <c r="L22" s="51">
        <v>31.72</v>
      </c>
      <c r="M22" s="51">
        <v>25</v>
      </c>
      <c r="N22" s="51">
        <v>396.30</v>
      </c>
      <c r="O22" s="51">
        <v>0</v>
      </c>
      <c r="P22" s="51">
        <v>0.95</v>
      </c>
      <c r="Q22" s="51">
        <v>36.369999999999997</v>
      </c>
      <c r="R22" s="43"/>
      <c r="S22" s="43"/>
      <c r="T22" s="43"/>
      <c r="U22" s="43"/>
    </row>
    <row r="23" spans="1:21" s="11" customFormat="1" ht="15">
      <c r="A23" s="50" t="s">
        <v>196</v>
      </c>
      <c r="B23" s="51">
        <v>5.46</v>
      </c>
      <c r="C23" s="51">
        <v>38.28</v>
      </c>
      <c r="D23" s="51">
        <v>24.72</v>
      </c>
      <c r="E23" s="51">
        <v>7.98</v>
      </c>
      <c r="F23" s="51">
        <v>10.08</v>
      </c>
      <c r="G23" s="51">
        <v>58.17</v>
      </c>
      <c r="H23" s="51">
        <v>30.32</v>
      </c>
      <c r="I23" s="51">
        <v>0.28999999999999998</v>
      </c>
      <c r="J23" s="51">
        <v>1.29</v>
      </c>
      <c r="K23" s="51">
        <v>358.91</v>
      </c>
      <c r="L23" s="51">
        <v>31.82</v>
      </c>
      <c r="M23" s="51">
        <v>24</v>
      </c>
      <c r="N23" s="51">
        <v>346</v>
      </c>
      <c r="O23" s="51">
        <v>0</v>
      </c>
      <c r="P23" s="51">
        <v>0.99</v>
      </c>
      <c r="Q23" s="51">
        <v>36.43</v>
      </c>
      <c r="R23" s="43"/>
      <c r="S23" s="43"/>
      <c r="T23" s="43"/>
      <c r="U23" s="43"/>
    </row>
    <row r="24" spans="1:21" s="11" customFormat="1" ht="15">
      <c r="A24" s="50" t="s">
        <v>197</v>
      </c>
      <c r="B24" s="51">
        <v>6.53</v>
      </c>
      <c r="C24" s="51">
        <v>38.78</v>
      </c>
      <c r="D24" s="51">
        <v>26.39</v>
      </c>
      <c r="E24" s="51">
        <v>4.30</v>
      </c>
      <c r="F24" s="51">
        <v>4.21</v>
      </c>
      <c r="G24" s="51">
        <v>58.17</v>
      </c>
      <c r="H24" s="51">
        <v>30.32</v>
      </c>
      <c r="I24" s="51">
        <v>0.28000000000000003</v>
      </c>
      <c r="J24" s="51">
        <v>1.40</v>
      </c>
      <c r="K24" s="51">
        <v>7.21</v>
      </c>
      <c r="L24" s="51">
        <v>30.67</v>
      </c>
      <c r="M24" s="51">
        <v>27</v>
      </c>
      <c r="N24" s="51">
        <v>229.30</v>
      </c>
      <c r="O24" s="51">
        <v>0</v>
      </c>
      <c r="P24" s="51">
        <v>1.02</v>
      </c>
      <c r="Q24" s="51">
        <v>36.619999999999997</v>
      </c>
      <c r="R24" s="43"/>
      <c r="S24" s="43"/>
      <c r="T24" s="43"/>
      <c r="U24" s="43"/>
    </row>
    <row r="25" spans="1:21" s="11" customFormat="1" ht="15">
      <c r="A25" s="50" t="s">
        <v>198</v>
      </c>
      <c r="B25" s="51">
        <v>14.62</v>
      </c>
      <c r="C25" s="51">
        <v>45.58</v>
      </c>
      <c r="D25" s="51">
        <v>36.71</v>
      </c>
      <c r="E25" s="51">
        <v>9.1999999999999993</v>
      </c>
      <c r="F25" s="51">
        <v>17.87</v>
      </c>
      <c r="G25" s="51">
        <v>69.37</v>
      </c>
      <c r="H25" s="51">
        <v>26.92</v>
      </c>
      <c r="I25" s="51">
        <v>0.28000000000000003</v>
      </c>
      <c r="J25" s="51">
        <v>1.07</v>
      </c>
      <c r="K25" s="51">
        <v>33.799999999999997</v>
      </c>
      <c r="L25" s="51">
        <v>27.5</v>
      </c>
      <c r="M25" s="51">
        <v>30</v>
      </c>
      <c r="N25" s="51">
        <v>61.40</v>
      </c>
      <c r="O25" s="51">
        <v>0</v>
      </c>
      <c r="P25" s="51">
        <v>1.32</v>
      </c>
      <c r="Q25" s="51">
        <v>37.14</v>
      </c>
      <c r="R25" s="43"/>
      <c r="S25" s="43"/>
      <c r="T25" s="43"/>
      <c r="U25" s="43"/>
    </row>
    <row r="26" spans="1:21" s="11" customFormat="1" ht="15">
      <c r="A26" s="50" t="s">
        <v>199</v>
      </c>
      <c r="B26" s="51">
        <v>19.940000000000001</v>
      </c>
      <c r="C26" s="51">
        <v>45.08</v>
      </c>
      <c r="D26" s="51">
        <v>36.72</v>
      </c>
      <c r="E26" s="51">
        <v>4.20</v>
      </c>
      <c r="F26" s="51">
        <v>3.58</v>
      </c>
      <c r="G26" s="51">
        <v>69.739999999999995</v>
      </c>
      <c r="H26" s="51">
        <v>31.40</v>
      </c>
      <c r="I26" s="51">
        <v>0.38</v>
      </c>
      <c r="J26" s="51">
        <v>0.26</v>
      </c>
      <c r="K26" s="51">
        <v>85.66</v>
      </c>
      <c r="L26" s="51">
        <v>25.39</v>
      </c>
      <c r="M26" s="51">
        <v>46</v>
      </c>
      <c r="N26" s="51">
        <v>29</v>
      </c>
      <c r="O26" s="51">
        <v>0</v>
      </c>
      <c r="P26" s="51">
        <v>1.42</v>
      </c>
      <c r="Q26" s="51">
        <v>39.51</v>
      </c>
      <c r="R26" s="43"/>
      <c r="S26" s="43"/>
      <c r="T26" s="43"/>
      <c r="U26" s="43"/>
    </row>
    <row r="27" spans="1:21" s="11" customFormat="1" ht="15">
      <c r="A27" s="50" t="s">
        <v>200</v>
      </c>
      <c r="B27" s="51">
        <v>49.02</v>
      </c>
      <c r="C27" s="51">
        <v>36.51</v>
      </c>
      <c r="D27" s="51">
        <v>51.78</v>
      </c>
      <c r="E27" s="51">
        <v>4.30</v>
      </c>
      <c r="F27" s="51">
        <v>0.87</v>
      </c>
      <c r="G27" s="51">
        <v>165.55</v>
      </c>
      <c r="H27" s="51">
        <v>35.590000000000003</v>
      </c>
      <c r="I27" s="51">
        <v>0.56999999999999995</v>
      </c>
      <c r="J27" s="51">
        <v>0.070000000000000007</v>
      </c>
      <c r="K27" s="51">
        <v>198.02</v>
      </c>
      <c r="L27" s="51">
        <v>22.22</v>
      </c>
      <c r="M27" s="51">
        <v>59</v>
      </c>
      <c r="N27" s="51">
        <v>24.60</v>
      </c>
      <c r="O27" s="51">
        <v>0</v>
      </c>
      <c r="P27" s="51">
        <v>1.91</v>
      </c>
      <c r="Q27" s="51">
        <v>45.44</v>
      </c>
      <c r="R27" s="43"/>
      <c r="S27" s="43"/>
      <c r="T27" s="43"/>
      <c r="U27" s="43"/>
    </row>
    <row r="28" spans="1:21" s="11" customFormat="1" ht="15">
      <c r="A28" s="50" t="s">
        <v>201</v>
      </c>
      <c r="B28" s="51">
        <v>79.61</v>
      </c>
      <c r="C28" s="51">
        <v>20.88</v>
      </c>
      <c r="D28" s="51">
        <v>67.06</v>
      </c>
      <c r="E28" s="51">
        <v>4.33</v>
      </c>
      <c r="F28" s="51">
        <v>0.72</v>
      </c>
      <c r="G28" s="51">
        <v>172.61</v>
      </c>
      <c r="H28" s="51">
        <v>36.40</v>
      </c>
      <c r="I28" s="51">
        <v>0.87</v>
      </c>
      <c r="J28" s="51">
        <v>0.15</v>
      </c>
      <c r="K28" s="51">
        <v>339.89</v>
      </c>
      <c r="L28" s="51">
        <v>20.75</v>
      </c>
      <c r="M28" s="51">
        <v>61</v>
      </c>
      <c r="N28" s="51">
        <v>24.40</v>
      </c>
      <c r="O28" s="51">
        <v>0</v>
      </c>
      <c r="P28" s="51">
        <v>2.64</v>
      </c>
      <c r="Q28" s="51">
        <v>46.79</v>
      </c>
      <c r="R28" s="43"/>
      <c r="S28" s="43"/>
      <c r="T28" s="43"/>
      <c r="U28" s="43"/>
    </row>
    <row r="29" spans="1:21" s="11" customFormat="1" ht="15">
      <c r="A29" s="50" t="s">
        <v>202</v>
      </c>
      <c r="B29" s="51">
        <v>96.72</v>
      </c>
      <c r="C29" s="9" t="s">
        <v>15</v>
      </c>
      <c r="D29" s="51">
        <v>75.069999999999993</v>
      </c>
      <c r="E29" s="51">
        <v>4.38</v>
      </c>
      <c r="F29" s="51">
        <v>0.71</v>
      </c>
      <c r="G29" s="51">
        <v>172.61</v>
      </c>
      <c r="H29" s="51">
        <v>36.40</v>
      </c>
      <c r="I29" s="51">
        <v>1.24</v>
      </c>
      <c r="J29" s="51">
        <v>0.28000000000000003</v>
      </c>
      <c r="K29" s="51">
        <v>59.11</v>
      </c>
      <c r="L29" s="51">
        <v>21.42</v>
      </c>
      <c r="M29" s="51">
        <v>62</v>
      </c>
      <c r="N29" s="51">
        <v>23.70</v>
      </c>
      <c r="O29" s="51">
        <v>0</v>
      </c>
      <c r="P29" s="51">
        <v>3.10</v>
      </c>
      <c r="Q29" s="51">
        <v>49.88</v>
      </c>
      <c r="R29" s="43"/>
      <c r="S29" s="43"/>
      <c r="T29" s="43"/>
      <c r="U29" s="43"/>
    </row>
    <row r="30" spans="1:21" s="11" customFormat="1" ht="15">
      <c r="A30" s="50" t="s">
        <v>203</v>
      </c>
      <c r="B30" s="51">
        <v>93.32</v>
      </c>
      <c r="C30" s="9" t="s">
        <v>15</v>
      </c>
      <c r="D30" s="51">
        <v>72.08</v>
      </c>
      <c r="E30" s="51">
        <v>4.33</v>
      </c>
      <c r="F30" s="51">
        <v>1.19</v>
      </c>
      <c r="G30" s="51">
        <v>131.19</v>
      </c>
      <c r="H30" s="51">
        <v>35.799999999999997</v>
      </c>
      <c r="I30" s="51">
        <v>1.30</v>
      </c>
      <c r="J30" s="51">
        <v>0.23</v>
      </c>
      <c r="K30" s="51">
        <v>72.06</v>
      </c>
      <c r="L30" s="51">
        <v>21.47</v>
      </c>
      <c r="M30" s="51">
        <v>53</v>
      </c>
      <c r="N30" s="51">
        <v>24.40</v>
      </c>
      <c r="O30" s="51">
        <v>0</v>
      </c>
      <c r="P30" s="51">
        <v>3.14</v>
      </c>
      <c r="Q30" s="51">
        <v>52.35</v>
      </c>
      <c r="R30" s="43"/>
      <c r="S30" s="43"/>
      <c r="T30" s="43"/>
      <c r="U30" s="43"/>
    </row>
    <row r="31" spans="1:21" s="11" customFormat="1" ht="15">
      <c r="A31" s="50" t="s">
        <v>204</v>
      </c>
      <c r="B31" s="51">
        <v>93.28</v>
      </c>
      <c r="C31" s="51">
        <v>1.83</v>
      </c>
      <c r="D31" s="51">
        <v>71.88</v>
      </c>
      <c r="E31" s="51">
        <v>4.5599999999999996</v>
      </c>
      <c r="F31" s="51">
        <v>0.98</v>
      </c>
      <c r="G31" s="51">
        <v>104.22</v>
      </c>
      <c r="H31" s="51">
        <v>36.880000000000003</v>
      </c>
      <c r="I31" s="51">
        <v>1.38</v>
      </c>
      <c r="J31" s="51">
        <v>0.32</v>
      </c>
      <c r="K31" s="51">
        <v>85.80</v>
      </c>
      <c r="L31" s="51">
        <v>20.52</v>
      </c>
      <c r="M31" s="51">
        <v>53</v>
      </c>
      <c r="N31" s="51">
        <v>24.20</v>
      </c>
      <c r="O31" s="51">
        <v>0</v>
      </c>
      <c r="P31" s="51">
        <v>3.14</v>
      </c>
      <c r="Q31" s="51">
        <v>52.16</v>
      </c>
      <c r="R31" s="43"/>
      <c r="S31" s="43"/>
      <c r="T31" s="43"/>
      <c r="U31" s="43"/>
    </row>
    <row r="32" spans="1:21" s="11" customFormat="1" ht="15">
      <c r="A32" s="50" t="s">
        <v>205</v>
      </c>
      <c r="B32" s="51">
        <v>74.260000000000005</v>
      </c>
      <c r="C32" s="51">
        <v>9.24</v>
      </c>
      <c r="D32" s="51">
        <v>61.85</v>
      </c>
      <c r="E32" s="51">
        <v>4.13</v>
      </c>
      <c r="F32" s="51">
        <v>2.21</v>
      </c>
      <c r="G32" s="51">
        <v>155.87</v>
      </c>
      <c r="H32" s="51">
        <v>36.880000000000003</v>
      </c>
      <c r="I32" s="51">
        <v>1.23</v>
      </c>
      <c r="J32" s="51">
        <v>0.30</v>
      </c>
      <c r="K32" s="51">
        <v>83.01</v>
      </c>
      <c r="L32" s="51">
        <v>19.920000000000002</v>
      </c>
      <c r="M32" s="51">
        <v>55</v>
      </c>
      <c r="N32" s="51">
        <v>24.20</v>
      </c>
      <c r="O32" s="51">
        <v>0</v>
      </c>
      <c r="P32" s="51">
        <v>2.79</v>
      </c>
      <c r="Q32" s="51">
        <v>49.58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4.9699999999999998</v>
      </c>
      <c r="C34" s="28">
        <f t="shared" si="0"/>
        <v>1.8300000000000001</v>
      </c>
      <c r="D34" s="28">
        <f t="shared" si="0"/>
        <v>23.300000000000001</v>
      </c>
      <c r="E34" s="28">
        <f t="shared" si="0"/>
        <v>3.4700000000000002</v>
      </c>
      <c r="F34" s="28">
        <f t="shared" si="0"/>
        <v>0.70999999999999996</v>
      </c>
      <c r="G34" s="28">
        <f t="shared" si="0"/>
        <v>55.740000000000002</v>
      </c>
      <c r="H34" s="28">
        <f t="shared" si="0"/>
        <v>26.25</v>
      </c>
      <c r="I34" s="28">
        <f t="shared" si="0"/>
        <v>0.28000000000000003</v>
      </c>
      <c r="J34" s="28">
        <f t="shared" si="0"/>
        <v>0.070000000000000007</v>
      </c>
      <c r="K34" s="28">
        <f t="shared" si="0"/>
        <v>7.21</v>
      </c>
      <c r="L34" s="28">
        <f t="shared" si="0"/>
        <v>17.199999999999999</v>
      </c>
      <c r="M34" s="28">
        <f t="shared" si="0"/>
        <v>24</v>
      </c>
      <c r="N34" s="28">
        <f t="shared" si="0"/>
        <v>23.699999999999999</v>
      </c>
      <c r="O34" s="28">
        <f t="shared" si="0"/>
        <v>0</v>
      </c>
      <c r="P34" s="28">
        <f t="shared" si="0"/>
        <v>0.94999999999999996</v>
      </c>
      <c r="Q34" s="28">
        <f t="shared" si="0"/>
        <v>36.369999999999997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96.719999999999999</v>
      </c>
      <c r="C35" s="29">
        <f t="shared" si="1"/>
        <v>45.579999999999998</v>
      </c>
      <c r="D35" s="29">
        <f t="shared" si="1"/>
        <v>75.069999999999993</v>
      </c>
      <c r="E35" s="29">
        <f t="shared" si="1"/>
        <v>9.1999999999999993</v>
      </c>
      <c r="F35" s="29">
        <f t="shared" si="1"/>
        <v>17.870000000000001</v>
      </c>
      <c r="G35" s="29">
        <f t="shared" si="1"/>
        <v>172.61000000000001</v>
      </c>
      <c r="H35" s="29">
        <f t="shared" si="1"/>
        <v>43.450000000000003</v>
      </c>
      <c r="I35" s="29">
        <f t="shared" si="1"/>
        <v>1.3799999999999999</v>
      </c>
      <c r="J35" s="29">
        <f t="shared" si="1"/>
        <v>1.3999999999999999</v>
      </c>
      <c r="K35" s="29">
        <f t="shared" si="1"/>
        <v>358.91000000000003</v>
      </c>
      <c r="L35" s="29">
        <f t="shared" si="1"/>
        <v>31.82</v>
      </c>
      <c r="M35" s="29">
        <f t="shared" si="1"/>
        <v>75</v>
      </c>
      <c r="N35" s="29">
        <f t="shared" si="1"/>
        <v>469.19999999999999</v>
      </c>
      <c r="O35" s="29">
        <f t="shared" si="1"/>
        <v>0</v>
      </c>
      <c r="P35" s="29">
        <f t="shared" si="1"/>
        <v>3.1400000000000001</v>
      </c>
      <c r="Q35" s="29">
        <f t="shared" si="1"/>
        <v>52.880000000000003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38.944999999999993</v>
      </c>
      <c r="C36" s="28">
        <f t="shared" si="2"/>
        <v>28.057272727272728</v>
      </c>
      <c r="D36" s="28">
        <f t="shared" si="2"/>
        <v>42.967500000000001</v>
      </c>
      <c r="E36" s="28">
        <f t="shared" si="2"/>
        <v>4.8733333333333331</v>
      </c>
      <c r="F36" s="28">
        <f t="shared" si="2"/>
        <v>3.2033333333333327</v>
      </c>
      <c r="G36" s="28">
        <f t="shared" si="2"/>
        <v>95.846666666666678</v>
      </c>
      <c r="H36" s="28">
        <f t="shared" si="2"/>
        <v>32.700833333333328</v>
      </c>
      <c r="I36" s="28">
        <f t="shared" si="2"/>
        <v>0.6908333333333333</v>
      </c>
      <c r="J36" s="28">
        <f t="shared" si="2"/>
        <v>0.61583333333333334</v>
      </c>
      <c r="K36" s="28">
        <f t="shared" si="2"/>
        <v>173.15416666666667</v>
      </c>
      <c r="L36" s="28">
        <f t="shared" si="2"/>
        <v>23.116666666666664</v>
      </c>
      <c r="M36" s="28">
        <f t="shared" si="2"/>
        <v>51.25</v>
      </c>
      <c r="N36" s="28">
        <f t="shared" si="2"/>
        <v>156.45416666666668</v>
      </c>
      <c r="O36" s="28">
        <f t="shared" si="2"/>
        <v>0</v>
      </c>
      <c r="P36" s="28">
        <f t="shared" si="2"/>
        <v>1.7583333333333331</v>
      </c>
      <c r="Q36" s="28">
        <f t="shared" si="2"/>
        <v>45.019583333333323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31.724660137967842</v>
      </c>
      <c r="C37" s="28">
        <f t="shared" si="3" ref="C37:Q37">STDEV(C9:C32)</f>
        <v>12.162555018940088</v>
      </c>
      <c r="D37" s="28">
        <f t="shared" si="3"/>
        <v>17.324117707630197</v>
      </c>
      <c r="E37" s="28">
        <f t="shared" si="3"/>
        <v>1.6463547788891131</v>
      </c>
      <c r="F37" s="28">
        <f t="shared" si="3"/>
        <v>4.2457361390362989</v>
      </c>
      <c r="G37" s="28">
        <f t="shared" si="3"/>
        <v>39.055129559733061</v>
      </c>
      <c r="H37" s="28">
        <f t="shared" si="3"/>
        <v>4.6220077668802935</v>
      </c>
      <c r="I37" s="28">
        <f t="shared" si="3"/>
        <v>0.37481493017762513</v>
      </c>
      <c r="J37" s="28">
        <f t="shared" si="3"/>
        <v>0.46866059533866117</v>
      </c>
      <c r="K37" s="28">
        <f t="shared" si="3"/>
        <v>129.12022974619478</v>
      </c>
      <c r="L37" s="28">
        <f t="shared" si="3"/>
        <v>4.8817839457265739</v>
      </c>
      <c r="M37" s="28">
        <f t="shared" si="3"/>
        <v>16.092801523338476</v>
      </c>
      <c r="N37" s="28">
        <f t="shared" si="3"/>
        <v>177.54565115134085</v>
      </c>
      <c r="O37" s="28">
        <f t="shared" si="3"/>
        <v>0</v>
      </c>
      <c r="P37" s="28">
        <f t="shared" si="3"/>
        <v>0.79071605779696374</v>
      </c>
      <c r="Q37" s="28">
        <f t="shared" si="3"/>
        <v>5.1475612454212358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22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6ef2645-a479-43d0-b45a-6447612371f4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206</v>
      </c>
      <c r="B9" s="51">
        <v>60.21</v>
      </c>
      <c r="C9" s="51">
        <v>11.77</v>
      </c>
      <c r="D9" s="51">
        <v>53.31</v>
      </c>
      <c r="E9" s="51">
        <v>4.8099999999999996</v>
      </c>
      <c r="F9" s="51">
        <v>1.20</v>
      </c>
      <c r="G9" s="51">
        <v>155.87</v>
      </c>
      <c r="H9" s="51">
        <v>33.700000000000003</v>
      </c>
      <c r="I9" s="51">
        <v>1.05</v>
      </c>
      <c r="J9" s="51">
        <v>0.14000000000000001</v>
      </c>
      <c r="K9" s="51">
        <v>237.61</v>
      </c>
      <c r="L9" s="51">
        <v>19.36</v>
      </c>
      <c r="M9" s="51">
        <v>61</v>
      </c>
      <c r="N9" s="51">
        <v>24.40</v>
      </c>
      <c r="O9" s="51">
        <v>0</v>
      </c>
      <c r="P9" s="51">
        <v>2.4900000000000002</v>
      </c>
      <c r="Q9" s="51">
        <v>47.86</v>
      </c>
      <c r="R9" s="43"/>
      <c r="S9" s="43"/>
      <c r="T9" s="43"/>
      <c r="U9" s="43"/>
    </row>
    <row r="10" spans="1:21" s="11" customFormat="1" ht="15">
      <c r="A10" s="50" t="s">
        <v>207</v>
      </c>
      <c r="B10" s="51">
        <v>46.93</v>
      </c>
      <c r="C10" s="51">
        <v>16.18</v>
      </c>
      <c r="D10" s="51">
        <v>44.67</v>
      </c>
      <c r="E10" s="51">
        <v>4.41</v>
      </c>
      <c r="F10" s="51">
        <v>0.69</v>
      </c>
      <c r="G10" s="51">
        <v>69.59</v>
      </c>
      <c r="H10" s="51">
        <v>30.05</v>
      </c>
      <c r="I10" s="51">
        <v>0.98</v>
      </c>
      <c r="J10" s="51">
        <v>0.13</v>
      </c>
      <c r="K10" s="51">
        <v>335.07</v>
      </c>
      <c r="L10" s="51">
        <v>18.100000000000001</v>
      </c>
      <c r="M10" s="51">
        <v>69</v>
      </c>
      <c r="N10" s="51">
        <v>24.5</v>
      </c>
      <c r="O10" s="51">
        <v>0</v>
      </c>
      <c r="P10" s="51">
        <v>1.98</v>
      </c>
      <c r="Q10" s="51">
        <v>48.74</v>
      </c>
      <c r="R10" s="43"/>
      <c r="S10" s="43"/>
      <c r="T10" s="43"/>
      <c r="U10" s="43"/>
    </row>
    <row r="11" spans="1:21" s="11" customFormat="1" ht="15">
      <c r="A11" s="50" t="s">
        <v>208</v>
      </c>
      <c r="B11" s="51">
        <v>33.78</v>
      </c>
      <c r="C11" s="51">
        <v>18.690000000000001</v>
      </c>
      <c r="D11" s="51">
        <v>36.69</v>
      </c>
      <c r="E11" s="51">
        <v>4.0999999999999996</v>
      </c>
      <c r="F11" s="51">
        <v>0.67</v>
      </c>
      <c r="G11" s="51">
        <v>96.08</v>
      </c>
      <c r="H11" s="51">
        <v>26.86</v>
      </c>
      <c r="I11" s="51">
        <v>0.83</v>
      </c>
      <c r="J11" s="51">
        <v>0.14000000000000001</v>
      </c>
      <c r="K11" s="51">
        <v>317.07</v>
      </c>
      <c r="L11" s="51">
        <v>16.98</v>
      </c>
      <c r="M11" s="51">
        <v>77</v>
      </c>
      <c r="N11" s="51">
        <v>24.30</v>
      </c>
      <c r="O11" s="51">
        <v>0</v>
      </c>
      <c r="P11" s="51">
        <v>1.73</v>
      </c>
      <c r="Q11" s="51">
        <v>46.96</v>
      </c>
      <c r="R11" s="43"/>
      <c r="S11" s="43"/>
      <c r="T11" s="43"/>
      <c r="U11" s="43"/>
    </row>
    <row r="12" spans="1:21" s="11" customFormat="1" ht="15">
      <c r="A12" s="50" t="s">
        <v>209</v>
      </c>
      <c r="B12" s="51">
        <v>29.76</v>
      </c>
      <c r="C12" s="51">
        <v>18.399999999999999</v>
      </c>
      <c r="D12" s="51">
        <v>33.36</v>
      </c>
      <c r="E12" s="51">
        <v>4.22</v>
      </c>
      <c r="F12" s="51">
        <v>0.70</v>
      </c>
      <c r="G12" s="51">
        <v>104.98</v>
      </c>
      <c r="H12" s="51">
        <v>28.59</v>
      </c>
      <c r="I12" s="51">
        <v>0.71</v>
      </c>
      <c r="J12" s="51">
        <v>0.13</v>
      </c>
      <c r="K12" s="51">
        <v>334.94</v>
      </c>
      <c r="L12" s="51">
        <v>15.72</v>
      </c>
      <c r="M12" s="51">
        <v>80</v>
      </c>
      <c r="N12" s="51">
        <v>24.30</v>
      </c>
      <c r="O12" s="51">
        <v>0</v>
      </c>
      <c r="P12" s="51">
        <v>1.51</v>
      </c>
      <c r="Q12" s="51">
        <v>43.94</v>
      </c>
      <c r="R12" s="43"/>
      <c r="S12" s="43"/>
      <c r="T12" s="43"/>
      <c r="U12" s="43"/>
    </row>
    <row r="13" spans="1:21" s="11" customFormat="1" ht="15">
      <c r="A13" s="50" t="s">
        <v>210</v>
      </c>
      <c r="B13" s="51">
        <v>29.26</v>
      </c>
      <c r="C13" s="51">
        <v>19.71</v>
      </c>
      <c r="D13" s="51">
        <v>32.72</v>
      </c>
      <c r="E13" s="51">
        <v>4.1399999999999997</v>
      </c>
      <c r="F13" s="51">
        <v>0.80</v>
      </c>
      <c r="G13" s="51">
        <v>104.98</v>
      </c>
      <c r="H13" s="51">
        <v>28.84</v>
      </c>
      <c r="I13" s="51">
        <v>0.68</v>
      </c>
      <c r="J13" s="51">
        <v>0.90</v>
      </c>
      <c r="K13" s="51">
        <v>26.70</v>
      </c>
      <c r="L13" s="51">
        <v>17.05</v>
      </c>
      <c r="M13" s="51">
        <v>69</v>
      </c>
      <c r="N13" s="51">
        <v>24.10</v>
      </c>
      <c r="O13" s="51">
        <v>0</v>
      </c>
      <c r="P13" s="51">
        <v>1.37</v>
      </c>
      <c r="Q13" s="51">
        <v>45.29</v>
      </c>
      <c r="R13" s="43"/>
      <c r="S13" s="43"/>
      <c r="T13" s="43"/>
      <c r="U13" s="43"/>
    </row>
    <row r="14" spans="1:21" s="11" customFormat="1" ht="15">
      <c r="A14" s="50" t="s">
        <v>211</v>
      </c>
      <c r="B14" s="51">
        <v>25.76</v>
      </c>
      <c r="C14" s="51">
        <v>23.66</v>
      </c>
      <c r="D14" s="51">
        <v>32.119999999999997</v>
      </c>
      <c r="E14" s="51">
        <v>4.67</v>
      </c>
      <c r="F14" s="51">
        <v>0.68</v>
      </c>
      <c r="G14" s="51">
        <v>117.72</v>
      </c>
      <c r="H14" s="51">
        <v>32.409999999999997</v>
      </c>
      <c r="I14" s="51">
        <v>0.63</v>
      </c>
      <c r="J14" s="51">
        <v>1.33</v>
      </c>
      <c r="K14" s="51">
        <v>12.74</v>
      </c>
      <c r="L14" s="51">
        <v>17.190000000000001</v>
      </c>
      <c r="M14" s="51">
        <v>69</v>
      </c>
      <c r="N14" s="51">
        <v>24.10</v>
      </c>
      <c r="O14" s="51">
        <v>0</v>
      </c>
      <c r="P14" s="51">
        <v>1.36</v>
      </c>
      <c r="Q14" s="51">
        <v>45.12</v>
      </c>
      <c r="R14" s="43"/>
      <c r="S14" s="43"/>
      <c r="T14" s="43"/>
      <c r="U14" s="43"/>
    </row>
    <row r="15" spans="1:21" s="11" customFormat="1" ht="15">
      <c r="A15" s="50" t="s">
        <v>212</v>
      </c>
      <c r="B15" s="51">
        <v>21.05</v>
      </c>
      <c r="C15" s="51">
        <v>24.54</v>
      </c>
      <c r="D15" s="51">
        <v>30.41</v>
      </c>
      <c r="E15" s="51">
        <v>4</v>
      </c>
      <c r="F15" s="51">
        <v>0.81</v>
      </c>
      <c r="G15" s="51">
        <v>117.72</v>
      </c>
      <c r="H15" s="51">
        <v>32.409999999999997</v>
      </c>
      <c r="I15" s="51">
        <v>0.52</v>
      </c>
      <c r="J15" s="51">
        <v>0.76</v>
      </c>
      <c r="K15" s="51">
        <v>357.47</v>
      </c>
      <c r="L15" s="51">
        <v>16.66</v>
      </c>
      <c r="M15" s="51">
        <v>74</v>
      </c>
      <c r="N15" s="51">
        <v>47.40</v>
      </c>
      <c r="O15" s="51">
        <v>0</v>
      </c>
      <c r="P15" s="51">
        <v>1.24</v>
      </c>
      <c r="Q15" s="51">
        <v>43</v>
      </c>
      <c r="R15" s="43"/>
      <c r="S15" s="43"/>
      <c r="T15" s="43"/>
      <c r="U15" s="43"/>
    </row>
    <row r="16" spans="1:21" s="11" customFormat="1" ht="15">
      <c r="A16" s="50" t="s">
        <v>213</v>
      </c>
      <c r="B16" s="51">
        <v>23.37</v>
      </c>
      <c r="C16" s="51">
        <v>23.84</v>
      </c>
      <c r="D16" s="51">
        <v>31.76</v>
      </c>
      <c r="E16" s="51">
        <v>4.55</v>
      </c>
      <c r="F16" s="51">
        <v>1.08</v>
      </c>
      <c r="G16" s="51">
        <v>123.45</v>
      </c>
      <c r="H16" s="51">
        <v>35.130000000000003</v>
      </c>
      <c r="I16" s="53" t="s">
        <v>8</v>
      </c>
      <c r="J16" s="51">
        <v>0.88</v>
      </c>
      <c r="K16" s="51">
        <v>104.35</v>
      </c>
      <c r="L16" s="51">
        <v>19.14</v>
      </c>
      <c r="M16" s="51">
        <v>72</v>
      </c>
      <c r="N16" s="51">
        <v>156.60</v>
      </c>
      <c r="O16" s="51">
        <v>0</v>
      </c>
      <c r="P16" s="51">
        <v>1.34</v>
      </c>
      <c r="Q16" s="51">
        <v>41.67</v>
      </c>
      <c r="R16" s="43"/>
      <c r="S16" s="43"/>
      <c r="T16" s="43"/>
      <c r="U16" s="43"/>
    </row>
    <row r="17" spans="1:21" s="11" customFormat="1" ht="15">
      <c r="A17" s="50" t="s">
        <v>214</v>
      </c>
      <c r="B17" s="51">
        <v>22.96</v>
      </c>
      <c r="C17" s="51">
        <v>28.94</v>
      </c>
      <c r="D17" s="51">
        <v>34.090000000000003</v>
      </c>
      <c r="E17" s="51">
        <v>5.46</v>
      </c>
      <c r="F17" s="51">
        <v>0.86</v>
      </c>
      <c r="G17" s="51">
        <v>123.45</v>
      </c>
      <c r="H17" s="51">
        <v>35.90</v>
      </c>
      <c r="I17" s="53" t="s">
        <v>8</v>
      </c>
      <c r="J17" s="51">
        <v>1.53</v>
      </c>
      <c r="K17" s="51">
        <v>20.45</v>
      </c>
      <c r="L17" s="51">
        <v>23.41</v>
      </c>
      <c r="M17" s="51">
        <v>55</v>
      </c>
      <c r="N17" s="51">
        <v>299.70</v>
      </c>
      <c r="O17" s="51">
        <v>0</v>
      </c>
      <c r="P17" s="51">
        <v>1.36</v>
      </c>
      <c r="Q17" s="51">
        <v>43.24</v>
      </c>
      <c r="R17" s="43"/>
      <c r="S17" s="43"/>
      <c r="T17" s="43"/>
      <c r="U17" s="43"/>
    </row>
    <row r="18" spans="1:21" s="11" customFormat="1" ht="15">
      <c r="A18" s="50" t="s">
        <v>215</v>
      </c>
      <c r="B18" s="51">
        <v>21.91</v>
      </c>
      <c r="C18" s="51">
        <v>36.31</v>
      </c>
      <c r="D18" s="51">
        <v>34.72</v>
      </c>
      <c r="E18" s="51">
        <v>5.34</v>
      </c>
      <c r="F18" s="51">
        <v>1.78</v>
      </c>
      <c r="G18" s="51">
        <v>125.02</v>
      </c>
      <c r="H18" s="51">
        <v>35.92</v>
      </c>
      <c r="I18" s="53" t="s">
        <v>8</v>
      </c>
      <c r="J18" s="51">
        <v>1.45</v>
      </c>
      <c r="K18" s="51">
        <v>52.04</v>
      </c>
      <c r="L18" s="51">
        <v>24.65</v>
      </c>
      <c r="M18" s="51">
        <v>43</v>
      </c>
      <c r="N18" s="51">
        <v>389</v>
      </c>
      <c r="O18" s="51">
        <v>0</v>
      </c>
      <c r="P18" s="51">
        <v>1.35</v>
      </c>
      <c r="Q18" s="51">
        <v>42.42</v>
      </c>
      <c r="R18" s="43"/>
      <c r="S18" s="43"/>
      <c r="T18" s="43"/>
      <c r="U18" s="43"/>
    </row>
    <row r="19" spans="1:21" s="11" customFormat="1" ht="15">
      <c r="A19" s="50" t="s">
        <v>216</v>
      </c>
      <c r="B19" s="51">
        <v>13.08</v>
      </c>
      <c r="C19" s="51">
        <v>39</v>
      </c>
      <c r="D19" s="51">
        <v>31.38</v>
      </c>
      <c r="E19" s="51">
        <v>5.70</v>
      </c>
      <c r="F19" s="51">
        <v>2.2799999999999998</v>
      </c>
      <c r="G19" s="51">
        <v>125.02</v>
      </c>
      <c r="H19" s="51">
        <v>36.60</v>
      </c>
      <c r="I19" s="53" t="s">
        <v>8</v>
      </c>
      <c r="J19" s="51">
        <v>1.29</v>
      </c>
      <c r="K19" s="51">
        <v>25.12</v>
      </c>
      <c r="L19" s="51">
        <v>26.26</v>
      </c>
      <c r="M19" s="51">
        <v>37</v>
      </c>
      <c r="N19" s="51">
        <v>444.80</v>
      </c>
      <c r="O19" s="51">
        <v>0</v>
      </c>
      <c r="P19" s="51">
        <v>1.25</v>
      </c>
      <c r="Q19" s="51">
        <v>39.99</v>
      </c>
      <c r="R19" s="43"/>
      <c r="S19" s="43"/>
      <c r="T19" s="43"/>
      <c r="U19" s="43"/>
    </row>
    <row r="20" spans="1:21" s="11" customFormat="1" ht="15">
      <c r="A20" s="50" t="s">
        <v>217</v>
      </c>
      <c r="B20" s="51">
        <v>7.95</v>
      </c>
      <c r="C20" s="51">
        <v>40.28</v>
      </c>
      <c r="D20" s="51">
        <v>28.36</v>
      </c>
      <c r="E20" s="51">
        <v>5.47</v>
      </c>
      <c r="F20" s="51">
        <v>2.61</v>
      </c>
      <c r="G20" s="51">
        <v>74.63</v>
      </c>
      <c r="H20" s="51">
        <v>36.60</v>
      </c>
      <c r="I20" s="53" t="s">
        <v>8</v>
      </c>
      <c r="J20" s="51">
        <v>1.36</v>
      </c>
      <c r="K20" s="51">
        <v>77.95</v>
      </c>
      <c r="L20" s="51">
        <v>27.18</v>
      </c>
      <c r="M20" s="51">
        <v>31</v>
      </c>
      <c r="N20" s="51">
        <v>480.40</v>
      </c>
      <c r="O20" s="51">
        <v>0</v>
      </c>
      <c r="P20" s="51">
        <v>1.17</v>
      </c>
      <c r="Q20" s="51">
        <v>40.31</v>
      </c>
      <c r="R20" s="43"/>
      <c r="S20" s="43"/>
      <c r="T20" s="43"/>
      <c r="U20" s="43"/>
    </row>
    <row r="21" spans="1:21" s="11" customFormat="1" ht="15">
      <c r="A21" s="50" t="s">
        <v>218</v>
      </c>
      <c r="B21" s="51">
        <v>5.51</v>
      </c>
      <c r="C21" s="51">
        <v>38.979999999999997</v>
      </c>
      <c r="D21" s="51">
        <v>25.93</v>
      </c>
      <c r="E21" s="51">
        <v>4.87</v>
      </c>
      <c r="F21" s="51">
        <v>2.27</v>
      </c>
      <c r="G21" s="51">
        <v>74.63</v>
      </c>
      <c r="H21" s="51">
        <v>37.10</v>
      </c>
      <c r="I21" s="51">
        <v>0.42</v>
      </c>
      <c r="J21" s="51">
        <v>1.21</v>
      </c>
      <c r="K21" s="51">
        <v>99.71</v>
      </c>
      <c r="L21" s="51">
        <v>27.58</v>
      </c>
      <c r="M21" s="51">
        <v>25</v>
      </c>
      <c r="N21" s="51">
        <v>478.20</v>
      </c>
      <c r="O21" s="51">
        <v>0</v>
      </c>
      <c r="P21" s="51">
        <v>1.0900000000000001</v>
      </c>
      <c r="Q21" s="51">
        <v>41.45</v>
      </c>
      <c r="R21" s="43"/>
      <c r="S21" s="43"/>
      <c r="T21" s="43"/>
      <c r="U21" s="43"/>
    </row>
    <row r="22" spans="1:21" s="11" customFormat="1" ht="15">
      <c r="A22" s="50" t="s">
        <v>219</v>
      </c>
      <c r="B22" s="51">
        <v>3.86</v>
      </c>
      <c r="C22" s="51">
        <v>37.22</v>
      </c>
      <c r="D22" s="51">
        <v>23.64</v>
      </c>
      <c r="E22" s="51">
        <v>4.9000000000000004</v>
      </c>
      <c r="F22" s="51">
        <v>3.12</v>
      </c>
      <c r="G22" s="51">
        <v>33.76</v>
      </c>
      <c r="H22" s="51">
        <v>37.10</v>
      </c>
      <c r="I22" s="51">
        <v>0.38</v>
      </c>
      <c r="J22" s="51">
        <v>1.44</v>
      </c>
      <c r="K22" s="51">
        <v>120.74</v>
      </c>
      <c r="L22" s="51">
        <v>26.13</v>
      </c>
      <c r="M22" s="51">
        <v>27</v>
      </c>
      <c r="N22" s="51">
        <v>430.30</v>
      </c>
      <c r="O22" s="51">
        <v>0</v>
      </c>
      <c r="P22" s="51">
        <v>0.96</v>
      </c>
      <c r="Q22" s="51">
        <v>40.75</v>
      </c>
      <c r="R22" s="43"/>
      <c r="S22" s="43"/>
      <c r="T22" s="43"/>
      <c r="U22" s="43"/>
    </row>
    <row r="23" spans="1:21" s="11" customFormat="1" ht="15">
      <c r="A23" s="50" t="s">
        <v>220</v>
      </c>
      <c r="B23" s="51">
        <v>5.01</v>
      </c>
      <c r="C23" s="51">
        <v>33.08</v>
      </c>
      <c r="D23" s="51">
        <v>22.12</v>
      </c>
      <c r="E23" s="51">
        <v>5.17</v>
      </c>
      <c r="F23" s="51">
        <v>3.95</v>
      </c>
      <c r="G23" s="51">
        <v>45.60</v>
      </c>
      <c r="H23" s="51">
        <v>35.090000000000003</v>
      </c>
      <c r="I23" s="51">
        <v>0.35</v>
      </c>
      <c r="J23" s="51">
        <v>0.74</v>
      </c>
      <c r="K23" s="51">
        <v>113.53</v>
      </c>
      <c r="L23" s="51">
        <v>27.14</v>
      </c>
      <c r="M23" s="51">
        <v>24</v>
      </c>
      <c r="N23" s="51">
        <v>351.70</v>
      </c>
      <c r="O23" s="51">
        <v>0</v>
      </c>
      <c r="P23" s="51">
        <v>0.88</v>
      </c>
      <c r="Q23" s="51">
        <v>39.79</v>
      </c>
      <c r="R23" s="43"/>
      <c r="S23" s="43"/>
      <c r="T23" s="43"/>
      <c r="U23" s="43"/>
    </row>
    <row r="24" spans="1:21" s="11" customFormat="1" ht="15">
      <c r="A24" s="50" t="s">
        <v>221</v>
      </c>
      <c r="B24" s="51">
        <v>4.76</v>
      </c>
      <c r="C24" s="51">
        <v>37.65</v>
      </c>
      <c r="D24" s="51">
        <v>24.31</v>
      </c>
      <c r="E24" s="51">
        <v>6.16</v>
      </c>
      <c r="F24" s="51">
        <v>4.09</v>
      </c>
      <c r="G24" s="51">
        <v>75.209999999999994</v>
      </c>
      <c r="H24" s="51">
        <v>31.45</v>
      </c>
      <c r="I24" s="51">
        <v>0.35</v>
      </c>
      <c r="J24" s="51">
        <v>1.18</v>
      </c>
      <c r="K24" s="51">
        <v>13.95</v>
      </c>
      <c r="L24" s="51">
        <v>27.56</v>
      </c>
      <c r="M24" s="51">
        <v>25</v>
      </c>
      <c r="N24" s="51">
        <v>231.20</v>
      </c>
      <c r="O24" s="51">
        <v>0</v>
      </c>
      <c r="P24" s="51">
        <v>0.96</v>
      </c>
      <c r="Q24" s="51">
        <v>41.94</v>
      </c>
      <c r="R24" s="43"/>
      <c r="S24" s="43"/>
      <c r="T24" s="43"/>
      <c r="U24" s="43"/>
    </row>
    <row r="25" spans="1:21" s="11" customFormat="1" ht="15">
      <c r="A25" s="50" t="s">
        <v>222</v>
      </c>
      <c r="B25" s="51">
        <v>5.60</v>
      </c>
      <c r="C25" s="51">
        <v>41.12</v>
      </c>
      <c r="D25" s="51">
        <v>27.18</v>
      </c>
      <c r="E25" s="51">
        <v>4.3499999999999996</v>
      </c>
      <c r="F25" s="51">
        <v>2.3199999999999998</v>
      </c>
      <c r="G25" s="51">
        <v>75.209999999999994</v>
      </c>
      <c r="H25" s="51">
        <v>31.58</v>
      </c>
      <c r="I25" s="51">
        <v>0.34</v>
      </c>
      <c r="J25" s="51">
        <v>1.06</v>
      </c>
      <c r="K25" s="51">
        <v>358.52</v>
      </c>
      <c r="L25" s="51">
        <v>24.91</v>
      </c>
      <c r="M25" s="51">
        <v>42</v>
      </c>
      <c r="N25" s="51">
        <v>60.70</v>
      </c>
      <c r="O25" s="51">
        <v>0</v>
      </c>
      <c r="P25" s="51">
        <v>1.1200000000000001</v>
      </c>
      <c r="Q25" s="51">
        <v>41.37</v>
      </c>
      <c r="R25" s="43"/>
      <c r="S25" s="43"/>
      <c r="T25" s="43"/>
      <c r="U25" s="43"/>
    </row>
    <row r="26" spans="1:21" s="11" customFormat="1" ht="15">
      <c r="A26" s="50" t="s">
        <v>223</v>
      </c>
      <c r="B26" s="51">
        <v>14.23</v>
      </c>
      <c r="C26" s="51">
        <v>43.68</v>
      </c>
      <c r="D26" s="51">
        <v>34.35</v>
      </c>
      <c r="E26" s="51">
        <v>4.46</v>
      </c>
      <c r="F26" s="51">
        <v>1.32</v>
      </c>
      <c r="G26" s="51">
        <v>108.87</v>
      </c>
      <c r="H26" s="51">
        <v>32.090000000000003</v>
      </c>
      <c r="I26" s="51">
        <v>0.40</v>
      </c>
      <c r="J26" s="51">
        <v>0.46</v>
      </c>
      <c r="K26" s="51">
        <v>52.81</v>
      </c>
      <c r="L26" s="51">
        <v>22.69</v>
      </c>
      <c r="M26" s="51">
        <v>47</v>
      </c>
      <c r="N26" s="51">
        <v>27.10</v>
      </c>
      <c r="O26" s="51">
        <v>0</v>
      </c>
      <c r="P26" s="51">
        <v>1.35</v>
      </c>
      <c r="Q26" s="51">
        <v>40.43</v>
      </c>
      <c r="R26" s="43"/>
      <c r="S26" s="43"/>
      <c r="T26" s="43"/>
      <c r="U26" s="43"/>
    </row>
    <row r="27" spans="1:21" s="11" customFormat="1" ht="15">
      <c r="A27" s="50" t="s">
        <v>224</v>
      </c>
      <c r="B27" s="51">
        <v>24.96</v>
      </c>
      <c r="C27" s="51">
        <v>41.28</v>
      </c>
      <c r="D27" s="51">
        <v>40.39</v>
      </c>
      <c r="E27" s="51">
        <v>4.3600000000000003</v>
      </c>
      <c r="F27" s="51">
        <v>0.77</v>
      </c>
      <c r="G27" s="51">
        <v>113.67</v>
      </c>
      <c r="H27" s="51">
        <v>33.99</v>
      </c>
      <c r="I27" s="51">
        <v>0.52</v>
      </c>
      <c r="J27" s="51">
        <v>0.25</v>
      </c>
      <c r="K27" s="51">
        <v>352.68</v>
      </c>
      <c r="L27" s="51">
        <v>21.56</v>
      </c>
      <c r="M27" s="51">
        <v>54</v>
      </c>
      <c r="N27" s="51">
        <v>24.5</v>
      </c>
      <c r="O27" s="51">
        <v>0</v>
      </c>
      <c r="P27" s="51">
        <v>1.75</v>
      </c>
      <c r="Q27" s="51">
        <v>43.44</v>
      </c>
      <c r="R27" s="43"/>
      <c r="S27" s="43"/>
      <c r="T27" s="43"/>
      <c r="U27" s="43"/>
    </row>
    <row r="28" spans="1:21" s="11" customFormat="1" ht="15">
      <c r="A28" s="50" t="s">
        <v>225</v>
      </c>
      <c r="B28" s="51">
        <v>62.47</v>
      </c>
      <c r="C28" s="51">
        <v>34.60</v>
      </c>
      <c r="D28" s="51">
        <v>60.87</v>
      </c>
      <c r="E28" s="51">
        <v>4.5599999999999996</v>
      </c>
      <c r="F28" s="51">
        <v>0.77</v>
      </c>
      <c r="G28" s="51">
        <v>158.69</v>
      </c>
      <c r="H28" s="51">
        <v>37.590000000000003</v>
      </c>
      <c r="I28" s="51">
        <v>0.76</v>
      </c>
      <c r="J28" s="51">
        <v>0.16</v>
      </c>
      <c r="K28" s="51">
        <v>357.54</v>
      </c>
      <c r="L28" s="51">
        <v>18.71</v>
      </c>
      <c r="M28" s="51">
        <v>63</v>
      </c>
      <c r="N28" s="51">
        <v>24.40</v>
      </c>
      <c r="O28" s="51">
        <v>0</v>
      </c>
      <c r="P28" s="51">
        <v>2.57</v>
      </c>
      <c r="Q28" s="51">
        <v>47</v>
      </c>
      <c r="R28" s="43"/>
      <c r="S28" s="43"/>
      <c r="T28" s="43"/>
      <c r="U28" s="43"/>
    </row>
    <row r="29" spans="1:21" s="11" customFormat="1" ht="15">
      <c r="A29" s="50" t="s">
        <v>226</v>
      </c>
      <c r="B29" s="51">
        <v>110.28</v>
      </c>
      <c r="C29" s="51">
        <v>10.57</v>
      </c>
      <c r="D29" s="51">
        <v>86.24</v>
      </c>
      <c r="E29" s="51">
        <v>4.74</v>
      </c>
      <c r="F29" s="51">
        <v>0.76</v>
      </c>
      <c r="G29" s="51">
        <v>185.74</v>
      </c>
      <c r="H29" s="51">
        <v>47.72</v>
      </c>
      <c r="I29" s="51">
        <v>1.18</v>
      </c>
      <c r="J29" s="51">
        <v>0.10</v>
      </c>
      <c r="K29" s="51">
        <v>336.45</v>
      </c>
      <c r="L29" s="51">
        <v>18.37</v>
      </c>
      <c r="M29" s="51">
        <v>62</v>
      </c>
      <c r="N29" s="51">
        <v>24.10</v>
      </c>
      <c r="O29" s="51">
        <v>0</v>
      </c>
      <c r="P29" s="51">
        <v>3.80</v>
      </c>
      <c r="Q29" s="51">
        <v>49.35</v>
      </c>
      <c r="R29" s="43"/>
      <c r="S29" s="43"/>
      <c r="T29" s="43"/>
      <c r="U29" s="43"/>
    </row>
    <row r="30" spans="1:21" s="11" customFormat="1" ht="15">
      <c r="A30" s="50" t="s">
        <v>227</v>
      </c>
      <c r="B30" s="51">
        <v>130.53</v>
      </c>
      <c r="C30" s="57" t="s">
        <v>15</v>
      </c>
      <c r="D30" s="51">
        <v>95.09</v>
      </c>
      <c r="E30" s="51">
        <v>5.62</v>
      </c>
      <c r="F30" s="51">
        <v>0.85</v>
      </c>
      <c r="G30" s="51">
        <v>199.40</v>
      </c>
      <c r="H30" s="51">
        <v>56.26</v>
      </c>
      <c r="I30" s="51">
        <v>1.76</v>
      </c>
      <c r="J30" s="51">
        <v>0.21</v>
      </c>
      <c r="K30" s="51">
        <v>80.34</v>
      </c>
      <c r="L30" s="51">
        <v>19.28</v>
      </c>
      <c r="M30" s="51">
        <v>62</v>
      </c>
      <c r="N30" s="51">
        <v>24.40</v>
      </c>
      <c r="O30" s="51">
        <v>0</v>
      </c>
      <c r="P30" s="51">
        <v>4.38</v>
      </c>
      <c r="Q30" s="51">
        <v>50.83</v>
      </c>
      <c r="R30" s="43"/>
      <c r="S30" s="43"/>
      <c r="T30" s="43"/>
      <c r="U30" s="43"/>
    </row>
    <row r="31" spans="1:21" s="11" customFormat="1" ht="15">
      <c r="A31" s="50" t="s">
        <v>228</v>
      </c>
      <c r="B31" s="51">
        <v>129.82</v>
      </c>
      <c r="C31" s="57" t="s">
        <v>15</v>
      </c>
      <c r="D31" s="51">
        <v>93.67</v>
      </c>
      <c r="E31" s="51">
        <v>5.54</v>
      </c>
      <c r="F31" s="51">
        <v>0.80</v>
      </c>
      <c r="G31" s="51">
        <v>199.40</v>
      </c>
      <c r="H31" s="51">
        <v>56.26</v>
      </c>
      <c r="I31" s="51">
        <v>1.88</v>
      </c>
      <c r="J31" s="51">
        <v>0.30</v>
      </c>
      <c r="K31" s="51">
        <v>77.63</v>
      </c>
      <c r="L31" s="51">
        <v>18.54</v>
      </c>
      <c r="M31" s="51">
        <v>55</v>
      </c>
      <c r="N31" s="51">
        <v>24.10</v>
      </c>
      <c r="O31" s="51">
        <v>0</v>
      </c>
      <c r="P31" s="51">
        <v>4.4000000000000004</v>
      </c>
      <c r="Q31" s="51">
        <v>51.80</v>
      </c>
      <c r="R31" s="43"/>
      <c r="S31" s="43"/>
      <c r="T31" s="43"/>
      <c r="U31" s="43"/>
    </row>
    <row r="32" spans="1:21" s="11" customFormat="1" ht="15">
      <c r="A32" s="50" t="s">
        <v>229</v>
      </c>
      <c r="B32" s="51">
        <v>112.29</v>
      </c>
      <c r="C32" s="57" t="s">
        <v>15</v>
      </c>
      <c r="D32" s="51">
        <v>83.26</v>
      </c>
      <c r="E32" s="51">
        <v>5.0999999999999996</v>
      </c>
      <c r="F32" s="51">
        <v>0.75</v>
      </c>
      <c r="G32" s="51">
        <v>183.02</v>
      </c>
      <c r="H32" s="51">
        <v>54.97</v>
      </c>
      <c r="I32" s="51">
        <v>1.82</v>
      </c>
      <c r="J32" s="51">
        <v>0.84</v>
      </c>
      <c r="K32" s="51">
        <v>62.84</v>
      </c>
      <c r="L32" s="51">
        <v>18.52</v>
      </c>
      <c r="M32" s="51">
        <v>49</v>
      </c>
      <c r="N32" s="51">
        <v>24</v>
      </c>
      <c r="O32" s="51">
        <v>0</v>
      </c>
      <c r="P32" s="51">
        <v>3.99</v>
      </c>
      <c r="Q32" s="51">
        <v>51.02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3.8599999999999999</v>
      </c>
      <c r="C34" s="28">
        <f t="shared" si="0"/>
        <v>10.57</v>
      </c>
      <c r="D34" s="28">
        <f t="shared" si="0"/>
        <v>22.120000000000001</v>
      </c>
      <c r="E34" s="28">
        <f t="shared" si="0"/>
        <v>4</v>
      </c>
      <c r="F34" s="28">
        <f t="shared" si="0"/>
        <v>0.67000000000000004</v>
      </c>
      <c r="G34" s="28">
        <f t="shared" si="0"/>
        <v>33.759999999999998</v>
      </c>
      <c r="H34" s="28">
        <f t="shared" si="0"/>
        <v>26.859999999999999</v>
      </c>
      <c r="I34" s="28">
        <f t="shared" si="0"/>
        <v>0.34000000000000002</v>
      </c>
      <c r="J34" s="28">
        <f t="shared" si="0"/>
        <v>0.10000000000000001</v>
      </c>
      <c r="K34" s="28">
        <f t="shared" si="0"/>
        <v>12.74</v>
      </c>
      <c r="L34" s="28">
        <f t="shared" si="0"/>
        <v>15.720000000000001</v>
      </c>
      <c r="M34" s="28">
        <f t="shared" si="0"/>
        <v>24</v>
      </c>
      <c r="N34" s="28">
        <f t="shared" si="0"/>
        <v>24</v>
      </c>
      <c r="O34" s="28">
        <f t="shared" si="0"/>
        <v>0</v>
      </c>
      <c r="P34" s="28">
        <f t="shared" si="0"/>
        <v>0.88</v>
      </c>
      <c r="Q34" s="28">
        <f t="shared" si="0"/>
        <v>39.789999999999999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130.53</v>
      </c>
      <c r="C35" s="29">
        <f t="shared" si="1"/>
        <v>43.68</v>
      </c>
      <c r="D35" s="29">
        <f t="shared" si="1"/>
        <v>95.090000000000003</v>
      </c>
      <c r="E35" s="29">
        <f t="shared" si="1"/>
        <v>6.1600000000000001</v>
      </c>
      <c r="F35" s="29">
        <f t="shared" si="1"/>
        <v>4.0899999999999999</v>
      </c>
      <c r="G35" s="29">
        <f t="shared" si="1"/>
        <v>199.40000000000001</v>
      </c>
      <c r="H35" s="29">
        <f t="shared" si="1"/>
        <v>56.259999999999998</v>
      </c>
      <c r="I35" s="29">
        <f t="shared" si="1"/>
        <v>1.8799999999999999</v>
      </c>
      <c r="J35" s="29">
        <f t="shared" si="1"/>
        <v>1.53</v>
      </c>
      <c r="K35" s="29">
        <f t="shared" si="1"/>
        <v>358.51999999999998</v>
      </c>
      <c r="L35" s="29">
        <f t="shared" si="1"/>
        <v>27.579999999999998</v>
      </c>
      <c r="M35" s="29">
        <f t="shared" si="1"/>
        <v>80</v>
      </c>
      <c r="N35" s="29">
        <f t="shared" si="1"/>
        <v>480.39999999999998</v>
      </c>
      <c r="O35" s="29">
        <f t="shared" si="1"/>
        <v>0</v>
      </c>
      <c r="P35" s="29">
        <f t="shared" si="1"/>
        <v>4.4000000000000004</v>
      </c>
      <c r="Q35" s="29">
        <f t="shared" si="1"/>
        <v>51.799999999999997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39.389166666666661</v>
      </c>
      <c r="C36" s="28">
        <f t="shared" si="2"/>
        <v>29.5</v>
      </c>
      <c r="D36" s="28">
        <f t="shared" si="2"/>
        <v>43.360000000000007</v>
      </c>
      <c r="E36" s="28">
        <f t="shared" si="2"/>
        <v>4.8624999999999998</v>
      </c>
      <c r="F36" s="28">
        <f t="shared" si="2"/>
        <v>1.4970833333333333</v>
      </c>
      <c r="G36" s="28">
        <f t="shared" si="2"/>
        <v>116.32125000000002</v>
      </c>
      <c r="H36" s="28">
        <f t="shared" si="2"/>
        <v>36.842083333333342</v>
      </c>
      <c r="I36" s="28">
        <f t="shared" si="2"/>
        <v>0.81894736842105254</v>
      </c>
      <c r="J36" s="28">
        <f t="shared" si="2"/>
        <v>0.74958333333333338</v>
      </c>
      <c r="K36" s="28">
        <f t="shared" si="2"/>
        <v>163.67708333333334</v>
      </c>
      <c r="L36" s="28">
        <f t="shared" si="2"/>
        <v>21.362083333333334</v>
      </c>
      <c r="M36" s="28">
        <f t="shared" si="2"/>
        <v>53</v>
      </c>
      <c r="N36" s="28">
        <f t="shared" si="2"/>
        <v>153.67916666666665</v>
      </c>
      <c r="O36" s="28">
        <f t="shared" si="2"/>
        <v>0</v>
      </c>
      <c r="P36" s="28">
        <f t="shared" si="2"/>
        <v>1.8916666666666668</v>
      </c>
      <c r="Q36" s="28">
        <f t="shared" si="2"/>
        <v>44.487916666666671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40.584400506755713</v>
      </c>
      <c r="C37" s="28">
        <f t="shared" si="3" ref="C37:Q37">STDEV(C9:C32)</f>
        <v>10.628979725260564</v>
      </c>
      <c r="D37" s="28">
        <f t="shared" si="3"/>
        <v>22.954615335861991</v>
      </c>
      <c r="E37" s="28">
        <f t="shared" si="3"/>
        <v>0.58645026476546502</v>
      </c>
      <c r="F37" s="28">
        <f t="shared" si="3"/>
        <v>1.061977151832606</v>
      </c>
      <c r="G37" s="28">
        <f t="shared" si="3"/>
        <v>45.814231443050367</v>
      </c>
      <c r="H37" s="28">
        <f t="shared" si="3"/>
        <v>8.403297996033718</v>
      </c>
      <c r="I37" s="28">
        <f t="shared" si="3"/>
        <v>0.50930120684939062</v>
      </c>
      <c r="J37" s="28">
        <f t="shared" si="3"/>
        <v>0.5203132765912295</v>
      </c>
      <c r="K37" s="28">
        <f t="shared" si="3"/>
        <v>138.09927448347557</v>
      </c>
      <c r="L37" s="28">
        <f t="shared" si="3"/>
        <v>4.0941208953567694</v>
      </c>
      <c r="M37" s="28">
        <f t="shared" si="3"/>
        <v>17.825238580024184</v>
      </c>
      <c r="N37" s="28">
        <f t="shared" si="3"/>
        <v>178.42220318833563</v>
      </c>
      <c r="O37" s="28">
        <f t="shared" si="3"/>
        <v>0</v>
      </c>
      <c r="P37" s="28">
        <f t="shared" si="3"/>
        <v>1.1156891676630096</v>
      </c>
      <c r="Q37" s="28">
        <f t="shared" si="3"/>
        <v>3.8217705652777205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21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COUNT(I9:I32)+5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&lt;90%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LESS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938d78-bba0-4610-87d9-f1cc6faabab5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230</v>
      </c>
      <c r="B9" s="51">
        <v>77.650000000000006</v>
      </c>
      <c r="C9" s="51">
        <v>12.11</v>
      </c>
      <c r="D9" s="51">
        <v>64.290000000000006</v>
      </c>
      <c r="E9" s="51">
        <v>5.45</v>
      </c>
      <c r="F9" s="51">
        <v>0.80</v>
      </c>
      <c r="G9" s="51">
        <v>86.94</v>
      </c>
      <c r="H9" s="51">
        <v>47.05</v>
      </c>
      <c r="I9" s="51">
        <v>1.33</v>
      </c>
      <c r="J9" s="51">
        <v>0.92</v>
      </c>
      <c r="K9" s="51">
        <v>110.44</v>
      </c>
      <c r="L9" s="51">
        <v>18.27</v>
      </c>
      <c r="M9" s="51">
        <v>53</v>
      </c>
      <c r="N9" s="51">
        <v>24.60</v>
      </c>
      <c r="O9" s="51">
        <v>0</v>
      </c>
      <c r="P9" s="51">
        <v>3.13</v>
      </c>
      <c r="Q9" s="51">
        <v>46.97</v>
      </c>
      <c r="R9" s="43"/>
      <c r="S9" s="43"/>
      <c r="T9" s="43"/>
      <c r="U9" s="43"/>
    </row>
    <row r="10" spans="1:21" s="11" customFormat="1" ht="15">
      <c r="A10" s="50" t="s">
        <v>231</v>
      </c>
      <c r="B10" s="51">
        <v>52.99</v>
      </c>
      <c r="C10" s="51">
        <v>18.27</v>
      </c>
      <c r="D10" s="51">
        <v>50.23</v>
      </c>
      <c r="E10" s="51">
        <v>5.40</v>
      </c>
      <c r="F10" s="51">
        <v>0.76</v>
      </c>
      <c r="G10" s="51">
        <v>100.20</v>
      </c>
      <c r="H10" s="51">
        <v>38.26</v>
      </c>
      <c r="I10" s="51">
        <v>1.04</v>
      </c>
      <c r="J10" s="51">
        <v>0.60</v>
      </c>
      <c r="K10" s="51">
        <v>131.79</v>
      </c>
      <c r="L10" s="51">
        <v>17.329999999999998</v>
      </c>
      <c r="M10" s="51">
        <v>59</v>
      </c>
      <c r="N10" s="51">
        <v>24.60</v>
      </c>
      <c r="O10" s="51">
        <v>0</v>
      </c>
      <c r="P10" s="51">
        <v>2.61</v>
      </c>
      <c r="Q10" s="51">
        <v>42.99</v>
      </c>
      <c r="R10" s="43"/>
      <c r="S10" s="43"/>
      <c r="T10" s="43"/>
      <c r="U10" s="43"/>
    </row>
    <row r="11" spans="1:21" s="11" customFormat="1" ht="15">
      <c r="A11" s="50" t="s">
        <v>232</v>
      </c>
      <c r="B11" s="51">
        <v>37.65</v>
      </c>
      <c r="C11" s="51">
        <v>27.65</v>
      </c>
      <c r="D11" s="51">
        <v>41.06</v>
      </c>
      <c r="E11" s="51">
        <v>5.37</v>
      </c>
      <c r="F11" s="51">
        <v>0.79</v>
      </c>
      <c r="G11" s="51">
        <v>100.20</v>
      </c>
      <c r="H11" s="51">
        <v>35.659999999999997</v>
      </c>
      <c r="I11" s="51">
        <v>0.89</v>
      </c>
      <c r="J11" s="51">
        <v>1.33</v>
      </c>
      <c r="K11" s="51">
        <v>13.97</v>
      </c>
      <c r="L11" s="51">
        <v>17.25</v>
      </c>
      <c r="M11" s="51">
        <v>56</v>
      </c>
      <c r="N11" s="51">
        <v>24.5</v>
      </c>
      <c r="O11" s="51">
        <v>0</v>
      </c>
      <c r="P11" s="51">
        <v>2.37</v>
      </c>
      <c r="Q11" s="51">
        <v>42.98</v>
      </c>
      <c r="R11" s="43"/>
      <c r="S11" s="43"/>
      <c r="T11" s="43"/>
      <c r="U11" s="43"/>
    </row>
    <row r="12" spans="1:21" s="11" customFormat="1" ht="15">
      <c r="A12" s="50" t="s">
        <v>233</v>
      </c>
      <c r="B12" s="51">
        <v>21.25</v>
      </c>
      <c r="C12" s="51">
        <v>32.840000000000003</v>
      </c>
      <c r="D12" s="51">
        <v>33.340000000000003</v>
      </c>
      <c r="E12" s="51">
        <v>5.65</v>
      </c>
      <c r="F12" s="51">
        <v>0.79</v>
      </c>
      <c r="G12" s="51">
        <v>96.67</v>
      </c>
      <c r="H12" s="51">
        <v>36.76</v>
      </c>
      <c r="I12" s="51">
        <v>0.69</v>
      </c>
      <c r="J12" s="51">
        <v>1.34</v>
      </c>
      <c r="K12" s="51">
        <v>12.74</v>
      </c>
      <c r="L12" s="51">
        <v>17.02</v>
      </c>
      <c r="M12" s="51">
        <v>59</v>
      </c>
      <c r="N12" s="51">
        <v>24.40</v>
      </c>
      <c r="O12" s="51">
        <v>0</v>
      </c>
      <c r="P12" s="51">
        <v>1.94</v>
      </c>
      <c r="Q12" s="51">
        <v>40.75</v>
      </c>
      <c r="R12" s="43"/>
      <c r="S12" s="43"/>
      <c r="T12" s="43"/>
      <c r="U12" s="43"/>
    </row>
    <row r="13" spans="1:21" s="11" customFormat="1" ht="15">
      <c r="A13" s="50" t="s">
        <v>234</v>
      </c>
      <c r="B13" s="51">
        <v>14.25</v>
      </c>
      <c r="C13" s="51">
        <v>33.75</v>
      </c>
      <c r="D13" s="51">
        <v>29.77</v>
      </c>
      <c r="E13" s="51">
        <v>7.09</v>
      </c>
      <c r="F13" s="51">
        <v>0.75</v>
      </c>
      <c r="G13" s="51">
        <v>96.67</v>
      </c>
      <c r="H13" s="51">
        <v>36.76</v>
      </c>
      <c r="I13" s="51">
        <v>0.54</v>
      </c>
      <c r="J13" s="51">
        <v>1.52</v>
      </c>
      <c r="K13" s="51">
        <v>17.170000000000002</v>
      </c>
      <c r="L13" s="51">
        <v>16.25</v>
      </c>
      <c r="M13" s="51">
        <v>60</v>
      </c>
      <c r="N13" s="51">
        <v>24.20</v>
      </c>
      <c r="O13" s="51">
        <v>0</v>
      </c>
      <c r="P13" s="51">
        <v>1.70</v>
      </c>
      <c r="Q13" s="51">
        <v>37.68</v>
      </c>
      <c r="R13" s="43"/>
      <c r="S13" s="43"/>
      <c r="T13" s="43"/>
      <c r="U13" s="43"/>
    </row>
    <row r="14" spans="1:21" s="11" customFormat="1" ht="15">
      <c r="A14" s="50" t="s">
        <v>235</v>
      </c>
      <c r="B14" s="51">
        <v>13.88</v>
      </c>
      <c r="C14" s="51">
        <v>34.19</v>
      </c>
      <c r="D14" s="51">
        <v>29.67</v>
      </c>
      <c r="E14" s="51">
        <v>7.60</v>
      </c>
      <c r="F14" s="51">
        <v>0.74</v>
      </c>
      <c r="G14" s="51">
        <v>65.25</v>
      </c>
      <c r="H14" s="51">
        <v>34.56</v>
      </c>
      <c r="I14" s="51">
        <v>0.47</v>
      </c>
      <c r="J14" s="51">
        <v>1.33</v>
      </c>
      <c r="K14" s="51">
        <v>20.059999999999999</v>
      </c>
      <c r="L14" s="51">
        <v>16.09</v>
      </c>
      <c r="M14" s="51">
        <v>60</v>
      </c>
      <c r="N14" s="51">
        <v>24.5</v>
      </c>
      <c r="O14" s="51">
        <v>0</v>
      </c>
      <c r="P14" s="51">
        <v>1.63</v>
      </c>
      <c r="Q14" s="51">
        <v>38.53</v>
      </c>
      <c r="R14" s="43"/>
      <c r="S14" s="43"/>
      <c r="T14" s="43"/>
      <c r="U14" s="43"/>
    </row>
    <row r="15" spans="1:21" s="11" customFormat="1" ht="15">
      <c r="A15" s="50" t="s">
        <v>236</v>
      </c>
      <c r="B15" s="51">
        <v>17.420000000000002</v>
      </c>
      <c r="C15" s="51">
        <v>33.28</v>
      </c>
      <c r="D15" s="51">
        <v>31.52</v>
      </c>
      <c r="E15" s="51">
        <v>6.64</v>
      </c>
      <c r="F15" s="51">
        <v>0.71</v>
      </c>
      <c r="G15" s="51">
        <v>210.96</v>
      </c>
      <c r="H15" s="51">
        <v>36.46</v>
      </c>
      <c r="I15" s="53" t="s">
        <v>8</v>
      </c>
      <c r="J15" s="51">
        <v>0.56000000000000005</v>
      </c>
      <c r="K15" s="51">
        <v>94.69</v>
      </c>
      <c r="L15" s="51">
        <v>15.61</v>
      </c>
      <c r="M15" s="51">
        <v>61</v>
      </c>
      <c r="N15" s="51">
        <v>48.10</v>
      </c>
      <c r="O15" s="51">
        <v>0</v>
      </c>
      <c r="P15" s="51">
        <v>1.78</v>
      </c>
      <c r="Q15" s="51">
        <v>38.69</v>
      </c>
      <c r="R15" s="43"/>
      <c r="S15" s="43"/>
      <c r="T15" s="43"/>
      <c r="U15" s="43"/>
    </row>
    <row r="16" spans="1:21" s="11" customFormat="1" ht="15">
      <c r="A16" s="50" t="s">
        <v>237</v>
      </c>
      <c r="B16" s="51">
        <v>18.72</v>
      </c>
      <c r="C16" s="51">
        <v>31.43</v>
      </c>
      <c r="D16" s="51">
        <v>32.090000000000003</v>
      </c>
      <c r="E16" s="51">
        <v>6.04</v>
      </c>
      <c r="F16" s="51">
        <v>0.83</v>
      </c>
      <c r="G16" s="51">
        <v>210.96</v>
      </c>
      <c r="H16" s="51">
        <v>36.46</v>
      </c>
      <c r="I16" s="53" t="s">
        <v>8</v>
      </c>
      <c r="J16" s="51">
        <v>0.60</v>
      </c>
      <c r="K16" s="51">
        <v>85.88</v>
      </c>
      <c r="L16" s="51">
        <v>16.100000000000001</v>
      </c>
      <c r="M16" s="51">
        <v>59</v>
      </c>
      <c r="N16" s="51">
        <v>96</v>
      </c>
      <c r="O16" s="51">
        <v>0</v>
      </c>
      <c r="P16" s="51">
        <v>1.77</v>
      </c>
      <c r="Q16" s="51">
        <v>38.229999999999997</v>
      </c>
      <c r="R16" s="43"/>
      <c r="S16" s="43"/>
      <c r="T16" s="43"/>
      <c r="U16" s="43"/>
    </row>
    <row r="17" spans="1:21" s="11" customFormat="1" ht="15">
      <c r="A17" s="50" t="s">
        <v>238</v>
      </c>
      <c r="B17" s="51">
        <v>17.89</v>
      </c>
      <c r="C17" s="51">
        <v>30.75</v>
      </c>
      <c r="D17" s="51">
        <v>31.13</v>
      </c>
      <c r="E17" s="51">
        <v>5.96</v>
      </c>
      <c r="F17" s="51">
        <v>1.28</v>
      </c>
      <c r="G17" s="51">
        <v>69.39</v>
      </c>
      <c r="H17" s="51">
        <v>36.01</v>
      </c>
      <c r="I17" s="53" t="s">
        <v>8</v>
      </c>
      <c r="J17" s="51">
        <v>0.51</v>
      </c>
      <c r="K17" s="51">
        <v>75.430000000000007</v>
      </c>
      <c r="L17" s="51">
        <v>19.02</v>
      </c>
      <c r="M17" s="51">
        <v>56</v>
      </c>
      <c r="N17" s="51">
        <v>217.60</v>
      </c>
      <c r="O17" s="51">
        <v>0</v>
      </c>
      <c r="P17" s="51">
        <v>1.60</v>
      </c>
      <c r="Q17" s="51">
        <v>37.590000000000003</v>
      </c>
      <c r="R17" s="43"/>
      <c r="S17" s="43"/>
      <c r="T17" s="43"/>
      <c r="U17" s="43"/>
    </row>
    <row r="18" spans="1:21" s="11" customFormat="1" ht="15">
      <c r="A18" s="50" t="s">
        <v>239</v>
      </c>
      <c r="B18" s="51">
        <v>16.07</v>
      </c>
      <c r="C18" s="51">
        <v>32.869999999999997</v>
      </c>
      <c r="D18" s="51">
        <v>30.13</v>
      </c>
      <c r="E18" s="51">
        <v>5.30</v>
      </c>
      <c r="F18" s="51">
        <v>1.1200000000000001</v>
      </c>
      <c r="G18" s="51">
        <v>69.39</v>
      </c>
      <c r="H18" s="51">
        <v>31.60</v>
      </c>
      <c r="I18" s="53" t="s">
        <v>8</v>
      </c>
      <c r="J18" s="51">
        <v>0.94</v>
      </c>
      <c r="K18" s="51">
        <v>109.89</v>
      </c>
      <c r="L18" s="51">
        <v>20.16</v>
      </c>
      <c r="M18" s="51">
        <v>49</v>
      </c>
      <c r="N18" s="51">
        <v>302.30</v>
      </c>
      <c r="O18" s="51">
        <v>0</v>
      </c>
      <c r="P18" s="51">
        <v>1.44</v>
      </c>
      <c r="Q18" s="51">
        <v>39.51</v>
      </c>
      <c r="R18" s="43"/>
      <c r="S18" s="43"/>
      <c r="T18" s="43"/>
      <c r="U18" s="43"/>
    </row>
    <row r="19" spans="1:21" s="11" customFormat="1" ht="15">
      <c r="A19" s="50" t="s">
        <v>240</v>
      </c>
      <c r="B19" s="51">
        <v>11.74</v>
      </c>
      <c r="C19" s="51">
        <v>37.39</v>
      </c>
      <c r="D19" s="51">
        <v>28.61</v>
      </c>
      <c r="E19" s="51">
        <v>8.18</v>
      </c>
      <c r="F19" s="51">
        <v>3.70</v>
      </c>
      <c r="G19" s="57" t="s">
        <v>15</v>
      </c>
      <c r="H19" s="57" t="s">
        <v>15</v>
      </c>
      <c r="I19" s="53" t="s">
        <v>8</v>
      </c>
      <c r="J19" s="51">
        <v>1.08</v>
      </c>
      <c r="K19" s="51">
        <v>94</v>
      </c>
      <c r="L19" s="51">
        <v>23.71</v>
      </c>
      <c r="M19" s="51">
        <v>43</v>
      </c>
      <c r="N19" s="51">
        <v>414.60</v>
      </c>
      <c r="O19" s="51">
        <v>0</v>
      </c>
      <c r="P19" s="51">
        <v>1.32</v>
      </c>
      <c r="Q19" s="51">
        <v>39.11</v>
      </c>
      <c r="R19" s="43"/>
      <c r="S19" s="43"/>
      <c r="T19" s="43"/>
      <c r="U19" s="43"/>
    </row>
    <row r="20" spans="1:21" s="11" customFormat="1" ht="15">
      <c r="A20" s="50" t="s">
        <v>241</v>
      </c>
      <c r="B20" s="51">
        <v>10.66</v>
      </c>
      <c r="C20" s="51">
        <v>40.61</v>
      </c>
      <c r="D20" s="51">
        <v>30.96</v>
      </c>
      <c r="E20" s="51">
        <v>17.579999999999998</v>
      </c>
      <c r="F20" s="51">
        <v>5.28</v>
      </c>
      <c r="G20" s="58" t="s">
        <v>12</v>
      </c>
      <c r="H20" s="58" t="s">
        <v>12</v>
      </c>
      <c r="I20" s="51">
        <v>0.28999999999999998</v>
      </c>
      <c r="J20" s="51">
        <v>1.52</v>
      </c>
      <c r="K20" s="51">
        <v>118.53</v>
      </c>
      <c r="L20" s="51">
        <v>24.87</v>
      </c>
      <c r="M20" s="51">
        <v>37</v>
      </c>
      <c r="N20" s="51">
        <v>499.40</v>
      </c>
      <c r="O20" s="51">
        <v>0</v>
      </c>
      <c r="P20" s="51">
        <v>1.04</v>
      </c>
      <c r="Q20" s="51">
        <v>31.21</v>
      </c>
      <c r="R20" s="43"/>
      <c r="S20" s="43"/>
      <c r="T20" s="43"/>
      <c r="U20" s="43"/>
    </row>
    <row r="21" spans="1:21" s="11" customFormat="1" ht="15">
      <c r="A21" s="50" t="s">
        <v>242</v>
      </c>
      <c r="B21" s="51">
        <v>10.99</v>
      </c>
      <c r="C21" s="51">
        <v>70.25</v>
      </c>
      <c r="D21" s="51">
        <v>43.32</v>
      </c>
      <c r="E21" s="51">
        <v>21.72</v>
      </c>
      <c r="F21" s="51">
        <v>8.42</v>
      </c>
      <c r="G21" s="58" t="s">
        <v>12</v>
      </c>
      <c r="H21" s="58" t="s">
        <v>12</v>
      </c>
      <c r="I21" s="51">
        <v>0.26</v>
      </c>
      <c r="J21" s="51">
        <v>1.18</v>
      </c>
      <c r="K21" s="51">
        <v>115.19</v>
      </c>
      <c r="L21" s="51">
        <v>25.41</v>
      </c>
      <c r="M21" s="51">
        <v>29</v>
      </c>
      <c r="N21" s="51">
        <v>483</v>
      </c>
      <c r="O21" s="51">
        <v>0</v>
      </c>
      <c r="P21" s="51">
        <v>0.80</v>
      </c>
      <c r="Q21" s="51">
        <v>27.13</v>
      </c>
      <c r="R21" s="43"/>
      <c r="S21" s="43"/>
      <c r="T21" s="43"/>
      <c r="U21" s="43"/>
    </row>
    <row r="22" spans="1:21" s="11" customFormat="1" ht="15">
      <c r="A22" s="50" t="s">
        <v>243</v>
      </c>
      <c r="B22" s="51">
        <v>5.42</v>
      </c>
      <c r="C22" s="51">
        <v>67.19</v>
      </c>
      <c r="D22" s="51">
        <v>40.24</v>
      </c>
      <c r="E22" s="51">
        <v>12.97</v>
      </c>
      <c r="F22" s="51">
        <v>9.69</v>
      </c>
      <c r="G22" s="57" t="s">
        <v>15</v>
      </c>
      <c r="H22" s="57" t="s">
        <v>15</v>
      </c>
      <c r="I22" s="53" t="s">
        <v>8</v>
      </c>
      <c r="J22" s="51">
        <v>1.1200000000000001</v>
      </c>
      <c r="K22" s="51">
        <v>122.86</v>
      </c>
      <c r="L22" s="51">
        <v>27.17</v>
      </c>
      <c r="M22" s="51">
        <v>27</v>
      </c>
      <c r="N22" s="51">
        <v>443.60</v>
      </c>
      <c r="O22" s="51">
        <v>0</v>
      </c>
      <c r="P22" s="51">
        <v>0.65</v>
      </c>
      <c r="Q22" s="51">
        <v>27.81</v>
      </c>
      <c r="R22" s="43"/>
      <c r="S22" s="43"/>
      <c r="T22" s="43"/>
      <c r="U22" s="43"/>
    </row>
    <row r="23" spans="1:21" s="11" customFormat="1" ht="15">
      <c r="A23" s="50" t="s">
        <v>244</v>
      </c>
      <c r="B23" s="51">
        <v>4.97</v>
      </c>
      <c r="C23" s="51">
        <v>62.69</v>
      </c>
      <c r="D23" s="51">
        <v>38</v>
      </c>
      <c r="E23" s="51">
        <v>10.99</v>
      </c>
      <c r="F23" s="51">
        <v>11.51</v>
      </c>
      <c r="G23" s="57" t="s">
        <v>15</v>
      </c>
      <c r="H23" s="57" t="s">
        <v>15</v>
      </c>
      <c r="I23" s="51">
        <v>0.18</v>
      </c>
      <c r="J23" s="51">
        <v>1.02</v>
      </c>
      <c r="K23" s="51">
        <v>129.43</v>
      </c>
      <c r="L23" s="51">
        <v>27.30</v>
      </c>
      <c r="M23" s="51">
        <v>26</v>
      </c>
      <c r="N23" s="51">
        <v>374</v>
      </c>
      <c r="O23" s="51">
        <v>0</v>
      </c>
      <c r="P23" s="51">
        <v>0.68</v>
      </c>
      <c r="Q23" s="51">
        <v>27.59</v>
      </c>
      <c r="R23" s="43"/>
      <c r="S23" s="43"/>
      <c r="T23" s="43"/>
      <c r="U23" s="43"/>
    </row>
    <row r="24" spans="1:21" s="11" customFormat="1" ht="15">
      <c r="A24" s="50" t="s">
        <v>245</v>
      </c>
      <c r="B24" s="51">
        <v>6.35</v>
      </c>
      <c r="C24" s="51">
        <v>59.92</v>
      </c>
      <c r="D24" s="51">
        <v>37.26</v>
      </c>
      <c r="E24" s="51">
        <v>14.28</v>
      </c>
      <c r="F24" s="51">
        <v>17.32</v>
      </c>
      <c r="G24" s="57" t="s">
        <v>15</v>
      </c>
      <c r="H24" s="57" t="s">
        <v>15</v>
      </c>
      <c r="I24" s="51">
        <v>0.19</v>
      </c>
      <c r="J24" s="51">
        <v>1.22</v>
      </c>
      <c r="K24" s="51">
        <v>125.53</v>
      </c>
      <c r="L24" s="51">
        <v>26.58</v>
      </c>
      <c r="M24" s="51">
        <v>27</v>
      </c>
      <c r="N24" s="51">
        <v>248</v>
      </c>
      <c r="O24" s="51">
        <v>0</v>
      </c>
      <c r="P24" s="51">
        <v>0.75</v>
      </c>
      <c r="Q24" s="51">
        <v>27.71</v>
      </c>
      <c r="R24" s="43"/>
      <c r="S24" s="43"/>
      <c r="T24" s="43"/>
      <c r="U24" s="43"/>
    </row>
    <row r="25" spans="1:21" s="11" customFormat="1" ht="15">
      <c r="A25" s="50" t="s">
        <v>246</v>
      </c>
      <c r="B25" s="51">
        <v>13.81</v>
      </c>
      <c r="C25" s="51">
        <v>79.34</v>
      </c>
      <c r="D25" s="51">
        <v>53.32</v>
      </c>
      <c r="E25" s="51">
        <v>35.659999999999997</v>
      </c>
      <c r="F25" s="51">
        <v>13.23</v>
      </c>
      <c r="G25" s="57" t="s">
        <v>15</v>
      </c>
      <c r="H25" s="57" t="s">
        <v>15</v>
      </c>
      <c r="I25" s="51">
        <v>0.23</v>
      </c>
      <c r="J25" s="51">
        <v>1.38</v>
      </c>
      <c r="K25" s="51">
        <v>93.42</v>
      </c>
      <c r="L25" s="51">
        <v>25.30</v>
      </c>
      <c r="M25" s="51">
        <v>31</v>
      </c>
      <c r="N25" s="51">
        <v>59.60</v>
      </c>
      <c r="O25" s="51">
        <v>0</v>
      </c>
      <c r="P25" s="51">
        <v>0.95</v>
      </c>
      <c r="Q25" s="51">
        <v>30.39</v>
      </c>
      <c r="R25" s="43"/>
      <c r="S25" s="43"/>
      <c r="T25" s="43"/>
      <c r="U25" s="43"/>
    </row>
    <row r="26" spans="1:21" s="11" customFormat="1" ht="15">
      <c r="A26" s="50" t="s">
        <v>247</v>
      </c>
      <c r="B26" s="51">
        <v>11.77</v>
      </c>
      <c r="C26" s="51">
        <v>78.849999999999994</v>
      </c>
      <c r="D26" s="51">
        <v>52.95</v>
      </c>
      <c r="E26" s="51">
        <v>5.84</v>
      </c>
      <c r="F26" s="51">
        <v>1.06</v>
      </c>
      <c r="G26" s="51">
        <v>123.12</v>
      </c>
      <c r="H26" s="51">
        <v>38.700000000000003</v>
      </c>
      <c r="I26" s="51">
        <v>0.28999999999999998</v>
      </c>
      <c r="J26" s="51">
        <v>0.27</v>
      </c>
      <c r="K26" s="51">
        <v>111.83</v>
      </c>
      <c r="L26" s="51">
        <v>22.81</v>
      </c>
      <c r="M26" s="51">
        <v>44</v>
      </c>
      <c r="N26" s="51">
        <v>27.60</v>
      </c>
      <c r="O26" s="51">
        <v>0</v>
      </c>
      <c r="P26" s="51">
        <v>1.1399999999999999</v>
      </c>
      <c r="Q26" s="51">
        <v>35.44</v>
      </c>
      <c r="R26" s="43"/>
      <c r="S26" s="43"/>
      <c r="T26" s="43"/>
      <c r="U26" s="43"/>
    </row>
    <row r="27" spans="1:21" s="11" customFormat="1" ht="15">
      <c r="A27" s="50" t="s">
        <v>248</v>
      </c>
      <c r="B27" s="51">
        <v>44.20</v>
      </c>
      <c r="C27" s="51">
        <v>80.81</v>
      </c>
      <c r="D27" s="51">
        <v>78.55</v>
      </c>
      <c r="E27" s="51">
        <v>5.30</v>
      </c>
      <c r="F27" s="51">
        <v>0.67</v>
      </c>
      <c r="G27" s="51">
        <v>130.60</v>
      </c>
      <c r="H27" s="51">
        <v>39.83</v>
      </c>
      <c r="I27" s="51">
        <v>0.45</v>
      </c>
      <c r="J27" s="51">
        <v>0.11</v>
      </c>
      <c r="K27" s="51">
        <v>350.56</v>
      </c>
      <c r="L27" s="51">
        <v>20.45</v>
      </c>
      <c r="M27" s="51">
        <v>53</v>
      </c>
      <c r="N27" s="51">
        <v>24.60</v>
      </c>
      <c r="O27" s="51">
        <v>0</v>
      </c>
      <c r="P27" s="51">
        <v>1.69</v>
      </c>
      <c r="Q27" s="51">
        <v>38.89</v>
      </c>
      <c r="R27" s="43"/>
      <c r="S27" s="43"/>
      <c r="T27" s="43"/>
      <c r="U27" s="43"/>
    </row>
    <row r="28" spans="1:21" s="11" customFormat="1" ht="15">
      <c r="A28" s="50" t="s">
        <v>249</v>
      </c>
      <c r="B28" s="51">
        <v>79.59</v>
      </c>
      <c r="C28" s="51">
        <v>77.45</v>
      </c>
      <c r="D28" s="51">
        <v>105.71</v>
      </c>
      <c r="E28" s="51">
        <v>5.31</v>
      </c>
      <c r="F28" s="51">
        <v>0.74</v>
      </c>
      <c r="G28" s="51">
        <v>154.28</v>
      </c>
      <c r="H28" s="51">
        <v>43.72</v>
      </c>
      <c r="I28" s="51">
        <v>0.74</v>
      </c>
      <c r="J28" s="51">
        <v>0.19</v>
      </c>
      <c r="K28" s="51">
        <v>354.22</v>
      </c>
      <c r="L28" s="51">
        <v>18.489999999999998</v>
      </c>
      <c r="M28" s="51">
        <v>57</v>
      </c>
      <c r="N28" s="51">
        <v>24.10</v>
      </c>
      <c r="O28" s="51">
        <v>0</v>
      </c>
      <c r="P28" s="51">
        <v>2.57</v>
      </c>
      <c r="Q28" s="51">
        <v>43.85</v>
      </c>
      <c r="R28" s="43"/>
      <c r="S28" s="43"/>
      <c r="T28" s="43"/>
      <c r="U28" s="43"/>
    </row>
    <row r="29" spans="1:21" s="11" customFormat="1" ht="15">
      <c r="A29" s="50" t="s">
        <v>250</v>
      </c>
      <c r="B29" s="51">
        <v>122.83</v>
      </c>
      <c r="C29" s="51">
        <v>73.92</v>
      </c>
      <c r="D29" s="51">
        <v>138.09</v>
      </c>
      <c r="E29" s="51">
        <v>5.54</v>
      </c>
      <c r="F29" s="51">
        <v>0.81</v>
      </c>
      <c r="G29" s="51">
        <v>167.39</v>
      </c>
      <c r="H29" s="51">
        <v>47.40</v>
      </c>
      <c r="I29" s="51">
        <v>1.27</v>
      </c>
      <c r="J29" s="51">
        <v>0.18</v>
      </c>
      <c r="K29" s="51">
        <v>327.98</v>
      </c>
      <c r="L29" s="51">
        <v>18.190000000000001</v>
      </c>
      <c r="M29" s="51">
        <v>59</v>
      </c>
      <c r="N29" s="51">
        <v>24.30</v>
      </c>
      <c r="O29" s="51">
        <v>0</v>
      </c>
      <c r="P29" s="51">
        <v>3.44</v>
      </c>
      <c r="Q29" s="51">
        <v>47.99</v>
      </c>
      <c r="R29" s="43"/>
      <c r="S29" s="43"/>
      <c r="T29" s="43"/>
      <c r="U29" s="43"/>
    </row>
    <row r="30" spans="1:21" s="11" customFormat="1" ht="15">
      <c r="A30" s="50" t="s">
        <v>251</v>
      </c>
      <c r="B30" s="51">
        <v>125.43</v>
      </c>
      <c r="C30" s="51">
        <v>71.260000000000005</v>
      </c>
      <c r="D30" s="51">
        <v>139.88999999999999</v>
      </c>
      <c r="E30" s="51">
        <v>5.58</v>
      </c>
      <c r="F30" s="51">
        <v>1.28</v>
      </c>
      <c r="G30" s="51">
        <v>167.39</v>
      </c>
      <c r="H30" s="51">
        <v>47.40</v>
      </c>
      <c r="I30" s="51">
        <v>1.47</v>
      </c>
      <c r="J30" s="51">
        <v>0.28000000000000003</v>
      </c>
      <c r="K30" s="51">
        <v>72.80</v>
      </c>
      <c r="L30" s="51">
        <v>18.46</v>
      </c>
      <c r="M30" s="51">
        <v>51</v>
      </c>
      <c r="N30" s="51">
        <v>23.90</v>
      </c>
      <c r="O30" s="51">
        <v>0</v>
      </c>
      <c r="P30" s="51">
        <v>3.60</v>
      </c>
      <c r="Q30" s="51">
        <v>48.47</v>
      </c>
      <c r="R30" s="43"/>
      <c r="S30" s="43"/>
      <c r="T30" s="43"/>
      <c r="U30" s="43"/>
    </row>
    <row r="31" spans="1:21" s="11" customFormat="1" ht="15">
      <c r="A31" s="50" t="s">
        <v>252</v>
      </c>
      <c r="B31" s="51">
        <v>111.65</v>
      </c>
      <c r="C31" s="51">
        <v>70.180000000000007</v>
      </c>
      <c r="D31" s="51">
        <v>128.26</v>
      </c>
      <c r="E31" s="51">
        <v>5.42</v>
      </c>
      <c r="F31" s="51">
        <v>0.92</v>
      </c>
      <c r="G31" s="51">
        <v>156.43</v>
      </c>
      <c r="H31" s="51">
        <v>47.12</v>
      </c>
      <c r="I31" s="51">
        <v>1.46</v>
      </c>
      <c r="J31" s="51">
        <v>0.26</v>
      </c>
      <c r="K31" s="51">
        <v>79.28</v>
      </c>
      <c r="L31" s="51">
        <v>18.05</v>
      </c>
      <c r="M31" s="51">
        <v>54</v>
      </c>
      <c r="N31" s="51">
        <v>24.40</v>
      </c>
      <c r="O31" s="51">
        <v>0</v>
      </c>
      <c r="P31" s="51">
        <v>3.48</v>
      </c>
      <c r="Q31" s="51">
        <v>47.28</v>
      </c>
      <c r="R31" s="43"/>
      <c r="S31" s="43"/>
      <c r="T31" s="43"/>
      <c r="U31" s="43"/>
    </row>
    <row r="32" spans="1:21" s="11" customFormat="1" ht="15">
      <c r="A32" s="50" t="s">
        <v>253</v>
      </c>
      <c r="B32" s="51">
        <v>93.20</v>
      </c>
      <c r="C32" s="51">
        <v>67</v>
      </c>
      <c r="D32" s="51">
        <v>111.71</v>
      </c>
      <c r="E32" s="51">
        <v>5.52</v>
      </c>
      <c r="F32" s="51">
        <v>0.62</v>
      </c>
      <c r="G32" s="51">
        <v>65.819999999999993</v>
      </c>
      <c r="H32" s="51">
        <v>44.26</v>
      </c>
      <c r="I32" s="51">
        <v>1.39</v>
      </c>
      <c r="J32" s="51">
        <v>0.32</v>
      </c>
      <c r="K32" s="51">
        <v>82.66</v>
      </c>
      <c r="L32" s="51">
        <v>17.72</v>
      </c>
      <c r="M32" s="51">
        <v>52</v>
      </c>
      <c r="N32" s="51">
        <v>24.30</v>
      </c>
      <c r="O32" s="51">
        <v>0</v>
      </c>
      <c r="P32" s="51">
        <v>3.17</v>
      </c>
      <c r="Q32" s="51">
        <v>47.29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4.9699999999999998</v>
      </c>
      <c r="C34" s="28">
        <f t="shared" si="0"/>
        <v>12.109999999999999</v>
      </c>
      <c r="D34" s="28">
        <f t="shared" si="0"/>
        <v>28.609999999999999</v>
      </c>
      <c r="E34" s="28">
        <f t="shared" si="0"/>
        <v>5.2999999999999998</v>
      </c>
      <c r="F34" s="28">
        <f t="shared" si="0"/>
        <v>0.62</v>
      </c>
      <c r="G34" s="28">
        <f t="shared" si="0"/>
        <v>65.25</v>
      </c>
      <c r="H34" s="28">
        <f t="shared" si="0"/>
        <v>31.600000000000001</v>
      </c>
      <c r="I34" s="28">
        <f t="shared" si="0"/>
        <v>0.17999999999999999</v>
      </c>
      <c r="J34" s="28">
        <f t="shared" si="0"/>
        <v>0.11</v>
      </c>
      <c r="K34" s="28">
        <f t="shared" si="0"/>
        <v>12.74</v>
      </c>
      <c r="L34" s="28">
        <f t="shared" si="0"/>
        <v>15.609999999999999</v>
      </c>
      <c r="M34" s="28">
        <f t="shared" si="0"/>
        <v>26</v>
      </c>
      <c r="N34" s="28">
        <f t="shared" si="0"/>
        <v>23.899999999999999</v>
      </c>
      <c r="O34" s="28">
        <f t="shared" si="0"/>
        <v>0</v>
      </c>
      <c r="P34" s="28">
        <f t="shared" si="0"/>
        <v>0.65000000000000002</v>
      </c>
      <c r="Q34" s="28">
        <f t="shared" si="0"/>
        <v>27.129999999999999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125.43000000000001</v>
      </c>
      <c r="C35" s="29">
        <f t="shared" si="1"/>
        <v>80.810000000000002</v>
      </c>
      <c r="D35" s="29">
        <f t="shared" si="1"/>
        <v>139.88999999999999</v>
      </c>
      <c r="E35" s="29">
        <f t="shared" si="1"/>
        <v>35.659999999999997</v>
      </c>
      <c r="F35" s="29">
        <f t="shared" si="1"/>
        <v>17.32</v>
      </c>
      <c r="G35" s="29">
        <f t="shared" si="1"/>
        <v>210.96000000000001</v>
      </c>
      <c r="H35" s="29">
        <f t="shared" si="1"/>
        <v>47.399999999999999</v>
      </c>
      <c r="I35" s="29">
        <f t="shared" si="1"/>
        <v>1.47</v>
      </c>
      <c r="J35" s="29">
        <f t="shared" si="1"/>
        <v>1.52</v>
      </c>
      <c r="K35" s="29">
        <f t="shared" si="1"/>
        <v>354.22000000000003</v>
      </c>
      <c r="L35" s="29">
        <f t="shared" si="1"/>
        <v>27.300000000000001</v>
      </c>
      <c r="M35" s="29">
        <f t="shared" si="1"/>
        <v>61</v>
      </c>
      <c r="N35" s="29">
        <f t="shared" si="1"/>
        <v>499.39999999999998</v>
      </c>
      <c r="O35" s="29">
        <f t="shared" si="1"/>
        <v>0</v>
      </c>
      <c r="P35" s="29">
        <f t="shared" si="1"/>
        <v>3.6000000000000001</v>
      </c>
      <c r="Q35" s="29">
        <f t="shared" si="1"/>
        <v>48.469999999999999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39.182500000000012</v>
      </c>
      <c r="C36" s="28">
        <f t="shared" si="2"/>
        <v>51.000000000000007</v>
      </c>
      <c r="D36" s="28">
        <f t="shared" si="2"/>
        <v>58.337500000000006</v>
      </c>
      <c r="E36" s="28">
        <f t="shared" si="2"/>
        <v>9.1829166666666673</v>
      </c>
      <c r="F36" s="28">
        <f t="shared" si="2"/>
        <v>3.4925000000000002</v>
      </c>
      <c r="G36" s="28">
        <f t="shared" si="2"/>
        <v>121.86235294117648</v>
      </c>
      <c r="H36" s="28">
        <f t="shared" si="2"/>
        <v>39.882941176470581</v>
      </c>
      <c r="I36" s="28">
        <f t="shared" si="2"/>
        <v>0.73222222222222244</v>
      </c>
      <c r="J36" s="28">
        <f t="shared" si="2"/>
        <v>0.82416666666666671</v>
      </c>
      <c r="K36" s="28">
        <f t="shared" si="2"/>
        <v>118.76458333333335</v>
      </c>
      <c r="L36" s="28">
        <f t="shared" si="2"/>
        <v>20.317083333333333</v>
      </c>
      <c r="M36" s="28">
        <f t="shared" si="2"/>
        <v>48.416666666666664</v>
      </c>
      <c r="N36" s="28">
        <f t="shared" si="2"/>
        <v>146.09166666666667</v>
      </c>
      <c r="O36" s="28">
        <f t="shared" si="2"/>
        <v>0</v>
      </c>
      <c r="P36" s="28">
        <f t="shared" si="2"/>
        <v>1.8854166666666667</v>
      </c>
      <c r="Q36" s="28">
        <f t="shared" si="2"/>
        <v>38.503333333333337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39.860612274143065</v>
      </c>
      <c r="C37" s="28">
        <f t="shared" si="3" ref="C37:Q37">STDEV(C9:C32)</f>
        <v>22.207854857939431</v>
      </c>
      <c r="D37" s="28">
        <f t="shared" si="3"/>
        <v>37.362281171628489</v>
      </c>
      <c r="E37" s="28">
        <f t="shared" si="3"/>
        <v>7.1394753668944579</v>
      </c>
      <c r="F37" s="28">
        <f t="shared" si="3"/>
        <v>4.820346595873354</v>
      </c>
      <c r="G37" s="28">
        <f t="shared" si="3"/>
        <v>48.493468313966197</v>
      </c>
      <c r="H37" s="28">
        <f t="shared" si="3"/>
        <v>5.168317865497781</v>
      </c>
      <c r="I37" s="28">
        <f t="shared" si="3"/>
        <v>0.4805212311592183</v>
      </c>
      <c r="J37" s="28">
        <f t="shared" si="3"/>
        <v>0.48113016106253154</v>
      </c>
      <c r="K37" s="28">
        <f t="shared" si="3"/>
        <v>94.535794968115752</v>
      </c>
      <c r="L37" s="28">
        <f t="shared" si="3"/>
        <v>3.9388372585415716</v>
      </c>
      <c r="M37" s="28">
        <f t="shared" si="3"/>
        <v>12.222277118892968</v>
      </c>
      <c r="N37" s="28">
        <f t="shared" si="3"/>
        <v>174.73219239158823</v>
      </c>
      <c r="O37" s="28">
        <f t="shared" si="3"/>
        <v>0</v>
      </c>
      <c r="P37" s="28">
        <f t="shared" si="3"/>
        <v>0.94830732115824101</v>
      </c>
      <c r="Q37" s="28">
        <f t="shared" si="3"/>
        <v>6.9153557339833025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19</v>
      </c>
      <c r="H38" s="32">
        <f>COUNT(H9:H32)+2</f>
        <v>19</v>
      </c>
      <c r="I38" s="32">
        <f>COUNT(I9:I32)+6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8a340a-20b8-4545-bd9c-46d84566ff5b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321</v>
      </c>
      <c r="B9" s="51">
        <v>73.540000000000006</v>
      </c>
      <c r="C9" s="51">
        <v>65.41</v>
      </c>
      <c r="D9" s="51">
        <v>95.07</v>
      </c>
      <c r="E9" s="51">
        <v>6.71</v>
      </c>
      <c r="F9" s="51">
        <v>0.99</v>
      </c>
      <c r="G9" s="51">
        <v>146.86000000000001</v>
      </c>
      <c r="H9" s="51">
        <v>42.42</v>
      </c>
      <c r="I9" s="51">
        <v>1.1000000000000001</v>
      </c>
      <c r="J9" s="51">
        <v>0.32</v>
      </c>
      <c r="K9" s="51">
        <v>95.67</v>
      </c>
      <c r="L9" s="51">
        <v>17.34</v>
      </c>
      <c r="M9" s="51">
        <v>55</v>
      </c>
      <c r="N9" s="51">
        <v>24.20</v>
      </c>
      <c r="O9" s="51">
        <v>0</v>
      </c>
      <c r="P9" s="51">
        <v>2.70</v>
      </c>
      <c r="Q9" s="51">
        <v>46.60</v>
      </c>
      <c r="R9" s="43"/>
      <c r="S9" s="43"/>
      <c r="T9" s="43"/>
      <c r="U9" s="43"/>
    </row>
    <row r="10" spans="1:21" s="11" customFormat="1" ht="15">
      <c r="A10" s="50" t="s">
        <v>322</v>
      </c>
      <c r="B10" s="51">
        <v>48.64</v>
      </c>
      <c r="C10" s="51">
        <v>64.48</v>
      </c>
      <c r="D10" s="51">
        <v>74.59</v>
      </c>
      <c r="E10" s="51">
        <v>6.26</v>
      </c>
      <c r="F10" s="51">
        <v>0.82</v>
      </c>
      <c r="G10" s="51">
        <v>146.86000000000001</v>
      </c>
      <c r="H10" s="51">
        <v>38.89</v>
      </c>
      <c r="I10" s="51">
        <v>0.87</v>
      </c>
      <c r="J10" s="51">
        <v>0.65</v>
      </c>
      <c r="K10" s="51">
        <v>54.88</v>
      </c>
      <c r="L10" s="51">
        <v>16.84</v>
      </c>
      <c r="M10" s="51">
        <v>57</v>
      </c>
      <c r="N10" s="51">
        <v>24.10</v>
      </c>
      <c r="O10" s="51">
        <v>0</v>
      </c>
      <c r="P10" s="51">
        <v>2.06</v>
      </c>
      <c r="Q10" s="51">
        <v>44.03</v>
      </c>
      <c r="R10" s="43"/>
      <c r="S10" s="43"/>
      <c r="T10" s="43"/>
      <c r="U10" s="43"/>
    </row>
    <row r="11" spans="1:21" s="11" customFormat="1" ht="15">
      <c r="A11" s="50" t="s">
        <v>323</v>
      </c>
      <c r="B11" s="51">
        <v>27.88</v>
      </c>
      <c r="C11" s="51">
        <v>62.96</v>
      </c>
      <c r="D11" s="51">
        <v>57.11</v>
      </c>
      <c r="E11" s="51">
        <v>8.58</v>
      </c>
      <c r="F11" s="51">
        <v>1.04</v>
      </c>
      <c r="G11" s="53" t="s">
        <v>8</v>
      </c>
      <c r="H11" s="51">
        <v>34.369999999999997</v>
      </c>
      <c r="I11" s="51">
        <v>0.70</v>
      </c>
      <c r="J11" s="51">
        <v>1.02</v>
      </c>
      <c r="K11" s="51">
        <v>16.420000000000002</v>
      </c>
      <c r="L11" s="51">
        <v>16.84</v>
      </c>
      <c r="M11" s="51">
        <v>57</v>
      </c>
      <c r="N11" s="51">
        <v>24.40</v>
      </c>
      <c r="O11" s="51">
        <v>0</v>
      </c>
      <c r="P11" s="51">
        <v>1.76</v>
      </c>
      <c r="Q11" s="51">
        <v>42.09</v>
      </c>
      <c r="R11" s="43"/>
      <c r="S11" s="43"/>
      <c r="T11" s="43"/>
      <c r="U11" s="43"/>
    </row>
    <row r="12" spans="1:21" s="11" customFormat="1" ht="15">
      <c r="A12" s="50" t="s">
        <v>324</v>
      </c>
      <c r="B12" s="51">
        <v>18.02</v>
      </c>
      <c r="C12" s="51">
        <v>60.40</v>
      </c>
      <c r="D12" s="51">
        <v>47.79</v>
      </c>
      <c r="E12" s="51">
        <v>7.95</v>
      </c>
      <c r="F12" s="51">
        <v>1.1000000000000001</v>
      </c>
      <c r="G12" s="53" t="s">
        <v>8</v>
      </c>
      <c r="H12" s="51">
        <v>31.51</v>
      </c>
      <c r="I12" s="51">
        <v>0.60</v>
      </c>
      <c r="J12" s="51">
        <v>0.76</v>
      </c>
      <c r="K12" s="51">
        <v>72.81</v>
      </c>
      <c r="L12" s="51">
        <v>16.04</v>
      </c>
      <c r="M12" s="51">
        <v>59</v>
      </c>
      <c r="N12" s="51">
        <v>24.40</v>
      </c>
      <c r="O12" s="51">
        <v>0</v>
      </c>
      <c r="P12" s="51">
        <v>1.42</v>
      </c>
      <c r="Q12" s="51">
        <v>41.10</v>
      </c>
      <c r="R12" s="43"/>
      <c r="S12" s="43"/>
      <c r="T12" s="43"/>
      <c r="U12" s="43"/>
    </row>
    <row r="13" spans="1:21" s="11" customFormat="1" ht="15">
      <c r="A13" s="50" t="s">
        <v>325</v>
      </c>
      <c r="B13" s="51">
        <v>11.08</v>
      </c>
      <c r="C13" s="51">
        <v>56.78</v>
      </c>
      <c r="D13" s="51">
        <v>40.22</v>
      </c>
      <c r="E13" s="51">
        <v>4.88</v>
      </c>
      <c r="F13" s="51">
        <v>0.91</v>
      </c>
      <c r="G13" s="53" t="s">
        <v>8</v>
      </c>
      <c r="H13" s="51">
        <v>28.01</v>
      </c>
      <c r="I13" s="51">
        <v>0.53</v>
      </c>
      <c r="J13" s="51">
        <v>0.72</v>
      </c>
      <c r="K13" s="51">
        <v>118.95</v>
      </c>
      <c r="L13" s="51">
        <v>15.44</v>
      </c>
      <c r="M13" s="51">
        <v>60</v>
      </c>
      <c r="N13" s="51">
        <v>23.90</v>
      </c>
      <c r="O13" s="51">
        <v>0</v>
      </c>
      <c r="P13" s="51">
        <v>1.18</v>
      </c>
      <c r="Q13" s="51">
        <v>39.799999999999997</v>
      </c>
      <c r="R13" s="43"/>
      <c r="S13" s="43"/>
      <c r="T13" s="43"/>
      <c r="U13" s="43"/>
    </row>
    <row r="14" spans="1:21" s="11" customFormat="1" ht="15">
      <c r="A14" s="50" t="s">
        <v>254</v>
      </c>
      <c r="B14" s="51">
        <v>6.98</v>
      </c>
      <c r="C14" s="51">
        <v>52.76</v>
      </c>
      <c r="D14" s="51">
        <v>34.72</v>
      </c>
      <c r="E14" s="51">
        <v>4.78</v>
      </c>
      <c r="F14" s="51">
        <v>0.75</v>
      </c>
      <c r="G14" s="51">
        <v>36.94</v>
      </c>
      <c r="H14" s="51">
        <v>27.19</v>
      </c>
      <c r="I14" s="51">
        <v>0.47</v>
      </c>
      <c r="J14" s="51">
        <v>0.70</v>
      </c>
      <c r="K14" s="51">
        <v>105.76</v>
      </c>
      <c r="L14" s="51">
        <v>15.32</v>
      </c>
      <c r="M14" s="51">
        <v>65</v>
      </c>
      <c r="N14" s="51">
        <v>24.30</v>
      </c>
      <c r="O14" s="51">
        <v>0</v>
      </c>
      <c r="P14" s="51">
        <v>1.03</v>
      </c>
      <c r="Q14" s="51">
        <v>38.630000000000003</v>
      </c>
      <c r="R14" s="43"/>
      <c r="S14" s="43"/>
      <c r="T14" s="43"/>
      <c r="U14" s="43"/>
    </row>
    <row r="15" spans="1:21" s="11" customFormat="1" ht="15">
      <c r="A15" s="50" t="s">
        <v>255</v>
      </c>
      <c r="B15" s="51">
        <v>12.52</v>
      </c>
      <c r="C15" s="51">
        <v>52.96</v>
      </c>
      <c r="D15" s="51">
        <v>39.270000000000003</v>
      </c>
      <c r="E15" s="51">
        <v>4.96</v>
      </c>
      <c r="F15" s="51">
        <v>0.80</v>
      </c>
      <c r="G15" s="51">
        <v>82.31</v>
      </c>
      <c r="H15" s="51">
        <v>24.76</v>
      </c>
      <c r="I15" s="51">
        <v>0.45</v>
      </c>
      <c r="J15" s="51">
        <v>0.68</v>
      </c>
      <c r="K15" s="51">
        <v>105.32</v>
      </c>
      <c r="L15" s="51">
        <v>14.67</v>
      </c>
      <c r="M15" s="51">
        <v>67</v>
      </c>
      <c r="N15" s="51">
        <v>38.299999999999997</v>
      </c>
      <c r="O15" s="51">
        <v>0</v>
      </c>
      <c r="P15" s="51">
        <v>0.96</v>
      </c>
      <c r="Q15" s="51">
        <v>39.57</v>
      </c>
      <c r="R15" s="43"/>
      <c r="S15" s="43"/>
      <c r="T15" s="43"/>
      <c r="U15" s="43"/>
    </row>
    <row r="16" spans="1:21" s="11" customFormat="1" ht="15">
      <c r="A16" s="50" t="s">
        <v>256</v>
      </c>
      <c r="B16" s="51">
        <v>16.82</v>
      </c>
      <c r="C16" s="51">
        <v>56.78</v>
      </c>
      <c r="D16" s="51">
        <v>44.82</v>
      </c>
      <c r="E16" s="51">
        <v>4.8499999999999996</v>
      </c>
      <c r="F16" s="51">
        <v>0.82</v>
      </c>
      <c r="G16" s="51">
        <v>99.06</v>
      </c>
      <c r="H16" s="51">
        <v>27.43</v>
      </c>
      <c r="I16" s="51">
        <v>0.43</v>
      </c>
      <c r="J16" s="51">
        <v>0.61</v>
      </c>
      <c r="K16" s="51">
        <v>64.430000000000007</v>
      </c>
      <c r="L16" s="51">
        <v>18</v>
      </c>
      <c r="M16" s="51">
        <v>66</v>
      </c>
      <c r="N16" s="51">
        <v>208.30</v>
      </c>
      <c r="O16" s="51">
        <v>0</v>
      </c>
      <c r="P16" s="51">
        <v>1.01</v>
      </c>
      <c r="Q16" s="51">
        <v>39.880000000000003</v>
      </c>
      <c r="R16" s="43"/>
      <c r="S16" s="43"/>
      <c r="T16" s="43"/>
      <c r="U16" s="43"/>
    </row>
    <row r="17" spans="1:21" s="11" customFormat="1" ht="15">
      <c r="A17" s="50" t="s">
        <v>257</v>
      </c>
      <c r="B17" s="51">
        <v>21.21</v>
      </c>
      <c r="C17" s="51">
        <v>62.69</v>
      </c>
      <c r="D17" s="51">
        <v>51.61</v>
      </c>
      <c r="E17" s="51">
        <v>7.54</v>
      </c>
      <c r="F17" s="51">
        <v>1.0900000000000001</v>
      </c>
      <c r="G17" s="51">
        <v>108.68</v>
      </c>
      <c r="H17" s="51">
        <v>30.45</v>
      </c>
      <c r="I17" s="51">
        <v>0.40</v>
      </c>
      <c r="J17" s="51">
        <v>1.28</v>
      </c>
      <c r="K17" s="51">
        <v>13.59</v>
      </c>
      <c r="L17" s="51">
        <v>21.43</v>
      </c>
      <c r="M17" s="51">
        <v>50</v>
      </c>
      <c r="N17" s="51">
        <v>344.60</v>
      </c>
      <c r="O17" s="51">
        <v>0</v>
      </c>
      <c r="P17" s="51">
        <v>1.05</v>
      </c>
      <c r="Q17" s="51">
        <v>39.409999999999997</v>
      </c>
      <c r="R17" s="43"/>
      <c r="S17" s="43"/>
      <c r="T17" s="43"/>
      <c r="U17" s="43"/>
    </row>
    <row r="18" spans="1:21" s="11" customFormat="1" ht="15">
      <c r="A18" s="50" t="s">
        <v>258</v>
      </c>
      <c r="B18" s="51">
        <v>22.47</v>
      </c>
      <c r="C18" s="51">
        <v>65.58</v>
      </c>
      <c r="D18" s="51">
        <v>53.28</v>
      </c>
      <c r="E18" s="51">
        <v>7.68</v>
      </c>
      <c r="F18" s="51">
        <v>1.23</v>
      </c>
      <c r="G18" s="51">
        <v>108.68</v>
      </c>
      <c r="H18" s="51">
        <v>31</v>
      </c>
      <c r="I18" s="51">
        <v>0.38</v>
      </c>
      <c r="J18" s="51">
        <v>1.1200000000000001</v>
      </c>
      <c r="K18" s="51">
        <v>77.87</v>
      </c>
      <c r="L18" s="51">
        <v>23.87</v>
      </c>
      <c r="M18" s="51">
        <v>44</v>
      </c>
      <c r="N18" s="51">
        <v>405.30</v>
      </c>
      <c r="O18" s="51">
        <v>0</v>
      </c>
      <c r="P18" s="51">
        <v>1.07</v>
      </c>
      <c r="Q18" s="51">
        <v>38.520000000000003</v>
      </c>
      <c r="R18" s="43"/>
      <c r="S18" s="43"/>
      <c r="T18" s="43"/>
      <c r="U18" s="43"/>
    </row>
    <row r="19" spans="1:21" s="11" customFormat="1" ht="15">
      <c r="A19" s="50" t="s">
        <v>259</v>
      </c>
      <c r="B19" s="51">
        <v>19.47</v>
      </c>
      <c r="C19" s="51">
        <v>64.38</v>
      </c>
      <c r="D19" s="51">
        <v>50.70</v>
      </c>
      <c r="E19" s="51">
        <v>10.26</v>
      </c>
      <c r="F19" s="51">
        <v>5.35</v>
      </c>
      <c r="G19" s="51">
        <v>69.84</v>
      </c>
      <c r="H19" s="51">
        <v>31</v>
      </c>
      <c r="I19" s="51">
        <v>0.39</v>
      </c>
      <c r="J19" s="51">
        <v>1.18</v>
      </c>
      <c r="K19" s="51">
        <v>98.61</v>
      </c>
      <c r="L19" s="51">
        <v>25.60</v>
      </c>
      <c r="M19" s="51">
        <v>45</v>
      </c>
      <c r="N19" s="51">
        <v>459.70</v>
      </c>
      <c r="O19" s="51">
        <v>0</v>
      </c>
      <c r="P19" s="51">
        <v>1.05</v>
      </c>
      <c r="Q19" s="51">
        <v>40.01</v>
      </c>
      <c r="R19" s="43"/>
      <c r="S19" s="43"/>
      <c r="T19" s="43"/>
      <c r="U19" s="43"/>
    </row>
    <row r="20" spans="1:21" s="11" customFormat="1" ht="15">
      <c r="A20" s="50" t="s">
        <v>260</v>
      </c>
      <c r="B20" s="51">
        <v>2.0499999999999998</v>
      </c>
      <c r="C20" s="51">
        <v>65.12</v>
      </c>
      <c r="D20" s="51">
        <v>37.5</v>
      </c>
      <c r="E20" s="51">
        <v>9.07</v>
      </c>
      <c r="F20" s="51">
        <v>6.18</v>
      </c>
      <c r="G20" s="51">
        <v>69.84</v>
      </c>
      <c r="H20" s="51">
        <v>31.52</v>
      </c>
      <c r="I20" s="51">
        <v>0.36</v>
      </c>
      <c r="J20" s="51">
        <v>1.58</v>
      </c>
      <c r="K20" s="51">
        <v>108.14</v>
      </c>
      <c r="L20" s="51">
        <v>25.38</v>
      </c>
      <c r="M20" s="51">
        <v>37</v>
      </c>
      <c r="N20" s="51">
        <v>470.20</v>
      </c>
      <c r="O20" s="51">
        <v>0</v>
      </c>
      <c r="P20" s="51">
        <v>1</v>
      </c>
      <c r="Q20" s="51">
        <v>37.33</v>
      </c>
      <c r="R20" s="43"/>
      <c r="S20" s="43"/>
      <c r="T20" s="43"/>
      <c r="U20" s="43"/>
    </row>
    <row r="21" spans="1:21" s="11" customFormat="1" ht="15">
      <c r="A21" s="50" t="s">
        <v>261</v>
      </c>
      <c r="B21" s="51">
        <v>4.6100000000000003</v>
      </c>
      <c r="C21" s="51">
        <v>63.52</v>
      </c>
      <c r="D21" s="51">
        <v>38.090000000000003</v>
      </c>
      <c r="E21" s="51">
        <v>16.649999999999999</v>
      </c>
      <c r="F21" s="51">
        <v>8.23</v>
      </c>
      <c r="G21" s="51">
        <v>64.02</v>
      </c>
      <c r="H21" s="51">
        <v>32.409999999999997</v>
      </c>
      <c r="I21" s="51">
        <v>0.25</v>
      </c>
      <c r="J21" s="51">
        <v>1.27</v>
      </c>
      <c r="K21" s="51">
        <v>112.27</v>
      </c>
      <c r="L21" s="51">
        <v>25.61</v>
      </c>
      <c r="M21" s="51">
        <v>34</v>
      </c>
      <c r="N21" s="51">
        <v>482.30</v>
      </c>
      <c r="O21" s="51">
        <v>0</v>
      </c>
      <c r="P21" s="51">
        <v>0.85</v>
      </c>
      <c r="Q21" s="51">
        <v>33.19</v>
      </c>
      <c r="R21" s="43"/>
      <c r="S21" s="43"/>
      <c r="T21" s="43"/>
      <c r="U21" s="43"/>
    </row>
    <row r="22" spans="1:21" s="11" customFormat="1" ht="15">
      <c r="A22" s="50" t="s">
        <v>262</v>
      </c>
      <c r="B22" s="51">
        <v>3.02</v>
      </c>
      <c r="C22" s="51">
        <v>68.06</v>
      </c>
      <c r="D22" s="51">
        <v>39.520000000000003</v>
      </c>
      <c r="E22" s="51">
        <v>15.33</v>
      </c>
      <c r="F22" s="51">
        <v>7.65</v>
      </c>
      <c r="G22" s="51">
        <v>36.46</v>
      </c>
      <c r="H22" s="51">
        <v>32.409999999999997</v>
      </c>
      <c r="I22" s="51">
        <v>0.20</v>
      </c>
      <c r="J22" s="51">
        <v>1.63</v>
      </c>
      <c r="K22" s="51">
        <v>129.77000000000001</v>
      </c>
      <c r="L22" s="51">
        <v>26.20</v>
      </c>
      <c r="M22" s="51">
        <v>34</v>
      </c>
      <c r="N22" s="51">
        <v>438.5</v>
      </c>
      <c r="O22" s="51">
        <v>0</v>
      </c>
      <c r="P22" s="51">
        <v>0.76</v>
      </c>
      <c r="Q22" s="51">
        <v>31.01</v>
      </c>
      <c r="R22" s="43"/>
      <c r="S22" s="43"/>
      <c r="T22" s="43"/>
      <c r="U22" s="43"/>
    </row>
    <row r="23" spans="1:21" s="11" customFormat="1" ht="15">
      <c r="A23" s="50" t="s">
        <v>263</v>
      </c>
      <c r="B23" s="51">
        <v>4</v>
      </c>
      <c r="C23" s="51">
        <v>65.30</v>
      </c>
      <c r="D23" s="51">
        <v>39.25</v>
      </c>
      <c r="E23" s="51">
        <v>12.12</v>
      </c>
      <c r="F23" s="51">
        <v>9.66</v>
      </c>
      <c r="G23" s="51">
        <v>72.66</v>
      </c>
      <c r="H23" s="51">
        <v>31.27</v>
      </c>
      <c r="I23" s="51">
        <v>0.20</v>
      </c>
      <c r="J23" s="51">
        <v>1.32</v>
      </c>
      <c r="K23" s="51">
        <v>118.14</v>
      </c>
      <c r="L23" s="51">
        <v>27.06</v>
      </c>
      <c r="M23" s="51">
        <v>33</v>
      </c>
      <c r="N23" s="51">
        <v>286.5</v>
      </c>
      <c r="O23" s="51">
        <v>0</v>
      </c>
      <c r="P23" s="51">
        <v>0.78</v>
      </c>
      <c r="Q23" s="51">
        <v>33.03</v>
      </c>
      <c r="R23" s="43"/>
      <c r="S23" s="43"/>
      <c r="T23" s="43"/>
      <c r="U23" s="43"/>
    </row>
    <row r="24" spans="1:21" s="11" customFormat="1" ht="15">
      <c r="A24" s="50" t="s">
        <v>264</v>
      </c>
      <c r="B24" s="51">
        <v>3.78</v>
      </c>
      <c r="C24" s="51">
        <v>73.63</v>
      </c>
      <c r="D24" s="51">
        <v>43.67</v>
      </c>
      <c r="E24" s="51">
        <v>7.81</v>
      </c>
      <c r="F24" s="51">
        <v>6.55</v>
      </c>
      <c r="G24" s="51">
        <v>72.66</v>
      </c>
      <c r="H24" s="51">
        <v>29.46</v>
      </c>
      <c r="I24" s="51">
        <v>0.20</v>
      </c>
      <c r="J24" s="51">
        <v>1.39</v>
      </c>
      <c r="K24" s="51">
        <v>121.42</v>
      </c>
      <c r="L24" s="51">
        <v>25.49</v>
      </c>
      <c r="M24" s="51">
        <v>33</v>
      </c>
      <c r="N24" s="51">
        <v>170.80</v>
      </c>
      <c r="O24" s="51">
        <v>0</v>
      </c>
      <c r="P24" s="51">
        <v>0.83</v>
      </c>
      <c r="Q24" s="51">
        <v>32.049999999999997</v>
      </c>
      <c r="R24" s="43"/>
      <c r="S24" s="43"/>
      <c r="T24" s="43"/>
      <c r="U24" s="43"/>
    </row>
    <row r="25" spans="1:21" s="11" customFormat="1" ht="15">
      <c r="A25" s="50" t="s">
        <v>265</v>
      </c>
      <c r="B25" s="51">
        <v>3.86</v>
      </c>
      <c r="C25" s="51">
        <v>65.239999999999995</v>
      </c>
      <c r="D25" s="51">
        <v>39.06</v>
      </c>
      <c r="E25" s="51">
        <v>6.37</v>
      </c>
      <c r="F25" s="51">
        <v>3.62</v>
      </c>
      <c r="G25" s="51">
        <v>58.10</v>
      </c>
      <c r="H25" s="51">
        <v>26.69</v>
      </c>
      <c r="I25" s="51">
        <v>0.22</v>
      </c>
      <c r="J25" s="51">
        <v>0.92</v>
      </c>
      <c r="K25" s="51">
        <v>112.24</v>
      </c>
      <c r="L25" s="51">
        <v>24.66</v>
      </c>
      <c r="M25" s="51">
        <v>33</v>
      </c>
      <c r="N25" s="51">
        <v>68</v>
      </c>
      <c r="O25" s="51">
        <v>0</v>
      </c>
      <c r="P25" s="51">
        <v>0.80</v>
      </c>
      <c r="Q25" s="51">
        <v>34.24</v>
      </c>
      <c r="R25" s="43"/>
      <c r="S25" s="43"/>
      <c r="T25" s="43"/>
      <c r="U25" s="43"/>
    </row>
    <row r="26" spans="1:21" s="11" customFormat="1" ht="15">
      <c r="A26" s="50" t="s">
        <v>266</v>
      </c>
      <c r="B26" s="51">
        <v>6.72</v>
      </c>
      <c r="C26" s="51">
        <v>75.260000000000005</v>
      </c>
      <c r="D26" s="51">
        <v>46.93</v>
      </c>
      <c r="E26" s="51">
        <v>5.71</v>
      </c>
      <c r="F26" s="51">
        <v>2.5499999999999998</v>
      </c>
      <c r="G26" s="51">
        <v>58.08</v>
      </c>
      <c r="H26" s="51">
        <v>24.70</v>
      </c>
      <c r="I26" s="51">
        <v>0.28000000000000003</v>
      </c>
      <c r="J26" s="51">
        <v>0.40</v>
      </c>
      <c r="K26" s="51">
        <v>82.95</v>
      </c>
      <c r="L26" s="51">
        <v>23.65</v>
      </c>
      <c r="M26" s="51">
        <v>37</v>
      </c>
      <c r="N26" s="51">
        <v>31.5</v>
      </c>
      <c r="O26" s="51">
        <v>0</v>
      </c>
      <c r="P26" s="51">
        <v>1.02</v>
      </c>
      <c r="Q26" s="51">
        <v>39.479999999999997</v>
      </c>
      <c r="R26" s="43"/>
      <c r="S26" s="43"/>
      <c r="T26" s="43"/>
      <c r="U26" s="43"/>
    </row>
    <row r="27" spans="1:21" s="11" customFormat="1" ht="15">
      <c r="A27" s="50" t="s">
        <v>267</v>
      </c>
      <c r="B27" s="51">
        <v>16.989999999999998</v>
      </c>
      <c r="C27" s="51">
        <v>95.80</v>
      </c>
      <c r="D27" s="51">
        <v>66.489999999999995</v>
      </c>
      <c r="E27" s="51">
        <v>4.66</v>
      </c>
      <c r="F27" s="51">
        <v>0.76</v>
      </c>
      <c r="G27" s="51">
        <v>56.62</v>
      </c>
      <c r="H27" s="51">
        <v>26.71</v>
      </c>
      <c r="I27" s="51">
        <v>0.43</v>
      </c>
      <c r="J27" s="51">
        <v>0.23</v>
      </c>
      <c r="K27" s="51">
        <v>72.680000000000007</v>
      </c>
      <c r="L27" s="51">
        <v>21.65</v>
      </c>
      <c r="M27" s="51">
        <v>45</v>
      </c>
      <c r="N27" s="51">
        <v>24.5</v>
      </c>
      <c r="O27" s="51">
        <v>0</v>
      </c>
      <c r="P27" s="51">
        <v>1.58</v>
      </c>
      <c r="Q27" s="51">
        <v>41.73</v>
      </c>
      <c r="R27" s="43"/>
      <c r="S27" s="43"/>
      <c r="T27" s="43"/>
      <c r="U27" s="43"/>
    </row>
    <row r="28" spans="1:21" s="11" customFormat="1" ht="15">
      <c r="A28" s="50" t="s">
        <v>268</v>
      </c>
      <c r="B28" s="51">
        <v>39.729999999999997</v>
      </c>
      <c r="C28" s="51">
        <v>109.54</v>
      </c>
      <c r="D28" s="51">
        <v>92.31</v>
      </c>
      <c r="E28" s="51">
        <v>4.3600000000000003</v>
      </c>
      <c r="F28" s="51">
        <v>0.75</v>
      </c>
      <c r="G28" s="51">
        <v>207.25</v>
      </c>
      <c r="H28" s="51">
        <v>35.880000000000003</v>
      </c>
      <c r="I28" s="51">
        <v>0.61</v>
      </c>
      <c r="J28" s="51">
        <v>0.11</v>
      </c>
      <c r="K28" s="51">
        <v>352.08</v>
      </c>
      <c r="L28" s="51">
        <v>20.14</v>
      </c>
      <c r="M28" s="51">
        <v>57</v>
      </c>
      <c r="N28" s="51">
        <v>24.60</v>
      </c>
      <c r="O28" s="51">
        <v>0</v>
      </c>
      <c r="P28" s="51">
        <v>2.17</v>
      </c>
      <c r="Q28" s="51">
        <v>42.86</v>
      </c>
      <c r="R28" s="43"/>
      <c r="S28" s="43"/>
      <c r="T28" s="43"/>
      <c r="U28" s="43"/>
    </row>
    <row r="29" spans="1:21" s="11" customFormat="1" ht="15">
      <c r="A29" s="50" t="s">
        <v>269</v>
      </c>
      <c r="B29" s="51">
        <v>61.29</v>
      </c>
      <c r="C29" s="51">
        <v>116.27</v>
      </c>
      <c r="D29" s="51">
        <v>113.32</v>
      </c>
      <c r="E29" s="51">
        <v>5.48</v>
      </c>
      <c r="F29" s="51">
        <v>0.73</v>
      </c>
      <c r="G29" s="51">
        <v>207.25</v>
      </c>
      <c r="H29" s="51">
        <v>45.41</v>
      </c>
      <c r="I29" s="51">
        <v>0.95</v>
      </c>
      <c r="J29" s="51">
        <v>0.33</v>
      </c>
      <c r="K29" s="51">
        <v>107.06</v>
      </c>
      <c r="L29" s="51">
        <v>19.97</v>
      </c>
      <c r="M29" s="51">
        <v>58</v>
      </c>
      <c r="N29" s="51">
        <v>24.5</v>
      </c>
      <c r="O29" s="51">
        <v>0</v>
      </c>
      <c r="P29" s="51">
        <v>2.88</v>
      </c>
      <c r="Q29" s="51">
        <v>45.82</v>
      </c>
      <c r="R29" s="43"/>
      <c r="S29" s="43"/>
      <c r="T29" s="43"/>
      <c r="U29" s="43"/>
    </row>
    <row r="30" spans="1:21" s="11" customFormat="1" ht="15">
      <c r="A30" s="50" t="s">
        <v>270</v>
      </c>
      <c r="B30" s="51">
        <v>60.93</v>
      </c>
      <c r="C30" s="51">
        <v>116.52</v>
      </c>
      <c r="D30" s="51">
        <v>113.16</v>
      </c>
      <c r="E30" s="51">
        <v>5.34</v>
      </c>
      <c r="F30" s="51">
        <v>0.73</v>
      </c>
      <c r="G30" s="51">
        <v>176.74</v>
      </c>
      <c r="H30" s="51">
        <v>45.41</v>
      </c>
      <c r="I30" s="51">
        <v>1.06</v>
      </c>
      <c r="J30" s="51">
        <v>0.19</v>
      </c>
      <c r="K30" s="51">
        <v>90.71</v>
      </c>
      <c r="L30" s="51">
        <v>20.149999999999999</v>
      </c>
      <c r="M30" s="51">
        <v>52</v>
      </c>
      <c r="N30" s="51">
        <v>24.60</v>
      </c>
      <c r="O30" s="51">
        <v>0</v>
      </c>
      <c r="P30" s="51">
        <v>2.91</v>
      </c>
      <c r="Q30" s="51">
        <v>47.45</v>
      </c>
      <c r="R30" s="43"/>
      <c r="S30" s="43"/>
      <c r="T30" s="43"/>
      <c r="U30" s="43"/>
    </row>
    <row r="31" spans="1:21" s="11" customFormat="1" ht="15">
      <c r="A31" s="50" t="s">
        <v>271</v>
      </c>
      <c r="B31" s="51">
        <v>49.47</v>
      </c>
      <c r="C31" s="51">
        <v>114.75</v>
      </c>
      <c r="D31" s="51">
        <v>102.99</v>
      </c>
      <c r="E31" s="51">
        <v>5.44</v>
      </c>
      <c r="F31" s="51">
        <v>0.70</v>
      </c>
      <c r="G31" s="51">
        <v>125.44</v>
      </c>
      <c r="H31" s="51">
        <v>43.24</v>
      </c>
      <c r="I31" s="51">
        <v>1.05</v>
      </c>
      <c r="J31" s="51">
        <v>0.24</v>
      </c>
      <c r="K31" s="51">
        <v>131.47</v>
      </c>
      <c r="L31" s="51">
        <v>19.600000000000001</v>
      </c>
      <c r="M31" s="51">
        <v>55</v>
      </c>
      <c r="N31" s="51">
        <v>24.70</v>
      </c>
      <c r="O31" s="51">
        <v>0</v>
      </c>
      <c r="P31" s="51">
        <v>2.92</v>
      </c>
      <c r="Q31" s="51">
        <v>46.26</v>
      </c>
      <c r="R31" s="43"/>
      <c r="S31" s="43"/>
      <c r="T31" s="43"/>
      <c r="U31" s="43"/>
    </row>
    <row r="32" spans="1:21" s="11" customFormat="1" ht="15">
      <c r="A32" s="50" t="s">
        <v>272</v>
      </c>
      <c r="B32" s="51">
        <v>45.75</v>
      </c>
      <c r="C32" s="51">
        <v>110.86</v>
      </c>
      <c r="D32" s="51">
        <v>97.47</v>
      </c>
      <c r="E32" s="51">
        <v>5.75</v>
      </c>
      <c r="F32" s="51">
        <v>0.69</v>
      </c>
      <c r="G32" s="51">
        <v>118</v>
      </c>
      <c r="H32" s="51">
        <v>43.24</v>
      </c>
      <c r="I32" s="51">
        <v>1.01</v>
      </c>
      <c r="J32" s="51">
        <v>0.17</v>
      </c>
      <c r="K32" s="51">
        <v>46.01</v>
      </c>
      <c r="L32" s="51">
        <v>19.30</v>
      </c>
      <c r="M32" s="51">
        <v>55</v>
      </c>
      <c r="N32" s="51">
        <v>24.70</v>
      </c>
      <c r="O32" s="51">
        <v>0</v>
      </c>
      <c r="P32" s="51">
        <v>2.85</v>
      </c>
      <c r="Q32" s="51">
        <v>45.17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2.0499999999999998</v>
      </c>
      <c r="C34" s="28">
        <f t="shared" si="0"/>
        <v>52.759999999999998</v>
      </c>
      <c r="D34" s="28">
        <f t="shared" si="0"/>
        <v>34.719999999999999</v>
      </c>
      <c r="E34" s="28">
        <f t="shared" si="0"/>
        <v>4.3600000000000003</v>
      </c>
      <c r="F34" s="28">
        <f t="shared" si="0"/>
        <v>0.68999999999999995</v>
      </c>
      <c r="G34" s="28">
        <f t="shared" si="0"/>
        <v>36.460000000000001</v>
      </c>
      <c r="H34" s="28">
        <f t="shared" si="0"/>
        <v>24.699999999999999</v>
      </c>
      <c r="I34" s="28">
        <f t="shared" si="0"/>
        <v>0.20000000000000001</v>
      </c>
      <c r="J34" s="28">
        <f t="shared" si="0"/>
        <v>0.11</v>
      </c>
      <c r="K34" s="28">
        <f t="shared" si="0"/>
        <v>13.59</v>
      </c>
      <c r="L34" s="28">
        <f t="shared" si="0"/>
        <v>14.67</v>
      </c>
      <c r="M34" s="28">
        <f t="shared" si="0"/>
        <v>33</v>
      </c>
      <c r="N34" s="28">
        <f t="shared" si="0"/>
        <v>23.899999999999999</v>
      </c>
      <c r="O34" s="28">
        <f t="shared" si="0"/>
        <v>0</v>
      </c>
      <c r="P34" s="28">
        <f t="shared" si="0"/>
        <v>0.76000000000000001</v>
      </c>
      <c r="Q34" s="28">
        <f t="shared" si="0"/>
        <v>31.010000000000002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73.540000000000006</v>
      </c>
      <c r="C35" s="29">
        <f t="shared" si="1"/>
        <v>116.52</v>
      </c>
      <c r="D35" s="29">
        <f t="shared" si="1"/>
        <v>113.31999999999999</v>
      </c>
      <c r="E35" s="29">
        <f t="shared" si="1"/>
        <v>16.649999999999999</v>
      </c>
      <c r="F35" s="29">
        <f t="shared" si="1"/>
        <v>9.6600000000000001</v>
      </c>
      <c r="G35" s="29">
        <f t="shared" si="1"/>
        <v>207.25</v>
      </c>
      <c r="H35" s="29">
        <f t="shared" si="1"/>
        <v>45.409999999999997</v>
      </c>
      <c r="I35" s="29">
        <f t="shared" si="1"/>
        <v>1.1000000000000001</v>
      </c>
      <c r="J35" s="29">
        <f t="shared" si="1"/>
        <v>1.6299999999999999</v>
      </c>
      <c r="K35" s="29">
        <f t="shared" si="1"/>
        <v>352.07999999999998</v>
      </c>
      <c r="L35" s="29">
        <f t="shared" si="1"/>
        <v>27.059999999999999</v>
      </c>
      <c r="M35" s="29">
        <f t="shared" si="1"/>
        <v>67</v>
      </c>
      <c r="N35" s="29">
        <f t="shared" si="1"/>
        <v>482.30000000000001</v>
      </c>
      <c r="O35" s="29">
        <f t="shared" si="1"/>
        <v>0</v>
      </c>
      <c r="P35" s="29">
        <f t="shared" si="1"/>
        <v>2.9199999999999999</v>
      </c>
      <c r="Q35" s="29">
        <f t="shared" si="1"/>
        <v>47.450000000000003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24.201250000000002</v>
      </c>
      <c r="C36" s="28">
        <f t="shared" si="2"/>
        <v>75.21041666666666</v>
      </c>
      <c r="D36" s="28">
        <f t="shared" si="2"/>
        <v>60.789166666666667</v>
      </c>
      <c r="E36" s="28">
        <f t="shared" si="2"/>
        <v>7.4391666666666678</v>
      </c>
      <c r="F36" s="28">
        <f t="shared" si="2"/>
        <v>2.6541666666666663</v>
      </c>
      <c r="G36" s="28">
        <f t="shared" si="2"/>
        <v>101.06428571428573</v>
      </c>
      <c r="H36" s="28">
        <f t="shared" si="2"/>
        <v>33.140833333333326</v>
      </c>
      <c r="I36" s="28">
        <f t="shared" si="2"/>
        <v>0.54749999999999999</v>
      </c>
      <c r="J36" s="28">
        <f t="shared" si="2"/>
        <v>0.78416666666666668</v>
      </c>
      <c r="K36" s="28">
        <f t="shared" si="2"/>
        <v>100.38541666666669</v>
      </c>
      <c r="L36" s="28">
        <f t="shared" si="2"/>
        <v>20.843749999999996</v>
      </c>
      <c r="M36" s="28">
        <f t="shared" si="2"/>
        <v>49.5</v>
      </c>
      <c r="N36" s="28">
        <f t="shared" si="2"/>
        <v>154.03749999999999</v>
      </c>
      <c r="O36" s="28">
        <f t="shared" si="2"/>
        <v>0</v>
      </c>
      <c r="P36" s="28">
        <f t="shared" si="2"/>
        <v>1.5266666666666671</v>
      </c>
      <c r="Q36" s="28">
        <f t="shared" si="2"/>
        <v>39.969166666666666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21.634821230458847</v>
      </c>
      <c r="C37" s="28">
        <f t="shared" si="3" ref="C37:Q37">STDEV(C9:C32)</f>
        <v>21.814143692481558</v>
      </c>
      <c r="D37" s="28">
        <f t="shared" si="3"/>
        <v>26.537314650140832</v>
      </c>
      <c r="E37" s="28">
        <f t="shared" si="3"/>
        <v>3.2719186189872365</v>
      </c>
      <c r="F37" s="28">
        <f t="shared" si="3"/>
        <v>2.8918550036816923</v>
      </c>
      <c r="G37" s="28">
        <f t="shared" si="3"/>
        <v>51.339634744652017</v>
      </c>
      <c r="H37" s="28">
        <f t="shared" si="3"/>
        <v>6.566839565883912</v>
      </c>
      <c r="I37" s="28">
        <f t="shared" si="3"/>
        <v>0.30310351223704879</v>
      </c>
      <c r="J37" s="28">
        <f t="shared" si="3"/>
        <v>0.47806600114343561</v>
      </c>
      <c r="K37" s="28">
        <f t="shared" si="3"/>
        <v>62.583396254720505</v>
      </c>
      <c r="L37" s="28">
        <f t="shared" si="3"/>
        <v>3.9914199418469947</v>
      </c>
      <c r="M37" s="28">
        <f t="shared" si="3"/>
        <v>11.492908966912561</v>
      </c>
      <c r="N37" s="28">
        <f t="shared" si="3"/>
        <v>179.3394251194475</v>
      </c>
      <c r="O37" s="28">
        <f t="shared" si="3"/>
        <v>0</v>
      </c>
      <c r="P37" s="28">
        <f t="shared" si="3"/>
        <v>0.78987982942187829</v>
      </c>
      <c r="Q37" s="28">
        <f t="shared" si="3"/>
        <v>4.7366810217122524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COUNT(G9:G32)+3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c0caa2-7f75-4f36-b0e9-fe5f11d080f9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273</v>
      </c>
      <c r="B9" s="51">
        <v>41.06</v>
      </c>
      <c r="C9" s="51">
        <v>105.12</v>
      </c>
      <c r="D9" s="51">
        <v>90.94</v>
      </c>
      <c r="E9" s="51">
        <v>4.72</v>
      </c>
      <c r="F9" s="51">
        <v>0.80</v>
      </c>
      <c r="G9" s="51">
        <v>118</v>
      </c>
      <c r="H9" s="51">
        <v>41.45</v>
      </c>
      <c r="I9" s="51">
        <v>1</v>
      </c>
      <c r="J9" s="51">
        <v>0.24</v>
      </c>
      <c r="K9" s="51">
        <v>120.48</v>
      </c>
      <c r="L9" s="51">
        <v>19.100000000000001</v>
      </c>
      <c r="M9" s="51">
        <v>60</v>
      </c>
      <c r="N9" s="51">
        <v>24.70</v>
      </c>
      <c r="O9" s="51">
        <v>0</v>
      </c>
      <c r="P9" s="51">
        <v>2.68</v>
      </c>
      <c r="Q9" s="51">
        <v>45.03</v>
      </c>
      <c r="R9" s="43"/>
      <c r="S9" s="43"/>
      <c r="T9" s="43"/>
      <c r="U9" s="43"/>
    </row>
    <row r="10" spans="1:21" s="11" customFormat="1" ht="15">
      <c r="A10" s="50" t="s">
        <v>274</v>
      </c>
      <c r="B10" s="51">
        <v>26.15</v>
      </c>
      <c r="C10" s="51">
        <v>93.72</v>
      </c>
      <c r="D10" s="51">
        <v>72.69</v>
      </c>
      <c r="E10" s="51">
        <v>4.26</v>
      </c>
      <c r="F10" s="51">
        <v>1.1599999999999999</v>
      </c>
      <c r="G10" s="51">
        <v>74.78</v>
      </c>
      <c r="H10" s="51">
        <v>40.25</v>
      </c>
      <c r="I10" s="51">
        <v>0.92</v>
      </c>
      <c r="J10" s="51">
        <v>0.19</v>
      </c>
      <c r="K10" s="51">
        <v>85.45</v>
      </c>
      <c r="L10" s="51">
        <v>19.170000000000002</v>
      </c>
      <c r="M10" s="51">
        <v>53</v>
      </c>
      <c r="N10" s="51">
        <v>24.60</v>
      </c>
      <c r="O10" s="51">
        <v>0</v>
      </c>
      <c r="P10" s="51">
        <v>2.12</v>
      </c>
      <c r="Q10" s="51">
        <v>44.76</v>
      </c>
      <c r="R10" s="43"/>
      <c r="S10" s="43"/>
      <c r="T10" s="43"/>
      <c r="U10" s="43"/>
    </row>
    <row r="11" spans="1:21" s="11" customFormat="1" ht="15">
      <c r="A11" s="50" t="s">
        <v>275</v>
      </c>
      <c r="B11" s="51">
        <v>12.15</v>
      </c>
      <c r="C11" s="51">
        <v>83.87</v>
      </c>
      <c r="D11" s="51">
        <v>56.03</v>
      </c>
      <c r="E11" s="51">
        <v>4.07</v>
      </c>
      <c r="F11" s="51">
        <v>1.1200000000000001</v>
      </c>
      <c r="G11" s="51">
        <v>62.15</v>
      </c>
      <c r="H11" s="51">
        <v>37.61</v>
      </c>
      <c r="I11" s="51">
        <v>0.73</v>
      </c>
      <c r="J11" s="51">
        <v>0.11</v>
      </c>
      <c r="K11" s="51">
        <v>294.30</v>
      </c>
      <c r="L11" s="51">
        <v>19</v>
      </c>
      <c r="M11" s="51">
        <v>58</v>
      </c>
      <c r="N11" s="51">
        <v>25</v>
      </c>
      <c r="O11" s="51">
        <v>0</v>
      </c>
      <c r="P11" s="51">
        <v>1.81</v>
      </c>
      <c r="Q11" s="51">
        <v>42.69</v>
      </c>
      <c r="R11" s="43"/>
      <c r="S11" s="43"/>
      <c r="T11" s="43"/>
      <c r="U11" s="43"/>
    </row>
    <row r="12" spans="1:21" s="11" customFormat="1" ht="15">
      <c r="A12" s="50" t="s">
        <v>276</v>
      </c>
      <c r="B12" s="51">
        <v>7.60</v>
      </c>
      <c r="C12" s="51">
        <v>75.34</v>
      </c>
      <c r="D12" s="51">
        <v>47.67</v>
      </c>
      <c r="E12" s="51">
        <v>3.98</v>
      </c>
      <c r="F12" s="51">
        <v>0.91</v>
      </c>
      <c r="G12" s="51">
        <v>67.599999999999994</v>
      </c>
      <c r="H12" s="51">
        <v>33.729999999999997</v>
      </c>
      <c r="I12" s="51">
        <v>0.61</v>
      </c>
      <c r="J12" s="51">
        <v>0.41</v>
      </c>
      <c r="K12" s="51">
        <v>356.70</v>
      </c>
      <c r="L12" s="51">
        <v>18.14</v>
      </c>
      <c r="M12" s="51">
        <v>60</v>
      </c>
      <c r="N12" s="51">
        <v>24.90</v>
      </c>
      <c r="O12" s="51">
        <v>0</v>
      </c>
      <c r="P12" s="51">
        <v>1.53</v>
      </c>
      <c r="Q12" s="51">
        <v>41.20</v>
      </c>
      <c r="R12" s="43"/>
      <c r="S12" s="43"/>
      <c r="T12" s="43"/>
      <c r="U12" s="43"/>
    </row>
    <row r="13" spans="1:21" s="11" customFormat="1" ht="15">
      <c r="A13" s="50" t="s">
        <v>277</v>
      </c>
      <c r="B13" s="51">
        <v>6.63</v>
      </c>
      <c r="C13" s="51">
        <v>68.989999999999995</v>
      </c>
      <c r="D13" s="51">
        <v>43.03</v>
      </c>
      <c r="E13" s="51">
        <v>4.8899999999999997</v>
      </c>
      <c r="F13" s="51">
        <v>1.23</v>
      </c>
      <c r="G13" s="51">
        <v>79.650000000000006</v>
      </c>
      <c r="H13" s="51">
        <v>32.86</v>
      </c>
      <c r="I13" s="51">
        <v>0.56999999999999995</v>
      </c>
      <c r="J13" s="51">
        <v>0.74</v>
      </c>
      <c r="K13" s="51">
        <v>350.04</v>
      </c>
      <c r="L13" s="51">
        <v>17.98</v>
      </c>
      <c r="M13" s="51">
        <v>63</v>
      </c>
      <c r="N13" s="51">
        <v>24.80</v>
      </c>
      <c r="O13" s="51">
        <v>0</v>
      </c>
      <c r="P13" s="51">
        <v>1.35</v>
      </c>
      <c r="Q13" s="51">
        <v>42</v>
      </c>
      <c r="R13" s="43"/>
      <c r="S13" s="43"/>
      <c r="T13" s="43"/>
      <c r="U13" s="43"/>
    </row>
    <row r="14" spans="1:21" s="11" customFormat="1" ht="15">
      <c r="A14" s="50" t="s">
        <v>278</v>
      </c>
      <c r="B14" s="51">
        <v>10.65</v>
      </c>
      <c r="C14" s="51">
        <v>71.78</v>
      </c>
      <c r="D14" s="51">
        <v>48.15</v>
      </c>
      <c r="E14" s="51">
        <v>5.24</v>
      </c>
      <c r="F14" s="51">
        <v>0.82</v>
      </c>
      <c r="G14" s="51">
        <v>118.07</v>
      </c>
      <c r="H14" s="51">
        <v>36.619999999999997</v>
      </c>
      <c r="I14" s="51">
        <v>0.51</v>
      </c>
      <c r="J14" s="51">
        <v>0.84</v>
      </c>
      <c r="K14" s="51">
        <v>15.06</v>
      </c>
      <c r="L14" s="51">
        <v>18.100000000000001</v>
      </c>
      <c r="M14" s="51">
        <v>61</v>
      </c>
      <c r="N14" s="51">
        <v>24.80</v>
      </c>
      <c r="O14" s="51">
        <v>0</v>
      </c>
      <c r="P14" s="51">
        <v>1.40</v>
      </c>
      <c r="Q14" s="51">
        <v>41.28</v>
      </c>
      <c r="R14" s="43"/>
      <c r="S14" s="43"/>
      <c r="T14" s="43"/>
      <c r="U14" s="43"/>
    </row>
    <row r="15" spans="1:21" s="11" customFormat="1" ht="15">
      <c r="A15" s="50" t="s">
        <v>279</v>
      </c>
      <c r="B15" s="51">
        <v>11.37</v>
      </c>
      <c r="C15" s="51">
        <v>72.03</v>
      </c>
      <c r="D15" s="51">
        <v>48.60</v>
      </c>
      <c r="E15" s="51">
        <v>5.28</v>
      </c>
      <c r="F15" s="51">
        <v>1.54</v>
      </c>
      <c r="G15" s="51">
        <v>118.07</v>
      </c>
      <c r="H15" s="51">
        <v>36.619999999999997</v>
      </c>
      <c r="I15" s="51">
        <v>0.46</v>
      </c>
      <c r="J15" s="51">
        <v>1.17</v>
      </c>
      <c r="K15" s="51">
        <v>15.99</v>
      </c>
      <c r="L15" s="51">
        <v>17.850000000000001</v>
      </c>
      <c r="M15" s="51">
        <v>61</v>
      </c>
      <c r="N15" s="51">
        <v>32.60</v>
      </c>
      <c r="O15" s="51">
        <v>0</v>
      </c>
      <c r="P15" s="51">
        <v>1.40</v>
      </c>
      <c r="Q15" s="51">
        <v>40.08</v>
      </c>
      <c r="R15" s="43"/>
      <c r="S15" s="43"/>
      <c r="T15" s="43"/>
      <c r="U15" s="43"/>
    </row>
    <row r="16" spans="1:21" s="11" customFormat="1" ht="15">
      <c r="A16" s="50" t="s">
        <v>280</v>
      </c>
      <c r="B16" s="51">
        <v>15.81</v>
      </c>
      <c r="C16" s="51">
        <v>74.099999999999994</v>
      </c>
      <c r="D16" s="51">
        <v>53.57</v>
      </c>
      <c r="E16" s="51">
        <v>6.05</v>
      </c>
      <c r="F16" s="51">
        <v>1.30</v>
      </c>
      <c r="G16" s="51">
        <v>106.46</v>
      </c>
      <c r="H16" s="51">
        <v>36.590000000000003</v>
      </c>
      <c r="I16" s="51">
        <v>0.44</v>
      </c>
      <c r="J16" s="51">
        <v>0.72</v>
      </c>
      <c r="K16" s="51">
        <v>79.22</v>
      </c>
      <c r="L16" s="51">
        <v>18.52</v>
      </c>
      <c r="M16" s="51">
        <v>61</v>
      </c>
      <c r="N16" s="51">
        <v>81.599999999999994</v>
      </c>
      <c r="O16" s="51">
        <v>0</v>
      </c>
      <c r="P16" s="51">
        <v>1.35</v>
      </c>
      <c r="Q16" s="51">
        <v>40.299999999999997</v>
      </c>
      <c r="R16" s="43"/>
      <c r="S16" s="43"/>
      <c r="T16" s="43"/>
      <c r="U16" s="43"/>
    </row>
    <row r="17" spans="1:21" s="11" customFormat="1" ht="15">
      <c r="A17" s="50" t="s">
        <v>281</v>
      </c>
      <c r="B17" s="51">
        <v>16.04</v>
      </c>
      <c r="C17" s="51">
        <v>75.959999999999994</v>
      </c>
      <c r="D17" s="51">
        <v>53.94</v>
      </c>
      <c r="E17" s="51">
        <v>5.42</v>
      </c>
      <c r="F17" s="51">
        <v>1.01</v>
      </c>
      <c r="G17" s="51">
        <v>106.46</v>
      </c>
      <c r="H17" s="51">
        <v>36.08</v>
      </c>
      <c r="I17" s="51">
        <v>0.45</v>
      </c>
      <c r="J17" s="51">
        <v>0.90</v>
      </c>
      <c r="K17" s="51">
        <v>96.14</v>
      </c>
      <c r="L17" s="51">
        <v>20.23</v>
      </c>
      <c r="M17" s="51">
        <v>58</v>
      </c>
      <c r="N17" s="51">
        <v>146.40</v>
      </c>
      <c r="O17" s="51">
        <v>0</v>
      </c>
      <c r="P17" s="51">
        <v>1.34</v>
      </c>
      <c r="Q17" s="51">
        <v>41.19</v>
      </c>
      <c r="R17" s="43"/>
      <c r="S17" s="43"/>
      <c r="T17" s="43"/>
      <c r="U17" s="43"/>
    </row>
    <row r="18" spans="1:21" s="11" customFormat="1" ht="15">
      <c r="A18" s="50" t="s">
        <v>282</v>
      </c>
      <c r="B18" s="51">
        <v>13.73</v>
      </c>
      <c r="C18" s="51">
        <v>76.52</v>
      </c>
      <c r="D18" s="51">
        <v>53.25</v>
      </c>
      <c r="E18" s="51">
        <v>5.38</v>
      </c>
      <c r="F18" s="51">
        <v>1.34</v>
      </c>
      <c r="G18" s="51">
        <v>94.09</v>
      </c>
      <c r="H18" s="51">
        <v>33.99</v>
      </c>
      <c r="I18" s="51">
        <v>0.44</v>
      </c>
      <c r="J18" s="51">
        <v>0.95</v>
      </c>
      <c r="K18" s="51">
        <v>93.28</v>
      </c>
      <c r="L18" s="51">
        <v>21.40</v>
      </c>
      <c r="M18" s="51">
        <v>53</v>
      </c>
      <c r="N18" s="51">
        <v>155.69999999999999</v>
      </c>
      <c r="O18" s="51">
        <v>0</v>
      </c>
      <c r="P18" s="51">
        <v>1.32</v>
      </c>
      <c r="Q18" s="51">
        <v>40.520000000000003</v>
      </c>
      <c r="R18" s="43"/>
      <c r="S18" s="43"/>
      <c r="T18" s="43"/>
      <c r="U18" s="43"/>
    </row>
    <row r="19" spans="1:21" s="11" customFormat="1" ht="15">
      <c r="A19" s="50" t="s">
        <v>283</v>
      </c>
      <c r="B19" s="51">
        <v>9.74</v>
      </c>
      <c r="C19" s="51">
        <v>74.819999999999993</v>
      </c>
      <c r="D19" s="51">
        <v>49.10</v>
      </c>
      <c r="E19" s="51">
        <v>6.5</v>
      </c>
      <c r="F19" s="51">
        <v>2.25</v>
      </c>
      <c r="G19" s="51">
        <v>86.70</v>
      </c>
      <c r="H19" s="51">
        <v>33.57</v>
      </c>
      <c r="I19" s="51">
        <v>0.42</v>
      </c>
      <c r="J19" s="51">
        <v>0.96</v>
      </c>
      <c r="K19" s="51">
        <v>91.65</v>
      </c>
      <c r="L19" s="51">
        <v>24.36</v>
      </c>
      <c r="M19" s="51">
        <v>50</v>
      </c>
      <c r="N19" s="51">
        <v>237.10</v>
      </c>
      <c r="O19" s="51">
        <v>0</v>
      </c>
      <c r="P19" s="51">
        <v>1.32</v>
      </c>
      <c r="Q19" s="51">
        <v>40.549999999999997</v>
      </c>
      <c r="R19" s="43"/>
      <c r="S19" s="43"/>
      <c r="T19" s="43"/>
      <c r="U19" s="43"/>
    </row>
    <row r="20" spans="1:21" s="11" customFormat="1" ht="15">
      <c r="A20" s="50" t="s">
        <v>284</v>
      </c>
      <c r="B20" s="51">
        <v>11.60</v>
      </c>
      <c r="C20" s="51">
        <v>79.95</v>
      </c>
      <c r="D20" s="51">
        <v>51.35</v>
      </c>
      <c r="E20" s="51">
        <v>7.18</v>
      </c>
      <c r="F20" s="51">
        <v>3.44</v>
      </c>
      <c r="G20" s="51">
        <v>79.77</v>
      </c>
      <c r="H20" s="51">
        <v>31.84</v>
      </c>
      <c r="I20" s="51">
        <v>0.43</v>
      </c>
      <c r="J20" s="51">
        <v>1.21</v>
      </c>
      <c r="K20" s="51">
        <v>67.25</v>
      </c>
      <c r="L20" s="51">
        <v>25.59</v>
      </c>
      <c r="M20" s="51">
        <v>42</v>
      </c>
      <c r="N20" s="51">
        <v>223.80</v>
      </c>
      <c r="O20" s="51">
        <v>0</v>
      </c>
      <c r="P20" s="51">
        <v>1.33</v>
      </c>
      <c r="Q20" s="51">
        <v>41.37</v>
      </c>
      <c r="R20" s="43"/>
      <c r="S20" s="43"/>
      <c r="T20" s="43"/>
      <c r="U20" s="43"/>
    </row>
    <row r="21" spans="1:21" s="11" customFormat="1" ht="15">
      <c r="A21" s="50" t="s">
        <v>285</v>
      </c>
      <c r="B21" s="51">
        <v>5.94</v>
      </c>
      <c r="C21" s="51">
        <v>81.38</v>
      </c>
      <c r="D21" s="51">
        <v>49.68</v>
      </c>
      <c r="E21" s="51">
        <v>6.79</v>
      </c>
      <c r="F21" s="51">
        <v>2.97</v>
      </c>
      <c r="G21" s="51">
        <v>73.13</v>
      </c>
      <c r="H21" s="51">
        <v>31.24</v>
      </c>
      <c r="I21" s="51">
        <v>0.42</v>
      </c>
      <c r="J21" s="51">
        <v>0.84</v>
      </c>
      <c r="K21" s="51">
        <v>73.37</v>
      </c>
      <c r="L21" s="51">
        <v>26.24</v>
      </c>
      <c r="M21" s="51">
        <v>38</v>
      </c>
      <c r="N21" s="51">
        <v>299</v>
      </c>
      <c r="O21" s="51">
        <v>0</v>
      </c>
      <c r="P21" s="51">
        <v>1.29</v>
      </c>
      <c r="Q21" s="51">
        <v>41.12</v>
      </c>
      <c r="R21" s="43"/>
      <c r="S21" s="43"/>
      <c r="T21" s="43"/>
      <c r="U21" s="43"/>
    </row>
    <row r="22" spans="1:21" s="11" customFormat="1" ht="15">
      <c r="A22" s="50" t="s">
        <v>286</v>
      </c>
      <c r="B22" s="51">
        <v>4.3600000000000003</v>
      </c>
      <c r="C22" s="51">
        <v>75.95</v>
      </c>
      <c r="D22" s="51">
        <v>45.03</v>
      </c>
      <c r="E22" s="51">
        <v>8.10</v>
      </c>
      <c r="F22" s="51">
        <v>3.91</v>
      </c>
      <c r="G22" s="51">
        <v>54.86</v>
      </c>
      <c r="H22" s="51">
        <v>31.24</v>
      </c>
      <c r="I22" s="51">
        <v>0.39</v>
      </c>
      <c r="J22" s="51">
        <v>1.1000000000000001</v>
      </c>
      <c r="K22" s="51">
        <v>101.26</v>
      </c>
      <c r="L22" s="51">
        <v>25.92</v>
      </c>
      <c r="M22" s="51">
        <v>37</v>
      </c>
      <c r="N22" s="51">
        <v>211.90</v>
      </c>
      <c r="O22" s="51">
        <v>0</v>
      </c>
      <c r="P22" s="51">
        <v>1.25</v>
      </c>
      <c r="Q22" s="51">
        <v>40.58</v>
      </c>
      <c r="R22" s="43"/>
      <c r="S22" s="43"/>
      <c r="T22" s="43"/>
      <c r="U22" s="43"/>
    </row>
    <row r="23" spans="1:21" s="11" customFormat="1" ht="15">
      <c r="A23" s="50" t="s">
        <v>287</v>
      </c>
      <c r="B23" s="51">
        <v>5.85</v>
      </c>
      <c r="C23" s="51">
        <v>74.88</v>
      </c>
      <c r="D23" s="51">
        <v>46.01</v>
      </c>
      <c r="E23" s="51">
        <v>7.55</v>
      </c>
      <c r="F23" s="51">
        <v>3.71</v>
      </c>
      <c r="G23" s="51">
        <v>71.930000000000007</v>
      </c>
      <c r="H23" s="51">
        <v>29.76</v>
      </c>
      <c r="I23" s="51">
        <v>0.37</v>
      </c>
      <c r="J23" s="51">
        <v>1.1299999999999999</v>
      </c>
      <c r="K23" s="51">
        <v>104.64</v>
      </c>
      <c r="L23" s="51">
        <v>25.87</v>
      </c>
      <c r="M23" s="51">
        <v>37</v>
      </c>
      <c r="N23" s="51">
        <v>129.90</v>
      </c>
      <c r="O23" s="51">
        <v>0</v>
      </c>
      <c r="P23" s="51">
        <v>1.21</v>
      </c>
      <c r="Q23" s="51">
        <v>41.69</v>
      </c>
      <c r="R23" s="43"/>
      <c r="S23" s="43"/>
      <c r="T23" s="43"/>
      <c r="U23" s="43"/>
    </row>
    <row r="24" spans="1:21" s="11" customFormat="1" ht="15">
      <c r="A24" s="50" t="s">
        <v>288</v>
      </c>
      <c r="B24" s="51">
        <v>3.83</v>
      </c>
      <c r="C24" s="51">
        <v>67.47</v>
      </c>
      <c r="D24" s="51">
        <v>40.31</v>
      </c>
      <c r="E24" s="51">
        <v>6.04</v>
      </c>
      <c r="F24" s="51">
        <v>2.62</v>
      </c>
      <c r="G24" s="51">
        <v>71.930000000000007</v>
      </c>
      <c r="H24" s="51">
        <v>29.76</v>
      </c>
      <c r="I24" s="51">
        <v>0.38</v>
      </c>
      <c r="J24" s="51">
        <v>1.39</v>
      </c>
      <c r="K24" s="51">
        <v>110.88</v>
      </c>
      <c r="L24" s="51">
        <v>25.34</v>
      </c>
      <c r="M24" s="51">
        <v>38</v>
      </c>
      <c r="N24" s="51">
        <v>80.20</v>
      </c>
      <c r="O24" s="51">
        <v>0</v>
      </c>
      <c r="P24" s="51">
        <v>1.1599999999999999</v>
      </c>
      <c r="Q24" s="51">
        <v>43.02</v>
      </c>
      <c r="R24" s="43"/>
      <c r="S24" s="43"/>
      <c r="T24" s="43"/>
      <c r="U24" s="43"/>
    </row>
    <row r="25" spans="1:21" s="11" customFormat="1" ht="15">
      <c r="A25" s="50" t="s">
        <v>289</v>
      </c>
      <c r="B25" s="51">
        <v>4.07</v>
      </c>
      <c r="C25" s="51">
        <v>67.28</v>
      </c>
      <c r="D25" s="51">
        <v>40.39</v>
      </c>
      <c r="E25" s="51">
        <v>4.63</v>
      </c>
      <c r="F25" s="51">
        <v>3.15</v>
      </c>
      <c r="G25" s="51">
        <v>52.95</v>
      </c>
      <c r="H25" s="51">
        <v>28.48</v>
      </c>
      <c r="I25" s="51">
        <v>0.36</v>
      </c>
      <c r="J25" s="51">
        <v>1.22</v>
      </c>
      <c r="K25" s="51">
        <v>109.56</v>
      </c>
      <c r="L25" s="51">
        <v>24.76</v>
      </c>
      <c r="M25" s="51">
        <v>44</v>
      </c>
      <c r="N25" s="51">
        <v>57.70</v>
      </c>
      <c r="O25" s="51">
        <v>0</v>
      </c>
      <c r="P25" s="51">
        <v>1.1299999999999999</v>
      </c>
      <c r="Q25" s="51">
        <v>41.91</v>
      </c>
      <c r="R25" s="43"/>
      <c r="S25" s="43"/>
      <c r="T25" s="43"/>
      <c r="U25" s="43"/>
    </row>
    <row r="26" spans="1:21" s="11" customFormat="1" ht="15">
      <c r="A26" s="50" t="s">
        <v>290</v>
      </c>
      <c r="B26" s="51">
        <v>5.25</v>
      </c>
      <c r="C26" s="51">
        <v>68.06</v>
      </c>
      <c r="D26" s="51">
        <v>41.77</v>
      </c>
      <c r="E26" s="51">
        <v>5.21</v>
      </c>
      <c r="F26" s="51">
        <v>2.5</v>
      </c>
      <c r="G26" s="51">
        <v>58.82</v>
      </c>
      <c r="H26" s="51">
        <v>29.80</v>
      </c>
      <c r="I26" s="51">
        <v>0.37</v>
      </c>
      <c r="J26" s="51">
        <v>1</v>
      </c>
      <c r="K26" s="51">
        <v>106.59</v>
      </c>
      <c r="L26" s="51">
        <v>23.80</v>
      </c>
      <c r="M26" s="51">
        <v>48</v>
      </c>
      <c r="N26" s="51">
        <v>28.40</v>
      </c>
      <c r="O26" s="51">
        <v>0</v>
      </c>
      <c r="P26" s="51">
        <v>1.22</v>
      </c>
      <c r="Q26" s="51">
        <v>42.02</v>
      </c>
      <c r="R26" s="43"/>
      <c r="S26" s="43"/>
      <c r="T26" s="43"/>
      <c r="U26" s="43"/>
    </row>
    <row r="27" spans="1:21" s="11" customFormat="1" ht="15">
      <c r="A27" s="50" t="s">
        <v>291</v>
      </c>
      <c r="B27" s="51">
        <v>8.49</v>
      </c>
      <c r="C27" s="51">
        <v>79.19</v>
      </c>
      <c r="D27" s="51">
        <v>50.52</v>
      </c>
      <c r="E27" s="51">
        <v>4.97</v>
      </c>
      <c r="F27" s="51">
        <v>1.22</v>
      </c>
      <c r="G27" s="51">
        <v>88.16</v>
      </c>
      <c r="H27" s="51">
        <v>30.07</v>
      </c>
      <c r="I27" s="51">
        <v>0.44</v>
      </c>
      <c r="J27" s="51">
        <v>0.40</v>
      </c>
      <c r="K27" s="51">
        <v>81.790000000000006</v>
      </c>
      <c r="L27" s="51">
        <v>22.96</v>
      </c>
      <c r="M27" s="51">
        <v>50</v>
      </c>
      <c r="N27" s="51">
        <v>25</v>
      </c>
      <c r="O27" s="51">
        <v>0</v>
      </c>
      <c r="P27" s="51">
        <v>1.51</v>
      </c>
      <c r="Q27" s="51">
        <v>44.75</v>
      </c>
      <c r="R27" s="43"/>
      <c r="S27" s="43"/>
      <c r="T27" s="43"/>
      <c r="U27" s="43"/>
    </row>
    <row r="28" spans="1:21" s="11" customFormat="1" ht="15">
      <c r="A28" s="50" t="s">
        <v>292</v>
      </c>
      <c r="B28" s="51">
        <v>12.75</v>
      </c>
      <c r="C28" s="51">
        <v>89.33</v>
      </c>
      <c r="D28" s="51">
        <v>59.34</v>
      </c>
      <c r="E28" s="51">
        <v>5.1100000000000003</v>
      </c>
      <c r="F28" s="51">
        <v>0.94</v>
      </c>
      <c r="G28" s="51">
        <v>89.5</v>
      </c>
      <c r="H28" s="51">
        <v>32.85</v>
      </c>
      <c r="I28" s="51">
        <v>0.48</v>
      </c>
      <c r="J28" s="51">
        <v>0.56000000000000005</v>
      </c>
      <c r="K28" s="51">
        <v>71.17</v>
      </c>
      <c r="L28" s="51">
        <v>22.32</v>
      </c>
      <c r="M28" s="51">
        <v>51</v>
      </c>
      <c r="N28" s="51">
        <v>24.70</v>
      </c>
      <c r="O28" s="51">
        <v>0</v>
      </c>
      <c r="P28" s="51">
        <v>1.87</v>
      </c>
      <c r="Q28" s="51">
        <v>44.98</v>
      </c>
      <c r="R28" s="43"/>
      <c r="S28" s="43"/>
      <c r="T28" s="43"/>
      <c r="U28" s="43"/>
    </row>
    <row r="29" spans="1:21" s="11" customFormat="1" ht="15">
      <c r="A29" s="50" t="s">
        <v>293</v>
      </c>
      <c r="B29" s="51">
        <v>13.63</v>
      </c>
      <c r="C29" s="51">
        <v>90.39</v>
      </c>
      <c r="D29" s="51">
        <v>60.51</v>
      </c>
      <c r="E29" s="51">
        <v>6.96</v>
      </c>
      <c r="F29" s="51">
        <v>0.91</v>
      </c>
      <c r="G29" s="51">
        <v>97.01</v>
      </c>
      <c r="H29" s="51">
        <v>33.96</v>
      </c>
      <c r="I29" s="51">
        <v>0.48</v>
      </c>
      <c r="J29" s="51">
        <v>0.48</v>
      </c>
      <c r="K29" s="51">
        <v>87.84</v>
      </c>
      <c r="L29" s="51">
        <v>21.93</v>
      </c>
      <c r="M29" s="51">
        <v>53</v>
      </c>
      <c r="N29" s="51">
        <v>24.80</v>
      </c>
      <c r="O29" s="51">
        <v>0</v>
      </c>
      <c r="P29" s="51">
        <v>1.90</v>
      </c>
      <c r="Q29" s="51">
        <v>44.05</v>
      </c>
      <c r="R29" s="43"/>
      <c r="S29" s="43"/>
      <c r="T29" s="43"/>
      <c r="U29" s="43"/>
    </row>
    <row r="30" spans="1:21" s="11" customFormat="1" ht="15">
      <c r="A30" s="50" t="s">
        <v>294</v>
      </c>
      <c r="B30" s="51">
        <v>14.38</v>
      </c>
      <c r="C30" s="51">
        <v>89.36</v>
      </c>
      <c r="D30" s="51">
        <v>60.36</v>
      </c>
      <c r="E30" s="51">
        <v>7.10</v>
      </c>
      <c r="F30" s="51">
        <v>0.98</v>
      </c>
      <c r="G30" s="51">
        <v>97.01</v>
      </c>
      <c r="H30" s="51">
        <v>34.450000000000003</v>
      </c>
      <c r="I30" s="51">
        <v>0.54</v>
      </c>
      <c r="J30" s="51">
        <v>0.48</v>
      </c>
      <c r="K30" s="51">
        <v>81.80</v>
      </c>
      <c r="L30" s="51">
        <v>21.56</v>
      </c>
      <c r="M30" s="51">
        <v>55</v>
      </c>
      <c r="N30" s="51">
        <v>25</v>
      </c>
      <c r="O30" s="51">
        <v>0</v>
      </c>
      <c r="P30" s="51">
        <v>1.88</v>
      </c>
      <c r="Q30" s="51">
        <v>44.28</v>
      </c>
      <c r="R30" s="43"/>
      <c r="S30" s="43"/>
      <c r="T30" s="43"/>
      <c r="U30" s="43"/>
    </row>
    <row r="31" spans="1:21" s="11" customFormat="1" ht="15">
      <c r="A31" s="50" t="s">
        <v>295</v>
      </c>
      <c r="B31" s="51">
        <v>13.62</v>
      </c>
      <c r="C31" s="51">
        <v>84.62</v>
      </c>
      <c r="D31" s="51">
        <v>57.62</v>
      </c>
      <c r="E31" s="51">
        <v>7.02</v>
      </c>
      <c r="F31" s="51">
        <v>1.05</v>
      </c>
      <c r="G31" s="51">
        <v>103.55</v>
      </c>
      <c r="H31" s="51">
        <v>36.17</v>
      </c>
      <c r="I31" s="51">
        <v>0.55000000000000004</v>
      </c>
      <c r="J31" s="51">
        <v>0.67</v>
      </c>
      <c r="K31" s="51">
        <v>97.15</v>
      </c>
      <c r="L31" s="51">
        <v>21.20</v>
      </c>
      <c r="M31" s="51">
        <v>55</v>
      </c>
      <c r="N31" s="51">
        <v>24.90</v>
      </c>
      <c r="O31" s="51">
        <v>0</v>
      </c>
      <c r="P31" s="51">
        <v>1.84</v>
      </c>
      <c r="Q31" s="51">
        <v>45.57</v>
      </c>
      <c r="R31" s="43"/>
      <c r="S31" s="43"/>
      <c r="T31" s="43"/>
      <c r="U31" s="43"/>
    </row>
    <row r="32" spans="1:21" s="11" customFormat="1" ht="15">
      <c r="A32" s="50" t="s">
        <v>296</v>
      </c>
      <c r="B32" s="51">
        <v>9.81</v>
      </c>
      <c r="C32" s="51">
        <v>80.87</v>
      </c>
      <c r="D32" s="51">
        <v>52.5</v>
      </c>
      <c r="E32" s="51">
        <v>6.29</v>
      </c>
      <c r="F32" s="51">
        <v>0.76</v>
      </c>
      <c r="G32" s="51">
        <v>103.55</v>
      </c>
      <c r="H32" s="51">
        <v>36.17</v>
      </c>
      <c r="I32" s="51">
        <v>0.52</v>
      </c>
      <c r="J32" s="51">
        <v>1</v>
      </c>
      <c r="K32" s="51">
        <v>115.33</v>
      </c>
      <c r="L32" s="51">
        <v>21.17</v>
      </c>
      <c r="M32" s="51">
        <v>54</v>
      </c>
      <c r="N32" s="51">
        <v>25</v>
      </c>
      <c r="O32" s="51">
        <v>0</v>
      </c>
      <c r="P32" s="51">
        <v>1.66</v>
      </c>
      <c r="Q32" s="51">
        <v>44.46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3.8300000000000001</v>
      </c>
      <c r="C34" s="28">
        <f t="shared" si="0"/>
        <v>67.280000000000001</v>
      </c>
      <c r="D34" s="28">
        <f t="shared" si="0"/>
        <v>40.310000000000002</v>
      </c>
      <c r="E34" s="28">
        <f t="shared" si="0"/>
        <v>3.98</v>
      </c>
      <c r="F34" s="28">
        <f t="shared" si="0"/>
        <v>0.76000000000000001</v>
      </c>
      <c r="G34" s="28">
        <f t="shared" si="0"/>
        <v>52.950000000000003</v>
      </c>
      <c r="H34" s="28">
        <f t="shared" si="0"/>
        <v>28.48</v>
      </c>
      <c r="I34" s="28">
        <f t="shared" si="0"/>
        <v>0.35999999999999999</v>
      </c>
      <c r="J34" s="28">
        <f t="shared" si="0"/>
        <v>0.11</v>
      </c>
      <c r="K34" s="28">
        <f t="shared" si="0"/>
        <v>15.06</v>
      </c>
      <c r="L34" s="28">
        <f t="shared" si="0"/>
        <v>17.850000000000001</v>
      </c>
      <c r="M34" s="28">
        <f t="shared" si="0"/>
        <v>37</v>
      </c>
      <c r="N34" s="28">
        <f t="shared" si="0"/>
        <v>24.600000000000001</v>
      </c>
      <c r="O34" s="28">
        <f t="shared" si="0"/>
        <v>0</v>
      </c>
      <c r="P34" s="28">
        <f t="shared" si="0"/>
        <v>1.1299999999999999</v>
      </c>
      <c r="Q34" s="28">
        <f t="shared" si="0"/>
        <v>40.079999999999998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41.060000000000002</v>
      </c>
      <c r="C35" s="29">
        <f t="shared" si="1"/>
        <v>105.12</v>
      </c>
      <c r="D35" s="29">
        <f t="shared" si="1"/>
        <v>90.939999999999998</v>
      </c>
      <c r="E35" s="29">
        <f t="shared" si="1"/>
        <v>8.0999999999999996</v>
      </c>
      <c r="F35" s="29">
        <f t="shared" si="1"/>
        <v>3.9100000000000001</v>
      </c>
      <c r="G35" s="29">
        <f t="shared" si="1"/>
        <v>118.06999999999999</v>
      </c>
      <c r="H35" s="29">
        <f t="shared" si="1"/>
        <v>41.450000000000003</v>
      </c>
      <c r="I35" s="29">
        <f t="shared" si="1"/>
        <v>1</v>
      </c>
      <c r="J35" s="29">
        <f t="shared" si="1"/>
        <v>1.3899999999999999</v>
      </c>
      <c r="K35" s="29">
        <f t="shared" si="1"/>
        <v>356.69999999999999</v>
      </c>
      <c r="L35" s="29">
        <f t="shared" si="1"/>
        <v>26.239999999999998</v>
      </c>
      <c r="M35" s="29">
        <f t="shared" si="1"/>
        <v>63</v>
      </c>
      <c r="N35" s="29">
        <f t="shared" si="1"/>
        <v>299</v>
      </c>
      <c r="O35" s="29">
        <f t="shared" si="1"/>
        <v>0</v>
      </c>
      <c r="P35" s="29">
        <f t="shared" si="1"/>
        <v>2.6800000000000002</v>
      </c>
      <c r="Q35" s="29">
        <f t="shared" si="1"/>
        <v>45.57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11.854583333333336</v>
      </c>
      <c r="C36" s="28">
        <f t="shared" si="2"/>
        <v>79.207499999999982</v>
      </c>
      <c r="D36" s="28">
        <f t="shared" si="2"/>
        <v>53.014999999999986</v>
      </c>
      <c r="E36" s="28">
        <f t="shared" si="2"/>
        <v>5.7808333333333328</v>
      </c>
      <c r="F36" s="28">
        <f t="shared" si="2"/>
        <v>1.7349999999999994</v>
      </c>
      <c r="G36" s="28">
        <f t="shared" si="2"/>
        <v>86.424999999999997</v>
      </c>
      <c r="H36" s="28">
        <f t="shared" si="2"/>
        <v>33.965000000000003</v>
      </c>
      <c r="I36" s="28">
        <f t="shared" si="2"/>
        <v>0.51166666666666671</v>
      </c>
      <c r="J36" s="28">
        <f t="shared" si="2"/>
        <v>0.77958333333333352</v>
      </c>
      <c r="K36" s="28">
        <f t="shared" si="2"/>
        <v>116.95583333333337</v>
      </c>
      <c r="L36" s="28">
        <f t="shared" si="2"/>
        <v>21.771249999999998</v>
      </c>
      <c r="M36" s="28">
        <f t="shared" si="2"/>
        <v>51.666666666666664</v>
      </c>
      <c r="N36" s="28">
        <f t="shared" si="2"/>
        <v>82.604166666666686</v>
      </c>
      <c r="O36" s="28">
        <f t="shared" si="2"/>
        <v>0</v>
      </c>
      <c r="P36" s="28">
        <f t="shared" si="2"/>
        <v>1.5362500000000001</v>
      </c>
      <c r="Q36" s="28">
        <f t="shared" si="2"/>
        <v>42.475000000000001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7.9958467366647206</v>
      </c>
      <c r="C37" s="28">
        <f t="shared" si="3" ref="C37:Q37">STDEV(C9:C32)</f>
        <v>9.3122417092866403</v>
      </c>
      <c r="D37" s="28">
        <f t="shared" si="3"/>
        <v>10.982764362558227</v>
      </c>
      <c r="E37" s="28">
        <f t="shared" si="3"/>
        <v>1.1620930018408806</v>
      </c>
      <c r="F37" s="28">
        <f t="shared" si="3"/>
        <v>1.032767493510605</v>
      </c>
      <c r="G37" s="28">
        <f t="shared" si="3"/>
        <v>20.140683896682571</v>
      </c>
      <c r="H37" s="28">
        <f t="shared" si="3"/>
        <v>3.3895247839290938</v>
      </c>
      <c r="I37" s="28">
        <f t="shared" si="3"/>
        <v>0.1629795043573877</v>
      </c>
      <c r="J37" s="28">
        <f t="shared" si="3"/>
        <v>0.35648622348729186</v>
      </c>
      <c r="K37" s="28">
        <f t="shared" si="3"/>
        <v>88.139124950849393</v>
      </c>
      <c r="L37" s="28">
        <f t="shared" si="3"/>
        <v>2.9087728063790816</v>
      </c>
      <c r="M37" s="28">
        <f t="shared" si="3"/>
        <v>8.3856329862277104</v>
      </c>
      <c r="N37" s="28">
        <f t="shared" si="3"/>
        <v>84.722526541783353</v>
      </c>
      <c r="O37" s="28">
        <f t="shared" si="3"/>
        <v>0</v>
      </c>
      <c r="P37" s="28">
        <f t="shared" si="3"/>
        <v>0.36894458756790482</v>
      </c>
      <c r="Q37" s="28">
        <f t="shared" si="3"/>
        <v>1.7878381407138919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6c1bcc-a819-4f46-82ce-67e5fb81b467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297</v>
      </c>
      <c r="B9" s="51">
        <v>6.01</v>
      </c>
      <c r="C9" s="51">
        <v>74.75</v>
      </c>
      <c r="D9" s="51">
        <v>46.08</v>
      </c>
      <c r="E9" s="51">
        <v>6.5</v>
      </c>
      <c r="F9" s="51">
        <v>1.05</v>
      </c>
      <c r="G9" s="51">
        <v>78.16</v>
      </c>
      <c r="H9" s="51">
        <v>32.14</v>
      </c>
      <c r="I9" s="51">
        <v>0.46</v>
      </c>
      <c r="J9" s="51">
        <v>0.96</v>
      </c>
      <c r="K9" s="51">
        <v>187.10</v>
      </c>
      <c r="L9" s="51">
        <v>21.15</v>
      </c>
      <c r="M9" s="51">
        <v>52</v>
      </c>
      <c r="N9" s="51">
        <v>25</v>
      </c>
      <c r="O9" s="51">
        <v>0</v>
      </c>
      <c r="P9" s="51">
        <v>1.51</v>
      </c>
      <c r="Q9" s="51">
        <v>42.56</v>
      </c>
      <c r="R9" s="43"/>
      <c r="S9" s="43"/>
      <c r="T9" s="43"/>
      <c r="U9" s="43"/>
    </row>
    <row r="10" spans="1:21" s="11" customFormat="1" ht="15">
      <c r="A10" s="50" t="s">
        <v>298</v>
      </c>
      <c r="B10" s="51">
        <v>5.71</v>
      </c>
      <c r="C10" s="51">
        <v>69.02</v>
      </c>
      <c r="D10" s="51">
        <v>42.39</v>
      </c>
      <c r="E10" s="51">
        <v>6.87</v>
      </c>
      <c r="F10" s="51">
        <v>0.70</v>
      </c>
      <c r="G10" s="51">
        <v>69.52</v>
      </c>
      <c r="H10" s="51">
        <v>32.14</v>
      </c>
      <c r="I10" s="51">
        <v>0.46</v>
      </c>
      <c r="J10" s="51">
        <v>0.15</v>
      </c>
      <c r="K10" s="51">
        <v>315.39999999999998</v>
      </c>
      <c r="L10" s="51">
        <v>20.73</v>
      </c>
      <c r="M10" s="51">
        <v>58</v>
      </c>
      <c r="N10" s="51">
        <v>25.30</v>
      </c>
      <c r="O10" s="51">
        <v>0</v>
      </c>
      <c r="P10" s="51">
        <v>1.34</v>
      </c>
      <c r="Q10" s="51">
        <v>43.65</v>
      </c>
      <c r="R10" s="43"/>
      <c r="S10" s="43"/>
      <c r="T10" s="43"/>
      <c r="U10" s="43"/>
    </row>
    <row r="11" spans="1:21" s="11" customFormat="1" ht="15">
      <c r="A11" s="50" t="s">
        <v>299</v>
      </c>
      <c r="B11" s="51">
        <v>6.12</v>
      </c>
      <c r="C11" s="51">
        <v>66.70</v>
      </c>
      <c r="D11" s="51">
        <v>41.64</v>
      </c>
      <c r="E11" s="51">
        <v>6.36</v>
      </c>
      <c r="F11" s="51">
        <v>0.74</v>
      </c>
      <c r="G11" s="51">
        <v>60.09</v>
      </c>
      <c r="H11" s="51">
        <v>29.22</v>
      </c>
      <c r="I11" s="51">
        <v>0.47</v>
      </c>
      <c r="J11" s="51">
        <v>0.23</v>
      </c>
      <c r="K11" s="51">
        <v>357.05</v>
      </c>
      <c r="L11" s="51">
        <v>20.34</v>
      </c>
      <c r="M11" s="51">
        <v>57</v>
      </c>
      <c r="N11" s="51">
        <v>25</v>
      </c>
      <c r="O11" s="51">
        <v>0</v>
      </c>
      <c r="P11" s="51">
        <v>1.24</v>
      </c>
      <c r="Q11" s="51">
        <v>43.87</v>
      </c>
      <c r="R11" s="43"/>
      <c r="S11" s="43"/>
      <c r="T11" s="43"/>
      <c r="U11" s="43"/>
    </row>
    <row r="12" spans="1:21" s="11" customFormat="1" ht="15">
      <c r="A12" s="50" t="s">
        <v>300</v>
      </c>
      <c r="B12" s="51">
        <v>5.31</v>
      </c>
      <c r="C12" s="51">
        <v>64.95</v>
      </c>
      <c r="D12" s="51">
        <v>40.07</v>
      </c>
      <c r="E12" s="51">
        <v>6.47</v>
      </c>
      <c r="F12" s="51">
        <v>0.84</v>
      </c>
      <c r="G12" s="51">
        <v>60.09</v>
      </c>
      <c r="H12" s="51">
        <v>30.30</v>
      </c>
      <c r="I12" s="51">
        <v>0.43</v>
      </c>
      <c r="J12" s="51">
        <v>0.47</v>
      </c>
      <c r="K12" s="51">
        <v>104.28</v>
      </c>
      <c r="L12" s="51">
        <v>20.399999999999999</v>
      </c>
      <c r="M12" s="51">
        <v>58</v>
      </c>
      <c r="N12" s="51">
        <v>25.20</v>
      </c>
      <c r="O12" s="51">
        <v>0</v>
      </c>
      <c r="P12" s="51">
        <v>1.1200000000000001</v>
      </c>
      <c r="Q12" s="51">
        <v>42.27</v>
      </c>
      <c r="R12" s="43"/>
      <c r="S12" s="43"/>
      <c r="T12" s="43"/>
      <c r="U12" s="43"/>
    </row>
    <row r="13" spans="1:21" s="11" customFormat="1" ht="15">
      <c r="A13" s="50" t="s">
        <v>301</v>
      </c>
      <c r="B13" s="51">
        <v>6.55</v>
      </c>
      <c r="C13" s="51">
        <v>63.97</v>
      </c>
      <c r="D13" s="51">
        <v>40.56</v>
      </c>
      <c r="E13" s="51">
        <v>5.66</v>
      </c>
      <c r="F13" s="51">
        <v>0.74</v>
      </c>
      <c r="G13" s="51">
        <v>54.48</v>
      </c>
      <c r="H13" s="51">
        <v>30.30</v>
      </c>
      <c r="I13" s="51">
        <v>0.43</v>
      </c>
      <c r="J13" s="51">
        <v>0.64</v>
      </c>
      <c r="K13" s="51">
        <v>359.78</v>
      </c>
      <c r="L13" s="51">
        <v>20.37</v>
      </c>
      <c r="M13" s="51">
        <v>58</v>
      </c>
      <c r="N13" s="51">
        <v>25.20</v>
      </c>
      <c r="O13" s="51">
        <v>0</v>
      </c>
      <c r="P13" s="51">
        <v>1.06</v>
      </c>
      <c r="Q13" s="51">
        <v>42.01</v>
      </c>
      <c r="R13" s="43"/>
      <c r="S13" s="43"/>
      <c r="T13" s="43"/>
      <c r="U13" s="43"/>
    </row>
    <row r="14" spans="1:21" s="11" customFormat="1" ht="15">
      <c r="A14" s="50" t="s">
        <v>302</v>
      </c>
      <c r="B14" s="51">
        <v>10.80</v>
      </c>
      <c r="C14" s="51">
        <v>67.680000000000007</v>
      </c>
      <c r="D14" s="51">
        <v>46.01</v>
      </c>
      <c r="E14" s="51">
        <v>5.69</v>
      </c>
      <c r="F14" s="51">
        <v>0.70</v>
      </c>
      <c r="G14" s="51">
        <v>60.58</v>
      </c>
      <c r="H14" s="51">
        <v>29.57</v>
      </c>
      <c r="I14" s="51">
        <v>0.44</v>
      </c>
      <c r="J14" s="51">
        <v>0.64</v>
      </c>
      <c r="K14" s="51">
        <v>358.25</v>
      </c>
      <c r="L14" s="51">
        <v>20.260000000000002</v>
      </c>
      <c r="M14" s="51">
        <v>62</v>
      </c>
      <c r="N14" s="51">
        <v>25.40</v>
      </c>
      <c r="O14" s="51">
        <v>0</v>
      </c>
      <c r="P14" s="51">
        <v>1.08</v>
      </c>
      <c r="Q14" s="51">
        <v>43.48</v>
      </c>
      <c r="R14" s="43"/>
      <c r="S14" s="43"/>
      <c r="T14" s="43"/>
      <c r="U14" s="43"/>
    </row>
    <row r="15" spans="1:21" s="11" customFormat="1" ht="15">
      <c r="A15" s="50" t="s">
        <v>303</v>
      </c>
      <c r="B15" s="51">
        <v>19.97</v>
      </c>
      <c r="C15" s="51">
        <v>74.91</v>
      </c>
      <c r="D15" s="51">
        <v>57.36</v>
      </c>
      <c r="E15" s="51">
        <v>5.90</v>
      </c>
      <c r="F15" s="51">
        <v>0.59</v>
      </c>
      <c r="G15" s="51">
        <v>83.44</v>
      </c>
      <c r="H15" s="51">
        <v>36.21</v>
      </c>
      <c r="I15" s="51">
        <v>0.43</v>
      </c>
      <c r="J15" s="51">
        <v>0.75</v>
      </c>
      <c r="K15" s="51">
        <v>359.35</v>
      </c>
      <c r="L15" s="51">
        <v>20.13</v>
      </c>
      <c r="M15" s="51">
        <v>65</v>
      </c>
      <c r="N15" s="51">
        <v>32</v>
      </c>
      <c r="O15" s="51">
        <v>0</v>
      </c>
      <c r="P15" s="51">
        <v>1.40</v>
      </c>
      <c r="Q15" s="51">
        <v>42.97</v>
      </c>
      <c r="R15" s="43"/>
      <c r="S15" s="43"/>
      <c r="T15" s="43"/>
      <c r="U15" s="43"/>
    </row>
    <row r="16" spans="1:21" s="11" customFormat="1" ht="15">
      <c r="A16" s="50" t="s">
        <v>304</v>
      </c>
      <c r="B16" s="51">
        <v>24.83</v>
      </c>
      <c r="C16" s="51">
        <v>78.92</v>
      </c>
      <c r="D16" s="51">
        <v>63.47</v>
      </c>
      <c r="E16" s="51">
        <v>6</v>
      </c>
      <c r="F16" s="51">
        <v>0.66</v>
      </c>
      <c r="G16" s="51">
        <v>105.27</v>
      </c>
      <c r="H16" s="51">
        <v>43.09</v>
      </c>
      <c r="I16" s="51">
        <v>0.42</v>
      </c>
      <c r="J16" s="51">
        <v>0.87</v>
      </c>
      <c r="K16" s="51">
        <v>2.78</v>
      </c>
      <c r="L16" s="51">
        <v>20.64</v>
      </c>
      <c r="M16" s="51">
        <v>64</v>
      </c>
      <c r="N16" s="51">
        <v>58.60</v>
      </c>
      <c r="O16" s="51">
        <v>0</v>
      </c>
      <c r="P16" s="51">
        <v>1.67</v>
      </c>
      <c r="Q16" s="51">
        <v>42.15</v>
      </c>
      <c r="R16" s="43"/>
      <c r="S16" s="43"/>
      <c r="T16" s="43"/>
      <c r="U16" s="43"/>
    </row>
    <row r="17" spans="1:21" s="11" customFormat="1" ht="15">
      <c r="A17" s="50" t="s">
        <v>305</v>
      </c>
      <c r="B17" s="51">
        <v>26.03</v>
      </c>
      <c r="C17" s="51">
        <v>79.290000000000006</v>
      </c>
      <c r="D17" s="51">
        <v>64.569999999999993</v>
      </c>
      <c r="E17" s="51">
        <v>5.43</v>
      </c>
      <c r="F17" s="51">
        <v>0.61</v>
      </c>
      <c r="G17" s="51">
        <v>105.27</v>
      </c>
      <c r="H17" s="51">
        <v>43.09</v>
      </c>
      <c r="I17" s="51">
        <v>0.46</v>
      </c>
      <c r="J17" s="51">
        <v>0.95</v>
      </c>
      <c r="K17" s="51">
        <v>91.99</v>
      </c>
      <c r="L17" s="51">
        <v>21.18</v>
      </c>
      <c r="M17" s="51">
        <v>62</v>
      </c>
      <c r="N17" s="51">
        <v>126.60</v>
      </c>
      <c r="O17" s="51">
        <v>0</v>
      </c>
      <c r="P17" s="51">
        <v>1.71</v>
      </c>
      <c r="Q17" s="51">
        <v>42.35</v>
      </c>
      <c r="R17" s="43"/>
      <c r="S17" s="43"/>
      <c r="T17" s="43"/>
      <c r="U17" s="43"/>
    </row>
    <row r="18" spans="1:21" s="11" customFormat="1" ht="15">
      <c r="A18" s="50" t="s">
        <v>306</v>
      </c>
      <c r="B18" s="51">
        <v>23.86</v>
      </c>
      <c r="C18" s="51">
        <v>77.94</v>
      </c>
      <c r="D18" s="51">
        <v>61.91</v>
      </c>
      <c r="E18" s="51">
        <v>5.55</v>
      </c>
      <c r="F18" s="51">
        <v>0.77</v>
      </c>
      <c r="G18" s="51">
        <v>101.59</v>
      </c>
      <c r="H18" s="51">
        <v>39.39</v>
      </c>
      <c r="I18" s="51">
        <v>0.48</v>
      </c>
      <c r="J18" s="51">
        <v>0.63</v>
      </c>
      <c r="K18" s="51">
        <v>85.67</v>
      </c>
      <c r="L18" s="51">
        <v>23.22</v>
      </c>
      <c r="M18" s="51">
        <v>60</v>
      </c>
      <c r="N18" s="51">
        <v>168.80</v>
      </c>
      <c r="O18" s="51">
        <v>0</v>
      </c>
      <c r="P18" s="51">
        <v>1.67</v>
      </c>
      <c r="Q18" s="51">
        <v>43.47</v>
      </c>
      <c r="R18" s="43"/>
      <c r="S18" s="43"/>
      <c r="T18" s="43"/>
      <c r="U18" s="43"/>
    </row>
    <row r="19" spans="1:21" s="11" customFormat="1" ht="15">
      <c r="A19" s="50" t="s">
        <v>307</v>
      </c>
      <c r="B19" s="51">
        <v>15.57</v>
      </c>
      <c r="C19" s="51">
        <v>78.61</v>
      </c>
      <c r="D19" s="51">
        <v>55.69</v>
      </c>
      <c r="E19" s="51">
        <v>5.31</v>
      </c>
      <c r="F19" s="51">
        <v>1.21</v>
      </c>
      <c r="G19" s="51">
        <v>95.67</v>
      </c>
      <c r="H19" s="51">
        <v>35.65</v>
      </c>
      <c r="I19" s="51">
        <v>0.45</v>
      </c>
      <c r="J19" s="51">
        <v>1.08</v>
      </c>
      <c r="K19" s="51">
        <v>103.5</v>
      </c>
      <c r="L19" s="51">
        <v>25.02</v>
      </c>
      <c r="M19" s="51">
        <v>58</v>
      </c>
      <c r="N19" s="51">
        <v>233.70</v>
      </c>
      <c r="O19" s="51">
        <v>0</v>
      </c>
      <c r="P19" s="51">
        <v>1.62</v>
      </c>
      <c r="Q19" s="51">
        <v>42.61</v>
      </c>
      <c r="R19" s="43"/>
      <c r="S19" s="43"/>
      <c r="T19" s="43"/>
      <c r="U19" s="43"/>
    </row>
    <row r="20" spans="1:21" s="11" customFormat="1" ht="15">
      <c r="A20" s="50" t="s">
        <v>308</v>
      </c>
      <c r="B20" s="51">
        <v>9.51</v>
      </c>
      <c r="C20" s="51">
        <v>76.62</v>
      </c>
      <c r="D20" s="51">
        <v>49.91</v>
      </c>
      <c r="E20" s="51">
        <v>5.93</v>
      </c>
      <c r="F20" s="51">
        <v>2.62</v>
      </c>
      <c r="G20" s="51">
        <v>85.11</v>
      </c>
      <c r="H20" s="51">
        <v>35.65</v>
      </c>
      <c r="I20" s="51">
        <v>0.43</v>
      </c>
      <c r="J20" s="51">
        <v>1.36</v>
      </c>
      <c r="K20" s="51">
        <v>112.63</v>
      </c>
      <c r="L20" s="51">
        <v>27.49</v>
      </c>
      <c r="M20" s="51">
        <v>57</v>
      </c>
      <c r="N20" s="51">
        <v>318.70</v>
      </c>
      <c r="O20" s="51">
        <v>0</v>
      </c>
      <c r="P20" s="51">
        <v>1.51</v>
      </c>
      <c r="Q20" s="51">
        <v>42.65</v>
      </c>
      <c r="R20" s="43"/>
      <c r="S20" s="43"/>
      <c r="T20" s="43"/>
      <c r="U20" s="43"/>
    </row>
    <row r="21" spans="1:21" s="11" customFormat="1" ht="15">
      <c r="A21" s="50" t="s">
        <v>309</v>
      </c>
      <c r="B21" s="51">
        <v>7.86</v>
      </c>
      <c r="C21" s="51">
        <v>80.13</v>
      </c>
      <c r="D21" s="51">
        <v>50.14</v>
      </c>
      <c r="E21" s="51">
        <v>7.02</v>
      </c>
      <c r="F21" s="51">
        <v>1.88</v>
      </c>
      <c r="G21" s="51">
        <v>75.86</v>
      </c>
      <c r="H21" s="51">
        <v>32.049999999999997</v>
      </c>
      <c r="I21" s="51">
        <v>0.42</v>
      </c>
      <c r="J21" s="51">
        <v>1.20</v>
      </c>
      <c r="K21" s="51">
        <v>356.13</v>
      </c>
      <c r="L21" s="51">
        <v>28.30</v>
      </c>
      <c r="M21" s="51">
        <v>57</v>
      </c>
      <c r="N21" s="51">
        <v>205.80</v>
      </c>
      <c r="O21" s="51">
        <v>0</v>
      </c>
      <c r="P21" s="51">
        <v>1.54</v>
      </c>
      <c r="Q21" s="51">
        <v>44.71</v>
      </c>
      <c r="R21" s="43"/>
      <c r="S21" s="43"/>
      <c r="T21" s="43"/>
      <c r="U21" s="43"/>
    </row>
    <row r="22" spans="1:21" s="11" customFormat="1" ht="15">
      <c r="A22" s="50" t="s">
        <v>310</v>
      </c>
      <c r="B22" s="51">
        <v>7.07</v>
      </c>
      <c r="C22" s="51">
        <v>95.39</v>
      </c>
      <c r="D22" s="51">
        <v>56.37</v>
      </c>
      <c r="E22" s="51">
        <v>8.15</v>
      </c>
      <c r="F22" s="51">
        <v>1.86</v>
      </c>
      <c r="G22" s="51">
        <v>156.43</v>
      </c>
      <c r="H22" s="51">
        <v>44.10</v>
      </c>
      <c r="I22" s="51">
        <v>0.43</v>
      </c>
      <c r="J22" s="51">
        <v>1.21</v>
      </c>
      <c r="K22" s="51">
        <v>354.34</v>
      </c>
      <c r="L22" s="51">
        <v>29.20</v>
      </c>
      <c r="M22" s="51">
        <v>51</v>
      </c>
      <c r="N22" s="51">
        <v>228.5</v>
      </c>
      <c r="O22" s="51">
        <v>0</v>
      </c>
      <c r="P22" s="51">
        <v>1.75</v>
      </c>
      <c r="Q22" s="51">
        <v>45.04</v>
      </c>
      <c r="R22" s="43"/>
      <c r="S22" s="43"/>
      <c r="T22" s="43"/>
      <c r="U22" s="43"/>
    </row>
    <row r="23" spans="1:21" s="11" customFormat="1" ht="15">
      <c r="A23" s="50" t="s">
        <v>311</v>
      </c>
      <c r="B23" s="51">
        <v>5.56</v>
      </c>
      <c r="C23" s="51">
        <v>97.33</v>
      </c>
      <c r="D23" s="51">
        <v>57.33</v>
      </c>
      <c r="E23" s="51">
        <v>11.92</v>
      </c>
      <c r="F23" s="51">
        <v>4.6100000000000003</v>
      </c>
      <c r="G23" s="51">
        <v>156.43</v>
      </c>
      <c r="H23" s="51">
        <v>44.10</v>
      </c>
      <c r="I23" s="51">
        <v>0.40</v>
      </c>
      <c r="J23" s="51">
        <v>1.60</v>
      </c>
      <c r="K23" s="51">
        <v>355.28</v>
      </c>
      <c r="L23" s="51">
        <v>29.30</v>
      </c>
      <c r="M23" s="51">
        <v>49</v>
      </c>
      <c r="N23" s="51">
        <v>206.70</v>
      </c>
      <c r="O23" s="51">
        <v>0</v>
      </c>
      <c r="P23" s="51">
        <v>1.87</v>
      </c>
      <c r="Q23" s="51">
        <v>43.98</v>
      </c>
      <c r="R23" s="43"/>
      <c r="S23" s="43"/>
      <c r="T23" s="43"/>
      <c r="U23" s="43"/>
    </row>
    <row r="24" spans="1:21" s="11" customFormat="1" ht="15">
      <c r="A24" s="50" t="s">
        <v>312</v>
      </c>
      <c r="B24" s="51">
        <v>3.87</v>
      </c>
      <c r="C24" s="51">
        <v>97.49</v>
      </c>
      <c r="D24" s="51">
        <v>56.91</v>
      </c>
      <c r="E24" s="51">
        <v>10.039999999999999</v>
      </c>
      <c r="F24" s="51">
        <v>6.02</v>
      </c>
      <c r="G24" s="51">
        <v>126.41</v>
      </c>
      <c r="H24" s="51">
        <v>46.39</v>
      </c>
      <c r="I24" s="51">
        <v>0.40</v>
      </c>
      <c r="J24" s="51">
        <v>1.60</v>
      </c>
      <c r="K24" s="51">
        <v>357.79</v>
      </c>
      <c r="L24" s="51">
        <v>29.08</v>
      </c>
      <c r="M24" s="51">
        <v>53</v>
      </c>
      <c r="N24" s="51">
        <v>172.60</v>
      </c>
      <c r="O24" s="51">
        <v>0</v>
      </c>
      <c r="P24" s="51">
        <v>1.93</v>
      </c>
      <c r="Q24" s="51">
        <v>42.42</v>
      </c>
      <c r="R24" s="43"/>
      <c r="S24" s="43"/>
      <c r="T24" s="43"/>
      <c r="U24" s="43"/>
    </row>
    <row r="25" spans="1:21" s="11" customFormat="1" ht="15">
      <c r="A25" s="50" t="s">
        <v>313</v>
      </c>
      <c r="B25" s="51">
        <v>3.75</v>
      </c>
      <c r="C25" s="51">
        <v>97.80</v>
      </c>
      <c r="D25" s="51">
        <v>56.83</v>
      </c>
      <c r="E25" s="51">
        <v>7.33</v>
      </c>
      <c r="F25" s="51">
        <v>2.42</v>
      </c>
      <c r="G25" s="51">
        <v>122.31</v>
      </c>
      <c r="H25" s="51">
        <v>46.39</v>
      </c>
      <c r="I25" s="51">
        <v>0.42</v>
      </c>
      <c r="J25" s="51">
        <v>1.57</v>
      </c>
      <c r="K25" s="51">
        <v>16.149999999999999</v>
      </c>
      <c r="L25" s="51">
        <v>27.36</v>
      </c>
      <c r="M25" s="51">
        <v>56</v>
      </c>
      <c r="N25" s="51">
        <v>57.60</v>
      </c>
      <c r="O25" s="51">
        <v>0</v>
      </c>
      <c r="P25" s="51">
        <v>2.13</v>
      </c>
      <c r="Q25" s="51">
        <v>44.19</v>
      </c>
      <c r="R25" s="43"/>
      <c r="S25" s="43"/>
      <c r="T25" s="43"/>
      <c r="U25" s="43"/>
    </row>
    <row r="26" spans="1:21" s="11" customFormat="1" ht="15">
      <c r="A26" s="50" t="s">
        <v>314</v>
      </c>
      <c r="B26" s="51">
        <v>7.11</v>
      </c>
      <c r="C26" s="51">
        <v>98.79</v>
      </c>
      <c r="D26" s="51">
        <v>59.71</v>
      </c>
      <c r="E26" s="51">
        <v>7.08</v>
      </c>
      <c r="F26" s="51">
        <v>3.04</v>
      </c>
      <c r="G26" s="51">
        <v>109.18</v>
      </c>
      <c r="H26" s="51">
        <v>46.83</v>
      </c>
      <c r="I26" s="51">
        <v>0.43</v>
      </c>
      <c r="J26" s="51">
        <v>1.21</v>
      </c>
      <c r="K26" s="51">
        <v>18.350000000000001</v>
      </c>
      <c r="L26" s="51">
        <v>26.03</v>
      </c>
      <c r="M26" s="51">
        <v>60</v>
      </c>
      <c r="N26" s="51">
        <v>28.70</v>
      </c>
      <c r="O26" s="51">
        <v>0</v>
      </c>
      <c r="P26" s="51">
        <v>2.37</v>
      </c>
      <c r="Q26" s="51">
        <v>43.05</v>
      </c>
      <c r="R26" s="43"/>
      <c r="S26" s="43"/>
      <c r="T26" s="43"/>
      <c r="U26" s="43"/>
    </row>
    <row r="27" spans="1:21" s="11" customFormat="1" ht="15">
      <c r="A27" s="50" t="s">
        <v>315</v>
      </c>
      <c r="B27" s="51">
        <v>8.67</v>
      </c>
      <c r="C27" s="51">
        <v>99.52</v>
      </c>
      <c r="D27" s="51">
        <v>61.63</v>
      </c>
      <c r="E27" s="51">
        <v>9.9700000000000006</v>
      </c>
      <c r="F27" s="51">
        <v>4.5</v>
      </c>
      <c r="G27" s="51">
        <v>114.33</v>
      </c>
      <c r="H27" s="51">
        <v>46.83</v>
      </c>
      <c r="I27" s="51">
        <v>0.49</v>
      </c>
      <c r="J27" s="51">
        <v>0.78</v>
      </c>
      <c r="K27" s="51">
        <v>357.94</v>
      </c>
      <c r="L27" s="51">
        <v>25.20</v>
      </c>
      <c r="M27" s="51">
        <v>63</v>
      </c>
      <c r="N27" s="51">
        <v>25.10</v>
      </c>
      <c r="O27" s="51">
        <v>0</v>
      </c>
      <c r="P27" s="51">
        <v>2.4900000000000002</v>
      </c>
      <c r="Q27" s="51">
        <v>43.01</v>
      </c>
      <c r="R27" s="43"/>
      <c r="S27" s="43"/>
      <c r="T27" s="43"/>
      <c r="U27" s="43"/>
    </row>
    <row r="28" spans="1:21" s="11" customFormat="1" ht="15">
      <c r="A28" s="50" t="s">
        <v>316</v>
      </c>
      <c r="B28" s="51">
        <v>10.63</v>
      </c>
      <c r="C28" s="51">
        <v>90.87</v>
      </c>
      <c r="D28" s="51">
        <v>57.83</v>
      </c>
      <c r="E28" s="51">
        <v>6.71</v>
      </c>
      <c r="F28" s="51">
        <v>1.78</v>
      </c>
      <c r="G28" s="51">
        <v>114.33</v>
      </c>
      <c r="H28" s="51">
        <v>43.48</v>
      </c>
      <c r="I28" s="51">
        <v>0.55000000000000004</v>
      </c>
      <c r="J28" s="51">
        <v>0.38</v>
      </c>
      <c r="K28" s="51">
        <v>70.22</v>
      </c>
      <c r="L28" s="51">
        <v>24.48</v>
      </c>
      <c r="M28" s="51">
        <v>64</v>
      </c>
      <c r="N28" s="51">
        <v>25</v>
      </c>
      <c r="O28" s="51">
        <v>0</v>
      </c>
      <c r="P28" s="51">
        <v>2.42</v>
      </c>
      <c r="Q28" s="51">
        <v>46.86</v>
      </c>
      <c r="R28" s="43"/>
      <c r="S28" s="43"/>
      <c r="T28" s="43"/>
      <c r="U28" s="43"/>
    </row>
    <row r="29" spans="1:21" s="11" customFormat="1" ht="15">
      <c r="A29" s="50" t="s">
        <v>317</v>
      </c>
      <c r="B29" s="51">
        <v>19.54</v>
      </c>
      <c r="C29" s="51">
        <v>91.43</v>
      </c>
      <c r="D29" s="51">
        <v>65.95</v>
      </c>
      <c r="E29" s="51">
        <v>5.85</v>
      </c>
      <c r="F29" s="51">
        <v>0.56999999999999995</v>
      </c>
      <c r="G29" s="51">
        <v>84.41</v>
      </c>
      <c r="H29" s="51">
        <v>40.74</v>
      </c>
      <c r="I29" s="51">
        <v>0.61</v>
      </c>
      <c r="J29" s="51">
        <v>0.36</v>
      </c>
      <c r="K29" s="51">
        <v>358.39</v>
      </c>
      <c r="L29" s="51">
        <v>24.29</v>
      </c>
      <c r="M29" s="51">
        <v>63</v>
      </c>
      <c r="N29" s="51">
        <v>25</v>
      </c>
      <c r="O29" s="51">
        <v>0</v>
      </c>
      <c r="P29" s="51">
        <v>2.5</v>
      </c>
      <c r="Q29" s="51">
        <v>47.03</v>
      </c>
      <c r="R29" s="43"/>
      <c r="S29" s="43"/>
      <c r="T29" s="43"/>
      <c r="U29" s="43"/>
    </row>
    <row r="30" spans="1:21" s="11" customFormat="1" ht="15">
      <c r="A30" s="50" t="s">
        <v>318</v>
      </c>
      <c r="B30" s="51">
        <v>29.21</v>
      </c>
      <c r="C30" s="51">
        <v>94.11</v>
      </c>
      <c r="D30" s="51">
        <v>75.36</v>
      </c>
      <c r="E30" s="51">
        <v>6.85</v>
      </c>
      <c r="F30" s="51">
        <v>0.56000000000000005</v>
      </c>
      <c r="G30" s="51">
        <v>80.900000000000006</v>
      </c>
      <c r="H30" s="51">
        <v>39.21</v>
      </c>
      <c r="I30" s="51">
        <v>0.63</v>
      </c>
      <c r="J30" s="51">
        <v>0.30</v>
      </c>
      <c r="K30" s="51">
        <v>350.60</v>
      </c>
      <c r="L30" s="51">
        <v>23.45</v>
      </c>
      <c r="M30" s="51">
        <v>62</v>
      </c>
      <c r="N30" s="51">
        <v>24.90</v>
      </c>
      <c r="O30" s="51">
        <v>0</v>
      </c>
      <c r="P30" s="51">
        <v>2.4300000000000002</v>
      </c>
      <c r="Q30" s="51">
        <v>46.63</v>
      </c>
      <c r="R30" s="43"/>
      <c r="S30" s="43"/>
      <c r="T30" s="43"/>
      <c r="U30" s="43"/>
    </row>
    <row r="31" spans="1:21" s="11" customFormat="1" ht="15">
      <c r="A31" s="50" t="s">
        <v>319</v>
      </c>
      <c r="B31" s="51">
        <v>33.049999999999997</v>
      </c>
      <c r="C31" s="51">
        <v>92.38</v>
      </c>
      <c r="D31" s="51">
        <v>75.55</v>
      </c>
      <c r="E31" s="51">
        <v>7.63</v>
      </c>
      <c r="F31" s="51">
        <v>0.60</v>
      </c>
      <c r="G31" s="51">
        <v>85.95</v>
      </c>
      <c r="H31" s="51">
        <v>36.08</v>
      </c>
      <c r="I31" s="51">
        <v>0.67</v>
      </c>
      <c r="J31" s="51">
        <v>0.62</v>
      </c>
      <c r="K31" s="51">
        <v>98.73</v>
      </c>
      <c r="L31" s="51">
        <v>23.10</v>
      </c>
      <c r="M31" s="51">
        <v>61</v>
      </c>
      <c r="N31" s="51">
        <v>24.90</v>
      </c>
      <c r="O31" s="51">
        <v>0</v>
      </c>
      <c r="P31" s="51">
        <v>2.38</v>
      </c>
      <c r="Q31" s="51">
        <v>48.73</v>
      </c>
      <c r="R31" s="43"/>
      <c r="S31" s="43"/>
      <c r="T31" s="43"/>
      <c r="U31" s="43"/>
    </row>
    <row r="32" spans="1:21" s="11" customFormat="1" ht="15">
      <c r="A32" s="50" t="s">
        <v>320</v>
      </c>
      <c r="B32" s="51">
        <v>33.840000000000003</v>
      </c>
      <c r="C32" s="51">
        <v>87.49</v>
      </c>
      <c r="D32" s="51">
        <v>74.819999999999993</v>
      </c>
      <c r="E32" s="51">
        <v>7.38</v>
      </c>
      <c r="F32" s="51">
        <v>0.60</v>
      </c>
      <c r="G32" s="51">
        <v>85.95</v>
      </c>
      <c r="H32" s="51">
        <v>33.15</v>
      </c>
      <c r="I32" s="51">
        <v>0.68</v>
      </c>
      <c r="J32" s="51">
        <v>0.37</v>
      </c>
      <c r="K32" s="51">
        <v>73.84</v>
      </c>
      <c r="L32" s="51">
        <v>23.13</v>
      </c>
      <c r="M32" s="51">
        <v>55</v>
      </c>
      <c r="N32" s="51">
        <v>25</v>
      </c>
      <c r="O32" s="51">
        <v>0</v>
      </c>
      <c r="P32" s="51">
        <v>2.1800000000000002</v>
      </c>
      <c r="Q32" s="51">
        <v>50.49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3.75</v>
      </c>
      <c r="C34" s="28">
        <f t="shared" si="0"/>
        <v>63.969999999999999</v>
      </c>
      <c r="D34" s="28">
        <f t="shared" si="0"/>
        <v>40.07</v>
      </c>
      <c r="E34" s="28">
        <f t="shared" si="0"/>
        <v>5.3099999999999996</v>
      </c>
      <c r="F34" s="28">
        <f t="shared" si="0"/>
        <v>0.56000000000000005</v>
      </c>
      <c r="G34" s="28">
        <f t="shared" si="0"/>
        <v>54.479999999999997</v>
      </c>
      <c r="H34" s="28">
        <f t="shared" si="0"/>
        <v>29.219999999999999</v>
      </c>
      <c r="I34" s="28">
        <f t="shared" si="0"/>
        <v>0.40000000000000002</v>
      </c>
      <c r="J34" s="28">
        <f t="shared" si="0"/>
        <v>0.14999999999999999</v>
      </c>
      <c r="K34" s="28">
        <f t="shared" si="0"/>
        <v>2.7799999999999998</v>
      </c>
      <c r="L34" s="28">
        <f t="shared" si="0"/>
        <v>20.129999999999999</v>
      </c>
      <c r="M34" s="28">
        <f t="shared" si="0"/>
        <v>49</v>
      </c>
      <c r="N34" s="28">
        <f t="shared" si="0"/>
        <v>24.899999999999999</v>
      </c>
      <c r="O34" s="28">
        <f t="shared" si="0"/>
        <v>0</v>
      </c>
      <c r="P34" s="28">
        <f t="shared" si="0"/>
        <v>1.0600000000000001</v>
      </c>
      <c r="Q34" s="28">
        <f t="shared" si="0"/>
        <v>42.009999999999998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33.840000000000003</v>
      </c>
      <c r="C35" s="29">
        <f t="shared" si="1"/>
        <v>99.519999999999996</v>
      </c>
      <c r="D35" s="29">
        <f t="shared" si="1"/>
        <v>75.549999999999997</v>
      </c>
      <c r="E35" s="29">
        <f t="shared" si="1"/>
        <v>11.92</v>
      </c>
      <c r="F35" s="29">
        <f t="shared" si="1"/>
        <v>6.0199999999999996</v>
      </c>
      <c r="G35" s="29">
        <f t="shared" si="1"/>
        <v>156.43000000000001</v>
      </c>
      <c r="H35" s="29">
        <f t="shared" si="1"/>
        <v>46.829999999999998</v>
      </c>
      <c r="I35" s="29">
        <f t="shared" si="1"/>
        <v>0.68000000000000005</v>
      </c>
      <c r="J35" s="29">
        <f t="shared" si="1"/>
        <v>1.6000000000000001</v>
      </c>
      <c r="K35" s="29">
        <f t="shared" si="1"/>
        <v>359.77999999999997</v>
      </c>
      <c r="L35" s="29">
        <f t="shared" si="1"/>
        <v>29.300000000000001</v>
      </c>
      <c r="M35" s="29">
        <f t="shared" si="1"/>
        <v>65</v>
      </c>
      <c r="N35" s="29">
        <f t="shared" si="1"/>
        <v>318.69999999999999</v>
      </c>
      <c r="O35" s="29">
        <f t="shared" si="1"/>
        <v>0</v>
      </c>
      <c r="P35" s="29">
        <f t="shared" si="1"/>
        <v>2.5</v>
      </c>
      <c r="Q35" s="29">
        <f t="shared" si="1"/>
        <v>50.490000000000002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13.767916666666665</v>
      </c>
      <c r="C36" s="28">
        <f t="shared" si="2"/>
        <v>83.170416666666668</v>
      </c>
      <c r="D36" s="28">
        <f t="shared" si="2"/>
        <v>56.587083333333332</v>
      </c>
      <c r="E36" s="28">
        <f t="shared" si="2"/>
        <v>6.9833333333333316</v>
      </c>
      <c r="F36" s="28">
        <f t="shared" si="2"/>
        <v>1.6529166666666668</v>
      </c>
      <c r="G36" s="28">
        <f t="shared" si="2"/>
        <v>94.656666666666652</v>
      </c>
      <c r="H36" s="28">
        <f t="shared" si="2"/>
        <v>38.170833333333341</v>
      </c>
      <c r="I36" s="28">
        <f t="shared" si="2"/>
        <v>0.47875000000000001</v>
      </c>
      <c r="J36" s="28">
        <f t="shared" si="2"/>
        <v>0.8304166666666668</v>
      </c>
      <c r="K36" s="28">
        <f t="shared" si="2"/>
        <v>216.89750000000004</v>
      </c>
      <c r="L36" s="28">
        <f t="shared" si="2"/>
        <v>23.910416666666674</v>
      </c>
      <c r="M36" s="28">
        <f t="shared" si="2"/>
        <v>58.541666666666664</v>
      </c>
      <c r="N36" s="28">
        <f t="shared" si="2"/>
        <v>89.137500000000003</v>
      </c>
      <c r="O36" s="28">
        <f t="shared" si="2"/>
        <v>0</v>
      </c>
      <c r="P36" s="28">
        <f t="shared" si="2"/>
        <v>1.7883333333333333</v>
      </c>
      <c r="Q36" s="28">
        <f t="shared" si="2"/>
        <v>44.174166666666672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9.8302085338430452</v>
      </c>
      <c r="C37" s="28">
        <f t="shared" si="3" ref="C37:Q37">STDEV(C9:C32)</f>
        <v>12.006323145368704</v>
      </c>
      <c r="D37" s="28">
        <f t="shared" si="3"/>
        <v>10.577913198969263</v>
      </c>
      <c r="E37" s="28">
        <f t="shared" si="3"/>
        <v>1.6274591203485926</v>
      </c>
      <c r="F37" s="28">
        <f t="shared" si="3"/>
        <v>1.514433397179537</v>
      </c>
      <c r="G37" s="28">
        <f t="shared" si="3"/>
        <v>27.77977473015169</v>
      </c>
      <c r="H37" s="28">
        <f t="shared" si="3"/>
        <v>6.1695781806810874</v>
      </c>
      <c r="I37" s="28">
        <f t="shared" si="3"/>
        <v>0.084148548774589882</v>
      </c>
      <c r="J37" s="28">
        <f t="shared" si="3"/>
        <v>0.44567954140075611</v>
      </c>
      <c r="K37" s="28">
        <f t="shared" si="3"/>
        <v>143.97074567727134</v>
      </c>
      <c r="L37" s="28">
        <f t="shared" si="3"/>
        <v>3.2212035006738398</v>
      </c>
      <c r="M37" s="28">
        <f t="shared" si="3"/>
        <v>4.3537007413150874</v>
      </c>
      <c r="N37" s="28">
        <f t="shared" si="3"/>
        <v>91.662385308450183</v>
      </c>
      <c r="O37" s="28">
        <f t="shared" si="3"/>
        <v>0</v>
      </c>
      <c r="P37" s="28">
        <f t="shared" si="3"/>
        <v>0.47579376850157135</v>
      </c>
      <c r="Q37" s="28">
        <f t="shared" si="3"/>
        <v>2.2333576139714078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f9b2107-49d9-458b-9272-84833efa86ed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326</v>
      </c>
      <c r="B9" s="51">
        <v>31.35</v>
      </c>
      <c r="C9" s="51">
        <v>86.16</v>
      </c>
      <c r="D9" s="51">
        <v>72.69</v>
      </c>
      <c r="E9" s="51">
        <v>5.90</v>
      </c>
      <c r="F9" s="51">
        <v>0.5</v>
      </c>
      <c r="G9" s="51">
        <v>79.11</v>
      </c>
      <c r="H9" s="51">
        <v>31.34</v>
      </c>
      <c r="I9" s="51">
        <v>0.63</v>
      </c>
      <c r="J9" s="51">
        <v>0.27</v>
      </c>
      <c r="K9" s="51">
        <v>349.30</v>
      </c>
      <c r="L9" s="51">
        <v>22.31</v>
      </c>
      <c r="M9" s="51">
        <v>61</v>
      </c>
      <c r="N9" s="51">
        <v>24.90</v>
      </c>
      <c r="O9" s="51">
        <v>0</v>
      </c>
      <c r="P9" s="51">
        <v>1.88</v>
      </c>
      <c r="Q9" s="51">
        <v>49.14</v>
      </c>
      <c r="R9" s="43"/>
      <c r="S9" s="43"/>
      <c r="T9" s="43"/>
      <c r="U9" s="43"/>
    </row>
    <row r="10" spans="1:21" s="11" customFormat="1" ht="15">
      <c r="A10" s="50" t="s">
        <v>327</v>
      </c>
      <c r="B10" s="51">
        <v>25.52</v>
      </c>
      <c r="C10" s="51">
        <v>82.84</v>
      </c>
      <c r="D10" s="51">
        <v>66.180000000000007</v>
      </c>
      <c r="E10" s="51">
        <v>5.35</v>
      </c>
      <c r="F10" s="51">
        <v>0.57999999999999996</v>
      </c>
      <c r="G10" s="51">
        <v>79.11</v>
      </c>
      <c r="H10" s="51">
        <v>30.60</v>
      </c>
      <c r="I10" s="51">
        <v>0.53</v>
      </c>
      <c r="J10" s="51">
        <v>0.12</v>
      </c>
      <c r="K10" s="51">
        <v>313.70999999999998</v>
      </c>
      <c r="L10" s="51">
        <v>21</v>
      </c>
      <c r="M10" s="51">
        <v>69</v>
      </c>
      <c r="N10" s="51">
        <v>25</v>
      </c>
      <c r="O10" s="51">
        <v>0</v>
      </c>
      <c r="P10" s="51">
        <v>1.60</v>
      </c>
      <c r="Q10" s="51">
        <v>46.67</v>
      </c>
      <c r="R10" s="43"/>
      <c r="S10" s="43"/>
      <c r="T10" s="43"/>
      <c r="U10" s="43"/>
    </row>
    <row r="11" spans="1:21" s="11" customFormat="1" ht="15">
      <c r="A11" s="50" t="s">
        <v>328</v>
      </c>
      <c r="B11" s="51">
        <v>24.66</v>
      </c>
      <c r="C11" s="51">
        <v>78.98</v>
      </c>
      <c r="D11" s="51">
        <v>63.36</v>
      </c>
      <c r="E11" s="51">
        <v>5.37</v>
      </c>
      <c r="F11" s="51">
        <v>0.64</v>
      </c>
      <c r="G11" s="51">
        <v>66.39</v>
      </c>
      <c r="H11" s="51">
        <v>29.76</v>
      </c>
      <c r="I11" s="51">
        <v>0.55000000000000004</v>
      </c>
      <c r="J11" s="51">
        <v>0.26</v>
      </c>
      <c r="K11" s="51">
        <v>344.79</v>
      </c>
      <c r="L11" s="51">
        <v>20.47</v>
      </c>
      <c r="M11" s="51">
        <v>68</v>
      </c>
      <c r="N11" s="51">
        <v>24.60</v>
      </c>
      <c r="O11" s="51">
        <v>0</v>
      </c>
      <c r="P11" s="51">
        <v>1.52</v>
      </c>
      <c r="Q11" s="51">
        <v>47.93</v>
      </c>
      <c r="R11" s="43"/>
      <c r="S11" s="43"/>
      <c r="T11" s="43"/>
      <c r="U11" s="43"/>
    </row>
    <row r="12" spans="1:21" s="11" customFormat="1" ht="15">
      <c r="A12" s="50" t="s">
        <v>329</v>
      </c>
      <c r="B12" s="51">
        <v>21.83</v>
      </c>
      <c r="C12" s="51">
        <v>74.930000000000007</v>
      </c>
      <c r="D12" s="51">
        <v>58.85</v>
      </c>
      <c r="E12" s="51">
        <v>5.22</v>
      </c>
      <c r="F12" s="51">
        <v>0.56000000000000005</v>
      </c>
      <c r="G12" s="51">
        <v>80.77</v>
      </c>
      <c r="H12" s="51">
        <v>29.76</v>
      </c>
      <c r="I12" s="51">
        <v>0.54</v>
      </c>
      <c r="J12" s="51">
        <v>0.15</v>
      </c>
      <c r="K12" s="51">
        <v>99.51</v>
      </c>
      <c r="L12" s="51">
        <v>19.88</v>
      </c>
      <c r="M12" s="51">
        <v>73</v>
      </c>
      <c r="N12" s="51">
        <v>24.60</v>
      </c>
      <c r="O12" s="51">
        <v>0</v>
      </c>
      <c r="P12" s="51">
        <v>1.38</v>
      </c>
      <c r="Q12" s="51">
        <v>48.27</v>
      </c>
      <c r="R12" s="43"/>
      <c r="S12" s="43"/>
      <c r="T12" s="43"/>
      <c r="U12" s="43"/>
    </row>
    <row r="13" spans="1:21" s="11" customFormat="1" ht="15">
      <c r="A13" s="50" t="s">
        <v>330</v>
      </c>
      <c r="B13" s="51">
        <v>23.12</v>
      </c>
      <c r="C13" s="51">
        <v>76.75</v>
      </c>
      <c r="D13" s="51">
        <v>60.90</v>
      </c>
      <c r="E13" s="51">
        <v>5.80</v>
      </c>
      <c r="F13" s="51">
        <v>0.59</v>
      </c>
      <c r="G13" s="51">
        <v>94.68</v>
      </c>
      <c r="H13" s="51">
        <v>30.65</v>
      </c>
      <c r="I13" s="51">
        <v>0.49</v>
      </c>
      <c r="J13" s="51">
        <v>0.19</v>
      </c>
      <c r="K13" s="51">
        <v>91.47</v>
      </c>
      <c r="L13" s="51">
        <v>20.18</v>
      </c>
      <c r="M13" s="51">
        <v>69</v>
      </c>
      <c r="N13" s="51">
        <v>24.60</v>
      </c>
      <c r="O13" s="51">
        <v>0</v>
      </c>
      <c r="P13" s="51">
        <v>1.31</v>
      </c>
      <c r="Q13" s="51">
        <v>46.10</v>
      </c>
      <c r="R13" s="43"/>
      <c r="S13" s="43"/>
      <c r="T13" s="43"/>
      <c r="U13" s="43"/>
    </row>
    <row r="14" spans="1:21" s="11" customFormat="1" ht="15">
      <c r="A14" s="50" t="s">
        <v>331</v>
      </c>
      <c r="B14" s="51">
        <v>22.5</v>
      </c>
      <c r="C14" s="51">
        <v>75.239999999999995</v>
      </c>
      <c r="D14" s="51">
        <v>59.57</v>
      </c>
      <c r="E14" s="51">
        <v>6.01</v>
      </c>
      <c r="F14" s="51">
        <v>0.51</v>
      </c>
      <c r="G14" s="51">
        <v>94.68</v>
      </c>
      <c r="H14" s="51">
        <v>31.95</v>
      </c>
      <c r="I14" s="51">
        <v>0.5</v>
      </c>
      <c r="J14" s="51">
        <v>0.62</v>
      </c>
      <c r="K14" s="51">
        <v>108.47</v>
      </c>
      <c r="L14" s="51">
        <v>20.65</v>
      </c>
      <c r="M14" s="51">
        <v>67</v>
      </c>
      <c r="N14" s="51">
        <v>24.80</v>
      </c>
      <c r="O14" s="51">
        <v>0</v>
      </c>
      <c r="P14" s="51">
        <v>1.28</v>
      </c>
      <c r="Q14" s="51">
        <v>45.62</v>
      </c>
      <c r="R14" s="43"/>
      <c r="S14" s="43"/>
      <c r="T14" s="43"/>
      <c r="U14" s="43"/>
    </row>
    <row r="15" spans="1:21" s="11" customFormat="1" ht="15">
      <c r="A15" s="50" t="s">
        <v>332</v>
      </c>
      <c r="B15" s="51">
        <v>22.19</v>
      </c>
      <c r="C15" s="51">
        <v>73.27</v>
      </c>
      <c r="D15" s="51">
        <v>58.09</v>
      </c>
      <c r="E15" s="51">
        <v>6.24</v>
      </c>
      <c r="F15" s="51">
        <v>0.53</v>
      </c>
      <c r="G15" s="51">
        <v>74.83</v>
      </c>
      <c r="H15" s="51">
        <v>31.95</v>
      </c>
      <c r="I15" s="51">
        <v>0.5</v>
      </c>
      <c r="J15" s="51">
        <v>0.23</v>
      </c>
      <c r="K15" s="51">
        <v>65.5</v>
      </c>
      <c r="L15" s="51">
        <v>20.77</v>
      </c>
      <c r="M15" s="51">
        <v>67</v>
      </c>
      <c r="N15" s="51">
        <v>37.40</v>
      </c>
      <c r="O15" s="51">
        <v>0</v>
      </c>
      <c r="P15" s="51">
        <v>1.22</v>
      </c>
      <c r="Q15" s="51">
        <v>47.26</v>
      </c>
      <c r="R15" s="43"/>
      <c r="S15" s="43"/>
      <c r="T15" s="43"/>
      <c r="U15" s="43"/>
    </row>
    <row r="16" spans="1:21" s="11" customFormat="1" ht="15">
      <c r="A16" s="50" t="s">
        <v>333</v>
      </c>
      <c r="B16" s="51">
        <v>30.29</v>
      </c>
      <c r="C16" s="51">
        <v>79.33</v>
      </c>
      <c r="D16" s="51">
        <v>68.069999999999993</v>
      </c>
      <c r="E16" s="51">
        <v>6.07</v>
      </c>
      <c r="F16" s="51">
        <v>0.59</v>
      </c>
      <c r="G16" s="51">
        <v>84.72</v>
      </c>
      <c r="H16" s="51">
        <v>32.72</v>
      </c>
      <c r="I16" s="51">
        <v>0.5</v>
      </c>
      <c r="J16" s="51">
        <v>0.78</v>
      </c>
      <c r="K16" s="51">
        <v>21.78</v>
      </c>
      <c r="L16" s="51">
        <v>22.17</v>
      </c>
      <c r="M16" s="51">
        <v>66</v>
      </c>
      <c r="N16" s="51">
        <v>76.5</v>
      </c>
      <c r="O16" s="51">
        <v>0</v>
      </c>
      <c r="P16" s="51">
        <v>1.40</v>
      </c>
      <c r="Q16" s="51">
        <v>46.27</v>
      </c>
      <c r="R16" s="43"/>
      <c r="S16" s="43"/>
      <c r="T16" s="43"/>
      <c r="U16" s="43"/>
    </row>
    <row r="17" spans="1:21" s="11" customFormat="1" ht="15">
      <c r="A17" s="50" t="s">
        <v>334</v>
      </c>
      <c r="B17" s="51">
        <v>33.71</v>
      </c>
      <c r="C17" s="51">
        <v>83.57</v>
      </c>
      <c r="D17" s="51">
        <v>73.150000000000006</v>
      </c>
      <c r="E17" s="51">
        <v>6.20</v>
      </c>
      <c r="F17" s="51">
        <v>0.70</v>
      </c>
      <c r="G17" s="51">
        <v>93.93</v>
      </c>
      <c r="H17" s="51">
        <v>34.68</v>
      </c>
      <c r="I17" s="51">
        <v>0.5</v>
      </c>
      <c r="J17" s="51">
        <v>0.48</v>
      </c>
      <c r="K17" s="51">
        <v>355.31</v>
      </c>
      <c r="L17" s="51">
        <v>23.32</v>
      </c>
      <c r="M17" s="51">
        <v>64</v>
      </c>
      <c r="N17" s="51">
        <v>119.5</v>
      </c>
      <c r="O17" s="51">
        <v>0</v>
      </c>
      <c r="P17" s="51">
        <v>1.52</v>
      </c>
      <c r="Q17" s="51">
        <v>45.20</v>
      </c>
      <c r="R17" s="43"/>
      <c r="S17" s="43"/>
      <c r="T17" s="43"/>
      <c r="U17" s="43"/>
    </row>
    <row r="18" spans="1:21" s="11" customFormat="1" ht="15">
      <c r="A18" s="50" t="s">
        <v>335</v>
      </c>
      <c r="B18" s="51">
        <v>32.96</v>
      </c>
      <c r="C18" s="51">
        <v>85.28</v>
      </c>
      <c r="D18" s="51">
        <v>72.680000000000007</v>
      </c>
      <c r="E18" s="51">
        <v>7.40</v>
      </c>
      <c r="F18" s="51">
        <v>1.61</v>
      </c>
      <c r="G18" s="51">
        <v>97.59</v>
      </c>
      <c r="H18" s="51">
        <v>35.590000000000003</v>
      </c>
      <c r="I18" s="51">
        <v>0.55000000000000004</v>
      </c>
      <c r="J18" s="51">
        <v>0.70</v>
      </c>
      <c r="K18" s="51">
        <v>354.66</v>
      </c>
      <c r="L18" s="51">
        <v>25.52</v>
      </c>
      <c r="M18" s="51">
        <v>58</v>
      </c>
      <c r="N18" s="51">
        <v>222.40</v>
      </c>
      <c r="O18" s="51">
        <v>0</v>
      </c>
      <c r="P18" s="51">
        <v>1.61</v>
      </c>
      <c r="Q18" s="51">
        <v>47.11</v>
      </c>
      <c r="R18" s="43"/>
      <c r="S18" s="43"/>
      <c r="T18" s="43"/>
      <c r="U18" s="43"/>
    </row>
    <row r="19" spans="1:21" s="11" customFormat="1" ht="15">
      <c r="A19" s="50" t="s">
        <v>336</v>
      </c>
      <c r="B19" s="51">
        <v>26.53</v>
      </c>
      <c r="C19" s="51">
        <v>87.93</v>
      </c>
      <c r="D19" s="51">
        <v>68.09</v>
      </c>
      <c r="E19" s="51">
        <v>6.41</v>
      </c>
      <c r="F19" s="51">
        <v>1.05</v>
      </c>
      <c r="G19" s="51">
        <v>97.59</v>
      </c>
      <c r="H19" s="51">
        <v>35.590000000000003</v>
      </c>
      <c r="I19" s="51">
        <v>0.56000000000000005</v>
      </c>
      <c r="J19" s="51">
        <v>0.54</v>
      </c>
      <c r="K19" s="51">
        <v>104.64</v>
      </c>
      <c r="L19" s="51">
        <v>27.16</v>
      </c>
      <c r="M19" s="51">
        <v>58</v>
      </c>
      <c r="N19" s="51">
        <v>222.60</v>
      </c>
      <c r="O19" s="51">
        <v>0</v>
      </c>
      <c r="P19" s="51">
        <v>1.62</v>
      </c>
      <c r="Q19" s="51">
        <v>48.54</v>
      </c>
      <c r="R19" s="43"/>
      <c r="S19" s="43"/>
      <c r="T19" s="43"/>
      <c r="U19" s="43"/>
    </row>
    <row r="20" spans="1:21" s="11" customFormat="1" ht="15">
      <c r="A20" s="50" t="s">
        <v>337</v>
      </c>
      <c r="B20" s="51">
        <v>9.5500000000000007</v>
      </c>
      <c r="C20" s="51">
        <v>85.13</v>
      </c>
      <c r="D20" s="51">
        <v>54.64</v>
      </c>
      <c r="E20" s="57" t="s">
        <v>15</v>
      </c>
      <c r="F20" s="57" t="s">
        <v>15</v>
      </c>
      <c r="G20" s="51">
        <v>89.15</v>
      </c>
      <c r="H20" s="51">
        <v>35.119999999999997</v>
      </c>
      <c r="I20" s="51">
        <v>0.53</v>
      </c>
      <c r="J20" s="51">
        <v>0.79</v>
      </c>
      <c r="K20" s="51">
        <v>354.76</v>
      </c>
      <c r="L20" s="51">
        <v>30.97</v>
      </c>
      <c r="M20" s="51">
        <v>52</v>
      </c>
      <c r="N20" s="51">
        <v>341.20</v>
      </c>
      <c r="O20" s="51">
        <v>0</v>
      </c>
      <c r="P20" s="51">
        <v>1.69</v>
      </c>
      <c r="Q20" s="51">
        <v>42.65</v>
      </c>
      <c r="R20" s="43"/>
      <c r="S20" s="43"/>
      <c r="T20" s="43"/>
      <c r="U20" s="43"/>
    </row>
    <row r="21" spans="1:21" s="11" customFormat="1" ht="15">
      <c r="A21" s="50" t="s">
        <v>338</v>
      </c>
      <c r="B21" s="51">
        <v>5.64</v>
      </c>
      <c r="C21" s="51">
        <v>75.31</v>
      </c>
      <c r="D21" s="51">
        <v>44.04</v>
      </c>
      <c r="E21" s="51">
        <v>10.90</v>
      </c>
      <c r="F21" s="51">
        <v>12.80</v>
      </c>
      <c r="G21" s="51">
        <v>89.15</v>
      </c>
      <c r="H21" s="51">
        <v>35.119999999999997</v>
      </c>
      <c r="I21" s="51">
        <v>0.43</v>
      </c>
      <c r="J21" s="51">
        <v>1.1399999999999999</v>
      </c>
      <c r="K21" s="51">
        <v>352.81</v>
      </c>
      <c r="L21" s="51">
        <v>34.04</v>
      </c>
      <c r="M21" s="51">
        <v>45</v>
      </c>
      <c r="N21" s="51">
        <v>492.20</v>
      </c>
      <c r="O21" s="51">
        <v>0</v>
      </c>
      <c r="P21" s="51">
        <v>1.62</v>
      </c>
      <c r="Q21" s="51">
        <v>37.46</v>
      </c>
      <c r="R21" s="43"/>
      <c r="S21" s="43"/>
      <c r="T21" s="43"/>
      <c r="U21" s="43"/>
    </row>
    <row r="22" spans="1:21" s="11" customFormat="1" ht="15">
      <c r="A22" s="50" t="s">
        <v>339</v>
      </c>
      <c r="B22" s="51">
        <v>5.41</v>
      </c>
      <c r="C22" s="51">
        <v>76.42</v>
      </c>
      <c r="D22" s="51">
        <v>44.95</v>
      </c>
      <c r="E22" s="51">
        <v>6.20</v>
      </c>
      <c r="F22" s="51">
        <v>8.48</v>
      </c>
      <c r="G22" s="51">
        <v>78.239999999999995</v>
      </c>
      <c r="H22" s="51">
        <v>32.619999999999997</v>
      </c>
      <c r="I22" s="51">
        <v>0.43</v>
      </c>
      <c r="J22" s="51">
        <v>1.38</v>
      </c>
      <c r="K22" s="51">
        <v>355.48</v>
      </c>
      <c r="L22" s="51">
        <v>33.93</v>
      </c>
      <c r="M22" s="51">
        <v>42</v>
      </c>
      <c r="N22" s="51">
        <v>377.10</v>
      </c>
      <c r="O22" s="51">
        <v>0</v>
      </c>
      <c r="P22" s="51">
        <v>1.52</v>
      </c>
      <c r="Q22" s="51">
        <v>38.299999999999997</v>
      </c>
      <c r="R22" s="43"/>
      <c r="S22" s="43"/>
      <c r="T22" s="43"/>
      <c r="U22" s="43"/>
    </row>
    <row r="23" spans="1:21" s="11" customFormat="1" ht="15">
      <c r="A23" s="50" t="s">
        <v>340</v>
      </c>
      <c r="B23" s="51">
        <v>4.12</v>
      </c>
      <c r="C23" s="51">
        <v>77.849999999999994</v>
      </c>
      <c r="D23" s="51">
        <v>45.69</v>
      </c>
      <c r="E23" s="51">
        <v>13.72</v>
      </c>
      <c r="F23" s="51">
        <v>12.11</v>
      </c>
      <c r="G23" s="51">
        <v>76.20</v>
      </c>
      <c r="H23" s="51">
        <v>32.619999999999997</v>
      </c>
      <c r="I23" s="51">
        <v>0.39</v>
      </c>
      <c r="J23" s="51">
        <v>1.33</v>
      </c>
      <c r="K23" s="51">
        <v>358.73</v>
      </c>
      <c r="L23" s="51">
        <v>33.200000000000003</v>
      </c>
      <c r="M23" s="51">
        <v>42</v>
      </c>
      <c r="N23" s="51">
        <v>284.20</v>
      </c>
      <c r="O23" s="51">
        <v>0</v>
      </c>
      <c r="P23" s="51">
        <v>1.47</v>
      </c>
      <c r="Q23" s="51">
        <v>35.85</v>
      </c>
      <c r="R23" s="43"/>
      <c r="S23" s="43"/>
      <c r="T23" s="43"/>
      <c r="U23" s="43"/>
    </row>
    <row r="24" spans="1:21" s="11" customFormat="1" ht="15">
      <c r="A24" s="50" t="s">
        <v>341</v>
      </c>
      <c r="B24" s="51">
        <v>6.75</v>
      </c>
      <c r="C24" s="51">
        <v>79.41</v>
      </c>
      <c r="D24" s="51">
        <v>48.96</v>
      </c>
      <c r="E24" s="51">
        <v>21.59</v>
      </c>
      <c r="F24" s="51">
        <v>11.17</v>
      </c>
      <c r="G24" s="51">
        <v>79.78</v>
      </c>
      <c r="H24" s="51">
        <v>31.51</v>
      </c>
      <c r="I24" s="51">
        <v>0.31</v>
      </c>
      <c r="J24" s="51">
        <v>0.89</v>
      </c>
      <c r="K24" s="51">
        <v>33.15</v>
      </c>
      <c r="L24" s="51">
        <v>30.80</v>
      </c>
      <c r="M24" s="51">
        <v>47</v>
      </c>
      <c r="N24" s="51">
        <v>142</v>
      </c>
      <c r="O24" s="51">
        <v>0</v>
      </c>
      <c r="P24" s="51">
        <v>1.60</v>
      </c>
      <c r="Q24" s="51">
        <v>36.22</v>
      </c>
      <c r="R24" s="43"/>
      <c r="S24" s="43"/>
      <c r="T24" s="43"/>
      <c r="U24" s="43"/>
    </row>
    <row r="25" spans="1:21" s="11" customFormat="1" ht="15">
      <c r="A25" s="50" t="s">
        <v>342</v>
      </c>
      <c r="B25" s="51">
        <v>15.36</v>
      </c>
      <c r="C25" s="51">
        <v>97.34</v>
      </c>
      <c r="D25" s="51">
        <v>66.040000000000006</v>
      </c>
      <c r="E25" s="51">
        <v>35.69</v>
      </c>
      <c r="F25" s="51">
        <v>10.30</v>
      </c>
      <c r="G25" s="51">
        <v>79.78</v>
      </c>
      <c r="H25" s="51">
        <v>31.51</v>
      </c>
      <c r="I25" s="51">
        <v>0.38</v>
      </c>
      <c r="J25" s="51">
        <v>0.45</v>
      </c>
      <c r="K25" s="51">
        <v>357.74</v>
      </c>
      <c r="L25" s="51">
        <v>29.15</v>
      </c>
      <c r="M25" s="51">
        <v>58</v>
      </c>
      <c r="N25" s="51">
        <v>65.900000000000006</v>
      </c>
      <c r="O25" s="51">
        <v>0</v>
      </c>
      <c r="P25" s="51">
        <v>2.08</v>
      </c>
      <c r="Q25" s="51">
        <v>38.659999999999997</v>
      </c>
      <c r="R25" s="43"/>
      <c r="S25" s="43"/>
      <c r="T25" s="43"/>
      <c r="U25" s="43"/>
    </row>
    <row r="26" spans="1:21" s="11" customFormat="1" ht="15">
      <c r="A26" s="50" t="s">
        <v>343</v>
      </c>
      <c r="B26" s="51">
        <v>18.739999999999998</v>
      </c>
      <c r="C26" s="51">
        <v>103.15</v>
      </c>
      <c r="D26" s="51">
        <v>71.09</v>
      </c>
      <c r="E26" s="51">
        <v>20.100000000000001</v>
      </c>
      <c r="F26" s="51">
        <v>3.74</v>
      </c>
      <c r="G26" s="51">
        <v>79.02</v>
      </c>
      <c r="H26" s="51">
        <v>29.98</v>
      </c>
      <c r="I26" s="51">
        <v>0.54</v>
      </c>
      <c r="J26" s="51">
        <v>0.38</v>
      </c>
      <c r="K26" s="51">
        <v>358.79</v>
      </c>
      <c r="L26" s="51">
        <v>27.36</v>
      </c>
      <c r="M26" s="51">
        <v>60</v>
      </c>
      <c r="N26" s="51">
        <v>28.90</v>
      </c>
      <c r="O26" s="51">
        <v>0</v>
      </c>
      <c r="P26" s="51">
        <v>2.37</v>
      </c>
      <c r="Q26" s="51">
        <v>43.08</v>
      </c>
      <c r="R26" s="43"/>
      <c r="S26" s="43"/>
      <c r="T26" s="43"/>
      <c r="U26" s="43"/>
    </row>
    <row r="27" spans="1:21" s="11" customFormat="1" ht="15">
      <c r="A27" s="50" t="s">
        <v>344</v>
      </c>
      <c r="B27" s="51">
        <v>32.270000000000003</v>
      </c>
      <c r="C27" s="51">
        <v>110.27</v>
      </c>
      <c r="D27" s="51">
        <v>86.73</v>
      </c>
      <c r="E27" s="51">
        <v>7.27</v>
      </c>
      <c r="F27" s="51">
        <v>0.67</v>
      </c>
      <c r="G27" s="51">
        <v>149.55000000000001</v>
      </c>
      <c r="H27" s="51">
        <v>36.229999999999997</v>
      </c>
      <c r="I27" s="51">
        <v>0.72</v>
      </c>
      <c r="J27" s="51">
        <v>0.41</v>
      </c>
      <c r="K27" s="51">
        <v>74.13</v>
      </c>
      <c r="L27" s="51">
        <v>26.65</v>
      </c>
      <c r="M27" s="51">
        <v>58</v>
      </c>
      <c r="N27" s="51">
        <v>24.90</v>
      </c>
      <c r="O27" s="51">
        <v>0</v>
      </c>
      <c r="P27" s="51">
        <v>3.07</v>
      </c>
      <c r="Q27" s="51">
        <v>44.12</v>
      </c>
      <c r="R27" s="43"/>
      <c r="S27" s="43"/>
      <c r="T27" s="43"/>
      <c r="U27" s="43"/>
    </row>
    <row r="28" spans="1:21" s="11" customFormat="1" ht="15">
      <c r="A28" s="50" t="s">
        <v>345</v>
      </c>
      <c r="B28" s="51">
        <v>35.40</v>
      </c>
      <c r="C28" s="51">
        <v>105.88</v>
      </c>
      <c r="D28" s="51">
        <v>86.34</v>
      </c>
      <c r="E28" s="51">
        <v>9.14</v>
      </c>
      <c r="F28" s="51">
        <v>1.36</v>
      </c>
      <c r="G28" s="51">
        <v>149.55000000000001</v>
      </c>
      <c r="H28" s="51">
        <v>36.229999999999997</v>
      </c>
      <c r="I28" s="51">
        <v>0.82</v>
      </c>
      <c r="J28" s="51">
        <v>0.61</v>
      </c>
      <c r="K28" s="51">
        <v>181.14</v>
      </c>
      <c r="L28" s="51">
        <v>26.10</v>
      </c>
      <c r="M28" s="51">
        <v>57</v>
      </c>
      <c r="N28" s="51">
        <v>25</v>
      </c>
      <c r="O28" s="51">
        <v>0</v>
      </c>
      <c r="P28" s="51">
        <v>3.17</v>
      </c>
      <c r="Q28" s="51">
        <v>46.94</v>
      </c>
      <c r="R28" s="43"/>
      <c r="S28" s="43"/>
      <c r="T28" s="43"/>
      <c r="U28" s="43"/>
    </row>
    <row r="29" spans="1:21" s="11" customFormat="1" ht="15">
      <c r="A29" s="50" t="s">
        <v>346</v>
      </c>
      <c r="B29" s="51">
        <v>37.81</v>
      </c>
      <c r="C29" s="51">
        <v>103.80</v>
      </c>
      <c r="D29" s="51">
        <v>85.65</v>
      </c>
      <c r="E29" s="51">
        <v>7.16</v>
      </c>
      <c r="F29" s="51">
        <v>0.92</v>
      </c>
      <c r="G29" s="51">
        <v>122.67</v>
      </c>
      <c r="H29" s="51">
        <v>37.18</v>
      </c>
      <c r="I29" s="51">
        <v>0.87</v>
      </c>
      <c r="J29" s="51">
        <v>0.22</v>
      </c>
      <c r="K29" s="51">
        <v>304.51</v>
      </c>
      <c r="L29" s="51">
        <v>25.65</v>
      </c>
      <c r="M29" s="51">
        <v>66</v>
      </c>
      <c r="N29" s="51">
        <v>25.20</v>
      </c>
      <c r="O29" s="51">
        <v>0</v>
      </c>
      <c r="P29" s="51">
        <v>3.15</v>
      </c>
      <c r="Q29" s="51">
        <v>50.47</v>
      </c>
      <c r="R29" s="43"/>
      <c r="S29" s="43"/>
      <c r="T29" s="43"/>
      <c r="U29" s="43"/>
    </row>
    <row r="30" spans="1:21" s="11" customFormat="1" ht="15">
      <c r="A30" s="50" t="s">
        <v>347</v>
      </c>
      <c r="B30" s="51">
        <v>56.14</v>
      </c>
      <c r="C30" s="51">
        <v>107.11</v>
      </c>
      <c r="D30" s="51">
        <v>104.13</v>
      </c>
      <c r="E30" s="51">
        <v>6.05</v>
      </c>
      <c r="F30" s="51">
        <v>0.67</v>
      </c>
      <c r="G30" s="51">
        <v>163.28</v>
      </c>
      <c r="H30" s="51">
        <v>37.979999999999997</v>
      </c>
      <c r="I30" s="51">
        <v>0.98</v>
      </c>
      <c r="J30" s="51">
        <v>0.24</v>
      </c>
      <c r="K30" s="51">
        <v>347.46</v>
      </c>
      <c r="L30" s="51">
        <v>24.53</v>
      </c>
      <c r="M30" s="51">
        <v>71</v>
      </c>
      <c r="N30" s="51">
        <v>25</v>
      </c>
      <c r="O30" s="51">
        <v>0</v>
      </c>
      <c r="P30" s="51">
        <v>3.56</v>
      </c>
      <c r="Q30" s="51">
        <v>51.72</v>
      </c>
      <c r="R30" s="43"/>
      <c r="S30" s="43"/>
      <c r="T30" s="43"/>
      <c r="U30" s="43"/>
    </row>
    <row r="31" spans="1:21" s="11" customFormat="1" ht="15">
      <c r="A31" s="50" t="s">
        <v>348</v>
      </c>
      <c r="B31" s="51">
        <v>69.97</v>
      </c>
      <c r="C31" s="51">
        <v>108.21</v>
      </c>
      <c r="D31" s="51">
        <v>115.16</v>
      </c>
      <c r="E31" s="51">
        <v>6.03</v>
      </c>
      <c r="F31" s="51">
        <v>0.73</v>
      </c>
      <c r="G31" s="51">
        <v>168.64</v>
      </c>
      <c r="H31" s="51">
        <v>39.79</v>
      </c>
      <c r="I31" s="51">
        <v>1.1499999999999999</v>
      </c>
      <c r="J31" s="51">
        <v>0.15</v>
      </c>
      <c r="K31" s="51">
        <v>343.68</v>
      </c>
      <c r="L31" s="51">
        <v>24.22</v>
      </c>
      <c r="M31" s="51">
        <v>73</v>
      </c>
      <c r="N31" s="51">
        <v>25</v>
      </c>
      <c r="O31" s="51">
        <v>0</v>
      </c>
      <c r="P31" s="51">
        <v>3.86</v>
      </c>
      <c r="Q31" s="51">
        <v>53.10</v>
      </c>
      <c r="R31" s="43"/>
      <c r="S31" s="43"/>
      <c r="T31" s="43"/>
      <c r="U31" s="43"/>
    </row>
    <row r="32" spans="1:21" s="11" customFormat="1" ht="15">
      <c r="A32" s="50" t="s">
        <v>349</v>
      </c>
      <c r="B32" s="51">
        <v>67.98</v>
      </c>
      <c r="C32" s="51">
        <v>108.49</v>
      </c>
      <c r="D32" s="51">
        <v>113.91</v>
      </c>
      <c r="E32" s="51">
        <v>6.5</v>
      </c>
      <c r="F32" s="51">
        <v>0.68</v>
      </c>
      <c r="G32" s="51">
        <v>168.64</v>
      </c>
      <c r="H32" s="51">
        <v>39.79</v>
      </c>
      <c r="I32" s="51">
        <v>1.21</v>
      </c>
      <c r="J32" s="51">
        <v>0.17</v>
      </c>
      <c r="K32" s="51">
        <v>178.57</v>
      </c>
      <c r="L32" s="51">
        <v>25.01</v>
      </c>
      <c r="M32" s="51">
        <v>61</v>
      </c>
      <c r="N32" s="51">
        <v>24.90</v>
      </c>
      <c r="O32" s="51">
        <v>0</v>
      </c>
      <c r="P32" s="51">
        <v>3.83</v>
      </c>
      <c r="Q32" s="51">
        <v>55.23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4.1200000000000001</v>
      </c>
      <c r="C34" s="28">
        <f t="shared" si="0"/>
        <v>73.269999999999996</v>
      </c>
      <c r="D34" s="28">
        <f t="shared" si="0"/>
        <v>44.039999999999999</v>
      </c>
      <c r="E34" s="28">
        <f t="shared" si="0"/>
        <v>5.2199999999999998</v>
      </c>
      <c r="F34" s="28">
        <f t="shared" si="0"/>
        <v>0.5</v>
      </c>
      <c r="G34" s="28">
        <f t="shared" si="0"/>
        <v>66.390000000000001</v>
      </c>
      <c r="H34" s="28">
        <f t="shared" si="0"/>
        <v>29.760000000000002</v>
      </c>
      <c r="I34" s="28">
        <f t="shared" si="0"/>
        <v>0.31</v>
      </c>
      <c r="J34" s="28">
        <f t="shared" si="0"/>
        <v>0.12</v>
      </c>
      <c r="K34" s="28">
        <f t="shared" si="0"/>
        <v>21.780000000000001</v>
      </c>
      <c r="L34" s="28">
        <f t="shared" si="0"/>
        <v>19.879999999999999</v>
      </c>
      <c r="M34" s="28">
        <f t="shared" si="0"/>
        <v>42</v>
      </c>
      <c r="N34" s="28">
        <f t="shared" si="0"/>
        <v>24.600000000000001</v>
      </c>
      <c r="O34" s="28">
        <f t="shared" si="0"/>
        <v>0</v>
      </c>
      <c r="P34" s="28">
        <f t="shared" si="0"/>
        <v>1.22</v>
      </c>
      <c r="Q34" s="28">
        <f t="shared" si="0"/>
        <v>35.850000000000001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69.969999999999999</v>
      </c>
      <c r="C35" s="29">
        <f t="shared" si="1"/>
        <v>110.27</v>
      </c>
      <c r="D35" s="29">
        <f t="shared" si="1"/>
        <v>115.16</v>
      </c>
      <c r="E35" s="29">
        <f t="shared" si="1"/>
        <v>35.689999999999998</v>
      </c>
      <c r="F35" s="29">
        <f t="shared" si="1"/>
        <v>12.800000000000001</v>
      </c>
      <c r="G35" s="29">
        <f t="shared" si="1"/>
        <v>168.63999999999999</v>
      </c>
      <c r="H35" s="29">
        <f t="shared" si="1"/>
        <v>39.789999999999999</v>
      </c>
      <c r="I35" s="29">
        <f t="shared" si="1"/>
        <v>1.21</v>
      </c>
      <c r="J35" s="29">
        <f t="shared" si="1"/>
        <v>1.3799999999999999</v>
      </c>
      <c r="K35" s="29">
        <f t="shared" si="1"/>
        <v>358.79000000000002</v>
      </c>
      <c r="L35" s="29">
        <f t="shared" si="1"/>
        <v>34.039999999999999</v>
      </c>
      <c r="M35" s="29">
        <f t="shared" si="1"/>
        <v>73</v>
      </c>
      <c r="N35" s="29">
        <f t="shared" si="1"/>
        <v>492.19999999999999</v>
      </c>
      <c r="O35" s="29">
        <f t="shared" si="1"/>
        <v>0</v>
      </c>
      <c r="P35" s="29">
        <f t="shared" si="1"/>
        <v>3.8599999999999999</v>
      </c>
      <c r="Q35" s="29">
        <f t="shared" si="1"/>
        <v>55.229999999999997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27.491666666666671</v>
      </c>
      <c r="C36" s="28">
        <f t="shared" si="2"/>
        <v>88.443750000000009</v>
      </c>
      <c r="D36" s="28">
        <f t="shared" si="2"/>
        <v>70.373333333333335</v>
      </c>
      <c r="E36" s="28">
        <f t="shared" si="2"/>
        <v>9.4052173913043475</v>
      </c>
      <c r="F36" s="28">
        <f t="shared" si="2"/>
        <v>3.1082608695652176</v>
      </c>
      <c r="G36" s="28">
        <f t="shared" si="2"/>
        <v>101.54375</v>
      </c>
      <c r="H36" s="28">
        <f t="shared" si="2"/>
        <v>33.761249999999997</v>
      </c>
      <c r="I36" s="28">
        <f t="shared" si="2"/>
        <v>0.60875000000000001</v>
      </c>
      <c r="J36" s="28">
        <f t="shared" si="2"/>
        <v>0.52083333333333337</v>
      </c>
      <c r="K36" s="28">
        <f t="shared" si="2"/>
        <v>242.08708333333334</v>
      </c>
      <c r="L36" s="28">
        <f t="shared" si="2"/>
        <v>25.626666666666665</v>
      </c>
      <c r="M36" s="28">
        <f t="shared" si="2"/>
        <v>60.5</v>
      </c>
      <c r="N36" s="28">
        <f t="shared" si="2"/>
        <v>112.85000000000001</v>
      </c>
      <c r="O36" s="28">
        <f t="shared" si="2"/>
        <v>0</v>
      </c>
      <c r="P36" s="28">
        <f t="shared" si="2"/>
        <v>2.0554166666666664</v>
      </c>
      <c r="Q36" s="28">
        <f t="shared" si="2"/>
        <v>45.496250000000003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17.633726496260714</v>
      </c>
      <c r="C37" s="28">
        <f t="shared" si="3" ref="C37:Q37">STDEV(C9:C32)</f>
        <v>13.091189142021165</v>
      </c>
      <c r="D37" s="28">
        <f t="shared" si="3"/>
        <v>19.843824067532662</v>
      </c>
      <c r="E37" s="28">
        <f t="shared" si="3"/>
        <v>7.2522284158765622</v>
      </c>
      <c r="F37" s="28">
        <f t="shared" si="3"/>
        <v>4.350339226244226</v>
      </c>
      <c r="G37" s="28">
        <f t="shared" si="3"/>
        <v>32.751978209421736</v>
      </c>
      <c r="H37" s="28">
        <f t="shared" si="3"/>
        <v>3.0774937749380755</v>
      </c>
      <c r="I37" s="28">
        <f t="shared" si="3"/>
        <v>0.23441532261834111</v>
      </c>
      <c r="J37" s="28">
        <f t="shared" si="3"/>
        <v>0.37267443148686497</v>
      </c>
      <c r="K37" s="28">
        <f t="shared" si="3"/>
        <v>131.13045023212464</v>
      </c>
      <c r="L37" s="28">
        <f t="shared" si="3"/>
        <v>4.4834251916671342</v>
      </c>
      <c r="M37" s="28">
        <f t="shared" si="3"/>
        <v>9.3203843921477461</v>
      </c>
      <c r="N37" s="28">
        <f t="shared" si="3"/>
        <v>136.6240127853271</v>
      </c>
      <c r="O37" s="28">
        <f t="shared" si="3"/>
        <v>0</v>
      </c>
      <c r="P37" s="28">
        <f t="shared" si="3"/>
        <v>0.86825151218169372</v>
      </c>
      <c r="Q37" s="28">
        <f t="shared" si="3"/>
        <v>5.1939419665773601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23</v>
      </c>
      <c r="F38" s="32">
        <f t="shared" si="4"/>
        <v>23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aa33944-06e4-46bb-8f53-b16516d8e91f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350</v>
      </c>
      <c r="B9" s="51">
        <v>62.08</v>
      </c>
      <c r="C9" s="51">
        <v>98.72</v>
      </c>
      <c r="D9" s="51">
        <v>103</v>
      </c>
      <c r="E9" s="51">
        <v>7.02</v>
      </c>
      <c r="F9" s="51">
        <v>1.1100000000000001</v>
      </c>
      <c r="G9" s="51">
        <v>108.5</v>
      </c>
      <c r="H9" s="51">
        <v>38.549999999999997</v>
      </c>
      <c r="I9" s="51">
        <v>1.21</v>
      </c>
      <c r="J9" s="51">
        <v>0.39</v>
      </c>
      <c r="K9" s="51">
        <v>356.5</v>
      </c>
      <c r="L9" s="51">
        <v>24.92</v>
      </c>
      <c r="M9" s="51">
        <v>59</v>
      </c>
      <c r="N9" s="51">
        <v>25.30</v>
      </c>
      <c r="O9" s="51">
        <v>0</v>
      </c>
      <c r="P9" s="51">
        <v>3.48</v>
      </c>
      <c r="Q9" s="51">
        <v>57.08</v>
      </c>
      <c r="R9" s="43"/>
      <c r="S9" s="43"/>
      <c r="T9" s="43"/>
      <c r="U9" s="43"/>
    </row>
    <row r="10" spans="1:21" s="11" customFormat="1" ht="15">
      <c r="A10" s="50" t="s">
        <v>351</v>
      </c>
      <c r="B10" s="51">
        <v>52.84</v>
      </c>
      <c r="C10" s="51">
        <v>89.36</v>
      </c>
      <c r="D10" s="51">
        <v>91.62</v>
      </c>
      <c r="E10" s="51">
        <v>5.52</v>
      </c>
      <c r="F10" s="51">
        <v>0.64</v>
      </c>
      <c r="G10" s="51">
        <v>79.84</v>
      </c>
      <c r="H10" s="51">
        <v>32.47</v>
      </c>
      <c r="I10" s="51">
        <v>1.1299999999999999</v>
      </c>
      <c r="J10" s="51">
        <v>0.47</v>
      </c>
      <c r="K10" s="51">
        <v>357.53</v>
      </c>
      <c r="L10" s="51">
        <v>23.30</v>
      </c>
      <c r="M10" s="51">
        <v>63</v>
      </c>
      <c r="N10" s="51">
        <v>25.10</v>
      </c>
      <c r="O10" s="51">
        <v>0</v>
      </c>
      <c r="P10" s="51">
        <v>2.90</v>
      </c>
      <c r="Q10" s="51">
        <v>54.77</v>
      </c>
      <c r="R10" s="43"/>
      <c r="S10" s="43"/>
      <c r="T10" s="43"/>
      <c r="U10" s="43"/>
    </row>
    <row r="11" spans="1:21" s="11" customFormat="1" ht="15">
      <c r="A11" s="50" t="s">
        <v>352</v>
      </c>
      <c r="B11" s="51">
        <v>40.10</v>
      </c>
      <c r="C11" s="51">
        <v>85.70</v>
      </c>
      <c r="D11" s="51">
        <v>79.459999999999994</v>
      </c>
      <c r="E11" s="51">
        <v>5.82</v>
      </c>
      <c r="F11" s="51">
        <v>0.54</v>
      </c>
      <c r="G11" s="51">
        <v>100.64</v>
      </c>
      <c r="H11" s="51">
        <v>34.15</v>
      </c>
      <c r="I11" s="51">
        <v>0.95</v>
      </c>
      <c r="J11" s="51">
        <v>0.65</v>
      </c>
      <c r="K11" s="51">
        <v>349.40</v>
      </c>
      <c r="L11" s="51">
        <v>23.15</v>
      </c>
      <c r="M11" s="51">
        <v>61</v>
      </c>
      <c r="N11" s="51">
        <v>24.90</v>
      </c>
      <c r="O11" s="51">
        <v>0</v>
      </c>
      <c r="P11" s="51">
        <v>2.5499999999999998</v>
      </c>
      <c r="Q11" s="51">
        <v>51.90</v>
      </c>
      <c r="R11" s="43"/>
      <c r="S11" s="43"/>
      <c r="T11" s="43"/>
      <c r="U11" s="43"/>
    </row>
    <row r="12" spans="1:21" s="11" customFormat="1" ht="15">
      <c r="A12" s="50" t="s">
        <v>353</v>
      </c>
      <c r="B12" s="51">
        <v>35.450000000000003</v>
      </c>
      <c r="C12" s="51">
        <v>81.040000000000006</v>
      </c>
      <c r="D12" s="51">
        <v>73.150000000000006</v>
      </c>
      <c r="E12" s="51">
        <v>6.09</v>
      </c>
      <c r="F12" s="51">
        <v>0.43</v>
      </c>
      <c r="G12" s="51">
        <v>108.69</v>
      </c>
      <c r="H12" s="51">
        <v>36.85</v>
      </c>
      <c r="I12" s="51">
        <v>0.86</v>
      </c>
      <c r="J12" s="51">
        <v>0.48</v>
      </c>
      <c r="K12" s="51">
        <v>76.14</v>
      </c>
      <c r="L12" s="51">
        <v>22.85</v>
      </c>
      <c r="M12" s="51">
        <v>61</v>
      </c>
      <c r="N12" s="51">
        <v>25</v>
      </c>
      <c r="O12" s="51">
        <v>0</v>
      </c>
      <c r="P12" s="51">
        <v>2.3199999999999998</v>
      </c>
      <c r="Q12" s="51">
        <v>53.70</v>
      </c>
      <c r="R12" s="43"/>
      <c r="S12" s="43"/>
      <c r="T12" s="43"/>
      <c r="U12" s="43"/>
    </row>
    <row r="13" spans="1:21" s="11" customFormat="1" ht="15">
      <c r="A13" s="50" t="s">
        <v>354</v>
      </c>
      <c r="B13" s="51">
        <v>32.35</v>
      </c>
      <c r="C13" s="51">
        <v>74.400000000000006</v>
      </c>
      <c r="D13" s="51">
        <v>65.02</v>
      </c>
      <c r="E13" s="51">
        <v>5.29</v>
      </c>
      <c r="F13" s="51">
        <v>0.56999999999999995</v>
      </c>
      <c r="G13" s="51">
        <v>108.69</v>
      </c>
      <c r="H13" s="51">
        <v>36.85</v>
      </c>
      <c r="I13" s="51">
        <v>0.80</v>
      </c>
      <c r="J13" s="51">
        <v>0.46</v>
      </c>
      <c r="K13" s="51">
        <v>42.79</v>
      </c>
      <c r="L13" s="51">
        <v>22.49</v>
      </c>
      <c r="M13" s="51">
        <v>60</v>
      </c>
      <c r="N13" s="51">
        <v>25</v>
      </c>
      <c r="O13" s="51">
        <v>0</v>
      </c>
      <c r="P13" s="51">
        <v>2.11</v>
      </c>
      <c r="Q13" s="51">
        <v>54.30</v>
      </c>
      <c r="R13" s="43"/>
      <c r="S13" s="43"/>
      <c r="T13" s="43"/>
      <c r="U13" s="43"/>
    </row>
    <row r="14" spans="1:21" s="11" customFormat="1" ht="15">
      <c r="A14" s="50" t="s">
        <v>355</v>
      </c>
      <c r="B14" s="51">
        <v>28.08</v>
      </c>
      <c r="C14" s="51">
        <v>73.569999999999993</v>
      </c>
      <c r="D14" s="51">
        <v>63.02</v>
      </c>
      <c r="E14" s="51">
        <v>5.23</v>
      </c>
      <c r="F14" s="51">
        <v>0.39</v>
      </c>
      <c r="G14" s="51">
        <v>86.04</v>
      </c>
      <c r="H14" s="51">
        <v>34.01</v>
      </c>
      <c r="I14" s="51">
        <v>0.68</v>
      </c>
      <c r="J14" s="51">
        <v>0.59</v>
      </c>
      <c r="K14" s="51">
        <v>59.70</v>
      </c>
      <c r="L14" s="51">
        <v>22.23</v>
      </c>
      <c r="M14" s="51">
        <v>62</v>
      </c>
      <c r="N14" s="51">
        <v>25</v>
      </c>
      <c r="O14" s="51">
        <v>0</v>
      </c>
      <c r="P14" s="51">
        <v>1.81</v>
      </c>
      <c r="Q14" s="51">
        <v>51.40</v>
      </c>
      <c r="R14" s="43"/>
      <c r="S14" s="43"/>
      <c r="T14" s="43"/>
      <c r="U14" s="43"/>
    </row>
    <row r="15" spans="1:21" s="11" customFormat="1" ht="15">
      <c r="A15" s="50" t="s">
        <v>356</v>
      </c>
      <c r="B15" s="51">
        <v>30.35</v>
      </c>
      <c r="C15" s="51">
        <v>74.13</v>
      </c>
      <c r="D15" s="51">
        <v>65.12</v>
      </c>
      <c r="E15" s="51">
        <v>5.44</v>
      </c>
      <c r="F15" s="51">
        <v>0.55000000000000004</v>
      </c>
      <c r="G15" s="51">
        <v>87</v>
      </c>
      <c r="H15" s="51">
        <v>32.65</v>
      </c>
      <c r="I15" s="51">
        <v>0.59</v>
      </c>
      <c r="J15" s="51">
        <v>0.67</v>
      </c>
      <c r="K15" s="51">
        <v>32.90</v>
      </c>
      <c r="L15" s="51">
        <v>21.97</v>
      </c>
      <c r="M15" s="51">
        <v>62</v>
      </c>
      <c r="N15" s="51">
        <v>38.60</v>
      </c>
      <c r="O15" s="51">
        <v>0</v>
      </c>
      <c r="P15" s="51">
        <v>1.64</v>
      </c>
      <c r="Q15" s="51">
        <v>49.33</v>
      </c>
      <c r="R15" s="43"/>
      <c r="S15" s="43"/>
      <c r="T15" s="43"/>
      <c r="U15" s="43"/>
    </row>
    <row r="16" spans="1:21" s="11" customFormat="1" ht="15">
      <c r="A16" s="50" t="s">
        <v>357</v>
      </c>
      <c r="B16" s="51">
        <v>30.39</v>
      </c>
      <c r="C16" s="51">
        <v>72.400000000000006</v>
      </c>
      <c r="D16" s="51">
        <v>64.319999999999993</v>
      </c>
      <c r="E16" s="51">
        <v>5.30</v>
      </c>
      <c r="F16" s="51">
        <v>0.57999999999999996</v>
      </c>
      <c r="G16" s="51">
        <v>87</v>
      </c>
      <c r="H16" s="51">
        <v>30.82</v>
      </c>
      <c r="I16" s="51">
        <v>0.60</v>
      </c>
      <c r="J16" s="51">
        <v>0.86</v>
      </c>
      <c r="K16" s="51">
        <v>109.48</v>
      </c>
      <c r="L16" s="51">
        <v>23.66</v>
      </c>
      <c r="M16" s="51">
        <v>59</v>
      </c>
      <c r="N16" s="51">
        <v>143.5</v>
      </c>
      <c r="O16" s="51">
        <v>0</v>
      </c>
      <c r="P16" s="51">
        <v>1.53</v>
      </c>
      <c r="Q16" s="51">
        <v>51.69</v>
      </c>
      <c r="R16" s="43"/>
      <c r="S16" s="43"/>
      <c r="T16" s="43"/>
      <c r="U16" s="43"/>
    </row>
    <row r="17" spans="1:21" s="11" customFormat="1" ht="15">
      <c r="A17" s="50" t="s">
        <v>358</v>
      </c>
      <c r="B17" s="51">
        <v>32.04</v>
      </c>
      <c r="C17" s="51">
        <v>79.12</v>
      </c>
      <c r="D17" s="51">
        <v>69.28</v>
      </c>
      <c r="E17" s="51">
        <v>5.30</v>
      </c>
      <c r="F17" s="51">
        <v>0.89</v>
      </c>
      <c r="G17" s="51">
        <v>85.22</v>
      </c>
      <c r="H17" s="51">
        <v>29.79</v>
      </c>
      <c r="I17" s="51">
        <v>0.57999999999999996</v>
      </c>
      <c r="J17" s="51">
        <v>0.83</v>
      </c>
      <c r="K17" s="51">
        <v>100.89</v>
      </c>
      <c r="L17" s="51">
        <v>26.98</v>
      </c>
      <c r="M17" s="51">
        <v>49</v>
      </c>
      <c r="N17" s="51">
        <v>262.20</v>
      </c>
      <c r="O17" s="51">
        <v>0</v>
      </c>
      <c r="P17" s="51">
        <v>1.48</v>
      </c>
      <c r="Q17" s="51">
        <v>51.27</v>
      </c>
      <c r="R17" s="43"/>
      <c r="S17" s="43"/>
      <c r="T17" s="43"/>
      <c r="U17" s="43"/>
    </row>
    <row r="18" spans="1:21" s="11" customFormat="1" ht="15">
      <c r="A18" s="50" t="s">
        <v>359</v>
      </c>
      <c r="B18" s="51">
        <v>35.96</v>
      </c>
      <c r="C18" s="51">
        <v>86.16</v>
      </c>
      <c r="D18" s="51">
        <v>74.81</v>
      </c>
      <c r="E18" s="51">
        <v>8.59</v>
      </c>
      <c r="F18" s="51">
        <v>2.0299999999999998</v>
      </c>
      <c r="G18" s="51">
        <v>85.22</v>
      </c>
      <c r="H18" s="51">
        <v>31.29</v>
      </c>
      <c r="I18" s="51">
        <v>0.54</v>
      </c>
      <c r="J18" s="51">
        <v>1.1000000000000001</v>
      </c>
      <c r="K18" s="51">
        <v>66.739999999999995</v>
      </c>
      <c r="L18" s="51">
        <v>30.46</v>
      </c>
      <c r="M18" s="51">
        <v>41</v>
      </c>
      <c r="N18" s="51">
        <v>331.60</v>
      </c>
      <c r="O18" s="51">
        <v>0</v>
      </c>
      <c r="P18" s="51">
        <v>1.43</v>
      </c>
      <c r="Q18" s="51">
        <v>48.75</v>
      </c>
      <c r="R18" s="43"/>
      <c r="S18" s="43"/>
      <c r="T18" s="43"/>
      <c r="U18" s="43"/>
    </row>
    <row r="19" spans="1:21" s="11" customFormat="1" ht="15">
      <c r="A19" s="50" t="s">
        <v>360</v>
      </c>
      <c r="B19" s="51">
        <v>33.479999999999997</v>
      </c>
      <c r="C19" s="51">
        <v>87</v>
      </c>
      <c r="D19" s="51">
        <v>74.33</v>
      </c>
      <c r="E19" s="51">
        <v>10.56</v>
      </c>
      <c r="F19" s="51">
        <v>2.12</v>
      </c>
      <c r="G19" s="51">
        <v>84.59</v>
      </c>
      <c r="H19" s="51">
        <v>31.29</v>
      </c>
      <c r="I19" s="51">
        <v>0.47</v>
      </c>
      <c r="J19" s="51">
        <v>1.20</v>
      </c>
      <c r="K19" s="51">
        <v>91.66</v>
      </c>
      <c r="L19" s="51">
        <v>32</v>
      </c>
      <c r="M19" s="51">
        <v>33</v>
      </c>
      <c r="N19" s="51">
        <v>378.20</v>
      </c>
      <c r="O19" s="51">
        <v>0</v>
      </c>
      <c r="P19" s="51">
        <v>1.39</v>
      </c>
      <c r="Q19" s="51">
        <v>47</v>
      </c>
      <c r="R19" s="43"/>
      <c r="S19" s="43"/>
      <c r="T19" s="43"/>
      <c r="U19" s="43"/>
    </row>
    <row r="20" spans="1:21" s="11" customFormat="1" ht="15">
      <c r="A20" s="50" t="s">
        <v>361</v>
      </c>
      <c r="B20" s="51">
        <v>33.79</v>
      </c>
      <c r="C20" s="51">
        <v>89.98</v>
      </c>
      <c r="D20" s="51">
        <v>76.760000000000005</v>
      </c>
      <c r="E20" s="51">
        <v>8.14</v>
      </c>
      <c r="F20" s="51">
        <v>1.28</v>
      </c>
      <c r="G20" s="51">
        <v>70.63</v>
      </c>
      <c r="H20" s="51">
        <v>30.71</v>
      </c>
      <c r="I20" s="51">
        <v>0.48</v>
      </c>
      <c r="J20" s="51">
        <v>1.17</v>
      </c>
      <c r="K20" s="51">
        <v>31.81</v>
      </c>
      <c r="L20" s="51">
        <v>34.200000000000003</v>
      </c>
      <c r="M20" s="51">
        <v>29</v>
      </c>
      <c r="N20" s="51">
        <v>385.20</v>
      </c>
      <c r="O20" s="51">
        <v>0</v>
      </c>
      <c r="P20" s="51">
        <v>1.32</v>
      </c>
      <c r="Q20" s="51">
        <v>48.63</v>
      </c>
      <c r="R20" s="43"/>
      <c r="S20" s="43"/>
      <c r="T20" s="43"/>
      <c r="U20" s="43"/>
    </row>
    <row r="21" spans="1:21" s="11" customFormat="1" ht="15">
      <c r="A21" s="50" t="s">
        <v>362</v>
      </c>
      <c r="B21" s="51">
        <v>33.74</v>
      </c>
      <c r="C21" s="51">
        <v>94.5</v>
      </c>
      <c r="D21" s="51">
        <v>78.45</v>
      </c>
      <c r="E21" s="51">
        <v>22.56</v>
      </c>
      <c r="F21" s="51">
        <v>3.11</v>
      </c>
      <c r="G21" s="51">
        <v>68.790000000000006</v>
      </c>
      <c r="H21" s="51">
        <v>30.58</v>
      </c>
      <c r="I21" s="51">
        <v>0.43</v>
      </c>
      <c r="J21" s="51">
        <v>1.39</v>
      </c>
      <c r="K21" s="51">
        <v>73.83</v>
      </c>
      <c r="L21" s="51">
        <v>34.18</v>
      </c>
      <c r="M21" s="51">
        <v>31</v>
      </c>
      <c r="N21" s="51">
        <v>377.5</v>
      </c>
      <c r="O21" s="51">
        <v>0</v>
      </c>
      <c r="P21" s="51">
        <v>1.27</v>
      </c>
      <c r="Q21" s="51">
        <v>46.59</v>
      </c>
      <c r="R21" s="43"/>
      <c r="S21" s="43"/>
      <c r="T21" s="43"/>
      <c r="U21" s="43"/>
    </row>
    <row r="22" spans="1:21" s="11" customFormat="1" ht="15">
      <c r="A22" s="50" t="s">
        <v>363</v>
      </c>
      <c r="B22" s="51">
        <v>32.67</v>
      </c>
      <c r="C22" s="51">
        <v>95.31</v>
      </c>
      <c r="D22" s="51">
        <v>77.23</v>
      </c>
      <c r="E22" s="51">
        <v>41.53</v>
      </c>
      <c r="F22" s="51">
        <v>6.09</v>
      </c>
      <c r="G22" s="51">
        <v>64.010000000000005</v>
      </c>
      <c r="H22" s="51">
        <v>31.83</v>
      </c>
      <c r="I22" s="51">
        <v>0.39</v>
      </c>
      <c r="J22" s="51">
        <v>1.1499999999999999</v>
      </c>
      <c r="K22" s="51">
        <v>11.62</v>
      </c>
      <c r="L22" s="51">
        <v>34.51</v>
      </c>
      <c r="M22" s="51">
        <v>27</v>
      </c>
      <c r="N22" s="51">
        <v>315.70</v>
      </c>
      <c r="O22" s="51">
        <v>0</v>
      </c>
      <c r="P22" s="51">
        <v>1.21</v>
      </c>
      <c r="Q22" s="51">
        <v>45.22</v>
      </c>
      <c r="R22" s="43"/>
      <c r="S22" s="43"/>
      <c r="T22" s="43"/>
      <c r="U22" s="43"/>
    </row>
    <row r="23" spans="1:21" s="11" customFormat="1" ht="15">
      <c r="A23" s="50" t="s">
        <v>364</v>
      </c>
      <c r="B23" s="51">
        <v>24.97</v>
      </c>
      <c r="C23" s="51">
        <v>94.23</v>
      </c>
      <c r="D23" s="51">
        <v>70.78</v>
      </c>
      <c r="E23" s="51">
        <v>30.41</v>
      </c>
      <c r="F23" s="51">
        <v>7.53</v>
      </c>
      <c r="G23" s="51">
        <v>63.66</v>
      </c>
      <c r="H23" s="51">
        <v>32.42</v>
      </c>
      <c r="I23" s="51">
        <v>0.39</v>
      </c>
      <c r="J23" s="51">
        <v>1.55</v>
      </c>
      <c r="K23" s="51">
        <v>359.35</v>
      </c>
      <c r="L23" s="51">
        <v>33.79</v>
      </c>
      <c r="M23" s="51">
        <v>30</v>
      </c>
      <c r="N23" s="51">
        <v>278.39999999999998</v>
      </c>
      <c r="O23" s="51">
        <v>0</v>
      </c>
      <c r="P23" s="51">
        <v>1.25</v>
      </c>
      <c r="Q23" s="51">
        <v>47.71</v>
      </c>
      <c r="R23" s="43"/>
      <c r="S23" s="43"/>
      <c r="T23" s="43"/>
      <c r="U23" s="43"/>
    </row>
    <row r="24" spans="1:21" s="11" customFormat="1" ht="15">
      <c r="A24" s="50" t="s">
        <v>365</v>
      </c>
      <c r="B24" s="51">
        <v>13.09</v>
      </c>
      <c r="C24" s="51">
        <v>95.78</v>
      </c>
      <c r="D24" s="51">
        <v>62.88</v>
      </c>
      <c r="E24" s="51">
        <v>9.8699999999999992</v>
      </c>
      <c r="F24" s="51">
        <v>4.26</v>
      </c>
      <c r="G24" s="51">
        <v>76.989999999999995</v>
      </c>
      <c r="H24" s="51">
        <v>32.42</v>
      </c>
      <c r="I24" s="51">
        <v>0.38</v>
      </c>
      <c r="J24" s="51">
        <v>1.68</v>
      </c>
      <c r="K24" s="51">
        <v>7.55</v>
      </c>
      <c r="L24" s="51">
        <v>31.61</v>
      </c>
      <c r="M24" s="51">
        <v>32</v>
      </c>
      <c r="N24" s="51">
        <v>167.30</v>
      </c>
      <c r="O24" s="51">
        <v>0</v>
      </c>
      <c r="P24" s="51">
        <v>1.25</v>
      </c>
      <c r="Q24" s="51">
        <v>47.18</v>
      </c>
      <c r="R24" s="43"/>
      <c r="S24" s="43"/>
      <c r="T24" s="43"/>
      <c r="U24" s="43"/>
    </row>
    <row r="25" spans="1:21" s="11" customFormat="1" ht="15">
      <c r="A25" s="50" t="s">
        <v>366</v>
      </c>
      <c r="B25" s="51">
        <v>5.62</v>
      </c>
      <c r="C25" s="51">
        <v>92.77</v>
      </c>
      <c r="D25" s="51">
        <v>54.92</v>
      </c>
      <c r="E25" s="51">
        <v>9.48</v>
      </c>
      <c r="F25" s="51">
        <v>5.48</v>
      </c>
      <c r="G25" s="51">
        <v>86.44</v>
      </c>
      <c r="H25" s="51">
        <v>33.119999999999997</v>
      </c>
      <c r="I25" s="51">
        <v>0.35</v>
      </c>
      <c r="J25" s="51">
        <v>1.49</v>
      </c>
      <c r="K25" s="51">
        <v>11.72</v>
      </c>
      <c r="L25" s="51">
        <v>30.13</v>
      </c>
      <c r="M25" s="51">
        <v>33</v>
      </c>
      <c r="N25" s="51">
        <v>70.099999999999994</v>
      </c>
      <c r="O25" s="51">
        <v>0</v>
      </c>
      <c r="P25" s="51">
        <v>1.29</v>
      </c>
      <c r="Q25" s="51">
        <v>43.94</v>
      </c>
      <c r="R25" s="43"/>
      <c r="S25" s="43"/>
      <c r="T25" s="43"/>
      <c r="U25" s="43"/>
    </row>
    <row r="26" spans="1:21" s="11" customFormat="1" ht="15">
      <c r="A26" s="50" t="s">
        <v>367</v>
      </c>
      <c r="B26" s="51">
        <v>14.87</v>
      </c>
      <c r="C26" s="51">
        <v>93.46</v>
      </c>
      <c r="D26" s="51">
        <v>63.51</v>
      </c>
      <c r="E26" s="51">
        <v>15.58</v>
      </c>
      <c r="F26" s="51">
        <v>6.10</v>
      </c>
      <c r="G26" s="51">
        <v>86.44</v>
      </c>
      <c r="H26" s="51">
        <v>33.119999999999997</v>
      </c>
      <c r="I26" s="51">
        <v>0.39</v>
      </c>
      <c r="J26" s="51">
        <v>1.0900000000000001</v>
      </c>
      <c r="K26" s="51">
        <v>10.07</v>
      </c>
      <c r="L26" s="51">
        <v>28.16</v>
      </c>
      <c r="M26" s="51">
        <v>40</v>
      </c>
      <c r="N26" s="51">
        <v>29.10</v>
      </c>
      <c r="O26" s="51">
        <v>0</v>
      </c>
      <c r="P26" s="51">
        <v>1.71</v>
      </c>
      <c r="Q26" s="51">
        <v>42.89</v>
      </c>
      <c r="R26" s="43"/>
      <c r="S26" s="43"/>
      <c r="T26" s="43"/>
      <c r="U26" s="43"/>
    </row>
    <row r="27" spans="1:21" s="11" customFormat="1" ht="15">
      <c r="A27" s="50" t="s">
        <v>368</v>
      </c>
      <c r="B27" s="51">
        <v>20.55</v>
      </c>
      <c r="C27" s="51">
        <v>96.47</v>
      </c>
      <c r="D27" s="51">
        <v>69.72</v>
      </c>
      <c r="E27" s="51">
        <v>12.24</v>
      </c>
      <c r="F27" s="51">
        <v>2.5099999999999998</v>
      </c>
      <c r="G27" s="51">
        <v>92.13</v>
      </c>
      <c r="H27" s="51">
        <v>31.98</v>
      </c>
      <c r="I27" s="51">
        <v>0.49</v>
      </c>
      <c r="J27" s="51">
        <v>0.63</v>
      </c>
      <c r="K27" s="51">
        <v>27.65</v>
      </c>
      <c r="L27" s="51">
        <v>26.26</v>
      </c>
      <c r="M27" s="51">
        <v>42</v>
      </c>
      <c r="N27" s="51">
        <v>24.60</v>
      </c>
      <c r="O27" s="51">
        <v>0</v>
      </c>
      <c r="P27" s="51">
        <v>2.0299999999999998</v>
      </c>
      <c r="Q27" s="51">
        <v>48.03</v>
      </c>
      <c r="R27" s="43"/>
      <c r="S27" s="43"/>
      <c r="T27" s="43"/>
      <c r="U27" s="43"/>
    </row>
    <row r="28" spans="1:21" s="11" customFormat="1" ht="15">
      <c r="A28" s="50" t="s">
        <v>369</v>
      </c>
      <c r="B28" s="51">
        <v>23.94</v>
      </c>
      <c r="C28" s="51">
        <v>98.98</v>
      </c>
      <c r="D28" s="51">
        <v>73.70</v>
      </c>
      <c r="E28" s="51">
        <v>6.25</v>
      </c>
      <c r="F28" s="51">
        <v>1.95</v>
      </c>
      <c r="G28" s="51">
        <v>92.13</v>
      </c>
      <c r="H28" s="51">
        <v>31.98</v>
      </c>
      <c r="I28" s="51">
        <v>0.59</v>
      </c>
      <c r="J28" s="51">
        <v>0.31</v>
      </c>
      <c r="K28" s="51">
        <v>76.069999999999993</v>
      </c>
      <c r="L28" s="51">
        <v>25.65</v>
      </c>
      <c r="M28" s="51">
        <v>44</v>
      </c>
      <c r="N28" s="51">
        <v>24.60</v>
      </c>
      <c r="O28" s="51">
        <v>0</v>
      </c>
      <c r="P28" s="51">
        <v>2.2999999999999998</v>
      </c>
      <c r="Q28" s="51">
        <v>48.51</v>
      </c>
      <c r="R28" s="43"/>
      <c r="S28" s="43"/>
      <c r="T28" s="43"/>
      <c r="U28" s="43"/>
    </row>
    <row r="29" spans="1:21" s="11" customFormat="1" ht="15">
      <c r="A29" s="50" t="s">
        <v>370</v>
      </c>
      <c r="B29" s="51">
        <v>25.68</v>
      </c>
      <c r="C29" s="51">
        <v>95.05</v>
      </c>
      <c r="D29" s="51">
        <v>72.45</v>
      </c>
      <c r="E29" s="51">
        <v>11.14</v>
      </c>
      <c r="F29" s="51">
        <v>3.18</v>
      </c>
      <c r="G29" s="51">
        <v>91.25</v>
      </c>
      <c r="H29" s="51">
        <v>32.90</v>
      </c>
      <c r="I29" s="51">
        <v>0.63</v>
      </c>
      <c r="J29" s="51">
        <v>0.41</v>
      </c>
      <c r="K29" s="51">
        <v>86.23</v>
      </c>
      <c r="L29" s="51">
        <v>25.58</v>
      </c>
      <c r="M29" s="51">
        <v>42</v>
      </c>
      <c r="N29" s="51">
        <v>24.80</v>
      </c>
      <c r="O29" s="51">
        <v>0</v>
      </c>
      <c r="P29" s="51">
        <v>2.31</v>
      </c>
      <c r="Q29" s="51">
        <v>46.65</v>
      </c>
      <c r="R29" s="43"/>
      <c r="S29" s="43"/>
      <c r="T29" s="43"/>
      <c r="U29" s="43"/>
    </row>
    <row r="30" spans="1:21" s="11" customFormat="1" ht="15">
      <c r="A30" s="50" t="s">
        <v>371</v>
      </c>
      <c r="B30" s="51">
        <v>25.60</v>
      </c>
      <c r="C30" s="51">
        <v>88.62</v>
      </c>
      <c r="D30" s="51">
        <v>69.25</v>
      </c>
      <c r="E30" s="51">
        <v>10.17</v>
      </c>
      <c r="F30" s="51">
        <v>1.08</v>
      </c>
      <c r="G30" s="51">
        <v>84.84</v>
      </c>
      <c r="H30" s="51">
        <v>32.90</v>
      </c>
      <c r="I30" s="51">
        <v>0.67</v>
      </c>
      <c r="J30" s="51">
        <v>0.40</v>
      </c>
      <c r="K30" s="51">
        <v>78.989999999999995</v>
      </c>
      <c r="L30" s="51">
        <v>25.40</v>
      </c>
      <c r="M30" s="51">
        <v>39</v>
      </c>
      <c r="N30" s="51">
        <v>24.90</v>
      </c>
      <c r="O30" s="51">
        <v>0</v>
      </c>
      <c r="P30" s="51">
        <v>2.2200000000000002</v>
      </c>
      <c r="Q30" s="51">
        <v>50.21</v>
      </c>
      <c r="R30" s="43"/>
      <c r="S30" s="43"/>
      <c r="T30" s="43"/>
      <c r="U30" s="43"/>
    </row>
    <row r="31" spans="1:21" s="11" customFormat="1" ht="15">
      <c r="A31" s="50" t="s">
        <v>372</v>
      </c>
      <c r="B31" s="51">
        <v>30.19</v>
      </c>
      <c r="C31" s="51">
        <v>87.42</v>
      </c>
      <c r="D31" s="51">
        <v>71.97</v>
      </c>
      <c r="E31" s="51">
        <v>6.29</v>
      </c>
      <c r="F31" s="51">
        <v>0.73</v>
      </c>
      <c r="G31" s="51">
        <v>91.12</v>
      </c>
      <c r="H31" s="51">
        <v>30.60</v>
      </c>
      <c r="I31" s="51">
        <v>0.69</v>
      </c>
      <c r="J31" s="51">
        <v>0.28000000000000003</v>
      </c>
      <c r="K31" s="51">
        <v>147.77000000000001</v>
      </c>
      <c r="L31" s="51">
        <v>24.87</v>
      </c>
      <c r="M31" s="51">
        <v>42</v>
      </c>
      <c r="N31" s="51">
        <v>24.90</v>
      </c>
      <c r="O31" s="51">
        <v>0</v>
      </c>
      <c r="P31" s="51">
        <v>2.15</v>
      </c>
      <c r="Q31" s="51">
        <v>50.83</v>
      </c>
      <c r="R31" s="43"/>
      <c r="S31" s="43"/>
      <c r="T31" s="43"/>
      <c r="U31" s="43"/>
    </row>
    <row r="32" spans="1:21" s="11" customFormat="1" ht="15">
      <c r="A32" s="50" t="s">
        <v>373</v>
      </c>
      <c r="B32" s="51">
        <v>33.76</v>
      </c>
      <c r="C32" s="51">
        <v>87.27</v>
      </c>
      <c r="D32" s="51">
        <v>75.239999999999995</v>
      </c>
      <c r="E32" s="51">
        <v>6.96</v>
      </c>
      <c r="F32" s="51">
        <v>0.78</v>
      </c>
      <c r="G32" s="51">
        <v>91.12</v>
      </c>
      <c r="H32" s="51">
        <v>30.60</v>
      </c>
      <c r="I32" s="51">
        <v>0.65</v>
      </c>
      <c r="J32" s="51">
        <v>0.38</v>
      </c>
      <c r="K32" s="51">
        <v>21.14</v>
      </c>
      <c r="L32" s="51">
        <v>23.73</v>
      </c>
      <c r="M32" s="51">
        <v>48</v>
      </c>
      <c r="N32" s="51">
        <v>24.90</v>
      </c>
      <c r="O32" s="51">
        <v>0</v>
      </c>
      <c r="P32" s="51">
        <v>2.02</v>
      </c>
      <c r="Q32" s="51">
        <v>49.40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5.6200000000000001</v>
      </c>
      <c r="C34" s="28">
        <f t="shared" si="0"/>
        <v>72.400000000000006</v>
      </c>
      <c r="D34" s="28">
        <f t="shared" si="0"/>
        <v>54.920000000000002</v>
      </c>
      <c r="E34" s="28">
        <f t="shared" si="0"/>
        <v>5.2300000000000004</v>
      </c>
      <c r="F34" s="28">
        <f t="shared" si="0"/>
        <v>0.39000000000000001</v>
      </c>
      <c r="G34" s="28">
        <f t="shared" si="0"/>
        <v>63.659999999999997</v>
      </c>
      <c r="H34" s="28">
        <f t="shared" si="0"/>
        <v>29.789999999999999</v>
      </c>
      <c r="I34" s="28">
        <f t="shared" si="0"/>
        <v>0.34999999999999998</v>
      </c>
      <c r="J34" s="28">
        <f t="shared" si="0"/>
        <v>0.28000000000000003</v>
      </c>
      <c r="K34" s="28">
        <f t="shared" si="0"/>
        <v>7.5499999999999998</v>
      </c>
      <c r="L34" s="28">
        <f t="shared" si="0"/>
        <v>21.969999999999999</v>
      </c>
      <c r="M34" s="28">
        <f t="shared" si="0"/>
        <v>27</v>
      </c>
      <c r="N34" s="28">
        <f t="shared" si="0"/>
        <v>24.600000000000001</v>
      </c>
      <c r="O34" s="28">
        <f t="shared" si="0"/>
        <v>0</v>
      </c>
      <c r="P34" s="28">
        <f t="shared" si="0"/>
        <v>1.21</v>
      </c>
      <c r="Q34" s="28">
        <f t="shared" si="0"/>
        <v>42.890000000000001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62.079999999999998</v>
      </c>
      <c r="C35" s="29">
        <f t="shared" si="1"/>
        <v>98.980000000000004</v>
      </c>
      <c r="D35" s="29">
        <f t="shared" si="1"/>
        <v>103</v>
      </c>
      <c r="E35" s="29">
        <f t="shared" si="1"/>
        <v>41.530000000000001</v>
      </c>
      <c r="F35" s="29">
        <f t="shared" si="1"/>
        <v>7.5300000000000002</v>
      </c>
      <c r="G35" s="29">
        <f t="shared" si="1"/>
        <v>108.69</v>
      </c>
      <c r="H35" s="29">
        <f t="shared" si="1"/>
        <v>38.549999999999997</v>
      </c>
      <c r="I35" s="29">
        <f t="shared" si="1"/>
        <v>1.21</v>
      </c>
      <c r="J35" s="29">
        <f t="shared" si="1"/>
        <v>1.6799999999999999</v>
      </c>
      <c r="K35" s="29">
        <f t="shared" si="1"/>
        <v>359.35000000000002</v>
      </c>
      <c r="L35" s="29">
        <f t="shared" si="1"/>
        <v>34.509999999999998</v>
      </c>
      <c r="M35" s="29">
        <f t="shared" si="1"/>
        <v>63</v>
      </c>
      <c r="N35" s="29">
        <f t="shared" si="1"/>
        <v>385.19999999999999</v>
      </c>
      <c r="O35" s="29">
        <f t="shared" si="1"/>
        <v>0</v>
      </c>
      <c r="P35" s="29">
        <f t="shared" si="1"/>
        <v>3.48</v>
      </c>
      <c r="Q35" s="29">
        <f t="shared" si="1"/>
        <v>57.079999999999998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30.482916666666672</v>
      </c>
      <c r="C36" s="28">
        <f t="shared" si="2"/>
        <v>87.976666666666674</v>
      </c>
      <c r="D36" s="28">
        <f t="shared" si="2"/>
        <v>72.499583333333348</v>
      </c>
      <c r="E36" s="28">
        <f t="shared" si="2"/>
        <v>10.865833333333333</v>
      </c>
      <c r="F36" s="28">
        <f t="shared" si="2"/>
        <v>2.2470833333333329</v>
      </c>
      <c r="G36" s="28">
        <f t="shared" si="2"/>
        <v>86.707499999999996</v>
      </c>
      <c r="H36" s="28">
        <f t="shared" si="2"/>
        <v>32.661666666666669</v>
      </c>
      <c r="I36" s="28">
        <f t="shared" si="2"/>
        <v>0.62250000000000016</v>
      </c>
      <c r="J36" s="28">
        <f t="shared" si="2"/>
        <v>0.81791666666666663</v>
      </c>
      <c r="K36" s="28">
        <f t="shared" si="2"/>
        <v>107.81375000000001</v>
      </c>
      <c r="L36" s="28">
        <f t="shared" si="2"/>
        <v>27.170000000000002</v>
      </c>
      <c r="M36" s="28">
        <f t="shared" si="2"/>
        <v>45.375</v>
      </c>
      <c r="N36" s="28">
        <f t="shared" si="2"/>
        <v>128.18333333333334</v>
      </c>
      <c r="O36" s="28">
        <f t="shared" si="2"/>
        <v>0</v>
      </c>
      <c r="P36" s="28">
        <f t="shared" si="2"/>
        <v>1.87375</v>
      </c>
      <c r="Q36" s="28">
        <f t="shared" si="2"/>
        <v>49.457500000000003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11.584167786125208</v>
      </c>
      <c r="C37" s="28">
        <f t="shared" si="3" ref="C37:Q37">STDEV(C9:C32)</f>
        <v>8.2815093492339464</v>
      </c>
      <c r="D37" s="28">
        <f t="shared" si="3"/>
        <v>9.8240248898416702</v>
      </c>
      <c r="E37" s="28">
        <f t="shared" si="3"/>
        <v>8.8531295948488431</v>
      </c>
      <c r="F37" s="28">
        <f t="shared" si="3"/>
        <v>2.1312019045531603</v>
      </c>
      <c r="G37" s="28">
        <f t="shared" si="3"/>
        <v>12.396537472389207</v>
      </c>
      <c r="H37" s="28">
        <f t="shared" si="3"/>
        <v>2.1683768055885699</v>
      </c>
      <c r="I37" s="28">
        <f t="shared" si="3"/>
        <v>0.22969261122677376</v>
      </c>
      <c r="J37" s="28">
        <f t="shared" si="3"/>
        <v>0.43528081057860901</v>
      </c>
      <c r="K37" s="28">
        <f t="shared" si="3"/>
        <v>118.66270399796514</v>
      </c>
      <c r="L37" s="28">
        <f t="shared" si="3"/>
        <v>4.3054909329730453</v>
      </c>
      <c r="M37" s="28">
        <f t="shared" si="3"/>
        <v>12.537985761537685</v>
      </c>
      <c r="N37" s="28">
        <f t="shared" si="3"/>
        <v>141.22762898387057</v>
      </c>
      <c r="O37" s="28">
        <f t="shared" si="3"/>
        <v>0</v>
      </c>
      <c r="P37" s="28">
        <f t="shared" si="3"/>
        <v>0.58902138811097027</v>
      </c>
      <c r="Q37" s="28">
        <f t="shared" si="3"/>
        <v>3.4533440000394831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93b7b25-a900-45a0-b975-df0fc709b71d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374</v>
      </c>
      <c r="B9" s="51">
        <v>31.42</v>
      </c>
      <c r="C9" s="51">
        <v>83.25</v>
      </c>
      <c r="D9" s="51">
        <v>71.14</v>
      </c>
      <c r="E9" s="51">
        <v>6.90</v>
      </c>
      <c r="F9" s="51">
        <v>2.10</v>
      </c>
      <c r="G9" s="51">
        <v>83.41</v>
      </c>
      <c r="H9" s="51">
        <v>29.25</v>
      </c>
      <c r="I9" s="51">
        <v>0.60</v>
      </c>
      <c r="J9" s="51">
        <v>0.30</v>
      </c>
      <c r="K9" s="51">
        <v>71</v>
      </c>
      <c r="L9" s="51">
        <v>23.54</v>
      </c>
      <c r="M9" s="51">
        <v>44</v>
      </c>
      <c r="N9" s="51">
        <v>24.60</v>
      </c>
      <c r="O9" s="51">
        <v>0</v>
      </c>
      <c r="P9" s="51">
        <v>1.86</v>
      </c>
      <c r="Q9" s="51">
        <v>47.88</v>
      </c>
      <c r="R9" s="43"/>
      <c r="S9" s="43"/>
      <c r="T9" s="43"/>
      <c r="U9" s="43"/>
    </row>
    <row r="10" spans="1:21" s="11" customFormat="1" ht="15">
      <c r="A10" s="50" t="s">
        <v>375</v>
      </c>
      <c r="B10" s="51">
        <v>27.27</v>
      </c>
      <c r="C10" s="51">
        <v>73.400000000000006</v>
      </c>
      <c r="D10" s="51">
        <v>62.37</v>
      </c>
      <c r="E10" s="51">
        <v>6.48</v>
      </c>
      <c r="F10" s="51">
        <v>1.49</v>
      </c>
      <c r="G10" s="51">
        <v>75.63</v>
      </c>
      <c r="H10" s="51">
        <v>25.74</v>
      </c>
      <c r="I10" s="51">
        <v>0.60</v>
      </c>
      <c r="J10" s="51">
        <v>0.45</v>
      </c>
      <c r="K10" s="51">
        <v>350.34</v>
      </c>
      <c r="L10" s="51">
        <v>23.35</v>
      </c>
      <c r="M10" s="51">
        <v>50</v>
      </c>
      <c r="N10" s="51">
        <v>25.20</v>
      </c>
      <c r="O10" s="51">
        <v>0</v>
      </c>
      <c r="P10" s="51">
        <v>1.63</v>
      </c>
      <c r="Q10" s="51">
        <v>49.65</v>
      </c>
      <c r="R10" s="43"/>
      <c r="S10" s="43"/>
      <c r="T10" s="43"/>
      <c r="U10" s="43"/>
    </row>
    <row r="11" spans="1:21" s="11" customFormat="1" ht="15">
      <c r="A11" s="50" t="s">
        <v>376</v>
      </c>
      <c r="B11" s="51">
        <v>22.17</v>
      </c>
      <c r="C11" s="51">
        <v>70.36</v>
      </c>
      <c r="D11" s="51">
        <v>56.61</v>
      </c>
      <c r="E11" s="51">
        <v>5.55</v>
      </c>
      <c r="F11" s="51">
        <v>0.66</v>
      </c>
      <c r="G11" s="51">
        <v>56.24</v>
      </c>
      <c r="H11" s="51">
        <v>22.72</v>
      </c>
      <c r="I11" s="51">
        <v>0.56000000000000005</v>
      </c>
      <c r="J11" s="51">
        <v>0.26</v>
      </c>
      <c r="K11" s="51">
        <v>265.08999999999997</v>
      </c>
      <c r="L11" s="51">
        <v>22.23</v>
      </c>
      <c r="M11" s="51">
        <v>49</v>
      </c>
      <c r="N11" s="51">
        <v>24.60</v>
      </c>
      <c r="O11" s="51">
        <v>0</v>
      </c>
      <c r="P11" s="51">
        <v>1.39</v>
      </c>
      <c r="Q11" s="51">
        <v>48.85</v>
      </c>
      <c r="R11" s="43"/>
      <c r="S11" s="43"/>
      <c r="T11" s="43"/>
      <c r="U11" s="43"/>
    </row>
    <row r="12" spans="1:21" s="11" customFormat="1" ht="15">
      <c r="A12" s="50" t="s">
        <v>377</v>
      </c>
      <c r="B12" s="51">
        <v>16.579999999999998</v>
      </c>
      <c r="C12" s="51">
        <v>65.77</v>
      </c>
      <c r="D12" s="51">
        <v>49.59</v>
      </c>
      <c r="E12" s="51">
        <v>5.21</v>
      </c>
      <c r="F12" s="51">
        <v>0.68</v>
      </c>
      <c r="G12" s="51">
        <v>51.88</v>
      </c>
      <c r="H12" s="51">
        <v>18.510000000000002</v>
      </c>
      <c r="I12" s="51">
        <v>0.48</v>
      </c>
      <c r="J12" s="51">
        <v>0.19</v>
      </c>
      <c r="K12" s="51">
        <v>330.63</v>
      </c>
      <c r="L12" s="51">
        <v>21.26</v>
      </c>
      <c r="M12" s="51">
        <v>55</v>
      </c>
      <c r="N12" s="51">
        <v>24.70</v>
      </c>
      <c r="O12" s="51">
        <v>0</v>
      </c>
      <c r="P12" s="51">
        <v>1.1599999999999999</v>
      </c>
      <c r="Q12" s="51">
        <v>45.96</v>
      </c>
      <c r="R12" s="43"/>
      <c r="S12" s="43"/>
      <c r="T12" s="43"/>
      <c r="U12" s="43"/>
    </row>
    <row r="13" spans="1:21" s="11" customFormat="1" ht="15">
      <c r="A13" s="50" t="s">
        <v>378</v>
      </c>
      <c r="B13" s="51">
        <v>16.28</v>
      </c>
      <c r="C13" s="51">
        <v>62.54</v>
      </c>
      <c r="D13" s="51">
        <v>47.57</v>
      </c>
      <c r="E13" s="51">
        <v>5.08</v>
      </c>
      <c r="F13" s="51">
        <v>0.59</v>
      </c>
      <c r="G13" s="51">
        <v>43.69</v>
      </c>
      <c r="H13" s="51">
        <v>17.89</v>
      </c>
      <c r="I13" s="51">
        <v>0.47</v>
      </c>
      <c r="J13" s="51">
        <v>0.24</v>
      </c>
      <c r="K13" s="51">
        <v>353.43</v>
      </c>
      <c r="L13" s="51">
        <v>20.79</v>
      </c>
      <c r="M13" s="51">
        <v>56</v>
      </c>
      <c r="N13" s="51">
        <v>24.5</v>
      </c>
      <c r="O13" s="51">
        <v>0</v>
      </c>
      <c r="P13" s="51">
        <v>1.03</v>
      </c>
      <c r="Q13" s="51">
        <v>46.25</v>
      </c>
      <c r="R13" s="43"/>
      <c r="S13" s="43"/>
      <c r="T13" s="43"/>
      <c r="U13" s="43"/>
    </row>
    <row r="14" spans="1:21" s="11" customFormat="1" ht="15">
      <c r="A14" s="50" t="s">
        <v>379</v>
      </c>
      <c r="B14" s="51">
        <v>16.13</v>
      </c>
      <c r="C14" s="51">
        <v>63.94</v>
      </c>
      <c r="D14" s="51">
        <v>47.95</v>
      </c>
      <c r="E14" s="51">
        <v>4.91</v>
      </c>
      <c r="F14" s="51">
        <v>0.75</v>
      </c>
      <c r="G14" s="51">
        <v>42.49</v>
      </c>
      <c r="H14" s="51">
        <v>14.17</v>
      </c>
      <c r="I14" s="51">
        <v>0.48</v>
      </c>
      <c r="J14" s="51">
        <v>0.20</v>
      </c>
      <c r="K14" s="51">
        <v>71.64</v>
      </c>
      <c r="L14" s="51">
        <v>20.85</v>
      </c>
      <c r="M14" s="51">
        <v>51</v>
      </c>
      <c r="N14" s="51">
        <v>24.5</v>
      </c>
      <c r="O14" s="51">
        <v>0</v>
      </c>
      <c r="P14" s="51">
        <v>0.93</v>
      </c>
      <c r="Q14" s="51">
        <v>47.62</v>
      </c>
      <c r="R14" s="43"/>
      <c r="S14" s="43"/>
      <c r="T14" s="43"/>
      <c r="U14" s="43"/>
    </row>
    <row r="15" spans="1:21" s="11" customFormat="1" ht="15">
      <c r="A15" s="50" t="s">
        <v>380</v>
      </c>
      <c r="B15" s="51">
        <v>22.63</v>
      </c>
      <c r="C15" s="51">
        <v>67.53</v>
      </c>
      <c r="D15" s="51">
        <v>55.41</v>
      </c>
      <c r="E15" s="51">
        <v>4.83</v>
      </c>
      <c r="F15" s="51">
        <v>0.78</v>
      </c>
      <c r="G15" s="51">
        <v>42.06</v>
      </c>
      <c r="H15" s="51">
        <v>12.27</v>
      </c>
      <c r="I15" s="51">
        <v>0.45</v>
      </c>
      <c r="J15" s="51">
        <v>0.27</v>
      </c>
      <c r="K15" s="51">
        <v>86.92</v>
      </c>
      <c r="L15" s="51">
        <v>20.62</v>
      </c>
      <c r="M15" s="51">
        <v>57</v>
      </c>
      <c r="N15" s="51">
        <v>39.200000000000003</v>
      </c>
      <c r="O15" s="51">
        <v>0</v>
      </c>
      <c r="P15" s="51">
        <v>0.89</v>
      </c>
      <c r="Q15" s="51">
        <v>46.23</v>
      </c>
      <c r="R15" s="43"/>
      <c r="S15" s="43"/>
      <c r="T15" s="43"/>
      <c r="U15" s="43"/>
    </row>
    <row r="16" spans="1:21" s="11" customFormat="1" ht="15">
      <c r="A16" s="50" t="s">
        <v>381</v>
      </c>
      <c r="B16" s="51">
        <v>24.97</v>
      </c>
      <c r="C16" s="51">
        <v>69.739999999999995</v>
      </c>
      <c r="D16" s="51">
        <v>58.52</v>
      </c>
      <c r="E16" s="51">
        <v>4.97</v>
      </c>
      <c r="F16" s="51">
        <v>0.99</v>
      </c>
      <c r="G16" s="51">
        <v>42.58</v>
      </c>
      <c r="H16" s="51">
        <v>12.32</v>
      </c>
      <c r="I16" s="51">
        <v>0.45</v>
      </c>
      <c r="J16" s="51">
        <v>0.61</v>
      </c>
      <c r="K16" s="51">
        <v>81.20</v>
      </c>
      <c r="L16" s="51">
        <v>23.97</v>
      </c>
      <c r="M16" s="51">
        <v>52</v>
      </c>
      <c r="N16" s="51">
        <v>202.90</v>
      </c>
      <c r="O16" s="51">
        <v>0</v>
      </c>
      <c r="P16" s="51">
        <v>0.93</v>
      </c>
      <c r="Q16" s="51">
        <v>44.64</v>
      </c>
      <c r="R16" s="43"/>
      <c r="S16" s="43"/>
      <c r="T16" s="43"/>
      <c r="U16" s="43"/>
    </row>
    <row r="17" spans="1:21" s="11" customFormat="1" ht="15">
      <c r="A17" s="50" t="s">
        <v>382</v>
      </c>
      <c r="B17" s="51">
        <v>26.98</v>
      </c>
      <c r="C17" s="51">
        <v>74.680000000000007</v>
      </c>
      <c r="D17" s="51">
        <v>61.39</v>
      </c>
      <c r="E17" s="51">
        <v>5.95</v>
      </c>
      <c r="F17" s="51">
        <v>1.62</v>
      </c>
      <c r="G17" s="51">
        <v>45.37</v>
      </c>
      <c r="H17" s="51">
        <v>18.78</v>
      </c>
      <c r="I17" s="51">
        <v>0.47</v>
      </c>
      <c r="J17" s="51">
        <v>1.01</v>
      </c>
      <c r="K17" s="51">
        <v>39.74</v>
      </c>
      <c r="L17" s="51">
        <v>28.92</v>
      </c>
      <c r="M17" s="51">
        <v>39</v>
      </c>
      <c r="N17" s="51">
        <v>321.5</v>
      </c>
      <c r="O17" s="51">
        <v>0</v>
      </c>
      <c r="P17" s="51">
        <v>0.97</v>
      </c>
      <c r="Q17" s="51">
        <v>46.16</v>
      </c>
      <c r="R17" s="43"/>
      <c r="S17" s="43"/>
      <c r="T17" s="43"/>
      <c r="U17" s="43"/>
    </row>
    <row r="18" spans="1:21" s="11" customFormat="1" ht="15">
      <c r="A18" s="50" t="s">
        <v>383</v>
      </c>
      <c r="B18" s="51">
        <v>22.56</v>
      </c>
      <c r="C18" s="51">
        <v>76.790000000000006</v>
      </c>
      <c r="D18" s="51">
        <v>60.03</v>
      </c>
      <c r="E18" s="51">
        <v>6.04</v>
      </c>
      <c r="F18" s="51">
        <v>1.54</v>
      </c>
      <c r="G18" s="51">
        <v>46.10</v>
      </c>
      <c r="H18" s="51">
        <v>19.89</v>
      </c>
      <c r="I18" s="51">
        <v>0.46</v>
      </c>
      <c r="J18" s="51">
        <v>0.99</v>
      </c>
      <c r="K18" s="51">
        <v>80.05</v>
      </c>
      <c r="L18" s="51">
        <v>29.67</v>
      </c>
      <c r="M18" s="51">
        <v>34</v>
      </c>
      <c r="N18" s="51">
        <v>379.30</v>
      </c>
      <c r="O18" s="51">
        <v>0</v>
      </c>
      <c r="P18" s="51">
        <v>0.97</v>
      </c>
      <c r="Q18" s="51">
        <v>45.24</v>
      </c>
      <c r="R18" s="43"/>
      <c r="S18" s="43"/>
      <c r="T18" s="43"/>
      <c r="U18" s="43"/>
    </row>
    <row r="19" spans="1:21" s="11" customFormat="1" ht="15">
      <c r="A19" s="50" t="s">
        <v>384</v>
      </c>
      <c r="B19" s="51">
        <v>25.64</v>
      </c>
      <c r="C19" s="51">
        <v>76.739999999999995</v>
      </c>
      <c r="D19" s="51">
        <v>62.23</v>
      </c>
      <c r="E19" s="51">
        <v>38.229999999999997</v>
      </c>
      <c r="F19" s="51">
        <v>4.13</v>
      </c>
      <c r="G19" s="51">
        <v>46.10</v>
      </c>
      <c r="H19" s="51">
        <v>24.29</v>
      </c>
      <c r="I19" s="51">
        <v>0.42</v>
      </c>
      <c r="J19" s="51">
        <v>1.05</v>
      </c>
      <c r="K19" s="51">
        <v>63.63</v>
      </c>
      <c r="L19" s="51">
        <v>31.82</v>
      </c>
      <c r="M19" s="51">
        <v>30</v>
      </c>
      <c r="N19" s="51">
        <v>424.30</v>
      </c>
      <c r="O19" s="51">
        <v>0</v>
      </c>
      <c r="P19" s="51">
        <v>0.96</v>
      </c>
      <c r="Q19" s="51">
        <v>43.90</v>
      </c>
      <c r="R19" s="43"/>
      <c r="S19" s="43"/>
      <c r="T19" s="43"/>
      <c r="U19" s="43"/>
    </row>
    <row r="20" spans="1:21" s="11" customFormat="1" ht="15">
      <c r="A20" s="50" t="s">
        <v>385</v>
      </c>
      <c r="B20" s="51">
        <v>24.10</v>
      </c>
      <c r="C20" s="51">
        <v>83.64</v>
      </c>
      <c r="D20" s="51">
        <v>65.48</v>
      </c>
      <c r="E20" s="51">
        <v>34.04</v>
      </c>
      <c r="F20" s="51">
        <v>3.78</v>
      </c>
      <c r="G20" s="51">
        <v>42.48</v>
      </c>
      <c r="H20" s="51">
        <v>24.29</v>
      </c>
      <c r="I20" s="51">
        <v>0.34</v>
      </c>
      <c r="J20" s="51">
        <v>1.47</v>
      </c>
      <c r="K20" s="51">
        <v>110.62</v>
      </c>
      <c r="L20" s="51">
        <v>31.40</v>
      </c>
      <c r="M20" s="51">
        <v>31</v>
      </c>
      <c r="N20" s="51">
        <v>430.60</v>
      </c>
      <c r="O20" s="51">
        <v>0</v>
      </c>
      <c r="P20" s="51">
        <v>0.83</v>
      </c>
      <c r="Q20" s="51">
        <v>35.979999999999997</v>
      </c>
      <c r="R20" s="43"/>
      <c r="S20" s="43"/>
      <c r="T20" s="43"/>
      <c r="U20" s="43"/>
    </row>
    <row r="21" spans="1:21" s="11" customFormat="1" ht="15">
      <c r="A21" s="50" t="s">
        <v>386</v>
      </c>
      <c r="B21" s="51">
        <v>18.46</v>
      </c>
      <c r="C21" s="51">
        <v>91.98</v>
      </c>
      <c r="D21" s="51">
        <v>65.56</v>
      </c>
      <c r="E21" s="51">
        <v>20.079999999999998</v>
      </c>
      <c r="F21" s="51">
        <v>5.14</v>
      </c>
      <c r="G21" s="51">
        <v>42.48</v>
      </c>
      <c r="H21" s="51">
        <v>22.95</v>
      </c>
      <c r="I21" s="51">
        <v>0.26</v>
      </c>
      <c r="J21" s="51">
        <v>1.52</v>
      </c>
      <c r="K21" s="51">
        <v>110.78</v>
      </c>
      <c r="L21" s="51">
        <v>32.17</v>
      </c>
      <c r="M21" s="51">
        <v>31</v>
      </c>
      <c r="N21" s="51">
        <v>417.5</v>
      </c>
      <c r="O21" s="51">
        <v>0</v>
      </c>
      <c r="P21" s="51">
        <v>0.72</v>
      </c>
      <c r="Q21" s="51">
        <v>33.49</v>
      </c>
      <c r="R21" s="43"/>
      <c r="S21" s="43"/>
      <c r="T21" s="43"/>
      <c r="U21" s="43"/>
    </row>
    <row r="22" spans="1:21" s="11" customFormat="1" ht="15">
      <c r="A22" s="50" t="s">
        <v>387</v>
      </c>
      <c r="B22" s="51">
        <v>8.09</v>
      </c>
      <c r="C22" s="51">
        <v>88.13</v>
      </c>
      <c r="D22" s="51">
        <v>55.13</v>
      </c>
      <c r="E22" s="51">
        <v>14.65</v>
      </c>
      <c r="F22" s="51">
        <v>16.05</v>
      </c>
      <c r="G22" s="51">
        <v>38.75</v>
      </c>
      <c r="H22" s="51">
        <v>19.46</v>
      </c>
      <c r="I22" s="51">
        <v>0.17</v>
      </c>
      <c r="J22" s="51">
        <v>0.98</v>
      </c>
      <c r="K22" s="51">
        <v>118.31</v>
      </c>
      <c r="L22" s="51">
        <v>32.15</v>
      </c>
      <c r="M22" s="51">
        <v>31</v>
      </c>
      <c r="N22" s="51">
        <v>390.40</v>
      </c>
      <c r="O22" s="51">
        <v>0</v>
      </c>
      <c r="P22" s="51">
        <v>0.59</v>
      </c>
      <c r="Q22" s="51">
        <v>27.07</v>
      </c>
      <c r="R22" s="43"/>
      <c r="S22" s="43"/>
      <c r="T22" s="43"/>
      <c r="U22" s="43"/>
    </row>
    <row r="23" spans="1:21" s="11" customFormat="1" ht="15">
      <c r="A23" s="50" t="s">
        <v>388</v>
      </c>
      <c r="B23" s="51">
        <v>3.79</v>
      </c>
      <c r="C23" s="51">
        <v>61.85</v>
      </c>
      <c r="D23" s="51">
        <v>37.14</v>
      </c>
      <c r="E23" s="51">
        <v>12.23</v>
      </c>
      <c r="F23" s="51">
        <v>16.18</v>
      </c>
      <c r="G23" s="51">
        <v>35.020000000000003</v>
      </c>
      <c r="H23" s="51">
        <v>16.72</v>
      </c>
      <c r="I23" s="51">
        <v>0.14000000000000001</v>
      </c>
      <c r="J23" s="51">
        <v>1.1399999999999999</v>
      </c>
      <c r="K23" s="51">
        <v>114.92</v>
      </c>
      <c r="L23" s="51">
        <v>32.11</v>
      </c>
      <c r="M23" s="51">
        <v>32</v>
      </c>
      <c r="N23" s="51">
        <v>322.89999999999998</v>
      </c>
      <c r="O23" s="51">
        <v>0</v>
      </c>
      <c r="P23" s="51">
        <v>0.56000000000000005</v>
      </c>
      <c r="Q23" s="51">
        <v>30.87</v>
      </c>
      <c r="R23" s="43"/>
      <c r="S23" s="43"/>
      <c r="T23" s="43"/>
      <c r="U23" s="43"/>
    </row>
    <row r="24" spans="1:21" s="11" customFormat="1" ht="15">
      <c r="A24" s="50" t="s">
        <v>389</v>
      </c>
      <c r="B24" s="51">
        <v>6.43</v>
      </c>
      <c r="C24" s="51">
        <v>69.14</v>
      </c>
      <c r="D24" s="51">
        <v>42.47</v>
      </c>
      <c r="E24" s="51">
        <v>9.77</v>
      </c>
      <c r="F24" s="51">
        <v>14.09</v>
      </c>
      <c r="G24" s="51">
        <v>33.770000000000003</v>
      </c>
      <c r="H24" s="51">
        <v>15.62</v>
      </c>
      <c r="I24" s="51">
        <v>0.24</v>
      </c>
      <c r="J24" s="51">
        <v>0.75</v>
      </c>
      <c r="K24" s="51">
        <v>74.58</v>
      </c>
      <c r="L24" s="51">
        <v>30.97</v>
      </c>
      <c r="M24" s="51">
        <v>33</v>
      </c>
      <c r="N24" s="51">
        <v>183.10</v>
      </c>
      <c r="O24" s="51">
        <v>0</v>
      </c>
      <c r="P24" s="51">
        <v>0.67</v>
      </c>
      <c r="Q24" s="51">
        <v>37.380000000000003</v>
      </c>
      <c r="R24" s="43"/>
      <c r="S24" s="43"/>
      <c r="T24" s="43"/>
      <c r="U24" s="43"/>
    </row>
    <row r="25" spans="1:21" s="11" customFormat="1" ht="15">
      <c r="A25" s="50" t="s">
        <v>390</v>
      </c>
      <c r="B25" s="51">
        <v>8.74</v>
      </c>
      <c r="C25" s="51">
        <v>79.84</v>
      </c>
      <c r="D25" s="51">
        <v>51.07</v>
      </c>
      <c r="E25" s="51">
        <v>7.42</v>
      </c>
      <c r="F25" s="51">
        <v>6.21</v>
      </c>
      <c r="G25" s="51">
        <v>44.55</v>
      </c>
      <c r="H25" s="51">
        <v>18.52</v>
      </c>
      <c r="I25" s="51">
        <v>0.25</v>
      </c>
      <c r="J25" s="51">
        <v>0.82</v>
      </c>
      <c r="K25" s="51">
        <v>18.36</v>
      </c>
      <c r="L25" s="51">
        <v>30.31</v>
      </c>
      <c r="M25" s="51">
        <v>39</v>
      </c>
      <c r="N25" s="51">
        <v>62.70</v>
      </c>
      <c r="O25" s="51">
        <v>0</v>
      </c>
      <c r="P25" s="51">
        <v>1.04</v>
      </c>
      <c r="Q25" s="51">
        <v>38.83</v>
      </c>
      <c r="R25" s="43"/>
      <c r="S25" s="43"/>
      <c r="T25" s="43"/>
      <c r="U25" s="43"/>
    </row>
    <row r="26" spans="1:21" s="11" customFormat="1" ht="15">
      <c r="A26" s="50" t="s">
        <v>391</v>
      </c>
      <c r="B26" s="51">
        <v>20.13</v>
      </c>
      <c r="C26" s="51">
        <v>105.63</v>
      </c>
      <c r="D26" s="51">
        <v>74.44</v>
      </c>
      <c r="E26" s="51">
        <v>6.88</v>
      </c>
      <c r="F26" s="51">
        <v>3.61</v>
      </c>
      <c r="G26" s="51">
        <v>56.96</v>
      </c>
      <c r="H26" s="51">
        <v>22.06</v>
      </c>
      <c r="I26" s="51">
        <v>0.34</v>
      </c>
      <c r="J26" s="51">
        <v>0.67</v>
      </c>
      <c r="K26" s="51">
        <v>359.46</v>
      </c>
      <c r="L26" s="51">
        <v>27.86</v>
      </c>
      <c r="M26" s="51">
        <v>51</v>
      </c>
      <c r="N26" s="51">
        <v>29.5</v>
      </c>
      <c r="O26" s="51">
        <v>0</v>
      </c>
      <c r="P26" s="51">
        <v>1.71</v>
      </c>
      <c r="Q26" s="51">
        <v>37.92</v>
      </c>
      <c r="R26" s="43"/>
      <c r="S26" s="43"/>
      <c r="T26" s="43"/>
      <c r="U26" s="43"/>
    </row>
    <row r="27" spans="1:21" s="11" customFormat="1" ht="15">
      <c r="A27" s="50" t="s">
        <v>392</v>
      </c>
      <c r="B27" s="51">
        <v>26.95</v>
      </c>
      <c r="C27" s="51">
        <v>106.33</v>
      </c>
      <c r="D27" s="51">
        <v>80.290000000000006</v>
      </c>
      <c r="E27" s="51">
        <v>10.26</v>
      </c>
      <c r="F27" s="51">
        <v>1.83</v>
      </c>
      <c r="G27" s="51">
        <v>75.989999999999995</v>
      </c>
      <c r="H27" s="51">
        <v>22.99</v>
      </c>
      <c r="I27" s="51">
        <v>0.53</v>
      </c>
      <c r="J27" s="51">
        <v>0.28000000000000003</v>
      </c>
      <c r="K27" s="51">
        <v>356.29</v>
      </c>
      <c r="L27" s="51">
        <v>27.37</v>
      </c>
      <c r="M27" s="51">
        <v>51</v>
      </c>
      <c r="N27" s="51">
        <v>25</v>
      </c>
      <c r="O27" s="51">
        <v>0</v>
      </c>
      <c r="P27" s="51">
        <v>2.0499999999999998</v>
      </c>
      <c r="Q27" s="51">
        <v>41.67</v>
      </c>
      <c r="R27" s="43"/>
      <c r="S27" s="43"/>
      <c r="T27" s="43"/>
      <c r="U27" s="43"/>
    </row>
    <row r="28" spans="1:21" s="11" customFormat="1" ht="15">
      <c r="A28" s="50" t="s">
        <v>393</v>
      </c>
      <c r="B28" s="51">
        <v>23.40</v>
      </c>
      <c r="C28" s="51">
        <v>97.17</v>
      </c>
      <c r="D28" s="51">
        <v>72.12</v>
      </c>
      <c r="E28" s="51">
        <v>7.77</v>
      </c>
      <c r="F28" s="51">
        <v>1.1100000000000001</v>
      </c>
      <c r="G28" s="51">
        <v>93.47</v>
      </c>
      <c r="H28" s="51">
        <v>26.53</v>
      </c>
      <c r="I28" s="51">
        <v>0.67</v>
      </c>
      <c r="J28" s="51">
        <v>0.32</v>
      </c>
      <c r="K28" s="51">
        <v>76.05</v>
      </c>
      <c r="L28" s="51">
        <v>27.16</v>
      </c>
      <c r="M28" s="51">
        <v>46</v>
      </c>
      <c r="N28" s="51">
        <v>24.80</v>
      </c>
      <c r="O28" s="51">
        <v>0</v>
      </c>
      <c r="P28" s="51">
        <v>2.16</v>
      </c>
      <c r="Q28" s="51">
        <v>47.20</v>
      </c>
      <c r="R28" s="43"/>
      <c r="S28" s="43"/>
      <c r="T28" s="43"/>
      <c r="U28" s="43"/>
    </row>
    <row r="29" spans="1:21" s="11" customFormat="1" ht="15">
      <c r="A29" s="50" t="s">
        <v>394</v>
      </c>
      <c r="B29" s="51">
        <v>21.53</v>
      </c>
      <c r="C29" s="51">
        <v>92.20</v>
      </c>
      <c r="D29" s="51">
        <v>67.790000000000006</v>
      </c>
      <c r="E29" s="51">
        <v>5.1100000000000003</v>
      </c>
      <c r="F29" s="51">
        <v>1.04</v>
      </c>
      <c r="G29" s="51">
        <v>93.47</v>
      </c>
      <c r="H29" s="51">
        <v>26.53</v>
      </c>
      <c r="I29" s="51">
        <v>0.70</v>
      </c>
      <c r="J29" s="51">
        <v>0.43</v>
      </c>
      <c r="K29" s="51">
        <v>84.73</v>
      </c>
      <c r="L29" s="51">
        <v>26.67</v>
      </c>
      <c r="M29" s="51">
        <v>44</v>
      </c>
      <c r="N29" s="51">
        <v>24.80</v>
      </c>
      <c r="O29" s="51">
        <v>0</v>
      </c>
      <c r="P29" s="51">
        <v>2.16</v>
      </c>
      <c r="Q29" s="51">
        <v>47.10</v>
      </c>
      <c r="R29" s="43"/>
      <c r="S29" s="43"/>
      <c r="T29" s="43"/>
      <c r="U29" s="43"/>
    </row>
    <row r="30" spans="1:21" s="11" customFormat="1" ht="15">
      <c r="A30" s="50" t="s">
        <v>395</v>
      </c>
      <c r="B30" s="51">
        <v>25.92</v>
      </c>
      <c r="C30" s="51">
        <v>90.52</v>
      </c>
      <c r="D30" s="51">
        <v>69.69</v>
      </c>
      <c r="E30" s="51">
        <v>7.22</v>
      </c>
      <c r="F30" s="51">
        <v>1.5</v>
      </c>
      <c r="G30" s="51">
        <v>79.510000000000005</v>
      </c>
      <c r="H30" s="51">
        <v>23.90</v>
      </c>
      <c r="I30" s="51">
        <v>0.69</v>
      </c>
      <c r="J30" s="51">
        <v>0.36</v>
      </c>
      <c r="K30" s="51">
        <v>40.64</v>
      </c>
      <c r="L30" s="51">
        <v>25.95</v>
      </c>
      <c r="M30" s="51">
        <v>44</v>
      </c>
      <c r="N30" s="51">
        <v>24.70</v>
      </c>
      <c r="O30" s="51">
        <v>0</v>
      </c>
      <c r="P30" s="51">
        <v>2.15</v>
      </c>
      <c r="Q30" s="51">
        <v>45.81</v>
      </c>
      <c r="R30" s="43"/>
      <c r="S30" s="43"/>
      <c r="T30" s="43"/>
      <c r="U30" s="43"/>
    </row>
    <row r="31" spans="1:21" s="11" customFormat="1" ht="15">
      <c r="A31" s="50" t="s">
        <v>396</v>
      </c>
      <c r="B31" s="51">
        <v>25.96</v>
      </c>
      <c r="C31" s="51">
        <v>82.32</v>
      </c>
      <c r="D31" s="51">
        <v>66.13</v>
      </c>
      <c r="E31" s="51">
        <v>6.02</v>
      </c>
      <c r="F31" s="51">
        <v>1.18</v>
      </c>
      <c r="G31" s="51">
        <v>71.81</v>
      </c>
      <c r="H31" s="51">
        <v>23.39</v>
      </c>
      <c r="I31" s="51">
        <v>0.70</v>
      </c>
      <c r="J31" s="51">
        <v>0.42</v>
      </c>
      <c r="K31" s="51">
        <v>75.849999999999994</v>
      </c>
      <c r="L31" s="51">
        <v>25.12</v>
      </c>
      <c r="M31" s="51">
        <v>46</v>
      </c>
      <c r="N31" s="51">
        <v>24.60</v>
      </c>
      <c r="O31" s="51">
        <v>0</v>
      </c>
      <c r="P31" s="51">
        <v>2.04</v>
      </c>
      <c r="Q31" s="51">
        <v>48.89</v>
      </c>
      <c r="R31" s="43"/>
      <c r="S31" s="43"/>
      <c r="T31" s="43"/>
      <c r="U31" s="43"/>
    </row>
    <row r="32" spans="1:21" s="11" customFormat="1" ht="15">
      <c r="A32" s="50" t="s">
        <v>397</v>
      </c>
      <c r="B32" s="51">
        <v>24.99</v>
      </c>
      <c r="C32" s="51">
        <v>79.540000000000006</v>
      </c>
      <c r="D32" s="51">
        <v>63.94</v>
      </c>
      <c r="E32" s="51">
        <v>5.0999999999999996</v>
      </c>
      <c r="F32" s="51">
        <v>0.62</v>
      </c>
      <c r="G32" s="51">
        <v>71.5</v>
      </c>
      <c r="H32" s="51">
        <v>23.39</v>
      </c>
      <c r="I32" s="51">
        <v>0.70</v>
      </c>
      <c r="J32" s="51">
        <v>0.37</v>
      </c>
      <c r="K32" s="51">
        <v>77.16</v>
      </c>
      <c r="L32" s="51">
        <v>24.16</v>
      </c>
      <c r="M32" s="51">
        <v>47</v>
      </c>
      <c r="N32" s="51">
        <v>24.5</v>
      </c>
      <c r="O32" s="51">
        <v>0</v>
      </c>
      <c r="P32" s="51">
        <v>1.89</v>
      </c>
      <c r="Q32" s="51">
        <v>49.90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3.79</v>
      </c>
      <c r="C34" s="28">
        <f t="shared" si="0"/>
        <v>61.850000000000001</v>
      </c>
      <c r="D34" s="28">
        <f t="shared" si="0"/>
        <v>37.140000000000001</v>
      </c>
      <c r="E34" s="28">
        <f t="shared" si="0"/>
        <v>4.8300000000000001</v>
      </c>
      <c r="F34" s="28">
        <f t="shared" si="0"/>
        <v>0.58999999999999997</v>
      </c>
      <c r="G34" s="28">
        <f t="shared" si="0"/>
        <v>33.770000000000003</v>
      </c>
      <c r="H34" s="28">
        <f t="shared" si="0"/>
        <v>12.27</v>
      </c>
      <c r="I34" s="28">
        <f t="shared" si="0"/>
        <v>0.14000000000000001</v>
      </c>
      <c r="J34" s="28">
        <f t="shared" si="0"/>
        <v>0.19</v>
      </c>
      <c r="K34" s="28">
        <f t="shared" si="0"/>
        <v>18.359999999999999</v>
      </c>
      <c r="L34" s="28">
        <f t="shared" si="0"/>
        <v>20.620000000000001</v>
      </c>
      <c r="M34" s="28">
        <f t="shared" si="0"/>
        <v>30</v>
      </c>
      <c r="N34" s="28">
        <f t="shared" si="0"/>
        <v>24.5</v>
      </c>
      <c r="O34" s="28">
        <f t="shared" si="0"/>
        <v>0</v>
      </c>
      <c r="P34" s="28">
        <f t="shared" si="0"/>
        <v>0.56000000000000005</v>
      </c>
      <c r="Q34" s="28">
        <f t="shared" si="0"/>
        <v>27.07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31.420000000000002</v>
      </c>
      <c r="C35" s="29">
        <f t="shared" si="1"/>
        <v>106.33</v>
      </c>
      <c r="D35" s="29">
        <f t="shared" si="1"/>
        <v>80.290000000000006</v>
      </c>
      <c r="E35" s="29">
        <f t="shared" si="1"/>
        <v>38.229999999999997</v>
      </c>
      <c r="F35" s="29">
        <f t="shared" si="1"/>
        <v>16.18</v>
      </c>
      <c r="G35" s="29">
        <f t="shared" si="1"/>
        <v>93.469999999999999</v>
      </c>
      <c r="H35" s="29">
        <f t="shared" si="1"/>
        <v>29.25</v>
      </c>
      <c r="I35" s="29">
        <f t="shared" si="1"/>
        <v>0.69999999999999996</v>
      </c>
      <c r="J35" s="29">
        <f t="shared" si="1"/>
        <v>1.52</v>
      </c>
      <c r="K35" s="29">
        <f t="shared" si="1"/>
        <v>359.45999999999998</v>
      </c>
      <c r="L35" s="29">
        <f t="shared" si="1"/>
        <v>32.170000000000002</v>
      </c>
      <c r="M35" s="29">
        <f t="shared" si="1"/>
        <v>57</v>
      </c>
      <c r="N35" s="29">
        <f t="shared" si="1"/>
        <v>430.60000000000002</v>
      </c>
      <c r="O35" s="29">
        <f t="shared" si="1"/>
        <v>0</v>
      </c>
      <c r="P35" s="29">
        <f t="shared" si="1"/>
        <v>2.1600000000000001</v>
      </c>
      <c r="Q35" s="29">
        <f t="shared" si="1"/>
        <v>49.899999999999999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20.463333333333335</v>
      </c>
      <c r="C36" s="28">
        <f t="shared" si="2"/>
        <v>79.709583333333327</v>
      </c>
      <c r="D36" s="28">
        <f t="shared" si="2"/>
        <v>60.169166666666662</v>
      </c>
      <c r="E36" s="28">
        <f t="shared" si="2"/>
        <v>10.029166666666667</v>
      </c>
      <c r="F36" s="28">
        <f t="shared" si="2"/>
        <v>3.6529166666666666</v>
      </c>
      <c r="G36" s="28">
        <f t="shared" si="2"/>
        <v>56.471249999999998</v>
      </c>
      <c r="H36" s="28">
        <f t="shared" si="2"/>
        <v>20.924166666666665</v>
      </c>
      <c r="I36" s="28">
        <f t="shared" si="2"/>
        <v>0.46541666666666653</v>
      </c>
      <c r="J36" s="28">
        <f t="shared" si="2"/>
        <v>0.62916666666666665</v>
      </c>
      <c r="K36" s="28">
        <f t="shared" si="2"/>
        <v>142.14250000000001</v>
      </c>
      <c r="L36" s="28">
        <f t="shared" si="2"/>
        <v>26.68416666666667</v>
      </c>
      <c r="M36" s="28">
        <f t="shared" si="2"/>
        <v>43.458333333333336</v>
      </c>
      <c r="N36" s="28">
        <f t="shared" si="2"/>
        <v>145.84999999999999</v>
      </c>
      <c r="O36" s="28">
        <f t="shared" si="2"/>
        <v>0</v>
      </c>
      <c r="P36" s="28">
        <f t="shared" si="2"/>
        <v>1.3037500000000002</v>
      </c>
      <c r="Q36" s="28">
        <f t="shared" si="2"/>
        <v>43.103749999999998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7.3261109361840342</v>
      </c>
      <c r="C37" s="28">
        <f t="shared" si="3" ref="C37:Q37">STDEV(C9:C32)</f>
        <v>12.854761080142229</v>
      </c>
      <c r="D37" s="28">
        <f t="shared" si="3"/>
        <v>10.524961599296585</v>
      </c>
      <c r="E37" s="28">
        <f t="shared" si="3"/>
        <v>8.8341884874550889</v>
      </c>
      <c r="F37" s="28">
        <f t="shared" si="3"/>
        <v>4.8082605362082838</v>
      </c>
      <c r="G37" s="28">
        <f t="shared" si="3"/>
        <v>18.819357590223326</v>
      </c>
      <c r="H37" s="28">
        <f t="shared" si="3"/>
        <v>4.5726150035854252</v>
      </c>
      <c r="I37" s="28">
        <f t="shared" si="3"/>
        <v>0.17115919786705294</v>
      </c>
      <c r="J37" s="28">
        <f t="shared" si="3"/>
        <v>0.40458155158639891</v>
      </c>
      <c r="K37" s="28">
        <f t="shared" si="3"/>
        <v>117.72800842361727</v>
      </c>
      <c r="L37" s="28">
        <f t="shared" si="3"/>
        <v>4.0543813302419354</v>
      </c>
      <c r="M37" s="28">
        <f t="shared" si="3"/>
        <v>8.9295755128998042</v>
      </c>
      <c r="N37" s="28">
        <f t="shared" si="3"/>
        <v>164.38102609221795</v>
      </c>
      <c r="O37" s="28">
        <f t="shared" si="3"/>
        <v>0</v>
      </c>
      <c r="P37" s="28">
        <f t="shared" si="3"/>
        <v>0.55948588590038517</v>
      </c>
      <c r="Q37" s="28">
        <f t="shared" si="3"/>
        <v>6.3019126237509333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e355e1e-dd73-4614-b275-d172f24d39cb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22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398</v>
      </c>
      <c r="B9" s="51">
        <v>21.65</v>
      </c>
      <c r="C9" s="51">
        <v>76.05</v>
      </c>
      <c r="D9" s="51">
        <v>59.33</v>
      </c>
      <c r="E9" s="51">
        <v>5.53</v>
      </c>
      <c r="F9" s="51">
        <v>1.41</v>
      </c>
      <c r="G9" s="51">
        <v>64.38</v>
      </c>
      <c r="H9" s="51">
        <v>22.38</v>
      </c>
      <c r="I9" s="51">
        <v>0.61</v>
      </c>
      <c r="J9" s="51">
        <v>0.38</v>
      </c>
      <c r="K9" s="51">
        <v>74.05</v>
      </c>
      <c r="L9" s="51">
        <v>23.55</v>
      </c>
      <c r="M9" s="51">
        <v>47</v>
      </c>
      <c r="N9" s="51">
        <v>24.40</v>
      </c>
      <c r="O9" s="51">
        <v>0</v>
      </c>
      <c r="P9" s="51">
        <v>1.59</v>
      </c>
      <c r="Q9" s="51">
        <v>48.23</v>
      </c>
      <c r="R9" s="43"/>
      <c r="S9" s="43"/>
      <c r="T9" s="43"/>
      <c r="U9" s="43"/>
    </row>
    <row r="10" spans="1:21" s="11" customFormat="1" ht="15">
      <c r="A10" s="50" t="s">
        <v>399</v>
      </c>
      <c r="B10" s="51">
        <v>16.670000000000002</v>
      </c>
      <c r="C10" s="51">
        <v>66.69</v>
      </c>
      <c r="D10" s="51">
        <v>50.17</v>
      </c>
      <c r="E10" s="51">
        <v>5.71</v>
      </c>
      <c r="F10" s="51">
        <v>1.83</v>
      </c>
      <c r="G10" s="51">
        <v>56.28</v>
      </c>
      <c r="H10" s="51">
        <v>18.920000000000002</v>
      </c>
      <c r="I10" s="51">
        <v>0.52</v>
      </c>
      <c r="J10" s="51">
        <v>0.75</v>
      </c>
      <c r="K10" s="51">
        <v>33.18</v>
      </c>
      <c r="L10" s="51">
        <v>22.99</v>
      </c>
      <c r="M10" s="51">
        <v>46</v>
      </c>
      <c r="N10" s="51">
        <v>24.5</v>
      </c>
      <c r="O10" s="51">
        <v>0</v>
      </c>
      <c r="P10" s="51">
        <v>1.34</v>
      </c>
      <c r="Q10" s="51">
        <v>46.05</v>
      </c>
      <c r="R10" s="43"/>
      <c r="S10" s="43"/>
      <c r="T10" s="43"/>
      <c r="U10" s="43"/>
    </row>
    <row r="11" spans="1:21" s="11" customFormat="1" ht="15">
      <c r="A11" s="50" t="s">
        <v>400</v>
      </c>
      <c r="B11" s="51">
        <v>13.77</v>
      </c>
      <c r="C11" s="51">
        <v>62.74</v>
      </c>
      <c r="D11" s="51">
        <v>45.54</v>
      </c>
      <c r="E11" s="51">
        <v>5.1100000000000003</v>
      </c>
      <c r="F11" s="51">
        <v>1.32</v>
      </c>
      <c r="G11" s="51">
        <v>38.69</v>
      </c>
      <c r="H11" s="51">
        <v>14.62</v>
      </c>
      <c r="I11" s="51">
        <v>0.51</v>
      </c>
      <c r="J11" s="51">
        <v>0.61</v>
      </c>
      <c r="K11" s="51">
        <v>117.97</v>
      </c>
      <c r="L11" s="51">
        <v>22.58</v>
      </c>
      <c r="M11" s="51">
        <v>46</v>
      </c>
      <c r="N11" s="51">
        <v>24.70</v>
      </c>
      <c r="O11" s="51">
        <v>0</v>
      </c>
      <c r="P11" s="51">
        <v>1.21</v>
      </c>
      <c r="Q11" s="51">
        <v>47.49</v>
      </c>
      <c r="R11" s="43"/>
      <c r="S11" s="43"/>
      <c r="T11" s="43"/>
      <c r="U11" s="43"/>
    </row>
    <row r="12" spans="1:21" s="11" customFormat="1" ht="15">
      <c r="A12" s="50" t="s">
        <v>401</v>
      </c>
      <c r="B12" s="51">
        <v>10.80</v>
      </c>
      <c r="C12" s="51">
        <v>61.18</v>
      </c>
      <c r="D12" s="51">
        <v>42.42</v>
      </c>
      <c r="E12" s="51">
        <v>4.53</v>
      </c>
      <c r="F12" s="51">
        <v>0.66</v>
      </c>
      <c r="G12" s="51">
        <v>46.67</v>
      </c>
      <c r="H12" s="51">
        <v>14.27</v>
      </c>
      <c r="I12" s="51">
        <v>0.49</v>
      </c>
      <c r="J12" s="51">
        <v>0.26</v>
      </c>
      <c r="K12" s="51">
        <v>75.95</v>
      </c>
      <c r="L12" s="51">
        <v>21.53</v>
      </c>
      <c r="M12" s="51">
        <v>52</v>
      </c>
      <c r="N12" s="51">
        <v>24.90</v>
      </c>
      <c r="O12" s="51">
        <v>0</v>
      </c>
      <c r="P12" s="51">
        <v>1.03</v>
      </c>
      <c r="Q12" s="51">
        <v>46.87</v>
      </c>
      <c r="R12" s="43"/>
      <c r="S12" s="43"/>
      <c r="T12" s="43"/>
      <c r="U12" s="43"/>
    </row>
    <row r="13" spans="1:21" s="11" customFormat="1" ht="15">
      <c r="A13" s="50" t="s">
        <v>402</v>
      </c>
      <c r="B13" s="51">
        <v>13.12</v>
      </c>
      <c r="C13" s="51">
        <v>61.51</v>
      </c>
      <c r="D13" s="51">
        <v>44.47</v>
      </c>
      <c r="E13" s="51">
        <v>4.0199999999999996</v>
      </c>
      <c r="F13" s="51">
        <v>0.62</v>
      </c>
      <c r="G13" s="51">
        <v>52.36</v>
      </c>
      <c r="H13" s="51">
        <v>14.27</v>
      </c>
      <c r="I13" s="51">
        <v>0.42</v>
      </c>
      <c r="J13" s="51">
        <v>0.16</v>
      </c>
      <c r="K13" s="51">
        <v>348.17</v>
      </c>
      <c r="L13" s="51">
        <v>20.47</v>
      </c>
      <c r="M13" s="51">
        <v>60</v>
      </c>
      <c r="N13" s="51">
        <v>24.70</v>
      </c>
      <c r="O13" s="51">
        <v>0</v>
      </c>
      <c r="P13" s="51">
        <v>0.91</v>
      </c>
      <c r="Q13" s="51">
        <v>43.58</v>
      </c>
      <c r="R13" s="43"/>
      <c r="S13" s="43"/>
      <c r="T13" s="43"/>
      <c r="U13" s="43"/>
    </row>
    <row r="14" spans="1:21" s="11" customFormat="1" ht="15">
      <c r="A14" s="50" t="s">
        <v>403</v>
      </c>
      <c r="B14" s="51">
        <v>19.32</v>
      </c>
      <c r="C14" s="51">
        <v>63.57</v>
      </c>
      <c r="D14" s="51">
        <v>50.58</v>
      </c>
      <c r="E14" s="51">
        <v>4.16</v>
      </c>
      <c r="F14" s="51">
        <v>0.56999999999999995</v>
      </c>
      <c r="G14" s="51">
        <v>59.72</v>
      </c>
      <c r="H14" s="51">
        <v>15.11</v>
      </c>
      <c r="I14" s="51">
        <v>0.45</v>
      </c>
      <c r="J14" s="51">
        <v>0.14000000000000001</v>
      </c>
      <c r="K14" s="51">
        <v>85.95</v>
      </c>
      <c r="L14" s="51">
        <v>19.97</v>
      </c>
      <c r="M14" s="51">
        <v>59</v>
      </c>
      <c r="N14" s="51">
        <v>24.5</v>
      </c>
      <c r="O14" s="51">
        <v>0</v>
      </c>
      <c r="P14" s="51">
        <v>0.89</v>
      </c>
      <c r="Q14" s="51">
        <v>44.55</v>
      </c>
      <c r="R14" s="43"/>
      <c r="S14" s="43"/>
      <c r="T14" s="43"/>
      <c r="U14" s="43"/>
    </row>
    <row r="15" spans="1:21" s="11" customFormat="1" ht="15">
      <c r="A15" s="50" t="s">
        <v>404</v>
      </c>
      <c r="B15" s="51">
        <v>32.47</v>
      </c>
      <c r="C15" s="51">
        <v>70.849999999999994</v>
      </c>
      <c r="D15" s="51">
        <v>65.14</v>
      </c>
      <c r="E15" s="51">
        <v>4.22</v>
      </c>
      <c r="F15" s="51">
        <v>0.60</v>
      </c>
      <c r="G15" s="51">
        <v>65.760000000000005</v>
      </c>
      <c r="H15" s="51">
        <v>15.11</v>
      </c>
      <c r="I15" s="51">
        <v>0.47</v>
      </c>
      <c r="J15" s="51">
        <v>0.47</v>
      </c>
      <c r="K15" s="51">
        <v>357.97</v>
      </c>
      <c r="L15" s="51">
        <v>20.09</v>
      </c>
      <c r="M15" s="51">
        <v>62</v>
      </c>
      <c r="N15" s="51">
        <v>40.200000000000003</v>
      </c>
      <c r="O15" s="51">
        <v>0</v>
      </c>
      <c r="P15" s="51">
        <v>0.98</v>
      </c>
      <c r="Q15" s="51">
        <v>46.32</v>
      </c>
      <c r="R15" s="43"/>
      <c r="S15" s="43"/>
      <c r="T15" s="43"/>
      <c r="U15" s="43"/>
    </row>
    <row r="16" spans="1:21" s="11" customFormat="1" ht="15">
      <c r="A16" s="50" t="s">
        <v>405</v>
      </c>
      <c r="B16" s="51">
        <v>44.28</v>
      </c>
      <c r="C16" s="51">
        <v>79.86</v>
      </c>
      <c r="D16" s="51">
        <v>79.59</v>
      </c>
      <c r="E16" s="51">
        <v>4.4800000000000004</v>
      </c>
      <c r="F16" s="51">
        <v>0.68</v>
      </c>
      <c r="G16" s="51">
        <v>90.07</v>
      </c>
      <c r="H16" s="51">
        <v>23.66</v>
      </c>
      <c r="I16" s="51">
        <v>0.46</v>
      </c>
      <c r="J16" s="51">
        <v>0.37</v>
      </c>
      <c r="K16" s="51">
        <v>87.06</v>
      </c>
      <c r="L16" s="51">
        <v>23.70</v>
      </c>
      <c r="M16" s="51">
        <v>57</v>
      </c>
      <c r="N16" s="51">
        <v>179.60</v>
      </c>
      <c r="O16" s="51">
        <v>0</v>
      </c>
      <c r="P16" s="51">
        <v>1.32</v>
      </c>
      <c r="Q16" s="51">
        <v>45.18</v>
      </c>
      <c r="R16" s="43"/>
      <c r="S16" s="43"/>
      <c r="T16" s="43"/>
      <c r="U16" s="43"/>
    </row>
    <row r="17" spans="1:21" s="11" customFormat="1" ht="15">
      <c r="A17" s="50" t="s">
        <v>406</v>
      </c>
      <c r="B17" s="51">
        <v>44.67</v>
      </c>
      <c r="C17" s="51">
        <v>79.45</v>
      </c>
      <c r="D17" s="51">
        <v>79.67</v>
      </c>
      <c r="E17" s="51">
        <v>5.18</v>
      </c>
      <c r="F17" s="51">
        <v>1</v>
      </c>
      <c r="G17" s="51">
        <v>93.72</v>
      </c>
      <c r="H17" s="51">
        <v>30.01</v>
      </c>
      <c r="I17" s="51">
        <v>0.49</v>
      </c>
      <c r="J17" s="51">
        <v>0.88</v>
      </c>
      <c r="K17" s="51">
        <v>121.07</v>
      </c>
      <c r="L17" s="51">
        <v>26.46</v>
      </c>
      <c r="M17" s="51">
        <v>39</v>
      </c>
      <c r="N17" s="51">
        <v>310.30</v>
      </c>
      <c r="O17" s="51">
        <v>0</v>
      </c>
      <c r="P17" s="51">
        <v>1.34</v>
      </c>
      <c r="Q17" s="51">
        <v>45.25</v>
      </c>
      <c r="R17" s="43"/>
      <c r="S17" s="43"/>
      <c r="T17" s="43"/>
      <c r="U17" s="43"/>
    </row>
    <row r="18" spans="1:21" s="11" customFormat="1" ht="15">
      <c r="A18" s="50" t="s">
        <v>407</v>
      </c>
      <c r="B18" s="51">
        <v>38.42</v>
      </c>
      <c r="C18" s="51">
        <v>80.22</v>
      </c>
      <c r="D18" s="51">
        <v>72.89</v>
      </c>
      <c r="E18" s="51">
        <v>5.79</v>
      </c>
      <c r="F18" s="51">
        <v>1.39</v>
      </c>
      <c r="G18" s="51">
        <v>93.72</v>
      </c>
      <c r="H18" s="51">
        <v>30.01</v>
      </c>
      <c r="I18" s="51">
        <v>0.5</v>
      </c>
      <c r="J18" s="51">
        <v>0.77</v>
      </c>
      <c r="K18" s="51">
        <v>74.69</v>
      </c>
      <c r="L18" s="51">
        <v>30.51</v>
      </c>
      <c r="M18" s="51">
        <v>30</v>
      </c>
      <c r="N18" s="51">
        <v>371.60</v>
      </c>
      <c r="O18" s="51">
        <v>0</v>
      </c>
      <c r="P18" s="51">
        <v>1.29</v>
      </c>
      <c r="Q18" s="51">
        <v>47.5</v>
      </c>
      <c r="R18" s="43"/>
      <c r="S18" s="43"/>
      <c r="T18" s="43"/>
      <c r="U18" s="43"/>
    </row>
    <row r="19" spans="1:21" s="11" customFormat="1" ht="15">
      <c r="A19" s="50" t="s">
        <v>408</v>
      </c>
      <c r="B19" s="51">
        <v>30.82</v>
      </c>
      <c r="C19" s="51">
        <v>82.20</v>
      </c>
      <c r="D19" s="51">
        <v>69.319999999999993</v>
      </c>
      <c r="E19" s="51">
        <v>5.33</v>
      </c>
      <c r="F19" s="51">
        <v>0.96</v>
      </c>
      <c r="G19" s="51">
        <v>72.39</v>
      </c>
      <c r="H19" s="51">
        <v>25.77</v>
      </c>
      <c r="I19" s="51">
        <v>0.49</v>
      </c>
      <c r="J19" s="51">
        <v>0.73</v>
      </c>
      <c r="K19" s="51">
        <v>105.67</v>
      </c>
      <c r="L19" s="51">
        <v>30.59</v>
      </c>
      <c r="M19" s="51">
        <v>27</v>
      </c>
      <c r="N19" s="51">
        <v>410</v>
      </c>
      <c r="O19" s="51">
        <v>0</v>
      </c>
      <c r="P19" s="51">
        <v>1.21</v>
      </c>
      <c r="Q19" s="51">
        <v>47.30</v>
      </c>
      <c r="R19" s="43"/>
      <c r="S19" s="43"/>
      <c r="T19" s="43"/>
      <c r="U19" s="43"/>
    </row>
    <row r="20" spans="1:21" s="11" customFormat="1" ht="15">
      <c r="A20" s="50" t="s">
        <v>409</v>
      </c>
      <c r="B20" s="51">
        <v>24.85</v>
      </c>
      <c r="C20" s="51">
        <v>81.56</v>
      </c>
      <c r="D20" s="51">
        <v>64.94</v>
      </c>
      <c r="E20" s="51">
        <v>6.17</v>
      </c>
      <c r="F20" s="51">
        <v>3.37</v>
      </c>
      <c r="G20" s="51">
        <v>65.790000000000006</v>
      </c>
      <c r="H20" s="51">
        <v>25.77</v>
      </c>
      <c r="I20" s="51">
        <v>0.43</v>
      </c>
      <c r="J20" s="51">
        <v>0.82</v>
      </c>
      <c r="K20" s="51">
        <v>112.96</v>
      </c>
      <c r="L20" s="51">
        <v>32.729999999999997</v>
      </c>
      <c r="M20" s="51">
        <v>27</v>
      </c>
      <c r="N20" s="51">
        <v>420.30</v>
      </c>
      <c r="O20" s="51">
        <v>0</v>
      </c>
      <c r="P20" s="51">
        <v>1.1000000000000001</v>
      </c>
      <c r="Q20" s="51">
        <v>44.48</v>
      </c>
      <c r="R20" s="43"/>
      <c r="S20" s="43"/>
      <c r="T20" s="43"/>
      <c r="U20" s="43"/>
    </row>
    <row r="21" spans="1:21" s="11" customFormat="1" ht="15">
      <c r="A21" s="50" t="s">
        <v>410</v>
      </c>
      <c r="B21" s="51">
        <v>21.38</v>
      </c>
      <c r="C21" s="51">
        <v>75.69</v>
      </c>
      <c r="D21" s="51">
        <v>58.92</v>
      </c>
      <c r="E21" s="51">
        <v>7.58</v>
      </c>
      <c r="F21" s="51">
        <v>4.17</v>
      </c>
      <c r="G21" s="51">
        <v>61.18</v>
      </c>
      <c r="H21" s="51">
        <v>20.47</v>
      </c>
      <c r="I21" s="51">
        <v>0.40</v>
      </c>
      <c r="J21" s="51">
        <v>0.74</v>
      </c>
      <c r="K21" s="51">
        <v>347.81</v>
      </c>
      <c r="L21" s="51">
        <v>32.99</v>
      </c>
      <c r="M21" s="51">
        <v>25</v>
      </c>
      <c r="N21" s="51">
        <v>322</v>
      </c>
      <c r="O21" s="51">
        <v>0</v>
      </c>
      <c r="P21" s="51">
        <v>1.01</v>
      </c>
      <c r="Q21" s="51">
        <v>44.13</v>
      </c>
      <c r="R21" s="43"/>
      <c r="S21" s="43"/>
      <c r="T21" s="43"/>
      <c r="U21" s="43"/>
    </row>
    <row r="22" spans="1:21" s="11" customFormat="1" ht="15">
      <c r="A22" s="50" t="s">
        <v>411</v>
      </c>
      <c r="B22" s="51">
        <v>20.55</v>
      </c>
      <c r="C22" s="51">
        <v>79.64</v>
      </c>
      <c r="D22" s="51">
        <v>58.82</v>
      </c>
      <c r="E22" s="51">
        <v>5.95</v>
      </c>
      <c r="F22" s="51">
        <v>1.73</v>
      </c>
      <c r="G22" s="51">
        <v>50.54</v>
      </c>
      <c r="H22" s="51">
        <v>20.36</v>
      </c>
      <c r="I22" s="51">
        <v>0.42</v>
      </c>
      <c r="J22" s="51">
        <v>0.59</v>
      </c>
      <c r="K22" s="51">
        <v>357</v>
      </c>
      <c r="L22" s="51">
        <v>33.61</v>
      </c>
      <c r="M22" s="51">
        <v>24</v>
      </c>
      <c r="N22" s="51">
        <v>330.60</v>
      </c>
      <c r="O22" s="51">
        <v>0</v>
      </c>
      <c r="P22" s="51">
        <v>0.95</v>
      </c>
      <c r="Q22" s="51">
        <v>46.79</v>
      </c>
      <c r="R22" s="43"/>
      <c r="S22" s="43"/>
      <c r="T22" s="43"/>
      <c r="U22" s="43"/>
    </row>
    <row r="23" spans="1:21" s="11" customFormat="1" ht="15">
      <c r="A23" s="50" t="s">
        <v>412</v>
      </c>
      <c r="B23" s="51">
        <v>14.49</v>
      </c>
      <c r="C23" s="51">
        <v>82.63</v>
      </c>
      <c r="D23" s="51">
        <v>56.06</v>
      </c>
      <c r="E23" s="51">
        <v>9.92</v>
      </c>
      <c r="F23" s="51">
        <v>7.41</v>
      </c>
      <c r="G23" s="51">
        <v>40.99</v>
      </c>
      <c r="H23" s="51">
        <v>19.399999999999999</v>
      </c>
      <c r="I23" s="51">
        <v>0.40</v>
      </c>
      <c r="J23" s="51">
        <v>0.28000000000000003</v>
      </c>
      <c r="K23" s="51">
        <v>119.51</v>
      </c>
      <c r="L23" s="51">
        <v>33.58</v>
      </c>
      <c r="M23" s="51">
        <v>26</v>
      </c>
      <c r="N23" s="51">
        <v>271.60000000000002</v>
      </c>
      <c r="O23" s="51">
        <v>0</v>
      </c>
      <c r="P23" s="51">
        <v>0.91</v>
      </c>
      <c r="Q23" s="51">
        <v>46.08</v>
      </c>
      <c r="R23" s="43"/>
      <c r="S23" s="43"/>
      <c r="T23" s="43"/>
      <c r="U23" s="43"/>
    </row>
    <row r="24" spans="1:21" s="11" customFormat="1" ht="15">
      <c r="A24" s="50" t="s">
        <v>413</v>
      </c>
      <c r="B24" s="51">
        <v>11.69</v>
      </c>
      <c r="C24" s="51">
        <v>85.68</v>
      </c>
      <c r="D24" s="51">
        <v>56.57</v>
      </c>
      <c r="E24" s="51">
        <v>18.72</v>
      </c>
      <c r="F24" s="51">
        <v>10.66</v>
      </c>
      <c r="G24" s="51">
        <v>47.17</v>
      </c>
      <c r="H24" s="51">
        <v>17.940000000000001</v>
      </c>
      <c r="I24" s="51">
        <v>0.36</v>
      </c>
      <c r="J24" s="51">
        <v>0.92</v>
      </c>
      <c r="K24" s="51">
        <v>29.23</v>
      </c>
      <c r="L24" s="51">
        <v>31.14</v>
      </c>
      <c r="M24" s="51">
        <v>30</v>
      </c>
      <c r="N24" s="51">
        <v>134.10</v>
      </c>
      <c r="O24" s="51">
        <v>0</v>
      </c>
      <c r="P24" s="51">
        <v>1.02</v>
      </c>
      <c r="Q24" s="51">
        <v>43.84</v>
      </c>
      <c r="R24" s="43"/>
      <c r="S24" s="43"/>
      <c r="T24" s="43"/>
      <c r="U24" s="43"/>
    </row>
    <row r="25" spans="1:21" s="11" customFormat="1" ht="15">
      <c r="A25" s="50" t="s">
        <v>414</v>
      </c>
      <c r="B25" s="51">
        <v>11.80</v>
      </c>
      <c r="C25" s="51">
        <v>92.10</v>
      </c>
      <c r="D25" s="51">
        <v>59.80</v>
      </c>
      <c r="E25" s="51">
        <v>21.16</v>
      </c>
      <c r="F25" s="51">
        <v>10.64</v>
      </c>
      <c r="G25" s="51">
        <v>53.18</v>
      </c>
      <c r="H25" s="51">
        <v>21.96</v>
      </c>
      <c r="I25" s="51">
        <v>0.39</v>
      </c>
      <c r="J25" s="51">
        <v>0.63</v>
      </c>
      <c r="K25" s="51">
        <v>54.68</v>
      </c>
      <c r="L25" s="51">
        <v>29.38</v>
      </c>
      <c r="M25" s="51">
        <v>34</v>
      </c>
      <c r="N25" s="51">
        <v>61.10</v>
      </c>
      <c r="O25" s="51">
        <v>0</v>
      </c>
      <c r="P25" s="51">
        <v>1.25</v>
      </c>
      <c r="Q25" s="51">
        <v>47.73</v>
      </c>
      <c r="R25" s="43"/>
      <c r="S25" s="43"/>
      <c r="T25" s="43"/>
      <c r="U25" s="43"/>
    </row>
    <row r="26" spans="1:21" s="11" customFormat="1" ht="15">
      <c r="A26" s="50" t="s">
        <v>415</v>
      </c>
      <c r="B26" s="51">
        <v>23.23</v>
      </c>
      <c r="C26" s="51">
        <v>103.39</v>
      </c>
      <c r="D26" s="51">
        <v>75.680000000000007</v>
      </c>
      <c r="E26" s="51">
        <v>7.72</v>
      </c>
      <c r="F26" s="51">
        <v>2.2999999999999998</v>
      </c>
      <c r="G26" s="51">
        <v>128.07</v>
      </c>
      <c r="H26" s="51">
        <v>27.67</v>
      </c>
      <c r="I26" s="51">
        <v>0.48</v>
      </c>
      <c r="J26" s="51">
        <v>0.15</v>
      </c>
      <c r="K26" s="51">
        <v>104.20</v>
      </c>
      <c r="L26" s="51">
        <v>27.45</v>
      </c>
      <c r="M26" s="51">
        <v>45</v>
      </c>
      <c r="N26" s="51">
        <v>29</v>
      </c>
      <c r="O26" s="51">
        <v>0</v>
      </c>
      <c r="P26" s="51">
        <v>1.70</v>
      </c>
      <c r="Q26" s="51">
        <v>48.13</v>
      </c>
      <c r="R26" s="43"/>
      <c r="S26" s="43"/>
      <c r="T26" s="43"/>
      <c r="U26" s="43"/>
    </row>
    <row r="27" spans="1:21" s="11" customFormat="1" ht="15">
      <c r="A27" s="50" t="s">
        <v>416</v>
      </c>
      <c r="B27" s="51">
        <v>64.59</v>
      </c>
      <c r="C27" s="51">
        <v>133.47</v>
      </c>
      <c r="D27" s="51">
        <v>125.45</v>
      </c>
      <c r="E27" s="51">
        <v>7.67</v>
      </c>
      <c r="F27" s="51">
        <v>0.76</v>
      </c>
      <c r="G27" s="51">
        <v>160.15</v>
      </c>
      <c r="H27" s="51">
        <v>32.60</v>
      </c>
      <c r="I27" s="51">
        <v>0.76</v>
      </c>
      <c r="J27" s="51">
        <v>0.11</v>
      </c>
      <c r="K27" s="51">
        <v>333.70</v>
      </c>
      <c r="L27" s="51">
        <v>25.18</v>
      </c>
      <c r="M27" s="51">
        <v>54</v>
      </c>
      <c r="N27" s="51">
        <v>24.60</v>
      </c>
      <c r="O27" s="51">
        <v>0</v>
      </c>
      <c r="P27" s="51">
        <v>2.70</v>
      </c>
      <c r="Q27" s="51">
        <v>47.33</v>
      </c>
      <c r="R27" s="43"/>
      <c r="S27" s="43"/>
      <c r="T27" s="43"/>
      <c r="U27" s="43"/>
    </row>
    <row r="28" spans="1:21" s="11" customFormat="1" ht="15">
      <c r="A28" s="50" t="s">
        <v>417</v>
      </c>
      <c r="B28" s="51">
        <v>69.13</v>
      </c>
      <c r="C28" s="51">
        <v>123.70</v>
      </c>
      <c r="D28" s="51">
        <v>123.71</v>
      </c>
      <c r="E28" s="51">
        <v>6.95</v>
      </c>
      <c r="F28" s="51">
        <v>0.80</v>
      </c>
      <c r="G28" s="51">
        <v>164.11</v>
      </c>
      <c r="H28" s="51">
        <v>36.799999999999997</v>
      </c>
      <c r="I28" s="51">
        <v>0.95</v>
      </c>
      <c r="J28" s="51">
        <v>0.09</v>
      </c>
      <c r="K28" s="51">
        <v>330.75</v>
      </c>
      <c r="L28" s="51">
        <v>23.80</v>
      </c>
      <c r="M28" s="51">
        <v>59</v>
      </c>
      <c r="N28" s="51">
        <v>24.60</v>
      </c>
      <c r="O28" s="51">
        <v>0</v>
      </c>
      <c r="P28" s="51">
        <v>3</v>
      </c>
      <c r="Q28" s="51">
        <v>49.26</v>
      </c>
      <c r="R28" s="43"/>
      <c r="S28" s="43"/>
      <c r="T28" s="43"/>
      <c r="U28" s="43"/>
    </row>
    <row r="29" spans="1:21" s="11" customFormat="1" ht="15">
      <c r="A29" s="50" t="s">
        <v>418</v>
      </c>
      <c r="B29" s="51">
        <v>86.12</v>
      </c>
      <c r="C29" s="51">
        <v>124.02</v>
      </c>
      <c r="D29" s="51">
        <v>137.51</v>
      </c>
      <c r="E29" s="51">
        <v>5.79</v>
      </c>
      <c r="F29" s="51">
        <v>0.67</v>
      </c>
      <c r="G29" s="51">
        <v>213.19</v>
      </c>
      <c r="H29" s="51">
        <v>38.24</v>
      </c>
      <c r="I29" s="51">
        <v>1.23</v>
      </c>
      <c r="J29" s="51">
        <v>0.13</v>
      </c>
      <c r="K29" s="51">
        <v>342.60</v>
      </c>
      <c r="L29" s="51">
        <v>23.16</v>
      </c>
      <c r="M29" s="51">
        <v>62</v>
      </c>
      <c r="N29" s="51">
        <v>24.60</v>
      </c>
      <c r="O29" s="51">
        <v>0</v>
      </c>
      <c r="P29" s="51">
        <v>3.68</v>
      </c>
      <c r="Q29" s="51">
        <v>54.74</v>
      </c>
      <c r="R29" s="43"/>
      <c r="S29" s="43"/>
      <c r="T29" s="43"/>
      <c r="U29" s="43"/>
    </row>
    <row r="30" spans="1:21" s="11" customFormat="1" ht="15">
      <c r="A30" s="50" t="s">
        <v>419</v>
      </c>
      <c r="B30" s="51">
        <v>161.74</v>
      </c>
      <c r="C30" s="51">
        <v>158.19999999999999</v>
      </c>
      <c r="D30" s="51">
        <v>217.01</v>
      </c>
      <c r="E30" s="51">
        <v>6.40</v>
      </c>
      <c r="F30" s="51">
        <v>0.5</v>
      </c>
      <c r="G30" s="51">
        <v>239.94</v>
      </c>
      <c r="H30" s="51">
        <v>47.08</v>
      </c>
      <c r="I30" s="51">
        <v>1.76</v>
      </c>
      <c r="J30" s="51">
        <v>0.070000000000000007</v>
      </c>
      <c r="K30" s="51">
        <v>348.69</v>
      </c>
      <c r="L30" s="51">
        <v>22.72</v>
      </c>
      <c r="M30" s="51">
        <v>67</v>
      </c>
      <c r="N30" s="51">
        <v>24.60</v>
      </c>
      <c r="O30" s="51">
        <v>0</v>
      </c>
      <c r="P30" s="51">
        <v>4.8499999999999996</v>
      </c>
      <c r="Q30" s="51">
        <v>57.15</v>
      </c>
      <c r="R30" s="43"/>
      <c r="S30" s="43"/>
      <c r="T30" s="43"/>
      <c r="U30" s="43"/>
    </row>
    <row r="31" spans="1:21" s="11" customFormat="1" ht="15">
      <c r="A31" s="50" t="s">
        <v>420</v>
      </c>
      <c r="B31" s="51">
        <v>173.86</v>
      </c>
      <c r="C31" s="51">
        <v>154.60</v>
      </c>
      <c r="D31" s="51">
        <v>222.68</v>
      </c>
      <c r="E31" s="51">
        <v>6.66</v>
      </c>
      <c r="F31" s="51">
        <v>0.57999999999999996</v>
      </c>
      <c r="G31" s="51">
        <v>239.94</v>
      </c>
      <c r="H31" s="51">
        <v>47.92</v>
      </c>
      <c r="I31" s="51">
        <v>2.0299999999999998</v>
      </c>
      <c r="J31" s="51">
        <v>0.11</v>
      </c>
      <c r="K31" s="51">
        <v>327.71</v>
      </c>
      <c r="L31" s="51">
        <v>22.09</v>
      </c>
      <c r="M31" s="51">
        <v>67</v>
      </c>
      <c r="N31" s="51">
        <v>24.60</v>
      </c>
      <c r="O31" s="51">
        <v>0</v>
      </c>
      <c r="P31" s="51">
        <v>5.05</v>
      </c>
      <c r="Q31" s="51">
        <v>58.40</v>
      </c>
      <c r="R31" s="43"/>
      <c r="S31" s="43"/>
      <c r="T31" s="43"/>
      <c r="U31" s="43"/>
    </row>
    <row r="32" spans="1:21" s="11" customFormat="1" ht="15">
      <c r="A32" s="50" t="s">
        <v>421</v>
      </c>
      <c r="B32" s="51">
        <v>169.14</v>
      </c>
      <c r="C32" s="51">
        <v>142.86000000000001</v>
      </c>
      <c r="D32" s="51">
        <v>214.48</v>
      </c>
      <c r="E32" s="51">
        <v>6.78</v>
      </c>
      <c r="F32" s="51">
        <v>0.52</v>
      </c>
      <c r="G32" s="51">
        <v>226.67</v>
      </c>
      <c r="H32" s="51">
        <v>47.92</v>
      </c>
      <c r="I32" s="51">
        <v>2.0699999999999998</v>
      </c>
      <c r="J32" s="51">
        <v>0.17</v>
      </c>
      <c r="K32" s="51">
        <v>336.48</v>
      </c>
      <c r="L32" s="51">
        <v>21.47</v>
      </c>
      <c r="M32" s="51">
        <v>66</v>
      </c>
      <c r="N32" s="51">
        <v>24.60</v>
      </c>
      <c r="O32" s="51">
        <v>0</v>
      </c>
      <c r="P32" s="51">
        <v>4.9800000000000004</v>
      </c>
      <c r="Q32" s="51">
        <v>59.58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10.800000000000001</v>
      </c>
      <c r="C34" s="28">
        <f t="shared" si="0"/>
        <v>61.18</v>
      </c>
      <c r="D34" s="28">
        <f t="shared" si="0"/>
        <v>42.420000000000002</v>
      </c>
      <c r="E34" s="28">
        <f t="shared" si="0"/>
        <v>4.0199999999999996</v>
      </c>
      <c r="F34" s="28">
        <f t="shared" si="0"/>
        <v>0.5</v>
      </c>
      <c r="G34" s="28">
        <f t="shared" si="0"/>
        <v>38.689999999999998</v>
      </c>
      <c r="H34" s="28">
        <f t="shared" si="0"/>
        <v>14.27</v>
      </c>
      <c r="I34" s="28">
        <f t="shared" si="0"/>
        <v>0.35999999999999999</v>
      </c>
      <c r="J34" s="28">
        <f t="shared" si="0"/>
        <v>0.070000000000000007</v>
      </c>
      <c r="K34" s="28">
        <f t="shared" si="0"/>
        <v>29.23</v>
      </c>
      <c r="L34" s="28">
        <f t="shared" si="0"/>
        <v>19.969999999999999</v>
      </c>
      <c r="M34" s="28">
        <f t="shared" si="0"/>
        <v>24</v>
      </c>
      <c r="N34" s="28">
        <f t="shared" si="0"/>
        <v>24.399999999999999</v>
      </c>
      <c r="O34" s="28">
        <f t="shared" si="0"/>
        <v>0</v>
      </c>
      <c r="P34" s="28">
        <f t="shared" si="0"/>
        <v>0.89000000000000001</v>
      </c>
      <c r="Q34" s="28">
        <f t="shared" si="0"/>
        <v>43.579999999999998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173.86000000000001</v>
      </c>
      <c r="C35" s="29">
        <f t="shared" si="1"/>
        <v>158.19999999999999</v>
      </c>
      <c r="D35" s="29">
        <f t="shared" si="1"/>
        <v>222.68000000000001</v>
      </c>
      <c r="E35" s="29">
        <f t="shared" si="1"/>
        <v>21.16</v>
      </c>
      <c r="F35" s="29">
        <f t="shared" si="1"/>
        <v>10.66</v>
      </c>
      <c r="G35" s="29">
        <f t="shared" si="1"/>
        <v>239.94</v>
      </c>
      <c r="H35" s="29">
        <f t="shared" si="1"/>
        <v>47.920000000000002</v>
      </c>
      <c r="I35" s="29">
        <f t="shared" si="1"/>
        <v>2.0699999999999998</v>
      </c>
      <c r="J35" s="29">
        <f t="shared" si="1"/>
        <v>0.92000000000000004</v>
      </c>
      <c r="K35" s="29">
        <f t="shared" si="1"/>
        <v>357.97000000000003</v>
      </c>
      <c r="L35" s="29">
        <f t="shared" si="1"/>
        <v>33.609999999999999</v>
      </c>
      <c r="M35" s="29">
        <f t="shared" si="1"/>
        <v>67</v>
      </c>
      <c r="N35" s="29">
        <f t="shared" si="1"/>
        <v>420.30000000000001</v>
      </c>
      <c r="O35" s="29">
        <f t="shared" si="1"/>
        <v>0</v>
      </c>
      <c r="P35" s="29">
        <f t="shared" si="1"/>
        <v>5.0499999999999998</v>
      </c>
      <c r="Q35" s="29">
        <f t="shared" si="1"/>
        <v>59.579999999999998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47.439999999999998</v>
      </c>
      <c r="C36" s="28">
        <f t="shared" si="2"/>
        <v>92.577500000000029</v>
      </c>
      <c r="D36" s="28">
        <f t="shared" si="2"/>
        <v>88.78125</v>
      </c>
      <c r="E36" s="28">
        <f t="shared" si="2"/>
        <v>7.1470833333333319</v>
      </c>
      <c r="F36" s="28">
        <f t="shared" si="2"/>
        <v>2.2979166666666671</v>
      </c>
      <c r="G36" s="28">
        <f t="shared" si="2"/>
        <v>101.02833333333335</v>
      </c>
      <c r="H36" s="28">
        <f t="shared" si="2"/>
        <v>26.177499999999998</v>
      </c>
      <c r="I36" s="28">
        <f t="shared" si="2"/>
        <v>0.71208333333333329</v>
      </c>
      <c r="J36" s="28">
        <f t="shared" si="2"/>
        <v>0.43041666666666673</v>
      </c>
      <c r="K36" s="28">
        <f t="shared" si="2"/>
        <v>192.79374999999996</v>
      </c>
      <c r="L36" s="28">
        <f t="shared" si="2"/>
        <v>25.905833333333334</v>
      </c>
      <c r="M36" s="28">
        <f t="shared" si="2"/>
        <v>46.291666666666664</v>
      </c>
      <c r="N36" s="28">
        <f t="shared" si="2"/>
        <v>132.3208333333333</v>
      </c>
      <c r="O36" s="28">
        <f t="shared" si="2"/>
        <v>0</v>
      </c>
      <c r="P36" s="28">
        <f t="shared" si="2"/>
        <v>1.8879166666666667</v>
      </c>
      <c r="Q36" s="28">
        <f t="shared" si="2"/>
        <v>48.165000000000013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50.607928748111327</v>
      </c>
      <c r="C37" s="28">
        <f t="shared" si="3" ref="C37:Q37">STDEV(C9:C32)</f>
        <v>30.102046767042445</v>
      </c>
      <c r="D37" s="28">
        <f t="shared" si="3"/>
        <v>55.851596319291033</v>
      </c>
      <c r="E37" s="28">
        <f t="shared" si="3"/>
        <v>4.186131844416825</v>
      </c>
      <c r="F37" s="28">
        <f t="shared" si="3"/>
        <v>3.0034443693383341</v>
      </c>
      <c r="G37" s="28">
        <f t="shared" si="3"/>
        <v>67.852361829173631</v>
      </c>
      <c r="H37" s="28">
        <f t="shared" si="3"/>
        <v>10.728815425515652</v>
      </c>
      <c r="I37" s="28">
        <f t="shared" si="3"/>
        <v>0.51938909906916986</v>
      </c>
      <c r="J37" s="28">
        <f t="shared" si="3"/>
        <v>0.29480250082513459</v>
      </c>
      <c r="K37" s="28">
        <f t="shared" si="3"/>
        <v>131.94636910543883</v>
      </c>
      <c r="L37" s="28">
        <f t="shared" si="3"/>
        <v>4.6854083545914351</v>
      </c>
      <c r="M37" s="28">
        <f t="shared" si="3"/>
        <v>15.181450829066451</v>
      </c>
      <c r="N37" s="28">
        <f t="shared" si="3"/>
        <v>148.81512013866092</v>
      </c>
      <c r="O37" s="28">
        <f t="shared" si="3"/>
        <v>0</v>
      </c>
      <c r="P37" s="28">
        <f t="shared" si="3"/>
        <v>1.3778590171038878</v>
      </c>
      <c r="Q37" s="28">
        <f t="shared" si="3"/>
        <v>4.5617092525004077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dc0960-d3f0-4323-9d52-1e14cabe7afd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22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422</v>
      </c>
      <c r="B9" s="51">
        <v>149.38999999999999</v>
      </c>
      <c r="C9" s="51">
        <v>130.81</v>
      </c>
      <c r="D9" s="51">
        <v>191.98</v>
      </c>
      <c r="E9" s="51">
        <v>5.54</v>
      </c>
      <c r="F9" s="51">
        <v>0.56000000000000005</v>
      </c>
      <c r="G9" s="51">
        <v>146.82</v>
      </c>
      <c r="H9" s="51">
        <v>46.91</v>
      </c>
      <c r="I9" s="51">
        <v>1.97</v>
      </c>
      <c r="J9" s="51">
        <v>0.41</v>
      </c>
      <c r="K9" s="51">
        <v>261.01</v>
      </c>
      <c r="L9" s="51">
        <v>21.98</v>
      </c>
      <c r="M9" s="51">
        <v>71</v>
      </c>
      <c r="N9" s="51">
        <v>24.5</v>
      </c>
      <c r="O9" s="51">
        <v>0</v>
      </c>
      <c r="P9" s="51">
        <v>4.4000000000000004</v>
      </c>
      <c r="Q9" s="51">
        <v>59.22</v>
      </c>
      <c r="R9" s="43"/>
      <c r="S9" s="43"/>
      <c r="T9" s="43"/>
      <c r="U9" s="43"/>
    </row>
    <row r="10" spans="1:21" s="11" customFormat="1" ht="15">
      <c r="A10" s="50" t="s">
        <v>423</v>
      </c>
      <c r="B10" s="51">
        <v>122.15</v>
      </c>
      <c r="C10" s="51">
        <v>122.48</v>
      </c>
      <c r="D10" s="51">
        <v>165.55</v>
      </c>
      <c r="E10" s="51">
        <v>5.39</v>
      </c>
      <c r="F10" s="51">
        <v>0.51</v>
      </c>
      <c r="G10" s="51">
        <v>122.98</v>
      </c>
      <c r="H10" s="51">
        <v>46.91</v>
      </c>
      <c r="I10" s="51">
        <v>1.75</v>
      </c>
      <c r="J10" s="51">
        <v>0.15</v>
      </c>
      <c r="K10" s="51">
        <v>320.31</v>
      </c>
      <c r="L10" s="51">
        <v>21.44</v>
      </c>
      <c r="M10" s="51">
        <v>68</v>
      </c>
      <c r="N10" s="51">
        <v>24.80</v>
      </c>
      <c r="O10" s="51">
        <v>0</v>
      </c>
      <c r="P10" s="51">
        <v>3.92</v>
      </c>
      <c r="Q10" s="51">
        <v>55.11</v>
      </c>
      <c r="R10" s="43"/>
      <c r="S10" s="43"/>
      <c r="T10" s="43"/>
      <c r="U10" s="43"/>
    </row>
    <row r="11" spans="1:21" s="11" customFormat="1" ht="15">
      <c r="A11" s="50" t="s">
        <v>424</v>
      </c>
      <c r="B11" s="51">
        <v>97.85</v>
      </c>
      <c r="C11" s="51">
        <v>111.20</v>
      </c>
      <c r="D11" s="51">
        <v>139.84</v>
      </c>
      <c r="E11" s="51">
        <v>5.31</v>
      </c>
      <c r="F11" s="51">
        <v>0.52</v>
      </c>
      <c r="G11" s="51">
        <v>120.5</v>
      </c>
      <c r="H11" s="51">
        <v>43.81</v>
      </c>
      <c r="I11" s="51">
        <v>1.46</v>
      </c>
      <c r="J11" s="51">
        <v>0.16</v>
      </c>
      <c r="K11" s="51">
        <v>322.33</v>
      </c>
      <c r="L11" s="51">
        <v>20.46</v>
      </c>
      <c r="M11" s="51">
        <v>68</v>
      </c>
      <c r="N11" s="51">
        <v>24.60</v>
      </c>
      <c r="O11" s="51">
        <v>0</v>
      </c>
      <c r="P11" s="51">
        <v>3.70</v>
      </c>
      <c r="Q11" s="51">
        <v>51.06</v>
      </c>
      <c r="R11" s="43"/>
      <c r="S11" s="43"/>
      <c r="T11" s="43"/>
      <c r="U11" s="43"/>
    </row>
    <row r="12" spans="1:21" s="11" customFormat="1" ht="15">
      <c r="A12" s="50" t="s">
        <v>425</v>
      </c>
      <c r="B12" s="51">
        <v>78.209999999999994</v>
      </c>
      <c r="C12" s="51">
        <v>99.69</v>
      </c>
      <c r="D12" s="51">
        <v>117.74</v>
      </c>
      <c r="E12" s="51">
        <v>5.92</v>
      </c>
      <c r="F12" s="51">
        <v>0.60</v>
      </c>
      <c r="G12" s="51">
        <v>98.41</v>
      </c>
      <c r="H12" s="51">
        <v>43.81</v>
      </c>
      <c r="I12" s="51">
        <v>1.36</v>
      </c>
      <c r="J12" s="51">
        <v>0.24</v>
      </c>
      <c r="K12" s="51">
        <v>77.52</v>
      </c>
      <c r="L12" s="51">
        <v>21.38</v>
      </c>
      <c r="M12" s="51">
        <v>53</v>
      </c>
      <c r="N12" s="51">
        <v>24.40</v>
      </c>
      <c r="O12" s="51">
        <v>0</v>
      </c>
      <c r="P12" s="51">
        <v>3.16</v>
      </c>
      <c r="Q12" s="51">
        <v>51.27</v>
      </c>
      <c r="R12" s="43"/>
      <c r="S12" s="43"/>
      <c r="T12" s="43"/>
      <c r="U12" s="43"/>
    </row>
    <row r="13" spans="1:21" s="11" customFormat="1" ht="15">
      <c r="A13" s="50" t="s">
        <v>426</v>
      </c>
      <c r="B13" s="51">
        <v>60.63</v>
      </c>
      <c r="C13" s="51">
        <v>91.73</v>
      </c>
      <c r="D13" s="51">
        <v>99.25</v>
      </c>
      <c r="E13" s="51">
        <v>5.62</v>
      </c>
      <c r="F13" s="51">
        <v>0.55000000000000004</v>
      </c>
      <c r="G13" s="51">
        <v>63.52</v>
      </c>
      <c r="H13" s="51">
        <v>33.83</v>
      </c>
      <c r="I13" s="51">
        <v>1.1299999999999999</v>
      </c>
      <c r="J13" s="51">
        <v>0.38</v>
      </c>
      <c r="K13" s="51">
        <v>99.18</v>
      </c>
      <c r="L13" s="51">
        <v>21.08</v>
      </c>
      <c r="M13" s="51">
        <v>53</v>
      </c>
      <c r="N13" s="51">
        <v>24.40</v>
      </c>
      <c r="O13" s="51">
        <v>0</v>
      </c>
      <c r="P13" s="51">
        <v>2.4500000000000002</v>
      </c>
      <c r="Q13" s="51">
        <v>49.67</v>
      </c>
      <c r="R13" s="43"/>
      <c r="S13" s="43"/>
      <c r="T13" s="43"/>
      <c r="U13" s="43"/>
    </row>
    <row r="14" spans="1:21" s="11" customFormat="1" ht="15">
      <c r="A14" s="50" t="s">
        <v>427</v>
      </c>
      <c r="B14" s="51">
        <v>43.61</v>
      </c>
      <c r="C14" s="51">
        <v>84.02</v>
      </c>
      <c r="D14" s="51">
        <v>81.34</v>
      </c>
      <c r="E14" s="51">
        <v>5.1100000000000003</v>
      </c>
      <c r="F14" s="51">
        <v>0.65</v>
      </c>
      <c r="G14" s="51">
        <v>55.84</v>
      </c>
      <c r="H14" s="51">
        <v>25.5</v>
      </c>
      <c r="I14" s="51">
        <v>0.84</v>
      </c>
      <c r="J14" s="51">
        <v>0.89</v>
      </c>
      <c r="K14" s="51">
        <v>113.89</v>
      </c>
      <c r="L14" s="51">
        <v>20.48</v>
      </c>
      <c r="M14" s="51">
        <v>56</v>
      </c>
      <c r="N14" s="51">
        <v>24.60</v>
      </c>
      <c r="O14" s="51">
        <v>0</v>
      </c>
      <c r="P14" s="51">
        <v>1.89</v>
      </c>
      <c r="Q14" s="51">
        <v>45.27</v>
      </c>
      <c r="R14" s="43"/>
      <c r="S14" s="43"/>
      <c r="T14" s="43"/>
      <c r="U14" s="43"/>
    </row>
    <row r="15" spans="1:21" s="11" customFormat="1" ht="15">
      <c r="A15" s="50" t="s">
        <v>428</v>
      </c>
      <c r="B15" s="51">
        <v>36.19</v>
      </c>
      <c r="C15" s="51">
        <v>78.790000000000006</v>
      </c>
      <c r="D15" s="51">
        <v>72.510000000000005</v>
      </c>
      <c r="E15" s="51">
        <v>5.25</v>
      </c>
      <c r="F15" s="51">
        <v>0.63</v>
      </c>
      <c r="G15" s="51">
        <v>55.84</v>
      </c>
      <c r="H15" s="51">
        <v>23.64</v>
      </c>
      <c r="I15" s="51">
        <v>0.71</v>
      </c>
      <c r="J15" s="51">
        <v>0.86</v>
      </c>
      <c r="K15" s="51">
        <v>114.54</v>
      </c>
      <c r="L15" s="51">
        <v>20.12</v>
      </c>
      <c r="M15" s="51">
        <v>58</v>
      </c>
      <c r="N15" s="51">
        <v>39</v>
      </c>
      <c r="O15" s="51">
        <v>0</v>
      </c>
      <c r="P15" s="51">
        <v>1.59</v>
      </c>
      <c r="Q15" s="51">
        <v>44.31</v>
      </c>
      <c r="R15" s="43"/>
      <c r="S15" s="43"/>
      <c r="T15" s="43"/>
      <c r="U15" s="43"/>
    </row>
    <row r="16" spans="1:21" s="11" customFormat="1" ht="15">
      <c r="A16" s="50" t="s">
        <v>429</v>
      </c>
      <c r="B16" s="51">
        <v>30.42</v>
      </c>
      <c r="C16" s="51">
        <v>74.69</v>
      </c>
      <c r="D16" s="51">
        <v>65.61</v>
      </c>
      <c r="E16" s="51">
        <v>4.9000000000000004</v>
      </c>
      <c r="F16" s="51">
        <v>0.72</v>
      </c>
      <c r="G16" s="51">
        <v>59.73</v>
      </c>
      <c r="H16" s="51">
        <v>20.63</v>
      </c>
      <c r="I16" s="51">
        <v>0.66</v>
      </c>
      <c r="J16" s="51">
        <v>1.19</v>
      </c>
      <c r="K16" s="51">
        <v>106.60</v>
      </c>
      <c r="L16" s="51">
        <v>21.98</v>
      </c>
      <c r="M16" s="51">
        <v>58</v>
      </c>
      <c r="N16" s="51">
        <v>194.90</v>
      </c>
      <c r="O16" s="51">
        <v>0</v>
      </c>
      <c r="P16" s="51">
        <v>1.36</v>
      </c>
      <c r="Q16" s="51">
        <v>45.40</v>
      </c>
      <c r="R16" s="43"/>
      <c r="S16" s="43"/>
      <c r="T16" s="43"/>
      <c r="U16" s="43"/>
    </row>
    <row r="17" spans="1:21" s="11" customFormat="1" ht="15">
      <c r="A17" s="50" t="s">
        <v>430</v>
      </c>
      <c r="B17" s="51">
        <v>24.74</v>
      </c>
      <c r="C17" s="51">
        <v>73.489999999999995</v>
      </c>
      <c r="D17" s="51">
        <v>60.38</v>
      </c>
      <c r="E17" s="51">
        <v>5.0199999999999996</v>
      </c>
      <c r="F17" s="51">
        <v>0.87</v>
      </c>
      <c r="G17" s="51">
        <v>59.73</v>
      </c>
      <c r="H17" s="51">
        <v>20.63</v>
      </c>
      <c r="I17" s="51">
        <v>0.56000000000000005</v>
      </c>
      <c r="J17" s="51">
        <v>1.29</v>
      </c>
      <c r="K17" s="51">
        <v>113.27</v>
      </c>
      <c r="L17" s="51">
        <v>24.91</v>
      </c>
      <c r="M17" s="51">
        <v>48</v>
      </c>
      <c r="N17" s="51">
        <v>309.20</v>
      </c>
      <c r="O17" s="51">
        <v>0</v>
      </c>
      <c r="P17" s="51">
        <v>1.21</v>
      </c>
      <c r="Q17" s="51">
        <v>44.17</v>
      </c>
      <c r="R17" s="43"/>
      <c r="S17" s="43"/>
      <c r="T17" s="43"/>
      <c r="U17" s="43"/>
    </row>
    <row r="18" spans="1:21" s="11" customFormat="1" ht="15">
      <c r="A18" s="50" t="s">
        <v>431</v>
      </c>
      <c r="B18" s="51">
        <v>20.63</v>
      </c>
      <c r="C18" s="51">
        <v>74.75</v>
      </c>
      <c r="D18" s="51">
        <v>57.67</v>
      </c>
      <c r="E18" s="51">
        <v>5.60</v>
      </c>
      <c r="F18" s="51">
        <v>0.86</v>
      </c>
      <c r="G18" s="51">
        <v>49.23</v>
      </c>
      <c r="H18" s="51">
        <v>21.45</v>
      </c>
      <c r="I18" s="51">
        <v>0.48</v>
      </c>
      <c r="J18" s="51">
        <v>1.68</v>
      </c>
      <c r="K18" s="51">
        <v>113.68</v>
      </c>
      <c r="L18" s="51">
        <v>27.06</v>
      </c>
      <c r="M18" s="51">
        <v>42</v>
      </c>
      <c r="N18" s="51">
        <v>368.80</v>
      </c>
      <c r="O18" s="51">
        <v>0</v>
      </c>
      <c r="P18" s="51">
        <v>1.08</v>
      </c>
      <c r="Q18" s="51">
        <v>41.84</v>
      </c>
      <c r="R18" s="43"/>
      <c r="S18" s="43"/>
      <c r="T18" s="43"/>
      <c r="U18" s="43"/>
    </row>
    <row r="19" spans="1:21" s="11" customFormat="1" ht="15">
      <c r="A19" s="50" t="s">
        <v>432</v>
      </c>
      <c r="B19" s="51">
        <v>17.54</v>
      </c>
      <c r="C19" s="51">
        <v>75.25</v>
      </c>
      <c r="D19" s="51">
        <v>54.66</v>
      </c>
      <c r="E19" s="51">
        <v>5.35</v>
      </c>
      <c r="F19" s="51">
        <v>1.29</v>
      </c>
      <c r="G19" s="51">
        <v>43.12</v>
      </c>
      <c r="H19" s="51">
        <v>21.45</v>
      </c>
      <c r="I19" s="51">
        <v>0.46</v>
      </c>
      <c r="J19" s="51">
        <v>1.62</v>
      </c>
      <c r="K19" s="51">
        <v>111.49</v>
      </c>
      <c r="L19" s="51">
        <v>29.36</v>
      </c>
      <c r="M19" s="51">
        <v>41</v>
      </c>
      <c r="N19" s="51">
        <v>407.5</v>
      </c>
      <c r="O19" s="51">
        <v>0</v>
      </c>
      <c r="P19" s="51">
        <v>0.96</v>
      </c>
      <c r="Q19" s="51">
        <v>43.29</v>
      </c>
      <c r="R19" s="43"/>
      <c r="S19" s="43"/>
      <c r="T19" s="43"/>
      <c r="U19" s="43"/>
    </row>
    <row r="20" spans="1:21" s="11" customFormat="1" ht="15">
      <c r="A20" s="50" t="s">
        <v>433</v>
      </c>
      <c r="B20" s="51">
        <v>13.39</v>
      </c>
      <c r="C20" s="51">
        <v>76.38</v>
      </c>
      <c r="D20" s="51">
        <v>52.89</v>
      </c>
      <c r="E20" s="51">
        <v>4.91</v>
      </c>
      <c r="F20" s="51">
        <v>1.43</v>
      </c>
      <c r="G20" s="51">
        <v>46.33</v>
      </c>
      <c r="H20" s="51">
        <v>22.66</v>
      </c>
      <c r="I20" s="51">
        <v>0.40</v>
      </c>
      <c r="J20" s="51">
        <v>1.24</v>
      </c>
      <c r="K20" s="51">
        <v>358.49</v>
      </c>
      <c r="L20" s="51">
        <v>32.119999999999997</v>
      </c>
      <c r="M20" s="51">
        <v>37</v>
      </c>
      <c r="N20" s="51">
        <v>412.60</v>
      </c>
      <c r="O20" s="51">
        <v>0</v>
      </c>
      <c r="P20" s="51">
        <v>0.88</v>
      </c>
      <c r="Q20" s="51">
        <v>43.24</v>
      </c>
      <c r="R20" s="43"/>
      <c r="S20" s="43"/>
      <c r="T20" s="43"/>
      <c r="U20" s="43"/>
    </row>
    <row r="21" spans="1:21" s="11" customFormat="1" ht="15">
      <c r="A21" s="50" t="s">
        <v>434</v>
      </c>
      <c r="B21" s="51">
        <v>10.210000000000001</v>
      </c>
      <c r="C21" s="51">
        <v>78.55</v>
      </c>
      <c r="D21" s="51">
        <v>51.53</v>
      </c>
      <c r="E21" s="51">
        <v>9.25</v>
      </c>
      <c r="F21" s="51">
        <v>3.98</v>
      </c>
      <c r="G21" s="51">
        <v>52.70</v>
      </c>
      <c r="H21" s="51">
        <v>22.66</v>
      </c>
      <c r="I21" s="51">
        <v>0.34</v>
      </c>
      <c r="J21" s="51">
        <v>1.1299999999999999</v>
      </c>
      <c r="K21" s="51">
        <v>106.36</v>
      </c>
      <c r="L21" s="51">
        <v>31.54</v>
      </c>
      <c r="M21" s="51">
        <v>37</v>
      </c>
      <c r="N21" s="51">
        <v>396.5</v>
      </c>
      <c r="O21" s="51">
        <v>0</v>
      </c>
      <c r="P21" s="51">
        <v>0.84</v>
      </c>
      <c r="Q21" s="51">
        <v>40.78</v>
      </c>
      <c r="R21" s="43"/>
      <c r="S21" s="43"/>
      <c r="T21" s="43"/>
      <c r="U21" s="43"/>
    </row>
    <row r="22" spans="1:21" s="11" customFormat="1" ht="15">
      <c r="A22" s="50" t="s">
        <v>435</v>
      </c>
      <c r="B22" s="51">
        <v>10.43</v>
      </c>
      <c r="C22" s="51">
        <v>76.22</v>
      </c>
      <c r="D22" s="51">
        <v>50.36</v>
      </c>
      <c r="E22" s="51">
        <v>10.07</v>
      </c>
      <c r="F22" s="51">
        <v>6.41</v>
      </c>
      <c r="G22" s="51">
        <v>54.23</v>
      </c>
      <c r="H22" s="51">
        <v>19.02</v>
      </c>
      <c r="I22" s="51">
        <v>0.33</v>
      </c>
      <c r="J22" s="51">
        <v>0.91</v>
      </c>
      <c r="K22" s="51">
        <v>98.77</v>
      </c>
      <c r="L22" s="51">
        <v>31.53</v>
      </c>
      <c r="M22" s="51">
        <v>36</v>
      </c>
      <c r="N22" s="51">
        <v>348.60</v>
      </c>
      <c r="O22" s="51">
        <v>0</v>
      </c>
      <c r="P22" s="51">
        <v>0.89</v>
      </c>
      <c r="Q22" s="51">
        <v>40.869999999999997</v>
      </c>
      <c r="R22" s="43"/>
      <c r="S22" s="43"/>
      <c r="T22" s="43"/>
      <c r="U22" s="43"/>
    </row>
    <row r="23" spans="1:21" s="11" customFormat="1" ht="15">
      <c r="A23" s="50" t="s">
        <v>436</v>
      </c>
      <c r="B23" s="51">
        <v>8.27</v>
      </c>
      <c r="C23" s="51">
        <v>78.63</v>
      </c>
      <c r="D23" s="51">
        <v>47.88</v>
      </c>
      <c r="E23" s="51">
        <v>8.60</v>
      </c>
      <c r="F23" s="51">
        <v>5.08</v>
      </c>
      <c r="G23" s="51">
        <v>54.23</v>
      </c>
      <c r="H23" s="51">
        <v>19.64</v>
      </c>
      <c r="I23" s="51">
        <v>0.35</v>
      </c>
      <c r="J23" s="51">
        <v>1.0900000000000001</v>
      </c>
      <c r="K23" s="51">
        <v>103.88</v>
      </c>
      <c r="L23" s="51">
        <v>31.77</v>
      </c>
      <c r="M23" s="51">
        <v>38</v>
      </c>
      <c r="N23" s="51">
        <v>296.80</v>
      </c>
      <c r="O23" s="51">
        <v>0</v>
      </c>
      <c r="P23" s="51">
        <v>0.96</v>
      </c>
      <c r="Q23" s="51">
        <v>43.22</v>
      </c>
      <c r="R23" s="43"/>
      <c r="S23" s="43"/>
      <c r="T23" s="43"/>
      <c r="U23" s="43"/>
    </row>
    <row r="24" spans="1:21" s="11" customFormat="1" ht="15">
      <c r="A24" s="50" t="s">
        <v>437</v>
      </c>
      <c r="B24" s="51">
        <v>5.32</v>
      </c>
      <c r="C24" s="51">
        <v>78.38</v>
      </c>
      <c r="D24" s="51">
        <v>47.12</v>
      </c>
      <c r="E24" s="51">
        <v>6.39</v>
      </c>
      <c r="F24" s="51">
        <v>4.54</v>
      </c>
      <c r="G24" s="51">
        <v>51.45</v>
      </c>
      <c r="H24" s="51">
        <v>19.670000000000002</v>
      </c>
      <c r="I24" s="51">
        <v>0.32</v>
      </c>
      <c r="J24" s="51">
        <v>1.24</v>
      </c>
      <c r="K24" s="51">
        <v>339.61</v>
      </c>
      <c r="L24" s="51">
        <v>29.96</v>
      </c>
      <c r="M24" s="51">
        <v>40</v>
      </c>
      <c r="N24" s="51">
        <v>199.5</v>
      </c>
      <c r="O24" s="51">
        <v>0</v>
      </c>
      <c r="P24" s="51">
        <v>0.98</v>
      </c>
      <c r="Q24" s="51">
        <v>42.88</v>
      </c>
      <c r="R24" s="43"/>
      <c r="S24" s="43"/>
      <c r="T24" s="43"/>
      <c r="U24" s="43"/>
    </row>
    <row r="25" spans="1:21" s="11" customFormat="1" ht="15">
      <c r="A25" s="50" t="s">
        <v>438</v>
      </c>
      <c r="B25" s="51">
        <v>9.76</v>
      </c>
      <c r="C25" s="51">
        <v>79.53</v>
      </c>
      <c r="D25" s="51">
        <v>51.72</v>
      </c>
      <c r="E25" s="51">
        <v>9.0399999999999991</v>
      </c>
      <c r="F25" s="51">
        <v>6.51</v>
      </c>
      <c r="G25" s="51">
        <v>51.45</v>
      </c>
      <c r="H25" s="51">
        <v>19.670000000000002</v>
      </c>
      <c r="I25" s="51">
        <v>0.31</v>
      </c>
      <c r="J25" s="51">
        <v>0.87</v>
      </c>
      <c r="K25" s="51">
        <v>352.62</v>
      </c>
      <c r="L25" s="51">
        <v>29.69</v>
      </c>
      <c r="M25" s="51">
        <v>44</v>
      </c>
      <c r="N25" s="51">
        <v>60.40</v>
      </c>
      <c r="O25" s="51">
        <v>0</v>
      </c>
      <c r="P25" s="51">
        <v>1.19</v>
      </c>
      <c r="Q25" s="51">
        <v>42.09</v>
      </c>
      <c r="R25" s="43"/>
      <c r="S25" s="43"/>
      <c r="T25" s="43"/>
      <c r="U25" s="43"/>
    </row>
    <row r="26" spans="1:21" s="11" customFormat="1" ht="15">
      <c r="A26" s="50" t="s">
        <v>439</v>
      </c>
      <c r="B26" s="51">
        <v>22.58</v>
      </c>
      <c r="C26" s="51">
        <v>94.75</v>
      </c>
      <c r="D26" s="51">
        <v>70.209999999999994</v>
      </c>
      <c r="E26" s="51">
        <v>9.49</v>
      </c>
      <c r="F26" s="51">
        <v>4.93</v>
      </c>
      <c r="G26" s="51">
        <v>74.11</v>
      </c>
      <c r="H26" s="51">
        <v>21.12</v>
      </c>
      <c r="I26" s="51">
        <v>0.40</v>
      </c>
      <c r="J26" s="51">
        <v>0.35</v>
      </c>
      <c r="K26" s="51">
        <v>359.20</v>
      </c>
      <c r="L26" s="51">
        <v>27.69</v>
      </c>
      <c r="M26" s="51">
        <v>54</v>
      </c>
      <c r="N26" s="51">
        <v>29.40</v>
      </c>
      <c r="O26" s="51">
        <v>0</v>
      </c>
      <c r="P26" s="51">
        <v>1.55</v>
      </c>
      <c r="Q26" s="51">
        <v>47.33</v>
      </c>
      <c r="R26" s="43"/>
      <c r="S26" s="43"/>
      <c r="T26" s="43"/>
      <c r="U26" s="43"/>
    </row>
    <row r="27" spans="1:21" s="11" customFormat="1" ht="15">
      <c r="A27" s="50" t="s">
        <v>440</v>
      </c>
      <c r="B27" s="51">
        <v>43.31</v>
      </c>
      <c r="C27" s="51">
        <v>103.94</v>
      </c>
      <c r="D27" s="51">
        <v>91.88</v>
      </c>
      <c r="E27" s="51">
        <v>5.31</v>
      </c>
      <c r="F27" s="51">
        <v>0.68</v>
      </c>
      <c r="G27" s="51">
        <v>97.31</v>
      </c>
      <c r="H27" s="51">
        <v>22.01</v>
      </c>
      <c r="I27" s="51">
        <v>0.55000000000000004</v>
      </c>
      <c r="J27" s="51">
        <v>0.24</v>
      </c>
      <c r="K27" s="51">
        <v>263.02999999999997</v>
      </c>
      <c r="L27" s="51">
        <v>25.37</v>
      </c>
      <c r="M27" s="51">
        <v>62</v>
      </c>
      <c r="N27" s="51">
        <v>24.60</v>
      </c>
      <c r="O27" s="51">
        <v>0</v>
      </c>
      <c r="P27" s="51">
        <v>2.1800000000000002</v>
      </c>
      <c r="Q27" s="51">
        <v>48.88</v>
      </c>
      <c r="R27" s="43"/>
      <c r="S27" s="43"/>
      <c r="T27" s="43"/>
      <c r="U27" s="43"/>
    </row>
    <row r="28" spans="1:21" s="11" customFormat="1" ht="15">
      <c r="A28" s="50" t="s">
        <v>441</v>
      </c>
      <c r="B28" s="51">
        <v>75.02</v>
      </c>
      <c r="C28" s="51">
        <v>125.10</v>
      </c>
      <c r="D28" s="51">
        <v>128.51</v>
      </c>
      <c r="E28" s="51">
        <v>6.41</v>
      </c>
      <c r="F28" s="51">
        <v>0.54</v>
      </c>
      <c r="G28" s="51">
        <v>156.34</v>
      </c>
      <c r="H28" s="51">
        <v>26.42</v>
      </c>
      <c r="I28" s="51">
        <v>0.95</v>
      </c>
      <c r="J28" s="51">
        <v>0.11</v>
      </c>
      <c r="K28" s="51">
        <v>92.87</v>
      </c>
      <c r="L28" s="51">
        <v>24.48</v>
      </c>
      <c r="M28" s="51">
        <v>64</v>
      </c>
      <c r="N28" s="51">
        <v>24.70</v>
      </c>
      <c r="O28" s="51">
        <v>0</v>
      </c>
      <c r="P28" s="51">
        <v>3.02</v>
      </c>
      <c r="Q28" s="51">
        <v>48.37</v>
      </c>
      <c r="R28" s="43"/>
      <c r="S28" s="43"/>
      <c r="T28" s="43"/>
      <c r="U28" s="43"/>
    </row>
    <row r="29" spans="1:21" s="11" customFormat="1" ht="15">
      <c r="A29" s="50" t="s">
        <v>442</v>
      </c>
      <c r="B29" s="51">
        <v>95.81</v>
      </c>
      <c r="C29" s="51">
        <v>123.60</v>
      </c>
      <c r="D29" s="51">
        <v>144.97</v>
      </c>
      <c r="E29" s="51">
        <v>5.77</v>
      </c>
      <c r="F29" s="51">
        <v>0.56000000000000005</v>
      </c>
      <c r="G29" s="51">
        <v>156.34</v>
      </c>
      <c r="H29" s="51">
        <v>28.53</v>
      </c>
      <c r="I29" s="51">
        <v>1.31</v>
      </c>
      <c r="J29" s="51">
        <v>0.17</v>
      </c>
      <c r="K29" s="51">
        <v>354.03</v>
      </c>
      <c r="L29" s="51">
        <v>23.97</v>
      </c>
      <c r="M29" s="51">
        <v>70</v>
      </c>
      <c r="N29" s="51">
        <v>24.60</v>
      </c>
      <c r="O29" s="51">
        <v>0</v>
      </c>
      <c r="P29" s="51">
        <v>3.65</v>
      </c>
      <c r="Q29" s="51">
        <v>50.01</v>
      </c>
      <c r="R29" s="43"/>
      <c r="S29" s="43"/>
      <c r="T29" s="43"/>
      <c r="U29" s="43"/>
    </row>
    <row r="30" spans="1:21" s="11" customFormat="1" ht="15">
      <c r="A30" s="50" t="s">
        <v>443</v>
      </c>
      <c r="B30" s="51">
        <v>120.19</v>
      </c>
      <c r="C30" s="51">
        <v>124.49</v>
      </c>
      <c r="D30" s="51">
        <v>165.09</v>
      </c>
      <c r="E30" s="51">
        <v>5.32</v>
      </c>
      <c r="F30" s="51">
        <v>0.56000000000000005</v>
      </c>
      <c r="G30" s="51">
        <v>198.47</v>
      </c>
      <c r="H30" s="51">
        <v>32.049999999999997</v>
      </c>
      <c r="I30" s="51">
        <v>1.56</v>
      </c>
      <c r="J30" s="51">
        <v>0.11</v>
      </c>
      <c r="K30" s="51">
        <v>336.29</v>
      </c>
      <c r="L30" s="51">
        <v>23.02</v>
      </c>
      <c r="M30" s="51">
        <v>71</v>
      </c>
      <c r="N30" s="51">
        <v>24.60</v>
      </c>
      <c r="O30" s="51">
        <v>0</v>
      </c>
      <c r="P30" s="51">
        <v>4.22</v>
      </c>
      <c r="Q30" s="51">
        <v>55.98</v>
      </c>
      <c r="R30" s="43"/>
      <c r="S30" s="43"/>
      <c r="T30" s="43"/>
      <c r="U30" s="43"/>
    </row>
    <row r="31" spans="1:21" s="11" customFormat="1" ht="15">
      <c r="A31" s="50" t="s">
        <v>444</v>
      </c>
      <c r="B31" s="51">
        <v>143.5</v>
      </c>
      <c r="C31" s="51">
        <v>132.07</v>
      </c>
      <c r="D31" s="51">
        <v>187.96</v>
      </c>
      <c r="E31" s="51">
        <v>5.99</v>
      </c>
      <c r="F31" s="51">
        <v>0.52</v>
      </c>
      <c r="G31" s="51">
        <v>198.47</v>
      </c>
      <c r="H31" s="51">
        <v>34.22</v>
      </c>
      <c r="I31" s="51">
        <v>1.87</v>
      </c>
      <c r="J31" s="51">
        <v>0.30</v>
      </c>
      <c r="K31" s="51">
        <v>56.80</v>
      </c>
      <c r="L31" s="51">
        <v>23.34</v>
      </c>
      <c r="M31" s="51">
        <v>71</v>
      </c>
      <c r="N31" s="51">
        <v>24.40</v>
      </c>
      <c r="O31" s="51">
        <v>0</v>
      </c>
      <c r="P31" s="51">
        <v>4.6500000000000004</v>
      </c>
      <c r="Q31" s="51">
        <v>57.03</v>
      </c>
      <c r="R31" s="43"/>
      <c r="S31" s="43"/>
      <c r="T31" s="43"/>
      <c r="U31" s="43"/>
    </row>
    <row r="32" spans="1:21" s="11" customFormat="1" ht="15">
      <c r="A32" s="50" t="s">
        <v>445</v>
      </c>
      <c r="B32" s="51">
        <v>129.55000000000001</v>
      </c>
      <c r="C32" s="51">
        <v>122.11</v>
      </c>
      <c r="D32" s="51">
        <v>171.28</v>
      </c>
      <c r="E32" s="51">
        <v>5.93</v>
      </c>
      <c r="F32" s="51">
        <v>0.88</v>
      </c>
      <c r="G32" s="51">
        <v>177.54</v>
      </c>
      <c r="H32" s="51">
        <v>34.22</v>
      </c>
      <c r="I32" s="51">
        <v>1.90</v>
      </c>
      <c r="J32" s="51">
        <v>0.45</v>
      </c>
      <c r="K32" s="51">
        <v>78.47</v>
      </c>
      <c r="L32" s="51">
        <v>23.48</v>
      </c>
      <c r="M32" s="51">
        <v>56</v>
      </c>
      <c r="N32" s="51">
        <v>24.5</v>
      </c>
      <c r="O32" s="51">
        <v>0</v>
      </c>
      <c r="P32" s="51">
        <v>4.2699999999999996</v>
      </c>
      <c r="Q32" s="51">
        <v>55.5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5.3200000000000003</v>
      </c>
      <c r="C34" s="28">
        <f t="shared" si="0"/>
        <v>73.489999999999995</v>
      </c>
      <c r="D34" s="28">
        <f t="shared" si="0"/>
        <v>47.119999999999997</v>
      </c>
      <c r="E34" s="28">
        <f t="shared" si="0"/>
        <v>4.9000000000000004</v>
      </c>
      <c r="F34" s="28">
        <f t="shared" si="0"/>
        <v>0.51000000000000001</v>
      </c>
      <c r="G34" s="28">
        <f t="shared" si="0"/>
        <v>43.119999999999997</v>
      </c>
      <c r="H34" s="28">
        <f t="shared" si="0"/>
        <v>19.02</v>
      </c>
      <c r="I34" s="28">
        <f t="shared" si="0"/>
        <v>0.31</v>
      </c>
      <c r="J34" s="28">
        <f t="shared" si="0"/>
        <v>0.11</v>
      </c>
      <c r="K34" s="28">
        <f t="shared" si="0"/>
        <v>56.799999999999997</v>
      </c>
      <c r="L34" s="28">
        <f t="shared" si="0"/>
        <v>20.120000000000001</v>
      </c>
      <c r="M34" s="28">
        <f t="shared" si="0"/>
        <v>36</v>
      </c>
      <c r="N34" s="28">
        <f t="shared" si="0"/>
        <v>24.399999999999999</v>
      </c>
      <c r="O34" s="28">
        <f t="shared" si="0"/>
        <v>0</v>
      </c>
      <c r="P34" s="28">
        <f t="shared" si="0"/>
        <v>0.83999999999999997</v>
      </c>
      <c r="Q34" s="28">
        <f t="shared" si="0"/>
        <v>40.780000000000001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149.38999999999999</v>
      </c>
      <c r="C35" s="29">
        <f t="shared" si="1"/>
        <v>132.06999999999999</v>
      </c>
      <c r="D35" s="29">
        <f t="shared" si="1"/>
        <v>191.97999999999999</v>
      </c>
      <c r="E35" s="29">
        <f t="shared" si="1"/>
        <v>10.07</v>
      </c>
      <c r="F35" s="29">
        <f t="shared" si="1"/>
        <v>6.5099999999999998</v>
      </c>
      <c r="G35" s="29">
        <f t="shared" si="1"/>
        <v>198.47</v>
      </c>
      <c r="H35" s="29">
        <f t="shared" si="1"/>
        <v>46.909999999999997</v>
      </c>
      <c r="I35" s="29">
        <f t="shared" si="1"/>
        <v>1.97</v>
      </c>
      <c r="J35" s="29">
        <f t="shared" si="1"/>
        <v>1.6799999999999999</v>
      </c>
      <c r="K35" s="29">
        <f t="shared" si="1"/>
        <v>359.19999999999999</v>
      </c>
      <c r="L35" s="29">
        <f t="shared" si="1"/>
        <v>32.119999999999997</v>
      </c>
      <c r="M35" s="29">
        <f t="shared" si="1"/>
        <v>71</v>
      </c>
      <c r="N35" s="29">
        <f t="shared" si="1"/>
        <v>412.60000000000002</v>
      </c>
      <c r="O35" s="29">
        <f t="shared" si="1"/>
        <v>0</v>
      </c>
      <c r="P35" s="29">
        <f t="shared" si="1"/>
        <v>4.6500000000000004</v>
      </c>
      <c r="Q35" s="29">
        <f t="shared" si="1"/>
        <v>59.219999999999999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57.029166666666661</v>
      </c>
      <c r="C36" s="28">
        <f t="shared" si="2"/>
        <v>96.277083333333337</v>
      </c>
      <c r="D36" s="28">
        <f t="shared" si="2"/>
        <v>98.663750000000007</v>
      </c>
      <c r="E36" s="28">
        <f t="shared" si="2"/>
        <v>6.3120833333333346</v>
      </c>
      <c r="F36" s="28">
        <f t="shared" si="2"/>
        <v>1.8491666666666671</v>
      </c>
      <c r="G36" s="28">
        <f t="shared" si="2"/>
        <v>93.528750000000002</v>
      </c>
      <c r="H36" s="28">
        <f t="shared" si="2"/>
        <v>27.935833333333331</v>
      </c>
      <c r="I36" s="28">
        <f t="shared" si="2"/>
        <v>0.91541666666666666</v>
      </c>
      <c r="J36" s="28">
        <f t="shared" si="2"/>
        <v>0.71166666666666656</v>
      </c>
      <c r="K36" s="28">
        <f t="shared" si="2"/>
        <v>193.92666666666665</v>
      </c>
      <c r="L36" s="28">
        <f t="shared" si="2"/>
        <v>25.342083333333335</v>
      </c>
      <c r="M36" s="28">
        <f t="shared" si="2"/>
        <v>54</v>
      </c>
      <c r="N36" s="28">
        <f t="shared" si="2"/>
        <v>139.91249999999999</v>
      </c>
      <c r="O36" s="28">
        <f t="shared" si="2"/>
        <v>0</v>
      </c>
      <c r="P36" s="28">
        <f t="shared" si="2"/>
        <v>2.2916666666666665</v>
      </c>
      <c r="Q36" s="28">
        <f t="shared" si="2"/>
        <v>47.782916666666665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48.288251331630008</v>
      </c>
      <c r="C37" s="28">
        <f t="shared" si="3" ref="C37:Q37">STDEV(C9:C32)</f>
        <v>21.757946370317743</v>
      </c>
      <c r="D37" s="28">
        <f t="shared" si="3"/>
        <v>50.234320141798413</v>
      </c>
      <c r="E37" s="28">
        <f t="shared" si="3"/>
        <v>1.6258027560098622</v>
      </c>
      <c r="F37" s="28">
        <f t="shared" si="3"/>
        <v>2.068830622580673</v>
      </c>
      <c r="G37" s="28">
        <f t="shared" si="3"/>
        <v>52.286002059949503</v>
      </c>
      <c r="H37" s="28">
        <f t="shared" si="3"/>
        <v>9.3128872451340143</v>
      </c>
      <c r="I37" s="28">
        <f t="shared" si="3"/>
        <v>0.58301300728771632</v>
      </c>
      <c r="J37" s="28">
        <f t="shared" si="3"/>
        <v>0.50958351849215133</v>
      </c>
      <c r="K37" s="28">
        <f t="shared" si="3"/>
        <v>117.62494469496148</v>
      </c>
      <c r="L37" s="28">
        <f t="shared" si="3"/>
        <v>4.1226974908970861</v>
      </c>
      <c r="M37" s="28">
        <f t="shared" si="3"/>
        <v>12.378101280258932</v>
      </c>
      <c r="N37" s="28">
        <f t="shared" si="3"/>
        <v>155.47719618197615</v>
      </c>
      <c r="O37" s="28">
        <f t="shared" si="3"/>
        <v>0</v>
      </c>
      <c r="P37" s="28">
        <f t="shared" si="3"/>
        <v>1.3624870694772679</v>
      </c>
      <c r="Q37" s="28">
        <f t="shared" si="3"/>
        <v>5.584403342202747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3813dd0-2997-4811-b6b5-a853ab18e80e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22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446</v>
      </c>
      <c r="B9" s="51">
        <v>106.59</v>
      </c>
      <c r="C9" s="51">
        <v>110.53</v>
      </c>
      <c r="D9" s="51">
        <v>146.47999999999999</v>
      </c>
      <c r="E9" s="51">
        <v>5.98</v>
      </c>
      <c r="F9" s="51">
        <v>0.68</v>
      </c>
      <c r="G9" s="51">
        <v>65.680000000000007</v>
      </c>
      <c r="H9" s="51">
        <v>29.88</v>
      </c>
      <c r="I9" s="51">
        <v>1.62</v>
      </c>
      <c r="J9" s="51">
        <v>0.27</v>
      </c>
      <c r="K9" s="51">
        <v>358.76</v>
      </c>
      <c r="L9" s="51">
        <v>22.72</v>
      </c>
      <c r="M9" s="51">
        <v>57</v>
      </c>
      <c r="N9" s="51">
        <v>24.40</v>
      </c>
      <c r="O9" s="51">
        <v>0</v>
      </c>
      <c r="P9" s="51">
        <v>3.60</v>
      </c>
      <c r="Q9" s="51">
        <v>54.04</v>
      </c>
      <c r="R9" s="43"/>
      <c r="S9" s="43"/>
      <c r="T9" s="43"/>
      <c r="U9" s="43"/>
    </row>
    <row r="10" spans="1:21" s="11" customFormat="1" ht="15">
      <c r="A10" s="50" t="s">
        <v>447</v>
      </c>
      <c r="B10" s="51">
        <v>86.20</v>
      </c>
      <c r="C10" s="51">
        <v>101.92</v>
      </c>
      <c r="D10" s="51">
        <v>125.38</v>
      </c>
      <c r="E10" s="51">
        <v>5.90</v>
      </c>
      <c r="F10" s="51">
        <v>0.54</v>
      </c>
      <c r="G10" s="51">
        <v>65.680000000000007</v>
      </c>
      <c r="H10" s="51">
        <v>25.47</v>
      </c>
      <c r="I10" s="51">
        <v>1.37</v>
      </c>
      <c r="J10" s="51">
        <v>0.35</v>
      </c>
      <c r="K10" s="51">
        <v>68.349999999999994</v>
      </c>
      <c r="L10" s="51">
        <v>21.88</v>
      </c>
      <c r="M10" s="51">
        <v>61</v>
      </c>
      <c r="N10" s="51">
        <v>24.40</v>
      </c>
      <c r="O10" s="51">
        <v>0</v>
      </c>
      <c r="P10" s="51">
        <v>2.87</v>
      </c>
      <c r="Q10" s="51">
        <v>53.71</v>
      </c>
      <c r="R10" s="43"/>
      <c r="S10" s="43"/>
      <c r="T10" s="43"/>
      <c r="U10" s="43"/>
    </row>
    <row r="11" spans="1:21" s="11" customFormat="1" ht="15">
      <c r="A11" s="50" t="s">
        <v>448</v>
      </c>
      <c r="B11" s="51">
        <v>62.22</v>
      </c>
      <c r="C11" s="51">
        <v>91.46</v>
      </c>
      <c r="D11" s="51">
        <v>100.37</v>
      </c>
      <c r="E11" s="51">
        <v>5.37</v>
      </c>
      <c r="F11" s="51">
        <v>0.52</v>
      </c>
      <c r="G11" s="51">
        <v>47.12</v>
      </c>
      <c r="H11" s="51">
        <v>22.27</v>
      </c>
      <c r="I11" s="51">
        <v>1.01</v>
      </c>
      <c r="J11" s="51">
        <v>0.62</v>
      </c>
      <c r="K11" s="51">
        <v>63.33</v>
      </c>
      <c r="L11" s="51">
        <v>21.20</v>
      </c>
      <c r="M11" s="51">
        <v>61</v>
      </c>
      <c r="N11" s="51">
        <v>24.40</v>
      </c>
      <c r="O11" s="51">
        <v>0</v>
      </c>
      <c r="P11" s="51">
        <v>2.31</v>
      </c>
      <c r="Q11" s="51">
        <v>49.96</v>
      </c>
      <c r="R11" s="43"/>
      <c r="S11" s="43"/>
      <c r="T11" s="43"/>
      <c r="U11" s="43"/>
    </row>
    <row r="12" spans="1:21" s="11" customFormat="1" ht="15">
      <c r="A12" s="50" t="s">
        <v>449</v>
      </c>
      <c r="B12" s="51">
        <v>43.21</v>
      </c>
      <c r="C12" s="51">
        <v>80.53</v>
      </c>
      <c r="D12" s="51">
        <v>79.09</v>
      </c>
      <c r="E12" s="51">
        <v>5.73</v>
      </c>
      <c r="F12" s="51">
        <v>0.77</v>
      </c>
      <c r="G12" s="51">
        <v>111.88</v>
      </c>
      <c r="H12" s="51">
        <v>20.74</v>
      </c>
      <c r="I12" s="51">
        <v>0.79</v>
      </c>
      <c r="J12" s="51">
        <v>0.82</v>
      </c>
      <c r="K12" s="51">
        <v>6.96</v>
      </c>
      <c r="L12" s="51">
        <v>20.69</v>
      </c>
      <c r="M12" s="51">
        <v>62</v>
      </c>
      <c r="N12" s="51">
        <v>24.40</v>
      </c>
      <c r="O12" s="51">
        <v>0</v>
      </c>
      <c r="P12" s="51">
        <v>1.83</v>
      </c>
      <c r="Q12" s="51">
        <v>45.63</v>
      </c>
      <c r="R12" s="43"/>
      <c r="S12" s="43"/>
      <c r="T12" s="43"/>
      <c r="U12" s="43"/>
    </row>
    <row r="13" spans="1:21" s="11" customFormat="1" ht="15">
      <c r="A13" s="50" t="s">
        <v>450</v>
      </c>
      <c r="B13" s="51">
        <v>32.29</v>
      </c>
      <c r="C13" s="51">
        <v>77.040000000000006</v>
      </c>
      <c r="D13" s="51">
        <v>68.41</v>
      </c>
      <c r="E13" s="51">
        <v>6.07</v>
      </c>
      <c r="F13" s="51">
        <v>0.76</v>
      </c>
      <c r="G13" s="51">
        <v>111.88</v>
      </c>
      <c r="H13" s="51">
        <v>16.420000000000002</v>
      </c>
      <c r="I13" s="51">
        <v>0.67</v>
      </c>
      <c r="J13" s="51">
        <v>0.89</v>
      </c>
      <c r="K13" s="51">
        <v>7.98</v>
      </c>
      <c r="L13" s="51">
        <v>19.95</v>
      </c>
      <c r="M13" s="51">
        <v>59</v>
      </c>
      <c r="N13" s="51">
        <v>24.20</v>
      </c>
      <c r="O13" s="51">
        <v>0</v>
      </c>
      <c r="P13" s="51">
        <v>1.48</v>
      </c>
      <c r="Q13" s="51">
        <v>44.44</v>
      </c>
      <c r="R13" s="43"/>
      <c r="S13" s="43"/>
      <c r="T13" s="43"/>
      <c r="U13" s="43"/>
    </row>
    <row r="14" spans="1:21" s="11" customFormat="1" ht="15">
      <c r="A14" s="50" t="s">
        <v>451</v>
      </c>
      <c r="B14" s="51">
        <v>23.38</v>
      </c>
      <c r="C14" s="51">
        <v>73.91</v>
      </c>
      <c r="D14" s="51">
        <v>59.54</v>
      </c>
      <c r="E14" s="51">
        <v>5.49</v>
      </c>
      <c r="F14" s="51">
        <v>0.86</v>
      </c>
      <c r="G14" s="51">
        <v>52.72</v>
      </c>
      <c r="H14" s="51">
        <v>16.420000000000002</v>
      </c>
      <c r="I14" s="51">
        <v>0.56000000000000005</v>
      </c>
      <c r="J14" s="51">
        <v>0.51</v>
      </c>
      <c r="K14" s="51">
        <v>7.33</v>
      </c>
      <c r="L14" s="51">
        <v>19.34</v>
      </c>
      <c r="M14" s="51">
        <v>57</v>
      </c>
      <c r="N14" s="51">
        <v>24.10</v>
      </c>
      <c r="O14" s="51">
        <v>0</v>
      </c>
      <c r="P14" s="51">
        <v>1.19</v>
      </c>
      <c r="Q14" s="51">
        <v>42.63</v>
      </c>
      <c r="R14" s="43"/>
      <c r="S14" s="43"/>
      <c r="T14" s="43"/>
      <c r="U14" s="43"/>
    </row>
    <row r="15" spans="1:21" s="11" customFormat="1" ht="15">
      <c r="A15" s="50" t="s">
        <v>452</v>
      </c>
      <c r="B15" s="51">
        <v>21.88</v>
      </c>
      <c r="C15" s="51">
        <v>73.150000000000006</v>
      </c>
      <c r="D15" s="51">
        <v>57.91</v>
      </c>
      <c r="E15" s="51">
        <v>5.75</v>
      </c>
      <c r="F15" s="51">
        <v>0.78</v>
      </c>
      <c r="G15" s="51">
        <v>49.99</v>
      </c>
      <c r="H15" s="51">
        <v>17.239999999999998</v>
      </c>
      <c r="I15" s="51">
        <v>0.44</v>
      </c>
      <c r="J15" s="51">
        <v>0.59</v>
      </c>
      <c r="K15" s="51">
        <v>26.62</v>
      </c>
      <c r="L15" s="51">
        <v>18.89</v>
      </c>
      <c r="M15" s="51">
        <v>61</v>
      </c>
      <c r="N15" s="51">
        <v>37.10</v>
      </c>
      <c r="O15" s="51">
        <v>0</v>
      </c>
      <c r="P15" s="51">
        <v>1.18</v>
      </c>
      <c r="Q15" s="51">
        <v>39.450000000000003</v>
      </c>
      <c r="R15" s="43"/>
      <c r="S15" s="43"/>
      <c r="T15" s="43"/>
      <c r="U15" s="43"/>
    </row>
    <row r="16" spans="1:21" s="11" customFormat="1" ht="15">
      <c r="A16" s="50" t="s">
        <v>453</v>
      </c>
      <c r="B16" s="51">
        <v>22.33</v>
      </c>
      <c r="C16" s="51">
        <v>73.44</v>
      </c>
      <c r="D16" s="51">
        <v>58.44</v>
      </c>
      <c r="E16" s="51">
        <v>5.85</v>
      </c>
      <c r="F16" s="51">
        <v>0.71</v>
      </c>
      <c r="G16" s="51">
        <v>49.99</v>
      </c>
      <c r="H16" s="51">
        <v>17.239999999999998</v>
      </c>
      <c r="I16" s="51">
        <v>0.42</v>
      </c>
      <c r="J16" s="51">
        <v>0.43</v>
      </c>
      <c r="K16" s="51">
        <v>77.150000000000006</v>
      </c>
      <c r="L16" s="51">
        <v>21.5</v>
      </c>
      <c r="M16" s="51">
        <v>59</v>
      </c>
      <c r="N16" s="51">
        <v>229.40</v>
      </c>
      <c r="O16" s="51">
        <v>0</v>
      </c>
      <c r="P16" s="51">
        <v>1.21</v>
      </c>
      <c r="Q16" s="51">
        <v>39.450000000000003</v>
      </c>
      <c r="R16" s="43"/>
      <c r="S16" s="43"/>
      <c r="T16" s="43"/>
      <c r="U16" s="43"/>
    </row>
    <row r="17" spans="1:21" s="11" customFormat="1" ht="15">
      <c r="A17" s="50" t="s">
        <v>454</v>
      </c>
      <c r="B17" s="51">
        <v>22.62</v>
      </c>
      <c r="C17" s="51">
        <v>76.62</v>
      </c>
      <c r="D17" s="51">
        <v>60.10</v>
      </c>
      <c r="E17" s="51">
        <v>4.21</v>
      </c>
      <c r="F17" s="51">
        <v>0.96</v>
      </c>
      <c r="G17" s="51">
        <v>66.05</v>
      </c>
      <c r="H17" s="51">
        <v>16.91</v>
      </c>
      <c r="I17" s="51">
        <v>0.42</v>
      </c>
      <c r="J17" s="51">
        <v>1.25</v>
      </c>
      <c r="K17" s="51">
        <v>4.6100000000000003</v>
      </c>
      <c r="L17" s="51">
        <v>28.14</v>
      </c>
      <c r="M17" s="51">
        <v>44</v>
      </c>
      <c r="N17" s="51">
        <v>350.20</v>
      </c>
      <c r="O17" s="51">
        <v>0</v>
      </c>
      <c r="P17" s="51">
        <v>1.1599999999999999</v>
      </c>
      <c r="Q17" s="51">
        <v>40.99</v>
      </c>
      <c r="R17" s="43"/>
      <c r="S17" s="43"/>
      <c r="T17" s="43"/>
      <c r="U17" s="43"/>
    </row>
    <row r="18" spans="1:21" s="11" customFormat="1" ht="15">
      <c r="A18" s="50" t="s">
        <v>455</v>
      </c>
      <c r="B18" s="51">
        <v>17</v>
      </c>
      <c r="C18" s="51">
        <v>77.33</v>
      </c>
      <c r="D18" s="51">
        <v>56.08</v>
      </c>
      <c r="E18" s="51">
        <v>3.86</v>
      </c>
      <c r="F18" s="51">
        <v>2.02</v>
      </c>
      <c r="G18" s="51">
        <v>66.05</v>
      </c>
      <c r="H18" s="51">
        <v>17.71</v>
      </c>
      <c r="I18" s="51">
        <v>0.38</v>
      </c>
      <c r="J18" s="51">
        <v>1.08</v>
      </c>
      <c r="K18" s="51">
        <v>14.65</v>
      </c>
      <c r="L18" s="51">
        <v>28.92</v>
      </c>
      <c r="M18" s="51">
        <v>38</v>
      </c>
      <c r="N18" s="51">
        <v>400.5</v>
      </c>
      <c r="O18" s="51">
        <v>0</v>
      </c>
      <c r="P18" s="51">
        <v>1.07</v>
      </c>
      <c r="Q18" s="51">
        <v>38.64</v>
      </c>
      <c r="R18" s="43"/>
      <c r="S18" s="43"/>
      <c r="T18" s="43"/>
      <c r="U18" s="43"/>
    </row>
    <row r="19" spans="1:21" s="11" customFormat="1" ht="15">
      <c r="A19" s="50" t="s">
        <v>456</v>
      </c>
      <c r="B19" s="51">
        <v>10.42</v>
      </c>
      <c r="C19" s="51">
        <v>84.70</v>
      </c>
      <c r="D19" s="51">
        <v>52.70</v>
      </c>
      <c r="E19" s="51">
        <v>16.32</v>
      </c>
      <c r="F19" s="51">
        <v>7.93</v>
      </c>
      <c r="G19" s="57" t="s">
        <v>15</v>
      </c>
      <c r="H19" s="57" t="s">
        <v>15</v>
      </c>
      <c r="I19" s="51">
        <v>0.34</v>
      </c>
      <c r="J19" s="51">
        <v>1.05</v>
      </c>
      <c r="K19" s="51">
        <v>14.12</v>
      </c>
      <c r="L19" s="51">
        <v>31.18</v>
      </c>
      <c r="M19" s="51">
        <v>29</v>
      </c>
      <c r="N19" s="51">
        <v>423.30</v>
      </c>
      <c r="O19" s="51">
        <v>0</v>
      </c>
      <c r="P19" s="51">
        <v>1.1100000000000001</v>
      </c>
      <c r="Q19" s="51">
        <v>36.090000000000003</v>
      </c>
      <c r="R19" s="43"/>
      <c r="S19" s="43"/>
      <c r="T19" s="43"/>
      <c r="U19" s="43"/>
    </row>
    <row r="20" spans="1:21" s="11" customFormat="1" ht="15">
      <c r="A20" s="50" t="s">
        <v>457</v>
      </c>
      <c r="B20" s="51">
        <v>8.6300000000000008</v>
      </c>
      <c r="C20" s="51">
        <v>92.10</v>
      </c>
      <c r="D20" s="51">
        <v>56</v>
      </c>
      <c r="E20" s="51">
        <v>26.63</v>
      </c>
      <c r="F20" s="51">
        <v>10.58</v>
      </c>
      <c r="G20" s="51">
        <v>71.790000000000006</v>
      </c>
      <c r="H20" s="51">
        <v>28.17</v>
      </c>
      <c r="I20" s="51">
        <v>0.33</v>
      </c>
      <c r="J20" s="51">
        <v>0.93</v>
      </c>
      <c r="K20" s="51">
        <v>124.09</v>
      </c>
      <c r="L20" s="51">
        <v>31.21</v>
      </c>
      <c r="M20" s="51">
        <v>28</v>
      </c>
      <c r="N20" s="51">
        <v>413</v>
      </c>
      <c r="O20" s="51">
        <v>0</v>
      </c>
      <c r="P20" s="51">
        <v>1.22</v>
      </c>
      <c r="Q20" s="51">
        <v>30.68</v>
      </c>
      <c r="R20" s="43"/>
      <c r="S20" s="43"/>
      <c r="T20" s="43"/>
      <c r="U20" s="43"/>
    </row>
    <row r="21" spans="1:21" s="11" customFormat="1" ht="15">
      <c r="A21" s="50" t="s">
        <v>458</v>
      </c>
      <c r="B21" s="51">
        <v>5.07</v>
      </c>
      <c r="C21" s="51">
        <v>88.48</v>
      </c>
      <c r="D21" s="51">
        <v>52.76</v>
      </c>
      <c r="E21" s="51">
        <v>10.93</v>
      </c>
      <c r="F21" s="51">
        <v>5.70</v>
      </c>
      <c r="G21" s="51">
        <v>142.55000000000001</v>
      </c>
      <c r="H21" s="51">
        <v>31.55</v>
      </c>
      <c r="I21" s="51">
        <v>0.26</v>
      </c>
      <c r="J21" s="51">
        <v>0.70</v>
      </c>
      <c r="K21" s="51">
        <v>78.349999999999994</v>
      </c>
      <c r="L21" s="51">
        <v>31.98</v>
      </c>
      <c r="M21" s="51">
        <v>30</v>
      </c>
      <c r="N21" s="51">
        <v>396.5</v>
      </c>
      <c r="O21" s="51">
        <v>0</v>
      </c>
      <c r="P21" s="51">
        <v>1.18</v>
      </c>
      <c r="Q21" s="51">
        <v>30.11</v>
      </c>
      <c r="R21" s="43"/>
      <c r="S21" s="43"/>
      <c r="T21" s="43"/>
      <c r="U21" s="43"/>
    </row>
    <row r="22" spans="1:21" s="11" customFormat="1" ht="15">
      <c r="A22" s="50" t="s">
        <v>459</v>
      </c>
      <c r="B22" s="51">
        <v>6.19</v>
      </c>
      <c r="C22" s="51">
        <v>89.73</v>
      </c>
      <c r="D22" s="51">
        <v>54.48</v>
      </c>
      <c r="E22" s="51">
        <v>11.02</v>
      </c>
      <c r="F22" s="51">
        <v>6.91</v>
      </c>
      <c r="G22" s="51">
        <v>142.55000000000001</v>
      </c>
      <c r="H22" s="51">
        <v>31.96</v>
      </c>
      <c r="I22" s="51">
        <v>0.22</v>
      </c>
      <c r="J22" s="51">
        <v>0.99</v>
      </c>
      <c r="K22" s="51">
        <v>358.52</v>
      </c>
      <c r="L22" s="51">
        <v>32.31</v>
      </c>
      <c r="M22" s="51">
        <v>23</v>
      </c>
      <c r="N22" s="51">
        <v>345.90</v>
      </c>
      <c r="O22" s="51">
        <v>0</v>
      </c>
      <c r="P22" s="51">
        <v>1.1399999999999999</v>
      </c>
      <c r="Q22" s="51">
        <v>29.59</v>
      </c>
      <c r="R22" s="43"/>
      <c r="S22" s="43"/>
      <c r="T22" s="43"/>
      <c r="U22" s="43"/>
    </row>
    <row r="23" spans="1:21" s="11" customFormat="1" ht="15">
      <c r="A23" s="50" t="s">
        <v>460</v>
      </c>
      <c r="B23" s="51">
        <v>8.14</v>
      </c>
      <c r="C23" s="51">
        <v>96.13</v>
      </c>
      <c r="D23" s="51">
        <v>59.06</v>
      </c>
      <c r="E23" s="51">
        <v>12.81</v>
      </c>
      <c r="F23" s="51">
        <v>9.59</v>
      </c>
      <c r="G23" s="57" t="s">
        <v>15</v>
      </c>
      <c r="H23" s="57" t="s">
        <v>15</v>
      </c>
      <c r="I23" s="51">
        <v>0.22</v>
      </c>
      <c r="J23" s="51">
        <v>1.42</v>
      </c>
      <c r="K23" s="51">
        <v>354.80</v>
      </c>
      <c r="L23" s="51">
        <v>32.549999999999997</v>
      </c>
      <c r="M23" s="51">
        <v>19</v>
      </c>
      <c r="N23" s="51">
        <v>322.70</v>
      </c>
      <c r="O23" s="51">
        <v>0</v>
      </c>
      <c r="P23" s="51">
        <v>1.06</v>
      </c>
      <c r="Q23" s="51">
        <v>28.51</v>
      </c>
      <c r="R23" s="43"/>
      <c r="S23" s="43"/>
      <c r="T23" s="43"/>
      <c r="U23" s="43"/>
    </row>
    <row r="24" spans="1:21" s="11" customFormat="1" ht="15">
      <c r="A24" s="50" t="s">
        <v>461</v>
      </c>
      <c r="B24" s="51">
        <v>9.59</v>
      </c>
      <c r="C24" s="51">
        <v>89.64</v>
      </c>
      <c r="D24" s="51">
        <v>55.29</v>
      </c>
      <c r="E24" s="51">
        <v>12.49</v>
      </c>
      <c r="F24" s="51">
        <v>11.32</v>
      </c>
      <c r="G24" s="57" t="s">
        <v>15</v>
      </c>
      <c r="H24" s="57" t="s">
        <v>15</v>
      </c>
      <c r="I24" s="51">
        <v>0.22</v>
      </c>
      <c r="J24" s="51">
        <v>1.29</v>
      </c>
      <c r="K24" s="51">
        <v>12.54</v>
      </c>
      <c r="L24" s="51">
        <v>30.76</v>
      </c>
      <c r="M24" s="51">
        <v>20</v>
      </c>
      <c r="N24" s="51">
        <v>237.70</v>
      </c>
      <c r="O24" s="51">
        <v>0</v>
      </c>
      <c r="P24" s="51">
        <v>1.03</v>
      </c>
      <c r="Q24" s="51">
        <v>30.11</v>
      </c>
      <c r="R24" s="43"/>
      <c r="S24" s="43"/>
      <c r="T24" s="43"/>
      <c r="U24" s="43"/>
    </row>
    <row r="25" spans="1:21" s="11" customFormat="1" ht="15">
      <c r="A25" s="50" t="s">
        <v>462</v>
      </c>
      <c r="B25" s="51">
        <v>10.01</v>
      </c>
      <c r="C25" s="51">
        <v>91.58</v>
      </c>
      <c r="D25" s="51">
        <v>58.56</v>
      </c>
      <c r="E25" s="51">
        <v>8.07</v>
      </c>
      <c r="F25" s="51">
        <v>5.1100000000000003</v>
      </c>
      <c r="G25" s="58" t="s">
        <v>12</v>
      </c>
      <c r="H25" s="58" t="s">
        <v>12</v>
      </c>
      <c r="I25" s="51">
        <v>0.22</v>
      </c>
      <c r="J25" s="51">
        <v>0.98</v>
      </c>
      <c r="K25" s="51">
        <v>24.38</v>
      </c>
      <c r="L25" s="51">
        <v>27.73</v>
      </c>
      <c r="M25" s="51">
        <v>24</v>
      </c>
      <c r="N25" s="51">
        <v>52.40</v>
      </c>
      <c r="O25" s="51">
        <v>0</v>
      </c>
      <c r="P25" s="51">
        <v>1.17</v>
      </c>
      <c r="Q25" s="51">
        <v>30.19</v>
      </c>
      <c r="R25" s="43"/>
      <c r="S25" s="43"/>
      <c r="T25" s="43"/>
      <c r="U25" s="43"/>
    </row>
    <row r="26" spans="1:21" s="11" customFormat="1" ht="15">
      <c r="A26" s="50" t="s">
        <v>463</v>
      </c>
      <c r="B26" s="51">
        <v>20.99</v>
      </c>
      <c r="C26" s="51">
        <v>100.26</v>
      </c>
      <c r="D26" s="51">
        <v>72.17</v>
      </c>
      <c r="E26" s="51">
        <v>8.02</v>
      </c>
      <c r="F26" s="51">
        <v>4.6500000000000004</v>
      </c>
      <c r="G26" s="51">
        <v>61.24</v>
      </c>
      <c r="H26" s="51">
        <v>32.18</v>
      </c>
      <c r="I26" s="51">
        <v>0.32</v>
      </c>
      <c r="J26" s="51">
        <v>0.47</v>
      </c>
      <c r="K26" s="51">
        <v>81.14</v>
      </c>
      <c r="L26" s="51">
        <v>25.51</v>
      </c>
      <c r="M26" s="51">
        <v>31</v>
      </c>
      <c r="N26" s="51">
        <v>29.80</v>
      </c>
      <c r="O26" s="51">
        <v>0</v>
      </c>
      <c r="P26" s="51">
        <v>1.53</v>
      </c>
      <c r="Q26" s="51">
        <v>34.01</v>
      </c>
      <c r="R26" s="43"/>
      <c r="S26" s="43"/>
      <c r="T26" s="43"/>
      <c r="U26" s="43"/>
    </row>
    <row r="27" spans="1:21" s="11" customFormat="1" ht="15">
      <c r="A27" s="50" t="s">
        <v>464</v>
      </c>
      <c r="B27" s="51">
        <v>23.08</v>
      </c>
      <c r="C27" s="51">
        <v>98.47</v>
      </c>
      <c r="D27" s="51">
        <v>72.849999999999994</v>
      </c>
      <c r="E27" s="51">
        <v>5.62</v>
      </c>
      <c r="F27" s="51">
        <v>1.06</v>
      </c>
      <c r="G27" s="51">
        <v>74.94</v>
      </c>
      <c r="H27" s="51">
        <v>31.30</v>
      </c>
      <c r="I27" s="51">
        <v>0.42</v>
      </c>
      <c r="J27" s="51">
        <v>0.34</v>
      </c>
      <c r="K27" s="51">
        <v>65.83</v>
      </c>
      <c r="L27" s="51">
        <v>23.54</v>
      </c>
      <c r="M27" s="51">
        <v>34</v>
      </c>
      <c r="N27" s="51">
        <v>24.10</v>
      </c>
      <c r="O27" s="51">
        <v>0</v>
      </c>
      <c r="P27" s="51">
        <v>1.72</v>
      </c>
      <c r="Q27" s="51">
        <v>38.619999999999997</v>
      </c>
      <c r="R27" s="43"/>
      <c r="S27" s="43"/>
      <c r="T27" s="43"/>
      <c r="U27" s="43"/>
    </row>
    <row r="28" spans="1:21" s="11" customFormat="1" ht="15">
      <c r="A28" s="50" t="s">
        <v>465</v>
      </c>
      <c r="B28" s="51">
        <v>20.83</v>
      </c>
      <c r="C28" s="51">
        <v>92.04</v>
      </c>
      <c r="D28" s="51">
        <v>67.06</v>
      </c>
      <c r="E28" s="51">
        <v>4.21</v>
      </c>
      <c r="F28" s="51">
        <v>0.79</v>
      </c>
      <c r="G28" s="51">
        <v>79.17</v>
      </c>
      <c r="H28" s="51">
        <v>32.28</v>
      </c>
      <c r="I28" s="51">
        <v>0.47</v>
      </c>
      <c r="J28" s="51">
        <v>0.32</v>
      </c>
      <c r="K28" s="51">
        <v>63.57</v>
      </c>
      <c r="L28" s="51">
        <v>22.12</v>
      </c>
      <c r="M28" s="51">
        <v>41</v>
      </c>
      <c r="N28" s="51">
        <v>24.40</v>
      </c>
      <c r="O28" s="51">
        <v>0</v>
      </c>
      <c r="P28" s="51">
        <v>1.86</v>
      </c>
      <c r="Q28" s="51">
        <v>38.75</v>
      </c>
      <c r="R28" s="43"/>
      <c r="S28" s="43"/>
      <c r="T28" s="43"/>
      <c r="U28" s="43"/>
    </row>
    <row r="29" spans="1:21" s="11" customFormat="1" ht="15">
      <c r="A29" s="50" t="s">
        <v>466</v>
      </c>
      <c r="B29" s="51">
        <v>51.54</v>
      </c>
      <c r="C29" s="51">
        <v>106.17</v>
      </c>
      <c r="D29" s="51">
        <v>99.93</v>
      </c>
      <c r="E29" s="51">
        <v>4.5999999999999996</v>
      </c>
      <c r="F29" s="51">
        <v>0.91</v>
      </c>
      <c r="G29" s="51">
        <v>83.13</v>
      </c>
      <c r="H29" s="51">
        <v>31.78</v>
      </c>
      <c r="I29" s="51">
        <v>0.62</v>
      </c>
      <c r="J29" s="51">
        <v>0.20</v>
      </c>
      <c r="K29" s="51">
        <v>342.29</v>
      </c>
      <c r="L29" s="51">
        <v>20.02</v>
      </c>
      <c r="M29" s="51">
        <v>53</v>
      </c>
      <c r="N29" s="51">
        <v>24.30</v>
      </c>
      <c r="O29" s="51">
        <v>0</v>
      </c>
      <c r="P29" s="51">
        <v>2.64</v>
      </c>
      <c r="Q29" s="51">
        <v>40.159999999999997</v>
      </c>
      <c r="R29" s="43"/>
      <c r="S29" s="43"/>
      <c r="T29" s="43"/>
      <c r="U29" s="43"/>
    </row>
    <row r="30" spans="1:21" s="11" customFormat="1" ht="15">
      <c r="A30" s="50" t="s">
        <v>467</v>
      </c>
      <c r="B30" s="51">
        <v>68.59</v>
      </c>
      <c r="C30" s="51">
        <v>110.07</v>
      </c>
      <c r="D30" s="51">
        <v>115.75</v>
      </c>
      <c r="E30" s="51">
        <v>4.62</v>
      </c>
      <c r="F30" s="51">
        <v>0.66</v>
      </c>
      <c r="G30" s="51">
        <v>104.02</v>
      </c>
      <c r="H30" s="51">
        <v>31.52</v>
      </c>
      <c r="I30" s="51">
        <v>0.83</v>
      </c>
      <c r="J30" s="51">
        <v>0.14000000000000001</v>
      </c>
      <c r="K30" s="51">
        <v>344.73</v>
      </c>
      <c r="L30" s="51">
        <v>19.309999999999999</v>
      </c>
      <c r="M30" s="51">
        <v>50</v>
      </c>
      <c r="N30" s="51">
        <v>24.10</v>
      </c>
      <c r="O30" s="51">
        <v>0</v>
      </c>
      <c r="P30" s="51">
        <v>2.97</v>
      </c>
      <c r="Q30" s="51">
        <v>43.24</v>
      </c>
      <c r="R30" s="43"/>
      <c r="S30" s="43"/>
      <c r="T30" s="43"/>
      <c r="U30" s="43"/>
    </row>
    <row r="31" spans="1:21" s="11" customFormat="1" ht="15">
      <c r="A31" s="50" t="s">
        <v>468</v>
      </c>
      <c r="B31" s="51">
        <v>77.38</v>
      </c>
      <c r="C31" s="51">
        <v>115.53</v>
      </c>
      <c r="D31" s="51">
        <v>125.35</v>
      </c>
      <c r="E31" s="51">
        <v>4.79</v>
      </c>
      <c r="F31" s="51">
        <v>0.72</v>
      </c>
      <c r="G31" s="51">
        <v>124.79</v>
      </c>
      <c r="H31" s="51">
        <v>33.520000000000003</v>
      </c>
      <c r="I31" s="51">
        <v>1.1000000000000001</v>
      </c>
      <c r="J31" s="51">
        <v>0.28999999999999998</v>
      </c>
      <c r="K31" s="51">
        <v>57.98</v>
      </c>
      <c r="L31" s="51">
        <v>19.829999999999998</v>
      </c>
      <c r="M31" s="51">
        <v>51</v>
      </c>
      <c r="N31" s="51">
        <v>23.90</v>
      </c>
      <c r="O31" s="51">
        <v>0</v>
      </c>
      <c r="P31" s="51">
        <v>3.13</v>
      </c>
      <c r="Q31" s="51">
        <v>44.73</v>
      </c>
      <c r="R31" s="43"/>
      <c r="S31" s="43"/>
      <c r="T31" s="43"/>
      <c r="U31" s="43"/>
    </row>
    <row r="32" spans="1:21" s="11" customFormat="1" ht="15">
      <c r="A32" s="50" t="s">
        <v>469</v>
      </c>
      <c r="B32" s="51">
        <v>72.19</v>
      </c>
      <c r="C32" s="51">
        <v>114.01</v>
      </c>
      <c r="D32" s="51">
        <v>120.81</v>
      </c>
      <c r="E32" s="51">
        <v>5.0999999999999996</v>
      </c>
      <c r="F32" s="51">
        <v>0.94</v>
      </c>
      <c r="G32" s="51">
        <v>93.30</v>
      </c>
      <c r="H32" s="51">
        <v>34.54</v>
      </c>
      <c r="I32" s="51">
        <v>0.96</v>
      </c>
      <c r="J32" s="51">
        <v>0.35</v>
      </c>
      <c r="K32" s="51">
        <v>51.26</v>
      </c>
      <c r="L32" s="51">
        <v>19.75</v>
      </c>
      <c r="M32" s="51">
        <v>47</v>
      </c>
      <c r="N32" s="51">
        <v>24.40</v>
      </c>
      <c r="O32" s="51">
        <v>0</v>
      </c>
      <c r="P32" s="51">
        <v>2.92</v>
      </c>
      <c r="Q32" s="51">
        <v>43.76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5.0700000000000003</v>
      </c>
      <c r="C34" s="28">
        <f t="shared" si="0"/>
        <v>73.150000000000006</v>
      </c>
      <c r="D34" s="28">
        <f t="shared" si="0"/>
        <v>52.700000000000003</v>
      </c>
      <c r="E34" s="28">
        <f t="shared" si="0"/>
        <v>3.8599999999999999</v>
      </c>
      <c r="F34" s="28">
        <f t="shared" si="0"/>
        <v>0.52000000000000002</v>
      </c>
      <c r="G34" s="28">
        <f t="shared" si="0"/>
        <v>47.119999999999997</v>
      </c>
      <c r="H34" s="28">
        <f t="shared" si="0"/>
        <v>16.420000000000002</v>
      </c>
      <c r="I34" s="28">
        <f t="shared" si="0"/>
        <v>0.22</v>
      </c>
      <c r="J34" s="28">
        <f t="shared" si="0"/>
        <v>0.14000000000000001</v>
      </c>
      <c r="K34" s="28">
        <f t="shared" si="0"/>
        <v>4.6100000000000003</v>
      </c>
      <c r="L34" s="28">
        <f t="shared" si="0"/>
        <v>18.890000000000001</v>
      </c>
      <c r="M34" s="28">
        <f t="shared" si="0"/>
        <v>19</v>
      </c>
      <c r="N34" s="28">
        <f t="shared" si="0"/>
        <v>23.899999999999999</v>
      </c>
      <c r="O34" s="28">
        <f t="shared" si="0"/>
        <v>0</v>
      </c>
      <c r="P34" s="28">
        <f t="shared" si="0"/>
        <v>1.03</v>
      </c>
      <c r="Q34" s="28">
        <f t="shared" si="0"/>
        <v>28.510000000000002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106.59</v>
      </c>
      <c r="C35" s="29">
        <f t="shared" si="1"/>
        <v>115.53</v>
      </c>
      <c r="D35" s="29">
        <f t="shared" si="1"/>
        <v>146.47999999999999</v>
      </c>
      <c r="E35" s="29">
        <f t="shared" si="1"/>
        <v>26.629999999999999</v>
      </c>
      <c r="F35" s="29">
        <f t="shared" si="1"/>
        <v>11.32</v>
      </c>
      <c r="G35" s="29">
        <f t="shared" si="1"/>
        <v>142.55000000000001</v>
      </c>
      <c r="H35" s="29">
        <f t="shared" si="1"/>
        <v>34.539999999999999</v>
      </c>
      <c r="I35" s="29">
        <f t="shared" si="1"/>
        <v>1.6200000000000001</v>
      </c>
      <c r="J35" s="29">
        <f t="shared" si="1"/>
        <v>1.4199999999999999</v>
      </c>
      <c r="K35" s="29">
        <f t="shared" si="1"/>
        <v>358.75999999999999</v>
      </c>
      <c r="L35" s="29">
        <f t="shared" si="1"/>
        <v>32.549999999999997</v>
      </c>
      <c r="M35" s="29">
        <f t="shared" si="1"/>
        <v>62</v>
      </c>
      <c r="N35" s="29">
        <f t="shared" si="1"/>
        <v>423.30000000000001</v>
      </c>
      <c r="O35" s="29">
        <f t="shared" si="1"/>
        <v>0</v>
      </c>
      <c r="P35" s="29">
        <f t="shared" si="1"/>
        <v>3.6000000000000001</v>
      </c>
      <c r="Q35" s="29">
        <f t="shared" si="1"/>
        <v>54.039999999999999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34.598750000000003</v>
      </c>
      <c r="C36" s="28">
        <f t="shared" si="2"/>
        <v>91.868333333333354</v>
      </c>
      <c r="D36" s="28">
        <f t="shared" si="2"/>
        <v>78.107083333333321</v>
      </c>
      <c r="E36" s="28">
        <f t="shared" si="2"/>
        <v>7.8933333333333335</v>
      </c>
      <c r="F36" s="28">
        <f t="shared" si="2"/>
        <v>3.1445833333333337</v>
      </c>
      <c r="G36" s="28">
        <f t="shared" si="2"/>
        <v>83.225999999999985</v>
      </c>
      <c r="H36" s="28">
        <f>AVERAGE(H9:H32)+1</f>
        <v>26.954999999999995</v>
      </c>
      <c r="I36" s="28">
        <f t="shared" si="2"/>
        <v>0.59208333333333341</v>
      </c>
      <c r="J36" s="28">
        <f t="shared" si="2"/>
        <v>0.67833333333333323</v>
      </c>
      <c r="K36" s="28">
        <f t="shared" si="2"/>
        <v>108.72250000000003</v>
      </c>
      <c r="L36" s="28">
        <f t="shared" si="2"/>
        <v>24.626249999999999</v>
      </c>
      <c r="M36" s="28">
        <f t="shared" si="2"/>
        <v>43.291666666666664</v>
      </c>
      <c r="N36" s="28">
        <f t="shared" si="2"/>
        <v>147.06666666666666</v>
      </c>
      <c r="O36" s="28">
        <f t="shared" si="2"/>
        <v>0</v>
      </c>
      <c r="P36" s="28">
        <f t="shared" si="2"/>
        <v>1.7741666666666669</v>
      </c>
      <c r="Q36" s="28">
        <f t="shared" si="2"/>
        <v>39.478749999999998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29.22217030783305</v>
      </c>
      <c r="C37" s="28">
        <f t="shared" si="3" ref="C37:Q37">STDEV(C9:C32)</f>
        <v>13.261506789156238</v>
      </c>
      <c r="D37" s="28">
        <f t="shared" si="3"/>
        <v>28.879933379299089</v>
      </c>
      <c r="E37" s="28">
        <f t="shared" si="3"/>
        <v>5.152179502228976</v>
      </c>
      <c r="F37" s="28">
        <f t="shared" si="3"/>
        <v>3.6058237666630193</v>
      </c>
      <c r="G37" s="28">
        <f t="shared" si="3"/>
        <v>30.166887284256788</v>
      </c>
      <c r="H37" s="28">
        <f t="shared" si="3"/>
        <v>6.9409922694245108</v>
      </c>
      <c r="I37" s="28">
        <f t="shared" si="3"/>
        <v>0.38309925115025223</v>
      </c>
      <c r="J37" s="28">
        <f t="shared" si="3"/>
        <v>0.37916001746041184</v>
      </c>
      <c r="K37" s="28">
        <f t="shared" si="3"/>
        <v>130.98560542388182</v>
      </c>
      <c r="L37" s="28">
        <f t="shared" si="3"/>
        <v>5.0027929699319245</v>
      </c>
      <c r="M37" s="28">
        <f t="shared" si="3"/>
        <v>14.999939613405022</v>
      </c>
      <c r="N37" s="28">
        <f t="shared" si="3"/>
        <v>163.64035503842402</v>
      </c>
      <c r="O37" s="28">
        <f t="shared" si="3"/>
        <v>0</v>
      </c>
      <c r="P37" s="28">
        <f t="shared" si="3"/>
        <v>0.81106433919809295</v>
      </c>
      <c r="Q37" s="28">
        <f t="shared" si="3"/>
        <v>7.4024328036830536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21</v>
      </c>
      <c r="H38" s="32">
        <f>COUNT(H9:H32)+1</f>
        <v>21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60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bab23e9-a576-49be-a5b4-ba2e854ac1a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470</v>
      </c>
      <c r="B9" s="51">
        <v>57.07</v>
      </c>
      <c r="C9" s="51">
        <v>104.87</v>
      </c>
      <c r="D9" s="51">
        <v>103.64</v>
      </c>
      <c r="E9" s="51">
        <v>5.18</v>
      </c>
      <c r="F9" s="51">
        <v>1.39</v>
      </c>
      <c r="G9" s="51">
        <v>41.5</v>
      </c>
      <c r="H9" s="51">
        <v>33.049999999999997</v>
      </c>
      <c r="I9" s="51">
        <v>0.80</v>
      </c>
      <c r="J9" s="51">
        <v>0.31</v>
      </c>
      <c r="K9" s="51">
        <v>359.58</v>
      </c>
      <c r="L9" s="51">
        <v>18.53</v>
      </c>
      <c r="M9" s="51">
        <v>49</v>
      </c>
      <c r="N9" s="51">
        <v>24.30</v>
      </c>
      <c r="O9" s="51">
        <v>0</v>
      </c>
      <c r="P9" s="51">
        <v>2.5299999999999998</v>
      </c>
      <c r="Q9" s="51">
        <v>41.68</v>
      </c>
      <c r="R9" s="43"/>
      <c r="S9" s="43"/>
      <c r="T9" s="43"/>
      <c r="U9" s="43"/>
    </row>
    <row r="10" spans="1:21" s="11" customFormat="1" ht="15">
      <c r="A10" s="50" t="s">
        <v>471</v>
      </c>
      <c r="B10" s="51">
        <v>46.03</v>
      </c>
      <c r="C10" s="51">
        <v>93.72</v>
      </c>
      <c r="D10" s="51">
        <v>88.64</v>
      </c>
      <c r="E10" s="51">
        <v>5.24</v>
      </c>
      <c r="F10" s="51">
        <v>0.84</v>
      </c>
      <c r="G10" s="57" t="s">
        <v>15</v>
      </c>
      <c r="H10" s="51">
        <v>29.14</v>
      </c>
      <c r="I10" s="51">
        <v>0.73</v>
      </c>
      <c r="J10" s="51">
        <v>0.38</v>
      </c>
      <c r="K10" s="51">
        <v>39.10</v>
      </c>
      <c r="L10" s="51">
        <v>18.12</v>
      </c>
      <c r="M10" s="51">
        <v>48</v>
      </c>
      <c r="N10" s="51">
        <v>23.80</v>
      </c>
      <c r="O10" s="51">
        <v>0</v>
      </c>
      <c r="P10" s="51">
        <v>2.13</v>
      </c>
      <c r="Q10" s="51">
        <v>41.96</v>
      </c>
      <c r="R10" s="43"/>
      <c r="S10" s="43"/>
      <c r="T10" s="43"/>
      <c r="U10" s="43"/>
    </row>
    <row r="11" spans="1:21" s="11" customFormat="1" ht="15">
      <c r="A11" s="50" t="s">
        <v>472</v>
      </c>
      <c r="B11" s="51">
        <v>32.82</v>
      </c>
      <c r="C11" s="51">
        <v>84.31</v>
      </c>
      <c r="D11" s="51">
        <v>72.84</v>
      </c>
      <c r="E11" s="51">
        <v>4.9400000000000004</v>
      </c>
      <c r="F11" s="51">
        <v>0.99</v>
      </c>
      <c r="G11" s="51">
        <v>29.92</v>
      </c>
      <c r="H11" s="51">
        <v>26.25</v>
      </c>
      <c r="I11" s="51">
        <v>0.65</v>
      </c>
      <c r="J11" s="51">
        <v>0.48</v>
      </c>
      <c r="K11" s="51">
        <v>56.05</v>
      </c>
      <c r="L11" s="51">
        <v>17.82</v>
      </c>
      <c r="M11" s="51">
        <v>49</v>
      </c>
      <c r="N11" s="51">
        <v>24</v>
      </c>
      <c r="O11" s="51">
        <v>0</v>
      </c>
      <c r="P11" s="51">
        <v>1.80</v>
      </c>
      <c r="Q11" s="51">
        <v>41.09</v>
      </c>
      <c r="R11" s="43"/>
      <c r="S11" s="43"/>
      <c r="T11" s="43"/>
      <c r="U11" s="43"/>
    </row>
    <row r="12" spans="1:21" s="11" customFormat="1" ht="15">
      <c r="A12" s="50" t="s">
        <v>473</v>
      </c>
      <c r="B12" s="51">
        <v>20.25</v>
      </c>
      <c r="C12" s="51">
        <v>76.17</v>
      </c>
      <c r="D12" s="51">
        <v>58.27</v>
      </c>
      <c r="E12" s="51">
        <v>5.67</v>
      </c>
      <c r="F12" s="51">
        <v>1.04</v>
      </c>
      <c r="G12" s="51">
        <v>29.92</v>
      </c>
      <c r="H12" s="51">
        <v>24.68</v>
      </c>
      <c r="I12" s="51">
        <v>0.52</v>
      </c>
      <c r="J12" s="51">
        <v>0.97</v>
      </c>
      <c r="K12" s="51">
        <v>16.46</v>
      </c>
      <c r="L12" s="51">
        <v>17.600000000000001</v>
      </c>
      <c r="M12" s="51">
        <v>50</v>
      </c>
      <c r="N12" s="51">
        <v>24</v>
      </c>
      <c r="O12" s="51">
        <v>0</v>
      </c>
      <c r="P12" s="51">
        <v>1.41</v>
      </c>
      <c r="Q12" s="51">
        <v>38.10</v>
      </c>
      <c r="R12" s="43"/>
      <c r="S12" s="43"/>
      <c r="T12" s="43"/>
      <c r="U12" s="43"/>
    </row>
    <row r="13" spans="1:21" s="11" customFormat="1" ht="15">
      <c r="A13" s="50" t="s">
        <v>474</v>
      </c>
      <c r="B13" s="51">
        <v>12.61</v>
      </c>
      <c r="C13" s="51">
        <v>71.92</v>
      </c>
      <c r="D13" s="51">
        <v>49.80</v>
      </c>
      <c r="E13" s="51">
        <v>5.15</v>
      </c>
      <c r="F13" s="51">
        <v>0.92</v>
      </c>
      <c r="G13" s="57" t="s">
        <v>15</v>
      </c>
      <c r="H13" s="51">
        <v>22.23</v>
      </c>
      <c r="I13" s="51">
        <v>0.41</v>
      </c>
      <c r="J13" s="51">
        <v>1</v>
      </c>
      <c r="K13" s="51">
        <v>10.47</v>
      </c>
      <c r="L13" s="51">
        <v>17.010000000000002</v>
      </c>
      <c r="M13" s="51">
        <v>53</v>
      </c>
      <c r="N13" s="51">
        <v>24.10</v>
      </c>
      <c r="O13" s="51">
        <v>0</v>
      </c>
      <c r="P13" s="51">
        <v>1.1200000000000001</v>
      </c>
      <c r="Q13" s="51">
        <v>36.10</v>
      </c>
      <c r="R13" s="43"/>
      <c r="S13" s="43"/>
      <c r="T13" s="43"/>
      <c r="U13" s="43"/>
    </row>
    <row r="14" spans="1:21" s="11" customFormat="1" ht="15">
      <c r="A14" s="50" t="s">
        <v>475</v>
      </c>
      <c r="B14" s="51">
        <v>10.19</v>
      </c>
      <c r="C14" s="51">
        <v>68.680000000000007</v>
      </c>
      <c r="D14" s="51">
        <v>46.04</v>
      </c>
      <c r="E14" s="51">
        <v>4.63</v>
      </c>
      <c r="F14" s="51">
        <v>0.89</v>
      </c>
      <c r="G14" s="57" t="s">
        <v>15</v>
      </c>
      <c r="H14" s="51">
        <v>18.82</v>
      </c>
      <c r="I14" s="51">
        <v>0.38</v>
      </c>
      <c r="J14" s="51">
        <v>0.68</v>
      </c>
      <c r="K14" s="51">
        <v>58.17</v>
      </c>
      <c r="L14" s="51">
        <v>16.47</v>
      </c>
      <c r="M14" s="51">
        <v>56</v>
      </c>
      <c r="N14" s="51">
        <v>24.10</v>
      </c>
      <c r="O14" s="51">
        <v>0</v>
      </c>
      <c r="P14" s="51">
        <v>0.94</v>
      </c>
      <c r="Q14" s="51">
        <v>35.630000000000003</v>
      </c>
      <c r="R14" s="43"/>
      <c r="S14" s="43"/>
      <c r="T14" s="43"/>
      <c r="U14" s="43"/>
    </row>
    <row r="15" spans="1:21" s="11" customFormat="1" ht="15">
      <c r="A15" s="50" t="s">
        <v>476</v>
      </c>
      <c r="B15" s="51">
        <v>10.41</v>
      </c>
      <c r="C15" s="51">
        <v>67.510000000000005</v>
      </c>
      <c r="D15" s="51">
        <v>45.61</v>
      </c>
      <c r="E15" s="51">
        <v>4.3899999999999997</v>
      </c>
      <c r="F15" s="51">
        <v>0.89</v>
      </c>
      <c r="G15" s="57" t="s">
        <v>15</v>
      </c>
      <c r="H15" s="51">
        <v>17.79</v>
      </c>
      <c r="I15" s="51">
        <v>0.34</v>
      </c>
      <c r="J15" s="51">
        <v>0.40</v>
      </c>
      <c r="K15" s="51">
        <v>85.58</v>
      </c>
      <c r="L15" s="51">
        <v>15.55</v>
      </c>
      <c r="M15" s="51">
        <v>58</v>
      </c>
      <c r="N15" s="51">
        <v>37.700000000000003</v>
      </c>
      <c r="O15" s="51">
        <v>0</v>
      </c>
      <c r="P15" s="51">
        <v>0.81</v>
      </c>
      <c r="Q15" s="51">
        <v>34.86</v>
      </c>
      <c r="R15" s="43"/>
      <c r="S15" s="43"/>
      <c r="T15" s="43"/>
      <c r="U15" s="43"/>
    </row>
    <row r="16" spans="1:21" s="11" customFormat="1" ht="15">
      <c r="A16" s="50" t="s">
        <v>477</v>
      </c>
      <c r="B16" s="51">
        <v>11.97</v>
      </c>
      <c r="C16" s="51">
        <v>67.66</v>
      </c>
      <c r="D16" s="51">
        <v>46.87</v>
      </c>
      <c r="E16" s="51">
        <v>4.45</v>
      </c>
      <c r="F16" s="51">
        <v>1.1200000000000001</v>
      </c>
      <c r="G16" s="57" t="s">
        <v>15</v>
      </c>
      <c r="H16" s="51">
        <v>16.62</v>
      </c>
      <c r="I16" s="51">
        <v>0.31</v>
      </c>
      <c r="J16" s="51">
        <v>0.64</v>
      </c>
      <c r="K16" s="51">
        <v>101.90</v>
      </c>
      <c r="L16" s="51">
        <v>18.64</v>
      </c>
      <c r="M16" s="51">
        <v>57</v>
      </c>
      <c r="N16" s="51">
        <v>219</v>
      </c>
      <c r="O16" s="51">
        <v>0</v>
      </c>
      <c r="P16" s="51">
        <v>0.81</v>
      </c>
      <c r="Q16" s="51">
        <v>34.92</v>
      </c>
      <c r="R16" s="43"/>
      <c r="S16" s="43"/>
      <c r="T16" s="43"/>
      <c r="U16" s="43"/>
    </row>
    <row r="17" spans="1:21" s="11" customFormat="1" ht="15">
      <c r="A17" s="50" t="s">
        <v>478</v>
      </c>
      <c r="B17" s="51">
        <v>16.11</v>
      </c>
      <c r="C17" s="51">
        <v>70.59</v>
      </c>
      <c r="D17" s="51">
        <v>51.88</v>
      </c>
      <c r="E17" s="51">
        <v>7.03</v>
      </c>
      <c r="F17" s="51">
        <v>0.84</v>
      </c>
      <c r="G17" s="51">
        <v>55.24</v>
      </c>
      <c r="H17" s="51">
        <v>21.86</v>
      </c>
      <c r="I17" s="51">
        <v>0.33</v>
      </c>
      <c r="J17" s="51">
        <v>1.18</v>
      </c>
      <c r="K17" s="51">
        <v>108.07</v>
      </c>
      <c r="L17" s="51">
        <v>20.89</v>
      </c>
      <c r="M17" s="51">
        <v>44</v>
      </c>
      <c r="N17" s="51">
        <v>346.70</v>
      </c>
      <c r="O17" s="51">
        <v>0</v>
      </c>
      <c r="P17" s="51">
        <v>0.85</v>
      </c>
      <c r="Q17" s="51">
        <v>36.40</v>
      </c>
      <c r="R17" s="43"/>
      <c r="S17" s="43"/>
      <c r="T17" s="43"/>
      <c r="U17" s="43"/>
    </row>
    <row r="18" spans="1:21" s="11" customFormat="1" ht="15">
      <c r="A18" s="50" t="s">
        <v>479</v>
      </c>
      <c r="B18" s="51">
        <v>15.66</v>
      </c>
      <c r="C18" s="51">
        <v>71.87</v>
      </c>
      <c r="D18" s="51">
        <v>51.66</v>
      </c>
      <c r="E18" s="51">
        <v>7.06</v>
      </c>
      <c r="F18" s="51">
        <v>1.21</v>
      </c>
      <c r="G18" s="51">
        <v>31.14</v>
      </c>
      <c r="H18" s="51">
        <v>25.65</v>
      </c>
      <c r="I18" s="51">
        <v>0.33</v>
      </c>
      <c r="J18" s="51">
        <v>1.34</v>
      </c>
      <c r="K18" s="51">
        <v>95.49</v>
      </c>
      <c r="L18" s="51">
        <v>23.88</v>
      </c>
      <c r="M18" s="51">
        <v>40</v>
      </c>
      <c r="N18" s="51">
        <v>391.40</v>
      </c>
      <c r="O18" s="51">
        <v>0</v>
      </c>
      <c r="P18" s="51">
        <v>0.85</v>
      </c>
      <c r="Q18" s="51">
        <v>41.70</v>
      </c>
      <c r="R18" s="43"/>
      <c r="S18" s="43"/>
      <c r="T18" s="43"/>
      <c r="U18" s="43"/>
    </row>
    <row r="19" spans="1:21" s="11" customFormat="1" ht="15">
      <c r="A19" s="50" t="s">
        <v>480</v>
      </c>
      <c r="B19" s="51">
        <v>11.14</v>
      </c>
      <c r="C19" s="51">
        <v>72.09</v>
      </c>
      <c r="D19" s="51">
        <v>48.72</v>
      </c>
      <c r="E19" s="51">
        <v>7.96</v>
      </c>
      <c r="F19" s="51">
        <v>1.5</v>
      </c>
      <c r="G19" s="57" t="s">
        <v>15</v>
      </c>
      <c r="H19" s="51">
        <v>24.92</v>
      </c>
      <c r="I19" s="51">
        <v>0.33</v>
      </c>
      <c r="J19" s="51">
        <v>1.54</v>
      </c>
      <c r="K19" s="51">
        <v>104.47</v>
      </c>
      <c r="L19" s="51">
        <v>27.25</v>
      </c>
      <c r="M19" s="51">
        <v>37</v>
      </c>
      <c r="N19" s="51">
        <v>426.30</v>
      </c>
      <c r="O19" s="51">
        <v>0</v>
      </c>
      <c r="P19" s="51">
        <v>0.82</v>
      </c>
      <c r="Q19" s="51">
        <v>36.44</v>
      </c>
      <c r="R19" s="43"/>
      <c r="S19" s="43"/>
      <c r="T19" s="43"/>
      <c r="U19" s="43"/>
    </row>
    <row r="20" spans="1:21" s="11" customFormat="1" ht="15">
      <c r="A20" s="50" t="s">
        <v>481</v>
      </c>
      <c r="B20" s="51">
        <v>11.28</v>
      </c>
      <c r="C20" s="51">
        <v>76.790000000000006</v>
      </c>
      <c r="D20" s="51">
        <v>50.77</v>
      </c>
      <c r="E20" s="51">
        <v>8.14</v>
      </c>
      <c r="F20" s="51">
        <v>1.57</v>
      </c>
      <c r="G20" s="57" t="s">
        <v>15</v>
      </c>
      <c r="H20" s="51">
        <v>25.91</v>
      </c>
      <c r="I20" s="51">
        <v>0.27</v>
      </c>
      <c r="J20" s="51">
        <v>1.25</v>
      </c>
      <c r="K20" s="51">
        <v>59.61</v>
      </c>
      <c r="L20" s="51">
        <v>31.11</v>
      </c>
      <c r="M20" s="51">
        <v>29</v>
      </c>
      <c r="N20" s="51">
        <v>428.10</v>
      </c>
      <c r="O20" s="51">
        <v>0</v>
      </c>
      <c r="P20" s="51">
        <v>0.82</v>
      </c>
      <c r="Q20" s="51">
        <v>36.92</v>
      </c>
      <c r="R20" s="43"/>
      <c r="S20" s="43"/>
      <c r="T20" s="43"/>
      <c r="U20" s="43"/>
    </row>
    <row r="21" spans="1:21" s="11" customFormat="1" ht="15">
      <c r="A21" s="50" t="s">
        <v>482</v>
      </c>
      <c r="B21" s="51">
        <v>11.52</v>
      </c>
      <c r="C21" s="51">
        <v>77.790000000000006</v>
      </c>
      <c r="D21" s="51">
        <v>51.93</v>
      </c>
      <c r="E21" s="51">
        <v>7.61</v>
      </c>
      <c r="F21" s="51">
        <v>1.82</v>
      </c>
      <c r="G21" s="57" t="s">
        <v>15</v>
      </c>
      <c r="H21" s="51">
        <v>25.91</v>
      </c>
      <c r="I21" s="51">
        <v>0.28999999999999998</v>
      </c>
      <c r="J21" s="51">
        <v>0.82</v>
      </c>
      <c r="K21" s="51">
        <v>115.23</v>
      </c>
      <c r="L21" s="51">
        <v>30.37</v>
      </c>
      <c r="M21" s="51">
        <v>25</v>
      </c>
      <c r="N21" s="51">
        <v>423</v>
      </c>
      <c r="O21" s="51">
        <v>0</v>
      </c>
      <c r="P21" s="51">
        <v>0.82</v>
      </c>
      <c r="Q21" s="51">
        <v>38.39</v>
      </c>
      <c r="R21" s="43"/>
      <c r="S21" s="43"/>
      <c r="T21" s="43"/>
      <c r="U21" s="43"/>
    </row>
    <row r="22" spans="1:21" s="11" customFormat="1" ht="15">
      <c r="A22" s="50" t="s">
        <v>483</v>
      </c>
      <c r="B22" s="51">
        <v>11.79</v>
      </c>
      <c r="C22" s="51">
        <v>80.17</v>
      </c>
      <c r="D22" s="51">
        <v>53.23</v>
      </c>
      <c r="E22" s="51">
        <v>8.7200000000000006</v>
      </c>
      <c r="F22" s="51">
        <v>2.0699999999999998</v>
      </c>
      <c r="G22" s="57" t="s">
        <v>15</v>
      </c>
      <c r="H22" s="51">
        <v>25.41</v>
      </c>
      <c r="I22" s="51">
        <v>0.28000000000000003</v>
      </c>
      <c r="J22" s="51">
        <v>0.75</v>
      </c>
      <c r="K22" s="51">
        <v>143.91999999999999</v>
      </c>
      <c r="L22" s="51">
        <v>29.24</v>
      </c>
      <c r="M22" s="51">
        <v>21</v>
      </c>
      <c r="N22" s="51">
        <v>403.5</v>
      </c>
      <c r="O22" s="51">
        <v>0</v>
      </c>
      <c r="P22" s="51">
        <v>0.80</v>
      </c>
      <c r="Q22" s="51">
        <v>38.43</v>
      </c>
      <c r="R22" s="43"/>
      <c r="S22" s="43"/>
      <c r="T22" s="43"/>
      <c r="U22" s="43"/>
    </row>
    <row r="23" spans="1:21" s="11" customFormat="1" ht="15">
      <c r="A23" s="50" t="s">
        <v>484</v>
      </c>
      <c r="B23" s="51">
        <v>11.91</v>
      </c>
      <c r="C23" s="51">
        <v>83.75</v>
      </c>
      <c r="D23" s="51">
        <v>55.77</v>
      </c>
      <c r="E23" s="51">
        <v>18.84</v>
      </c>
      <c r="F23" s="51">
        <v>4.4800000000000004</v>
      </c>
      <c r="G23" s="57" t="s">
        <v>15</v>
      </c>
      <c r="H23" s="57" t="s">
        <v>15</v>
      </c>
      <c r="I23" s="51">
        <v>0.26</v>
      </c>
      <c r="J23" s="51">
        <v>1.38</v>
      </c>
      <c r="K23" s="51">
        <v>133.60</v>
      </c>
      <c r="L23" s="51">
        <v>30.44</v>
      </c>
      <c r="M23" s="51">
        <v>22</v>
      </c>
      <c r="N23" s="51">
        <v>353.40</v>
      </c>
      <c r="O23" s="51">
        <v>0</v>
      </c>
      <c r="P23" s="51">
        <v>0.81</v>
      </c>
      <c r="Q23" s="51">
        <v>39.11</v>
      </c>
      <c r="R23" s="43"/>
      <c r="S23" s="43"/>
      <c r="T23" s="43"/>
      <c r="U23" s="43"/>
    </row>
    <row r="24" spans="1:21" s="11" customFormat="1" ht="15">
      <c r="A24" s="50" t="s">
        <v>485</v>
      </c>
      <c r="B24" s="51">
        <v>15.55</v>
      </c>
      <c r="C24" s="51">
        <v>83.49</v>
      </c>
      <c r="D24" s="51">
        <v>58.28</v>
      </c>
      <c r="E24" s="51">
        <v>17.059999999999999</v>
      </c>
      <c r="F24" s="51">
        <v>3.25</v>
      </c>
      <c r="G24" s="53" t="s">
        <v>8</v>
      </c>
      <c r="H24" s="57" t="s">
        <v>15</v>
      </c>
      <c r="I24" s="51">
        <v>0.27</v>
      </c>
      <c r="J24" s="51">
        <v>0.63</v>
      </c>
      <c r="K24" s="51">
        <v>75.69</v>
      </c>
      <c r="L24" s="51">
        <v>27.65</v>
      </c>
      <c r="M24" s="51">
        <v>24</v>
      </c>
      <c r="N24" s="51">
        <v>237</v>
      </c>
      <c r="O24" s="51">
        <v>0</v>
      </c>
      <c r="P24" s="51">
        <v>0.83</v>
      </c>
      <c r="Q24" s="51">
        <v>40.5</v>
      </c>
      <c r="R24" s="43"/>
      <c r="S24" s="43"/>
      <c r="T24" s="43"/>
      <c r="U24" s="43"/>
    </row>
    <row r="25" spans="1:21" s="11" customFormat="1" ht="15">
      <c r="A25" s="50" t="s">
        <v>486</v>
      </c>
      <c r="B25" s="51">
        <v>16.22</v>
      </c>
      <c r="C25" s="51">
        <v>87.25</v>
      </c>
      <c r="D25" s="51">
        <v>60.68</v>
      </c>
      <c r="E25" s="51">
        <v>12.48</v>
      </c>
      <c r="F25" s="51">
        <v>1.67</v>
      </c>
      <c r="G25" s="53" t="s">
        <v>8</v>
      </c>
      <c r="H25" s="51">
        <v>30.88</v>
      </c>
      <c r="I25" s="51">
        <v>0.28000000000000003</v>
      </c>
      <c r="J25" s="51">
        <v>1.40</v>
      </c>
      <c r="K25" s="51">
        <v>10.5</v>
      </c>
      <c r="L25" s="51">
        <v>26.75</v>
      </c>
      <c r="M25" s="51">
        <v>29</v>
      </c>
      <c r="N25" s="51">
        <v>56.20</v>
      </c>
      <c r="O25" s="51">
        <v>0</v>
      </c>
      <c r="P25" s="51">
        <v>1</v>
      </c>
      <c r="Q25" s="51">
        <v>41.55</v>
      </c>
      <c r="R25" s="43"/>
      <c r="S25" s="43"/>
      <c r="T25" s="43"/>
      <c r="U25" s="43"/>
    </row>
    <row r="26" spans="1:21" s="11" customFormat="1" ht="15">
      <c r="A26" s="50" t="s">
        <v>487</v>
      </c>
      <c r="B26" s="51">
        <v>14.98</v>
      </c>
      <c r="C26" s="51">
        <v>94.78</v>
      </c>
      <c r="D26" s="51">
        <v>64.260000000000005</v>
      </c>
      <c r="E26" s="51">
        <v>8.09</v>
      </c>
      <c r="F26" s="51">
        <v>2.67</v>
      </c>
      <c r="G26" s="53" t="s">
        <v>8</v>
      </c>
      <c r="H26" s="51">
        <v>26.94</v>
      </c>
      <c r="I26" s="51">
        <v>0.28999999999999998</v>
      </c>
      <c r="J26" s="51">
        <v>1.19</v>
      </c>
      <c r="K26" s="51">
        <v>17.77</v>
      </c>
      <c r="L26" s="51">
        <v>24.88</v>
      </c>
      <c r="M26" s="51">
        <v>36</v>
      </c>
      <c r="N26" s="51">
        <v>30</v>
      </c>
      <c r="O26" s="51">
        <v>0</v>
      </c>
      <c r="P26" s="51">
        <v>1.27</v>
      </c>
      <c r="Q26" s="51">
        <v>40.270000000000003</v>
      </c>
      <c r="R26" s="43"/>
      <c r="S26" s="43"/>
      <c r="T26" s="43"/>
      <c r="U26" s="43"/>
    </row>
    <row r="27" spans="1:21" s="11" customFormat="1" ht="15">
      <c r="A27" s="50" t="s">
        <v>488</v>
      </c>
      <c r="B27" s="51">
        <v>20.54</v>
      </c>
      <c r="C27" s="51">
        <v>98.37</v>
      </c>
      <c r="D27" s="51">
        <v>70.760000000000005</v>
      </c>
      <c r="E27" s="51">
        <v>7.81</v>
      </c>
      <c r="F27" s="51">
        <v>2.17</v>
      </c>
      <c r="G27" s="53" t="s">
        <v>8</v>
      </c>
      <c r="H27" s="51">
        <v>41.47</v>
      </c>
      <c r="I27" s="51">
        <v>0.36</v>
      </c>
      <c r="J27" s="51">
        <v>0.33</v>
      </c>
      <c r="K27" s="51">
        <v>72.89</v>
      </c>
      <c r="L27" s="51">
        <v>22.55</v>
      </c>
      <c r="M27" s="51">
        <v>42</v>
      </c>
      <c r="N27" s="51">
        <v>24.30</v>
      </c>
      <c r="O27" s="51">
        <v>0</v>
      </c>
      <c r="P27" s="51">
        <v>1.54</v>
      </c>
      <c r="Q27" s="51">
        <v>40.99</v>
      </c>
      <c r="R27" s="43"/>
      <c r="S27" s="43"/>
      <c r="T27" s="43"/>
      <c r="U27" s="43"/>
    </row>
    <row r="28" spans="1:21" s="11" customFormat="1" ht="15">
      <c r="A28" s="50" t="s">
        <v>489</v>
      </c>
      <c r="B28" s="51">
        <v>40.33</v>
      </c>
      <c r="C28" s="51">
        <v>102.28</v>
      </c>
      <c r="D28" s="51">
        <v>88.79</v>
      </c>
      <c r="E28" s="51">
        <v>7.18</v>
      </c>
      <c r="F28" s="51">
        <v>0.71</v>
      </c>
      <c r="G28" s="51">
        <v>135.69</v>
      </c>
      <c r="H28" s="51">
        <v>39.630000000000003</v>
      </c>
      <c r="I28" s="51">
        <v>0.51</v>
      </c>
      <c r="J28" s="51">
        <v>0.18</v>
      </c>
      <c r="K28" s="51">
        <v>359.87</v>
      </c>
      <c r="L28" s="51">
        <v>20.73</v>
      </c>
      <c r="M28" s="51">
        <v>49</v>
      </c>
      <c r="N28" s="51">
        <v>24.20</v>
      </c>
      <c r="O28" s="51">
        <v>0</v>
      </c>
      <c r="P28" s="51">
        <v>2.1800000000000002</v>
      </c>
      <c r="Q28" s="51">
        <v>44.33</v>
      </c>
      <c r="R28" s="43"/>
      <c r="S28" s="43"/>
      <c r="T28" s="43"/>
      <c r="U28" s="43"/>
    </row>
    <row r="29" spans="1:21" s="11" customFormat="1" ht="15">
      <c r="A29" s="50" t="s">
        <v>490</v>
      </c>
      <c r="B29" s="51">
        <v>59.79</v>
      </c>
      <c r="C29" s="51">
        <v>115.56</v>
      </c>
      <c r="D29" s="51">
        <v>111.72</v>
      </c>
      <c r="E29" s="51">
        <v>6.99</v>
      </c>
      <c r="F29" s="51">
        <v>0.71</v>
      </c>
      <c r="G29" s="51">
        <v>223.43</v>
      </c>
      <c r="H29" s="51">
        <v>57.57</v>
      </c>
      <c r="I29" s="51">
        <v>0.68</v>
      </c>
      <c r="J29" s="51">
        <v>0.16</v>
      </c>
      <c r="K29" s="51">
        <v>347.18</v>
      </c>
      <c r="L29" s="51">
        <v>19.89</v>
      </c>
      <c r="M29" s="51">
        <v>55</v>
      </c>
      <c r="N29" s="51">
        <v>24.40</v>
      </c>
      <c r="O29" s="51">
        <v>0</v>
      </c>
      <c r="P29" s="51">
        <v>2.90</v>
      </c>
      <c r="Q29" s="51">
        <v>44.71</v>
      </c>
      <c r="R29" s="43"/>
      <c r="S29" s="43"/>
      <c r="T29" s="43"/>
      <c r="U29" s="43"/>
    </row>
    <row r="30" spans="1:21" s="11" customFormat="1" ht="15">
      <c r="A30" s="50" t="s">
        <v>491</v>
      </c>
      <c r="B30" s="51">
        <v>85.63</v>
      </c>
      <c r="C30" s="51">
        <v>127.43</v>
      </c>
      <c r="D30" s="51">
        <v>138.99</v>
      </c>
      <c r="E30" s="51">
        <v>6.82</v>
      </c>
      <c r="F30" s="51">
        <v>0.71</v>
      </c>
      <c r="G30" s="51">
        <v>205.01</v>
      </c>
      <c r="H30" s="51">
        <v>59.41</v>
      </c>
      <c r="I30" s="51">
        <v>0.86</v>
      </c>
      <c r="J30" s="51">
        <v>0.10</v>
      </c>
      <c r="K30" s="51">
        <v>348.10</v>
      </c>
      <c r="L30" s="51">
        <v>17.829999999999998</v>
      </c>
      <c r="M30" s="51">
        <v>64</v>
      </c>
      <c r="N30" s="51">
        <v>24.10</v>
      </c>
      <c r="O30" s="51">
        <v>0</v>
      </c>
      <c r="P30" s="51">
        <v>3.26</v>
      </c>
      <c r="Q30" s="51">
        <v>46.38</v>
      </c>
      <c r="R30" s="43"/>
      <c r="S30" s="43"/>
      <c r="T30" s="43"/>
      <c r="U30" s="43"/>
    </row>
    <row r="31" spans="1:21" s="11" customFormat="1" ht="15">
      <c r="A31" s="50" t="s">
        <v>492</v>
      </c>
      <c r="B31" s="51">
        <v>113.71</v>
      </c>
      <c r="C31" s="51">
        <v>134.13999999999999</v>
      </c>
      <c r="D31" s="51">
        <v>165.21</v>
      </c>
      <c r="E31" s="51">
        <v>7.30</v>
      </c>
      <c r="F31" s="51">
        <v>0.67</v>
      </c>
      <c r="G31" s="51">
        <v>225.67</v>
      </c>
      <c r="H31" s="51">
        <v>73.150000000000006</v>
      </c>
      <c r="I31" s="51">
        <v>1.05</v>
      </c>
      <c r="J31" s="51">
        <v>0.10</v>
      </c>
      <c r="K31" s="51">
        <v>332.79</v>
      </c>
      <c r="L31" s="51">
        <v>17.36</v>
      </c>
      <c r="M31" s="51">
        <v>67</v>
      </c>
      <c r="N31" s="51">
        <v>23.90</v>
      </c>
      <c r="O31" s="51">
        <v>0</v>
      </c>
      <c r="P31" s="51">
        <v>3.71</v>
      </c>
      <c r="Q31" s="51">
        <v>49.44</v>
      </c>
      <c r="R31" s="43"/>
      <c r="S31" s="43"/>
      <c r="T31" s="43"/>
      <c r="U31" s="43"/>
    </row>
    <row r="32" spans="1:21" s="11" customFormat="1" ht="15">
      <c r="A32" s="50" t="s">
        <v>493</v>
      </c>
      <c r="B32" s="51">
        <v>115.10</v>
      </c>
      <c r="C32" s="51">
        <v>134.30000000000001</v>
      </c>
      <c r="D32" s="51">
        <v>166.42</v>
      </c>
      <c r="E32" s="51">
        <v>7.44</v>
      </c>
      <c r="F32" s="51">
        <v>0.74</v>
      </c>
      <c r="G32" s="51">
        <v>191.68</v>
      </c>
      <c r="H32" s="51">
        <v>69.040000000000006</v>
      </c>
      <c r="I32" s="51">
        <v>1.1100000000000001</v>
      </c>
      <c r="J32" s="51">
        <v>0.12</v>
      </c>
      <c r="K32" s="51">
        <v>340.85</v>
      </c>
      <c r="L32" s="51">
        <v>17.47</v>
      </c>
      <c r="M32" s="51">
        <v>59</v>
      </c>
      <c r="N32" s="51">
        <v>24.40</v>
      </c>
      <c r="O32" s="51">
        <v>0</v>
      </c>
      <c r="P32" s="51">
        <v>3.71</v>
      </c>
      <c r="Q32" s="51">
        <v>49.58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10.19</v>
      </c>
      <c r="C34" s="28">
        <f t="shared" si="0"/>
        <v>67.510000000000005</v>
      </c>
      <c r="D34" s="28">
        <f t="shared" si="0"/>
        <v>45.609999999999999</v>
      </c>
      <c r="E34" s="28">
        <f t="shared" si="0"/>
        <v>4.3899999999999997</v>
      </c>
      <c r="F34" s="28">
        <f t="shared" si="0"/>
        <v>0.67000000000000004</v>
      </c>
      <c r="G34" s="28">
        <f t="shared" si="0"/>
        <v>29.920000000000002</v>
      </c>
      <c r="H34" s="28">
        <f t="shared" si="0"/>
        <v>16.620000000000001</v>
      </c>
      <c r="I34" s="28">
        <f t="shared" si="0"/>
        <v>0.26000000000000001</v>
      </c>
      <c r="J34" s="28">
        <f t="shared" si="0"/>
        <v>0.10000000000000001</v>
      </c>
      <c r="K34" s="28">
        <f t="shared" si="0"/>
        <v>10.470000000000001</v>
      </c>
      <c r="L34" s="28">
        <f t="shared" si="0"/>
        <v>15.550000000000001</v>
      </c>
      <c r="M34" s="28">
        <f t="shared" si="0"/>
        <v>21</v>
      </c>
      <c r="N34" s="28">
        <f t="shared" si="0"/>
        <v>23.800000000000001</v>
      </c>
      <c r="O34" s="28">
        <f t="shared" si="0"/>
        <v>0</v>
      </c>
      <c r="P34" s="28">
        <f t="shared" si="0"/>
        <v>0.80000000000000004</v>
      </c>
      <c r="Q34" s="28">
        <f t="shared" si="0"/>
        <v>34.859999999999999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115.09999999999999</v>
      </c>
      <c r="C35" s="29">
        <f t="shared" si="1"/>
        <v>134.30000000000001</v>
      </c>
      <c r="D35" s="29">
        <f t="shared" si="1"/>
        <v>166.41999999999999</v>
      </c>
      <c r="E35" s="29">
        <f t="shared" si="1"/>
        <v>18.84</v>
      </c>
      <c r="F35" s="29">
        <f t="shared" si="1"/>
        <v>4.4800000000000004</v>
      </c>
      <c r="G35" s="29">
        <f t="shared" si="1"/>
        <v>225.66999999999999</v>
      </c>
      <c r="H35" s="29">
        <f t="shared" si="1"/>
        <v>73.150000000000006</v>
      </c>
      <c r="I35" s="29">
        <f t="shared" si="1"/>
        <v>1.1100000000000001</v>
      </c>
      <c r="J35" s="29">
        <f t="shared" si="1"/>
        <v>1.54</v>
      </c>
      <c r="K35" s="29">
        <f t="shared" si="1"/>
        <v>359.87</v>
      </c>
      <c r="L35" s="29">
        <f t="shared" si="1"/>
        <v>31.109999999999999</v>
      </c>
      <c r="M35" s="29">
        <f t="shared" si="1"/>
        <v>67</v>
      </c>
      <c r="N35" s="29">
        <f t="shared" si="1"/>
        <v>428.10000000000002</v>
      </c>
      <c r="O35" s="29">
        <f t="shared" si="1"/>
        <v>0</v>
      </c>
      <c r="P35" s="29">
        <f t="shared" si="1"/>
        <v>3.71</v>
      </c>
      <c r="Q35" s="29">
        <f t="shared" si="1"/>
        <v>49.579999999999998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32.192083333333343</v>
      </c>
      <c r="C36" s="28">
        <f t="shared" si="2"/>
        <v>89.395416666666677</v>
      </c>
      <c r="D36" s="28">
        <f t="shared" si="2"/>
        <v>75.032499999999999</v>
      </c>
      <c r="E36" s="28">
        <f t="shared" si="2"/>
        <v>7.7575000000000012</v>
      </c>
      <c r="F36" s="28">
        <f t="shared" si="2"/>
        <v>1.4529166666666671</v>
      </c>
      <c r="G36" s="28">
        <f t="shared" si="2"/>
        <v>116.92</v>
      </c>
      <c r="H36" s="28">
        <f t="shared" si="2"/>
        <v>33.469545454545454</v>
      </c>
      <c r="I36" s="28">
        <f t="shared" si="2"/>
        <v>0.48500000000000004</v>
      </c>
      <c r="J36" s="28">
        <f t="shared" si="2"/>
        <v>0.72208333333333341</v>
      </c>
      <c r="K36" s="28">
        <f t="shared" si="2"/>
        <v>141.38916666666665</v>
      </c>
      <c r="L36" s="28">
        <f t="shared" si="2"/>
        <v>22.001249999999999</v>
      </c>
      <c r="M36" s="28">
        <f t="shared" si="2"/>
        <v>44.291666666666664</v>
      </c>
      <c r="N36" s="28">
        <f t="shared" si="2"/>
        <v>151.74583333333334</v>
      </c>
      <c r="O36" s="28">
        <f t="shared" si="2"/>
        <v>0</v>
      </c>
      <c r="P36" s="28">
        <f t="shared" si="2"/>
        <v>1.5716666666666665</v>
      </c>
      <c r="Q36" s="28">
        <f t="shared" si="2"/>
        <v>40.395000000000003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31.990628788031383</v>
      </c>
      <c r="C37" s="28">
        <f t="shared" si="3" ref="C37:Q37">STDEV(C9:C32)</f>
        <v>20.831017211833661</v>
      </c>
      <c r="D37" s="28">
        <f t="shared" si="3"/>
        <v>36.653040712582943</v>
      </c>
      <c r="E37" s="28">
        <f t="shared" si="3"/>
        <v>3.612620691529842</v>
      </c>
      <c r="F37" s="28">
        <f t="shared" si="3"/>
        <v>0.93184006449449208</v>
      </c>
      <c r="G37" s="28">
        <f t="shared" si="3"/>
        <v>87.471245052937874</v>
      </c>
      <c r="H37" s="28">
        <f t="shared" si="3"/>
        <v>16.492561231477229</v>
      </c>
      <c r="I37" s="28">
        <f t="shared" si="3"/>
        <v>0.25842331298791943</v>
      </c>
      <c r="J37" s="28">
        <f t="shared" si="3"/>
        <v>0.47391963331410886</v>
      </c>
      <c r="K37" s="28">
        <f t="shared" si="3"/>
        <v>127.24044957469705</v>
      </c>
      <c r="L37" s="28">
        <f t="shared" si="3"/>
        <v>5.149572639507606</v>
      </c>
      <c r="M37" s="28">
        <f t="shared" si="3"/>
        <v>13.747661197665485</v>
      </c>
      <c r="N37" s="28">
        <f t="shared" si="3"/>
        <v>170.54706854877253</v>
      </c>
      <c r="O37" s="28">
        <f t="shared" si="3"/>
        <v>0</v>
      </c>
      <c r="P37" s="28">
        <f t="shared" si="3"/>
        <v>0.97985654081590445</v>
      </c>
      <c r="Q37" s="28">
        <f t="shared" si="3"/>
        <v>4.1928635021695886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COUNT(G9:G32)+4</f>
        <v>14</v>
      </c>
      <c r="H38" s="32">
        <f t="shared" si="4"/>
        <v>22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ba4e84-798f-41fe-b8e4-f32a487e7811}">
  <sheetPr codeName=""/>
  <dimension ref="A1:U119"/>
  <sheetViews>
    <sheetView workbookViewId="0" topLeftCell="A1">
      <pane xSplit="1" ySplit="8" topLeftCell="B13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22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494</v>
      </c>
      <c r="B9" s="51">
        <v>92.88</v>
      </c>
      <c r="C9" s="51">
        <v>124.82</v>
      </c>
      <c r="D9" s="51">
        <v>143.37</v>
      </c>
      <c r="E9" s="51">
        <v>5.47</v>
      </c>
      <c r="F9" s="51">
        <v>0.76</v>
      </c>
      <c r="G9" s="51">
        <v>149.22999999999999</v>
      </c>
      <c r="H9" s="51">
        <v>57.49</v>
      </c>
      <c r="I9" s="51">
        <v>1.02</v>
      </c>
      <c r="J9" s="51">
        <v>0.14000000000000001</v>
      </c>
      <c r="K9" s="51">
        <v>349.64</v>
      </c>
      <c r="L9" s="51">
        <v>16.489999999999998</v>
      </c>
      <c r="M9" s="51">
        <v>60</v>
      </c>
      <c r="N9" s="51">
        <v>24.20</v>
      </c>
      <c r="O9" s="51">
        <v>0</v>
      </c>
      <c r="P9" s="51">
        <v>3.44</v>
      </c>
      <c r="Q9" s="51">
        <v>46.79</v>
      </c>
      <c r="R9" s="43"/>
      <c r="S9" s="43"/>
      <c r="T9" s="43"/>
      <c r="U9" s="43"/>
    </row>
    <row r="10" spans="1:21" s="11" customFormat="1" ht="15">
      <c r="A10" s="50" t="s">
        <v>495</v>
      </c>
      <c r="B10" s="51">
        <v>72.97</v>
      </c>
      <c r="C10" s="51">
        <v>114.16</v>
      </c>
      <c r="D10" s="51">
        <v>121.52</v>
      </c>
      <c r="E10" s="51">
        <v>5.59</v>
      </c>
      <c r="F10" s="51">
        <v>0.60</v>
      </c>
      <c r="G10" s="51">
        <v>112.42</v>
      </c>
      <c r="H10" s="51">
        <v>44.98</v>
      </c>
      <c r="I10" s="51">
        <v>0.88</v>
      </c>
      <c r="J10" s="51">
        <v>0.21</v>
      </c>
      <c r="K10" s="51">
        <v>344.87</v>
      </c>
      <c r="L10" s="51">
        <v>17.29</v>
      </c>
      <c r="M10" s="51">
        <v>57</v>
      </c>
      <c r="N10" s="51">
        <v>24.60</v>
      </c>
      <c r="O10" s="51">
        <v>0</v>
      </c>
      <c r="P10" s="51">
        <v>2.96</v>
      </c>
      <c r="Q10" s="51">
        <v>44.17</v>
      </c>
      <c r="R10" s="43"/>
      <c r="S10" s="43"/>
      <c r="T10" s="43"/>
      <c r="U10" s="43"/>
    </row>
    <row r="11" spans="1:21" s="11" customFormat="1" ht="15">
      <c r="A11" s="50" t="s">
        <v>496</v>
      </c>
      <c r="B11" s="51">
        <v>52.64</v>
      </c>
      <c r="C11" s="51">
        <v>98.39</v>
      </c>
      <c r="D11" s="51">
        <v>96.51</v>
      </c>
      <c r="E11" s="51">
        <v>4.74</v>
      </c>
      <c r="F11" s="51">
        <v>0.56999999999999995</v>
      </c>
      <c r="G11" s="51">
        <v>79.52</v>
      </c>
      <c r="H11" s="51">
        <v>40.270000000000003</v>
      </c>
      <c r="I11" s="51">
        <v>0.76</v>
      </c>
      <c r="J11" s="51">
        <v>0.16</v>
      </c>
      <c r="K11" s="51">
        <v>346.63</v>
      </c>
      <c r="L11" s="51">
        <v>16.30</v>
      </c>
      <c r="M11" s="51">
        <v>74</v>
      </c>
      <c r="N11" s="51">
        <v>24.5</v>
      </c>
      <c r="O11" s="51">
        <v>0</v>
      </c>
      <c r="P11" s="51">
        <v>2.52</v>
      </c>
      <c r="Q11" s="51">
        <v>42.17</v>
      </c>
      <c r="R11" s="43"/>
      <c r="S11" s="43"/>
      <c r="T11" s="43"/>
      <c r="U11" s="43"/>
    </row>
    <row r="12" spans="1:21" s="11" customFormat="1" ht="15">
      <c r="A12" s="50" t="s">
        <v>497</v>
      </c>
      <c r="B12" s="51">
        <v>42.10</v>
      </c>
      <c r="C12" s="51">
        <v>87.72</v>
      </c>
      <c r="D12" s="51">
        <v>82.17</v>
      </c>
      <c r="E12" s="51">
        <v>4.34</v>
      </c>
      <c r="F12" s="51">
        <v>0.73</v>
      </c>
      <c r="G12" s="51">
        <v>105.01</v>
      </c>
      <c r="H12" s="51">
        <v>36.46</v>
      </c>
      <c r="I12" s="51">
        <v>0.66</v>
      </c>
      <c r="J12" s="51">
        <v>0.26</v>
      </c>
      <c r="K12" s="51">
        <v>81.260000000000005</v>
      </c>
      <c r="L12" s="51">
        <v>16.079999999999998</v>
      </c>
      <c r="M12" s="51">
        <v>77</v>
      </c>
      <c r="N12" s="51">
        <v>24.20</v>
      </c>
      <c r="O12" s="51">
        <v>0</v>
      </c>
      <c r="P12" s="51">
        <v>2.21</v>
      </c>
      <c r="Q12" s="51">
        <v>41.08</v>
      </c>
      <c r="R12" s="43"/>
      <c r="S12" s="43"/>
      <c r="T12" s="43"/>
      <c r="U12" s="43"/>
    </row>
    <row r="13" spans="1:21" s="11" customFormat="1" ht="15">
      <c r="A13" s="50" t="s">
        <v>498</v>
      </c>
      <c r="B13" s="51">
        <v>33.93</v>
      </c>
      <c r="C13" s="51">
        <v>82.32</v>
      </c>
      <c r="D13" s="51">
        <v>72.36</v>
      </c>
      <c r="E13" s="51">
        <v>5.19</v>
      </c>
      <c r="F13" s="51">
        <v>1.42</v>
      </c>
      <c r="G13" s="51">
        <v>103.14</v>
      </c>
      <c r="H13" s="51">
        <v>38.86</v>
      </c>
      <c r="I13" s="51">
        <v>0.59</v>
      </c>
      <c r="J13" s="51">
        <v>0.36</v>
      </c>
      <c r="K13" s="51">
        <v>267.64999999999998</v>
      </c>
      <c r="L13" s="51">
        <v>16.11</v>
      </c>
      <c r="M13" s="51">
        <v>58</v>
      </c>
      <c r="N13" s="51">
        <v>24.30</v>
      </c>
      <c r="O13" s="51">
        <v>0</v>
      </c>
      <c r="P13" s="51">
        <v>1.95</v>
      </c>
      <c r="Q13" s="51">
        <v>39.14</v>
      </c>
      <c r="R13" s="43"/>
      <c r="S13" s="43"/>
      <c r="T13" s="43"/>
      <c r="U13" s="43"/>
    </row>
    <row r="14" spans="1:21" s="11" customFormat="1" ht="15">
      <c r="A14" s="50" t="s">
        <v>499</v>
      </c>
      <c r="B14" s="51">
        <v>28.22</v>
      </c>
      <c r="C14" s="51">
        <v>81.739999999999995</v>
      </c>
      <c r="D14" s="51">
        <v>67.739999999999995</v>
      </c>
      <c r="E14" s="51">
        <v>5.13</v>
      </c>
      <c r="F14" s="51">
        <v>0.52</v>
      </c>
      <c r="G14" s="51">
        <v>69.22</v>
      </c>
      <c r="H14" s="51">
        <v>39.26</v>
      </c>
      <c r="I14" s="51">
        <v>0.5</v>
      </c>
      <c r="J14" s="51">
        <v>0.16</v>
      </c>
      <c r="K14" s="51">
        <v>225.97</v>
      </c>
      <c r="L14" s="51">
        <v>15.16</v>
      </c>
      <c r="M14" s="51">
        <v>61</v>
      </c>
      <c r="N14" s="51">
        <v>24.20</v>
      </c>
      <c r="O14" s="51">
        <v>0</v>
      </c>
      <c r="P14" s="51">
        <v>1.79</v>
      </c>
      <c r="Q14" s="51">
        <v>38.229999999999997</v>
      </c>
      <c r="R14" s="43"/>
      <c r="S14" s="43"/>
      <c r="T14" s="43"/>
      <c r="U14" s="43"/>
    </row>
    <row r="15" spans="1:21" s="11" customFormat="1" ht="15">
      <c r="A15" s="50" t="s">
        <v>500</v>
      </c>
      <c r="B15" s="51">
        <v>31</v>
      </c>
      <c r="C15" s="51">
        <v>81.45</v>
      </c>
      <c r="D15" s="51">
        <v>69.819999999999993</v>
      </c>
      <c r="E15" s="51">
        <v>4.9000000000000004</v>
      </c>
      <c r="F15" s="51">
        <v>0.82</v>
      </c>
      <c r="G15" s="51">
        <v>126.25</v>
      </c>
      <c r="H15" s="51">
        <v>47.64</v>
      </c>
      <c r="I15" s="51">
        <v>0.46</v>
      </c>
      <c r="J15" s="51">
        <v>0.18</v>
      </c>
      <c r="K15" s="51">
        <v>113.70</v>
      </c>
      <c r="L15" s="51">
        <v>14.96</v>
      </c>
      <c r="M15" s="51">
        <v>61</v>
      </c>
      <c r="N15" s="51">
        <v>37.299999999999997</v>
      </c>
      <c r="O15" s="51">
        <v>0</v>
      </c>
      <c r="P15" s="51">
        <v>1.65</v>
      </c>
      <c r="Q15" s="51">
        <v>38.65</v>
      </c>
      <c r="R15" s="43"/>
      <c r="S15" s="43"/>
      <c r="T15" s="43"/>
      <c r="U15" s="43"/>
    </row>
    <row r="16" spans="1:21" s="11" customFormat="1" ht="15">
      <c r="A16" s="50" t="s">
        <v>501</v>
      </c>
      <c r="B16" s="51">
        <v>28.73</v>
      </c>
      <c r="C16" s="51">
        <v>82.25</v>
      </c>
      <c r="D16" s="51">
        <v>67.760000000000005</v>
      </c>
      <c r="E16" s="51">
        <v>4.71</v>
      </c>
      <c r="F16" s="51">
        <v>1.32</v>
      </c>
      <c r="G16" s="51">
        <v>122.65</v>
      </c>
      <c r="H16" s="51">
        <v>42.59</v>
      </c>
      <c r="I16" s="51">
        <v>0.42</v>
      </c>
      <c r="J16" s="51">
        <v>0.61</v>
      </c>
      <c r="K16" s="51">
        <v>111.56</v>
      </c>
      <c r="L16" s="51">
        <v>18.16</v>
      </c>
      <c r="M16" s="51">
        <v>57</v>
      </c>
      <c r="N16" s="51">
        <v>197</v>
      </c>
      <c r="O16" s="51">
        <v>0</v>
      </c>
      <c r="P16" s="51">
        <v>1.5</v>
      </c>
      <c r="Q16" s="51">
        <v>36.380000000000003</v>
      </c>
      <c r="R16" s="43"/>
      <c r="S16" s="43"/>
      <c r="T16" s="43"/>
      <c r="U16" s="43"/>
    </row>
    <row r="17" spans="1:21" s="11" customFormat="1" ht="15">
      <c r="A17" s="50" t="s">
        <v>502</v>
      </c>
      <c r="B17" s="51">
        <v>28.11</v>
      </c>
      <c r="C17" s="51">
        <v>87.40</v>
      </c>
      <c r="D17" s="51">
        <v>70.27</v>
      </c>
      <c r="E17" s="51">
        <v>6.19</v>
      </c>
      <c r="F17" s="51">
        <v>1.1200000000000001</v>
      </c>
      <c r="G17" s="51">
        <v>117.10</v>
      </c>
      <c r="H17" s="51">
        <v>38.56</v>
      </c>
      <c r="I17" s="51">
        <v>0.41</v>
      </c>
      <c r="J17" s="51">
        <v>0.70</v>
      </c>
      <c r="K17" s="51">
        <v>91.40</v>
      </c>
      <c r="L17" s="51">
        <v>25.43</v>
      </c>
      <c r="M17" s="51">
        <v>44</v>
      </c>
      <c r="N17" s="51">
        <v>324</v>
      </c>
      <c r="O17" s="51">
        <v>0</v>
      </c>
      <c r="P17" s="51">
        <v>1.49</v>
      </c>
      <c r="Q17" s="51">
        <v>36.72</v>
      </c>
      <c r="R17" s="43"/>
      <c r="S17" s="43"/>
      <c r="T17" s="43"/>
      <c r="U17" s="43"/>
    </row>
    <row r="18" spans="1:21" s="11" customFormat="1" ht="15">
      <c r="A18" s="50" t="s">
        <v>503</v>
      </c>
      <c r="B18" s="51">
        <v>26.09</v>
      </c>
      <c r="C18" s="51">
        <v>87.03</v>
      </c>
      <c r="D18" s="51">
        <v>68.95</v>
      </c>
      <c r="E18" s="51">
        <v>6</v>
      </c>
      <c r="F18" s="51">
        <v>0.82</v>
      </c>
      <c r="G18" s="51">
        <v>66.680000000000007</v>
      </c>
      <c r="H18" s="51">
        <v>37.950000000000003</v>
      </c>
      <c r="I18" s="51">
        <v>0.43</v>
      </c>
      <c r="J18" s="51">
        <v>1.62</v>
      </c>
      <c r="K18" s="51">
        <v>137.91</v>
      </c>
      <c r="L18" s="51">
        <v>22.25</v>
      </c>
      <c r="M18" s="51">
        <v>40</v>
      </c>
      <c r="N18" s="51">
        <v>365.90</v>
      </c>
      <c r="O18" s="51">
        <v>0</v>
      </c>
      <c r="P18" s="51">
        <v>1.46</v>
      </c>
      <c r="Q18" s="51">
        <v>37.880000000000003</v>
      </c>
      <c r="R18" s="43"/>
      <c r="S18" s="43"/>
      <c r="T18" s="43"/>
      <c r="U18" s="43"/>
    </row>
    <row r="19" spans="1:21" s="11" customFormat="1" ht="15">
      <c r="A19" s="50" t="s">
        <v>504</v>
      </c>
      <c r="B19" s="51">
        <v>17.079999999999998</v>
      </c>
      <c r="C19" s="51">
        <v>82.68</v>
      </c>
      <c r="D19" s="51">
        <v>58.57</v>
      </c>
      <c r="E19" s="51">
        <v>8.76</v>
      </c>
      <c r="F19" s="51">
        <v>2.61</v>
      </c>
      <c r="G19" s="51">
        <v>128.41</v>
      </c>
      <c r="H19" s="51">
        <v>35.340000000000003</v>
      </c>
      <c r="I19" s="51">
        <v>0.43</v>
      </c>
      <c r="J19" s="51">
        <v>0.97</v>
      </c>
      <c r="K19" s="51">
        <v>127.13</v>
      </c>
      <c r="L19" s="51">
        <v>25.61</v>
      </c>
      <c r="M19" s="51">
        <v>39</v>
      </c>
      <c r="N19" s="51">
        <v>408.80</v>
      </c>
      <c r="O19" s="51">
        <v>0</v>
      </c>
      <c r="P19" s="51">
        <v>1.32</v>
      </c>
      <c r="Q19" s="51">
        <v>38.24</v>
      </c>
      <c r="R19" s="43"/>
      <c r="S19" s="43"/>
      <c r="T19" s="43"/>
      <c r="U19" s="43"/>
    </row>
    <row r="20" spans="1:21" s="11" customFormat="1" ht="15">
      <c r="A20" s="50" t="s">
        <v>505</v>
      </c>
      <c r="B20" s="51">
        <v>6.40</v>
      </c>
      <c r="C20" s="51">
        <v>83.71</v>
      </c>
      <c r="D20" s="51">
        <v>79.09</v>
      </c>
      <c r="E20" s="51">
        <v>6.28</v>
      </c>
      <c r="F20" s="51">
        <v>2.27</v>
      </c>
      <c r="G20" s="58" t="s">
        <v>12</v>
      </c>
      <c r="H20" s="58" t="s">
        <v>12</v>
      </c>
      <c r="I20" s="51">
        <v>0.36</v>
      </c>
      <c r="J20" s="51">
        <v>1.56</v>
      </c>
      <c r="K20" s="51">
        <v>136.08000000000001</v>
      </c>
      <c r="L20" s="51">
        <v>25.93</v>
      </c>
      <c r="M20" s="51">
        <v>30</v>
      </c>
      <c r="N20" s="51">
        <v>420.5</v>
      </c>
      <c r="O20" s="51">
        <v>0</v>
      </c>
      <c r="P20" s="51">
        <v>1.1399999999999999</v>
      </c>
      <c r="Q20" s="51">
        <v>34.630000000000003</v>
      </c>
      <c r="R20" s="43"/>
      <c r="S20" s="43"/>
      <c r="T20" s="43"/>
      <c r="U20" s="43"/>
    </row>
    <row r="21" spans="1:21" s="11" customFormat="1" ht="15">
      <c r="A21" s="50" t="s">
        <v>506</v>
      </c>
      <c r="B21" s="51">
        <v>5.5</v>
      </c>
      <c r="C21" s="51">
        <v>71.70</v>
      </c>
      <c r="D21" s="51">
        <v>77.20</v>
      </c>
      <c r="E21" s="51">
        <v>24.02</v>
      </c>
      <c r="F21" s="51">
        <v>11.40</v>
      </c>
      <c r="G21" s="58" t="s">
        <v>12</v>
      </c>
      <c r="H21" s="58" t="s">
        <v>12</v>
      </c>
      <c r="I21" s="51">
        <v>0.24</v>
      </c>
      <c r="J21" s="51">
        <v>1</v>
      </c>
      <c r="K21" s="51">
        <v>127.30</v>
      </c>
      <c r="L21" s="51">
        <v>29.70</v>
      </c>
      <c r="M21" s="51">
        <v>27</v>
      </c>
      <c r="N21" s="51">
        <v>409.40</v>
      </c>
      <c r="O21" s="51">
        <v>0</v>
      </c>
      <c r="P21" s="51">
        <v>0.76</v>
      </c>
      <c r="Q21" s="51">
        <v>28.95</v>
      </c>
      <c r="R21" s="43"/>
      <c r="S21" s="43"/>
      <c r="T21" s="43"/>
      <c r="U21" s="43"/>
    </row>
    <row r="22" spans="1:21" s="11" customFormat="1" ht="15">
      <c r="A22" s="50" t="s">
        <v>507</v>
      </c>
      <c r="B22" s="51">
        <v>5.03</v>
      </c>
      <c r="C22" s="51">
        <v>75.349999999999994</v>
      </c>
      <c r="D22" s="51">
        <v>80.010000000000005</v>
      </c>
      <c r="E22" s="51">
        <v>9.68</v>
      </c>
      <c r="F22" s="51">
        <v>2.36</v>
      </c>
      <c r="G22" s="51">
        <v>28.35</v>
      </c>
      <c r="H22" s="51">
        <v>27.04</v>
      </c>
      <c r="I22" s="51">
        <v>0.22</v>
      </c>
      <c r="J22" s="51">
        <v>0.72</v>
      </c>
      <c r="K22" s="51">
        <v>357.76</v>
      </c>
      <c r="L22" s="51">
        <v>31.63</v>
      </c>
      <c r="M22" s="51">
        <v>21</v>
      </c>
      <c r="N22" s="51">
        <v>396.5</v>
      </c>
      <c r="O22" s="51">
        <v>0</v>
      </c>
      <c r="P22" s="51">
        <v>0.74</v>
      </c>
      <c r="Q22" s="51">
        <v>31.95</v>
      </c>
      <c r="R22" s="43"/>
      <c r="S22" s="43"/>
      <c r="T22" s="43"/>
      <c r="U22" s="43"/>
    </row>
    <row r="23" spans="1:21" s="11" customFormat="1" ht="15">
      <c r="A23" s="50" t="s">
        <v>508</v>
      </c>
      <c r="B23" s="51">
        <v>6.32</v>
      </c>
      <c r="C23" s="51">
        <v>78.36</v>
      </c>
      <c r="D23" s="51">
        <v>84.68</v>
      </c>
      <c r="E23" s="51">
        <v>8.7799999999999994</v>
      </c>
      <c r="F23" s="51">
        <v>3.25</v>
      </c>
      <c r="G23" s="51">
        <v>40.31</v>
      </c>
      <c r="H23" s="51">
        <v>28.65</v>
      </c>
      <c r="I23" s="51">
        <v>0.23</v>
      </c>
      <c r="J23" s="51">
        <v>1.1599999999999999</v>
      </c>
      <c r="K23" s="51">
        <v>127.82</v>
      </c>
      <c r="L23" s="51">
        <v>30.20</v>
      </c>
      <c r="M23" s="51">
        <v>22</v>
      </c>
      <c r="N23" s="51">
        <v>332.70</v>
      </c>
      <c r="O23" s="51">
        <v>0</v>
      </c>
      <c r="P23" s="51">
        <v>0.79</v>
      </c>
      <c r="Q23" s="51">
        <v>33.11</v>
      </c>
      <c r="R23" s="43"/>
      <c r="S23" s="43"/>
      <c r="T23" s="43"/>
      <c r="U23" s="43"/>
    </row>
    <row r="24" spans="1:21" s="11" customFormat="1" ht="15">
      <c r="A24" s="50" t="s">
        <v>509</v>
      </c>
      <c r="B24" s="51">
        <v>8.26</v>
      </c>
      <c r="C24" s="51">
        <v>74.33</v>
      </c>
      <c r="D24" s="51">
        <v>81.11</v>
      </c>
      <c r="E24" s="51">
        <v>11.93</v>
      </c>
      <c r="F24" s="51">
        <v>2.57</v>
      </c>
      <c r="G24" s="51">
        <v>56.04</v>
      </c>
      <c r="H24" s="51">
        <v>28.65</v>
      </c>
      <c r="I24" s="51">
        <v>0.21</v>
      </c>
      <c r="J24" s="51">
        <v>1.0900000000000001</v>
      </c>
      <c r="K24" s="51">
        <v>119.49</v>
      </c>
      <c r="L24" s="51">
        <v>27.28</v>
      </c>
      <c r="M24" s="51">
        <v>24</v>
      </c>
      <c r="N24" s="51">
        <v>228.10</v>
      </c>
      <c r="O24" s="51">
        <v>0</v>
      </c>
      <c r="P24" s="51">
        <v>0.74</v>
      </c>
      <c r="Q24" s="51">
        <v>34.76</v>
      </c>
      <c r="R24" s="43"/>
      <c r="S24" s="43"/>
      <c r="T24" s="43"/>
      <c r="U24" s="43"/>
    </row>
    <row r="25" spans="1:21" s="11" customFormat="1" ht="15">
      <c r="A25" s="50" t="s">
        <v>510</v>
      </c>
      <c r="B25" s="51">
        <v>39.24</v>
      </c>
      <c r="C25" s="51">
        <v>118</v>
      </c>
      <c r="D25" s="51">
        <v>103.46</v>
      </c>
      <c r="E25" s="51">
        <v>57.08</v>
      </c>
      <c r="F25" s="51">
        <v>2.79</v>
      </c>
      <c r="G25" s="51">
        <v>56.04</v>
      </c>
      <c r="H25" s="51">
        <v>27.36</v>
      </c>
      <c r="I25" s="51">
        <v>0.23</v>
      </c>
      <c r="J25" s="51">
        <v>0.5</v>
      </c>
      <c r="K25" s="51">
        <v>92.12</v>
      </c>
      <c r="L25" s="51">
        <v>26.73</v>
      </c>
      <c r="M25" s="51">
        <v>28</v>
      </c>
      <c r="N25" s="51">
        <v>57.60</v>
      </c>
      <c r="O25" s="51">
        <v>0</v>
      </c>
      <c r="P25" s="51">
        <v>1.57</v>
      </c>
      <c r="Q25" s="51">
        <v>36.94</v>
      </c>
      <c r="R25" s="43"/>
      <c r="S25" s="43"/>
      <c r="T25" s="43"/>
      <c r="U25" s="43"/>
    </row>
    <row r="26" spans="1:21" s="11" customFormat="1" ht="15">
      <c r="A26" s="50" t="s">
        <v>511</v>
      </c>
      <c r="B26" s="51">
        <v>58.06</v>
      </c>
      <c r="C26" s="51">
        <v>123.26</v>
      </c>
      <c r="D26" s="51">
        <v>114.58</v>
      </c>
      <c r="E26" s="51">
        <v>16.96</v>
      </c>
      <c r="F26" s="51">
        <v>1.06</v>
      </c>
      <c r="G26" s="51">
        <v>64.17</v>
      </c>
      <c r="H26" s="51">
        <v>28.47</v>
      </c>
      <c r="I26" s="51">
        <v>0.48</v>
      </c>
      <c r="J26" s="51">
        <v>0.15</v>
      </c>
      <c r="K26" s="51">
        <v>86.5</v>
      </c>
      <c r="L26" s="51">
        <v>24.92</v>
      </c>
      <c r="M26" s="51">
        <v>37</v>
      </c>
      <c r="N26" s="51">
        <v>29.80</v>
      </c>
      <c r="O26" s="51">
        <v>0</v>
      </c>
      <c r="P26" s="51">
        <v>2.08</v>
      </c>
      <c r="Q26" s="51">
        <v>37.32</v>
      </c>
      <c r="R26" s="43"/>
      <c r="S26" s="43"/>
      <c r="T26" s="43"/>
      <c r="U26" s="43"/>
    </row>
    <row r="27" spans="1:21" s="11" customFormat="1" ht="15">
      <c r="A27" s="50" t="s">
        <v>512</v>
      </c>
      <c r="B27" s="51">
        <v>69.84</v>
      </c>
      <c r="C27" s="51">
        <v>136.37</v>
      </c>
      <c r="D27" s="51">
        <v>131.26</v>
      </c>
      <c r="E27" s="51">
        <v>7.72</v>
      </c>
      <c r="F27" s="51">
        <v>1.25</v>
      </c>
      <c r="G27" s="51">
        <v>135.37</v>
      </c>
      <c r="H27" s="51">
        <v>43.32</v>
      </c>
      <c r="I27" s="51">
        <v>0.66</v>
      </c>
      <c r="J27" s="51">
        <v>0.26</v>
      </c>
      <c r="K27" s="51">
        <v>290.36</v>
      </c>
      <c r="L27" s="51">
        <v>23.01</v>
      </c>
      <c r="M27" s="51">
        <v>43</v>
      </c>
      <c r="N27" s="51">
        <v>24.5</v>
      </c>
      <c r="O27" s="51">
        <v>0</v>
      </c>
      <c r="P27" s="51">
        <v>2.74</v>
      </c>
      <c r="Q27" s="51">
        <v>39.22</v>
      </c>
      <c r="R27" s="43"/>
      <c r="S27" s="43"/>
      <c r="T27" s="43"/>
      <c r="U27" s="43"/>
    </row>
    <row r="28" spans="1:21" s="11" customFormat="1" ht="15">
      <c r="A28" s="50" t="s">
        <v>513</v>
      </c>
      <c r="B28" s="51">
        <v>73.63</v>
      </c>
      <c r="C28" s="51">
        <v>136.79</v>
      </c>
      <c r="D28" s="51">
        <v>132.54</v>
      </c>
      <c r="E28" s="51">
        <v>7.32</v>
      </c>
      <c r="F28" s="51">
        <v>0.74</v>
      </c>
      <c r="G28" s="51">
        <v>151.06</v>
      </c>
      <c r="H28" s="51">
        <v>58.45</v>
      </c>
      <c r="I28" s="51">
        <v>0.91</v>
      </c>
      <c r="J28" s="51">
        <v>0.11</v>
      </c>
      <c r="K28" s="51">
        <v>300.73</v>
      </c>
      <c r="L28" s="51">
        <v>20.85</v>
      </c>
      <c r="M28" s="51">
        <v>50</v>
      </c>
      <c r="N28" s="51">
        <v>24.30</v>
      </c>
      <c r="O28" s="51">
        <v>0</v>
      </c>
      <c r="P28" s="51">
        <v>2.99</v>
      </c>
      <c r="Q28" s="51">
        <v>41.12</v>
      </c>
      <c r="R28" s="43"/>
      <c r="S28" s="43"/>
      <c r="T28" s="43"/>
      <c r="U28" s="43"/>
    </row>
    <row r="29" spans="1:21" s="11" customFormat="1" ht="15">
      <c r="A29" s="50" t="s">
        <v>514</v>
      </c>
      <c r="B29" s="51">
        <v>101.41</v>
      </c>
      <c r="C29" s="51">
        <v>133.5</v>
      </c>
      <c r="D29" s="51">
        <v>155</v>
      </c>
      <c r="E29" s="51">
        <v>6.59</v>
      </c>
      <c r="F29" s="51">
        <v>0.23</v>
      </c>
      <c r="G29" s="51">
        <v>207.66</v>
      </c>
      <c r="H29" s="51">
        <v>74.73</v>
      </c>
      <c r="I29" s="51">
        <v>1.0900000000000001</v>
      </c>
      <c r="J29" s="51">
        <v>0.13</v>
      </c>
      <c r="K29" s="51">
        <v>343</v>
      </c>
      <c r="L29" s="51">
        <v>19.47</v>
      </c>
      <c r="M29" s="51">
        <v>61</v>
      </c>
      <c r="N29" s="51">
        <v>24.10</v>
      </c>
      <c r="O29" s="51">
        <v>0</v>
      </c>
      <c r="P29" s="51">
        <v>3.59</v>
      </c>
      <c r="Q29" s="51">
        <v>46.22</v>
      </c>
      <c r="R29" s="43"/>
      <c r="S29" s="43"/>
      <c r="T29" s="43"/>
      <c r="U29" s="43"/>
    </row>
    <row r="30" spans="1:21" s="11" customFormat="1" ht="15">
      <c r="A30" s="50" t="s">
        <v>515</v>
      </c>
      <c r="B30" s="51">
        <v>153.76</v>
      </c>
      <c r="C30" s="51">
        <v>154.33000000000001</v>
      </c>
      <c r="D30" s="51">
        <v>208.47</v>
      </c>
      <c r="E30" s="51">
        <v>6.90</v>
      </c>
      <c r="F30" s="51">
        <v>0.22</v>
      </c>
      <c r="G30" s="51">
        <v>220.23</v>
      </c>
      <c r="H30" s="51">
        <v>82.55</v>
      </c>
      <c r="I30" s="51">
        <v>1.33</v>
      </c>
      <c r="J30" s="51">
        <v>0.11</v>
      </c>
      <c r="K30" s="51">
        <v>334.80</v>
      </c>
      <c r="L30" s="51">
        <v>17.98</v>
      </c>
      <c r="M30" s="51">
        <v>63</v>
      </c>
      <c r="N30" s="51">
        <v>24.10</v>
      </c>
      <c r="O30" s="51">
        <v>0</v>
      </c>
      <c r="P30" s="51">
        <v>4.5199999999999996</v>
      </c>
      <c r="Q30" s="51">
        <v>50.83</v>
      </c>
      <c r="R30" s="43"/>
      <c r="S30" s="43"/>
      <c r="T30" s="43"/>
      <c r="U30" s="43"/>
    </row>
    <row r="31" spans="1:21" s="11" customFormat="1" ht="15">
      <c r="A31" s="50" t="s">
        <v>516</v>
      </c>
      <c r="B31" s="51">
        <v>213.20</v>
      </c>
      <c r="C31" s="51">
        <v>175.83</v>
      </c>
      <c r="D31" s="51">
        <v>268.01</v>
      </c>
      <c r="E31" s="51">
        <v>7.73</v>
      </c>
      <c r="F31" s="51">
        <v>0.33</v>
      </c>
      <c r="G31" s="51">
        <v>232.39</v>
      </c>
      <c r="H31" s="51">
        <v>88.75</v>
      </c>
      <c r="I31" s="51">
        <v>1.62</v>
      </c>
      <c r="J31" s="51">
        <v>0.14000000000000001</v>
      </c>
      <c r="K31" s="51">
        <v>342.83</v>
      </c>
      <c r="L31" s="51">
        <v>17.63</v>
      </c>
      <c r="M31" s="51">
        <v>68</v>
      </c>
      <c r="N31" s="51">
        <v>24.10</v>
      </c>
      <c r="O31" s="51">
        <v>0</v>
      </c>
      <c r="P31" s="51">
        <v>4.93</v>
      </c>
      <c r="Q31" s="51">
        <v>53.89</v>
      </c>
      <c r="R31" s="43"/>
      <c r="S31" s="43"/>
      <c r="T31" s="43"/>
      <c r="U31" s="43"/>
    </row>
    <row r="32" spans="1:21" s="11" customFormat="1" ht="15">
      <c r="A32" s="50" t="s">
        <v>517</v>
      </c>
      <c r="B32" s="51">
        <v>216.41</v>
      </c>
      <c r="C32" s="51">
        <v>174.13</v>
      </c>
      <c r="D32" s="51">
        <v>268.74</v>
      </c>
      <c r="E32" s="51">
        <v>7.92</v>
      </c>
      <c r="F32" s="51">
        <v>2.2000000000000002</v>
      </c>
      <c r="G32" s="51">
        <v>232.39</v>
      </c>
      <c r="H32" s="51">
        <v>91.74</v>
      </c>
      <c r="I32" s="51">
        <v>1.75</v>
      </c>
      <c r="J32" s="51">
        <v>0.15</v>
      </c>
      <c r="K32" s="51">
        <v>330.76</v>
      </c>
      <c r="L32" s="51">
        <v>16.809999999999999</v>
      </c>
      <c r="M32" s="51">
        <v>72</v>
      </c>
      <c r="N32" s="51">
        <v>24.20</v>
      </c>
      <c r="O32" s="51">
        <v>0</v>
      </c>
      <c r="P32" s="51">
        <v>5.0599999999999996</v>
      </c>
      <c r="Q32" s="51">
        <v>55.20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5.0300000000000002</v>
      </c>
      <c r="C34" s="28">
        <f t="shared" si="0"/>
        <v>71.700000000000003</v>
      </c>
      <c r="D34" s="28">
        <f t="shared" si="0"/>
        <v>58.57</v>
      </c>
      <c r="E34" s="28">
        <f t="shared" si="0"/>
        <v>4.3399999999999999</v>
      </c>
      <c r="F34" s="28">
        <f t="shared" si="0"/>
        <v>0.22</v>
      </c>
      <c r="G34" s="28">
        <f t="shared" si="0"/>
        <v>28.350000000000001</v>
      </c>
      <c r="H34" s="28">
        <f t="shared" si="0"/>
        <v>27.039999999999999</v>
      </c>
      <c r="I34" s="28">
        <f t="shared" si="0"/>
        <v>0.20999999999999999</v>
      </c>
      <c r="J34" s="28">
        <f t="shared" si="0"/>
        <v>0.11</v>
      </c>
      <c r="K34" s="28">
        <f t="shared" si="0"/>
        <v>81.260000000000005</v>
      </c>
      <c r="L34" s="28">
        <f t="shared" si="0"/>
        <v>14.960000000000001</v>
      </c>
      <c r="M34" s="28">
        <f t="shared" si="0"/>
        <v>21</v>
      </c>
      <c r="N34" s="28">
        <f t="shared" si="0"/>
        <v>24.100000000000001</v>
      </c>
      <c r="O34" s="28">
        <f t="shared" si="0"/>
        <v>0</v>
      </c>
      <c r="P34" s="28">
        <f t="shared" si="0"/>
        <v>0.73999999999999999</v>
      </c>
      <c r="Q34" s="28">
        <f t="shared" si="0"/>
        <v>28.949999999999999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216.41</v>
      </c>
      <c r="C35" s="29">
        <f t="shared" si="1"/>
        <v>175.83000000000001</v>
      </c>
      <c r="D35" s="29">
        <f t="shared" si="1"/>
        <v>268.74000000000001</v>
      </c>
      <c r="E35" s="29">
        <f t="shared" si="1"/>
        <v>57.079999999999998</v>
      </c>
      <c r="F35" s="29">
        <f t="shared" si="1"/>
        <v>11.4</v>
      </c>
      <c r="G35" s="29">
        <f t="shared" si="1"/>
        <v>232.38999999999999</v>
      </c>
      <c r="H35" s="29">
        <f t="shared" si="1"/>
        <v>91.739999999999995</v>
      </c>
      <c r="I35" s="29">
        <f t="shared" si="1"/>
        <v>1.75</v>
      </c>
      <c r="J35" s="29">
        <f t="shared" si="1"/>
        <v>1.6200000000000001</v>
      </c>
      <c r="K35" s="29">
        <f t="shared" si="1"/>
        <v>357.75999999999999</v>
      </c>
      <c r="L35" s="29">
        <f t="shared" si="1"/>
        <v>31.629999999999999</v>
      </c>
      <c r="M35" s="29">
        <f t="shared" si="1"/>
        <v>77</v>
      </c>
      <c r="N35" s="29">
        <f t="shared" si="1"/>
        <v>420.5</v>
      </c>
      <c r="O35" s="29">
        <f t="shared" si="1"/>
        <v>0</v>
      </c>
      <c r="P35" s="29">
        <f t="shared" si="1"/>
        <v>5.0599999999999996</v>
      </c>
      <c r="Q35" s="29">
        <f t="shared" si="1"/>
        <v>55.200000000000003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58.783749999999998</v>
      </c>
      <c r="C36" s="28">
        <f t="shared" si="2"/>
        <v>106.0675</v>
      </c>
      <c r="D36" s="28">
        <f t="shared" si="2"/>
        <v>112.63291666666665</v>
      </c>
      <c r="E36" s="28">
        <f t="shared" si="2"/>
        <v>9.9970833333333342</v>
      </c>
      <c r="F36" s="28">
        <f t="shared" si="2"/>
        <v>1.7483333333333333</v>
      </c>
      <c r="G36" s="28">
        <f t="shared" si="2"/>
        <v>118.3472727272727</v>
      </c>
      <c r="H36" s="28">
        <f t="shared" si="2"/>
        <v>47.232272727272736</v>
      </c>
      <c r="I36" s="28">
        <f t="shared" si="2"/>
        <v>0.66208333333333336</v>
      </c>
      <c r="J36" s="28">
        <f t="shared" si="2"/>
        <v>0.51875000000000004</v>
      </c>
      <c r="K36" s="28">
        <f t="shared" si="2"/>
        <v>216.13624999999999</v>
      </c>
      <c r="L36" s="28">
        <f t="shared" si="2"/>
        <v>21.499166666666664</v>
      </c>
      <c r="M36" s="28">
        <f t="shared" si="2"/>
        <v>48.916666666666664</v>
      </c>
      <c r="N36" s="28">
        <f t="shared" si="2"/>
        <v>145.78749999999997</v>
      </c>
      <c r="O36" s="28">
        <f t="shared" si="2"/>
        <v>0</v>
      </c>
      <c r="P36" s="28">
        <f t="shared" si="2"/>
        <v>2.2474999999999996</v>
      </c>
      <c r="Q36" s="28">
        <f t="shared" si="2"/>
        <v>40.149583333333339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59.958929335547829</v>
      </c>
      <c r="C37" s="28">
        <f t="shared" si="3" ref="C37:Q37">STDEV(C9:C32)</f>
        <v>32.087100110141797</v>
      </c>
      <c r="D37" s="28">
        <f t="shared" si="3"/>
        <v>59.659690089355777</v>
      </c>
      <c r="E37" s="28">
        <f t="shared" si="3"/>
        <v>10.94721226342943</v>
      </c>
      <c r="F37" s="28">
        <f t="shared" si="3"/>
        <v>2.2437714110237557</v>
      </c>
      <c r="G37" s="28">
        <f t="shared" si="3"/>
        <v>61.25259335087614</v>
      </c>
      <c r="H37" s="28">
        <f t="shared" si="3"/>
        <v>20.032713943000275</v>
      </c>
      <c r="I37" s="28">
        <f t="shared" si="3"/>
        <v>0.43514094834609202</v>
      </c>
      <c r="J37" s="28">
        <f t="shared" si="3"/>
        <v>0.47651189592340903</v>
      </c>
      <c r="K37" s="28">
        <f t="shared" si="3"/>
        <v>110.16013588181529</v>
      </c>
      <c r="L37" s="28">
        <f t="shared" si="3"/>
        <v>5.3125421055450133</v>
      </c>
      <c r="M37" s="28">
        <f t="shared" si="3"/>
        <v>17.529891655377551</v>
      </c>
      <c r="N37" s="28">
        <f t="shared" si="3"/>
        <v>163.08411356666875</v>
      </c>
      <c r="O37" s="28">
        <f t="shared" si="3"/>
        <v>0</v>
      </c>
      <c r="P37" s="28">
        <f t="shared" si="3"/>
        <v>1.2977446992177726</v>
      </c>
      <c r="Q37" s="28">
        <f t="shared" si="3"/>
        <v>6.577335577352069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f2c669-30d2-4acc-b0ca-c63748783cd0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518</v>
      </c>
      <c r="B9" s="51">
        <v>207.76</v>
      </c>
      <c r="C9" s="51">
        <v>162.44</v>
      </c>
      <c r="D9" s="51">
        <v>256.26</v>
      </c>
      <c r="E9" s="51">
        <v>6.74</v>
      </c>
      <c r="F9" s="51">
        <v>1.25</v>
      </c>
      <c r="G9" s="51">
        <v>197.24</v>
      </c>
      <c r="H9" s="51">
        <v>91.74</v>
      </c>
      <c r="I9" s="51">
        <v>1.78</v>
      </c>
      <c r="J9" s="51">
        <v>0.17</v>
      </c>
      <c r="K9" s="51">
        <v>286.56</v>
      </c>
      <c r="L9" s="51">
        <v>16.510000000000002</v>
      </c>
      <c r="M9" s="51">
        <v>74</v>
      </c>
      <c r="N9" s="51">
        <v>24.20</v>
      </c>
      <c r="O9" s="51">
        <v>0</v>
      </c>
      <c r="P9" s="51">
        <v>4.92</v>
      </c>
      <c r="Q9" s="51">
        <v>54.5</v>
      </c>
      <c r="R9" s="43"/>
      <c r="S9" s="43"/>
      <c r="T9" s="43"/>
      <c r="U9" s="43"/>
    </row>
    <row r="10" spans="1:21" s="11" customFormat="1" ht="15">
      <c r="A10" s="50" t="s">
        <v>519</v>
      </c>
      <c r="B10" s="51">
        <v>174.25</v>
      </c>
      <c r="C10" s="51">
        <v>139.66</v>
      </c>
      <c r="D10" s="51">
        <v>216.81</v>
      </c>
      <c r="E10" s="51">
        <v>6.28</v>
      </c>
      <c r="F10" s="51">
        <v>0.22</v>
      </c>
      <c r="G10" s="51">
        <v>181.70</v>
      </c>
      <c r="H10" s="51">
        <v>87.78</v>
      </c>
      <c r="I10" s="51">
        <v>1.62</v>
      </c>
      <c r="J10" s="51">
        <v>0.14000000000000001</v>
      </c>
      <c r="K10" s="51">
        <v>356.58</v>
      </c>
      <c r="L10" s="51">
        <v>15.26</v>
      </c>
      <c r="M10" s="51">
        <v>77</v>
      </c>
      <c r="N10" s="51">
        <v>24.40</v>
      </c>
      <c r="O10" s="51">
        <v>0</v>
      </c>
      <c r="P10" s="51">
        <v>3.98</v>
      </c>
      <c r="Q10" s="51">
        <v>52.86</v>
      </c>
      <c r="R10" s="43"/>
      <c r="S10" s="43"/>
      <c r="T10" s="43"/>
      <c r="U10" s="43"/>
    </row>
    <row r="11" spans="1:21" s="11" customFormat="1" ht="15">
      <c r="A11" s="50" t="s">
        <v>520</v>
      </c>
      <c r="B11" s="51">
        <v>137.94</v>
      </c>
      <c r="C11" s="51">
        <v>121.33</v>
      </c>
      <c r="D11" s="51">
        <v>177.58</v>
      </c>
      <c r="E11" s="51">
        <v>5.75</v>
      </c>
      <c r="F11" s="51">
        <v>1.64</v>
      </c>
      <c r="G11" s="51">
        <v>140.38</v>
      </c>
      <c r="H11" s="51">
        <v>79.87</v>
      </c>
      <c r="I11" s="51">
        <v>1.23</v>
      </c>
      <c r="J11" s="51">
        <v>0.22</v>
      </c>
      <c r="K11" s="51">
        <v>309.64999999999998</v>
      </c>
      <c r="L11" s="51">
        <v>15.82</v>
      </c>
      <c r="M11" s="51">
        <v>77</v>
      </c>
      <c r="N11" s="51">
        <v>24.40</v>
      </c>
      <c r="O11" s="51">
        <v>0</v>
      </c>
      <c r="P11" s="51">
        <v>3.53</v>
      </c>
      <c r="Q11" s="51">
        <v>48.06</v>
      </c>
      <c r="R11" s="43"/>
      <c r="S11" s="43"/>
      <c r="T11" s="43"/>
      <c r="U11" s="43"/>
    </row>
    <row r="12" spans="1:21" s="11" customFormat="1" ht="15">
      <c r="A12" s="50" t="s">
        <v>521</v>
      </c>
      <c r="B12" s="51">
        <v>110.24</v>
      </c>
      <c r="C12" s="51">
        <v>108.08</v>
      </c>
      <c r="D12" s="51">
        <v>148.05000000000001</v>
      </c>
      <c r="E12" s="51">
        <v>5.43</v>
      </c>
      <c r="F12" s="51">
        <v>0.53</v>
      </c>
      <c r="G12" s="51">
        <v>134.36000000000001</v>
      </c>
      <c r="H12" s="51">
        <v>73.89</v>
      </c>
      <c r="I12" s="51">
        <v>1.06</v>
      </c>
      <c r="J12" s="51">
        <v>0.15</v>
      </c>
      <c r="K12" s="51">
        <v>333.30</v>
      </c>
      <c r="L12" s="51">
        <v>14.65</v>
      </c>
      <c r="M12" s="51">
        <v>78</v>
      </c>
      <c r="N12" s="51">
        <v>24.40</v>
      </c>
      <c r="O12" s="51">
        <v>0</v>
      </c>
      <c r="P12" s="51">
        <v>2.96</v>
      </c>
      <c r="Q12" s="51">
        <v>45.89</v>
      </c>
      <c r="R12" s="43"/>
      <c r="S12" s="43"/>
      <c r="T12" s="43"/>
      <c r="U12" s="43"/>
    </row>
    <row r="13" spans="1:21" s="11" customFormat="1" ht="15">
      <c r="A13" s="50" t="s">
        <v>522</v>
      </c>
      <c r="B13" s="51">
        <v>85.63</v>
      </c>
      <c r="C13" s="51">
        <v>96.91</v>
      </c>
      <c r="D13" s="51">
        <v>122.16</v>
      </c>
      <c r="E13" s="51">
        <v>5.29</v>
      </c>
      <c r="F13" s="51">
        <v>1.65</v>
      </c>
      <c r="G13" s="51">
        <v>123.07</v>
      </c>
      <c r="H13" s="51">
        <v>67.040000000000006</v>
      </c>
      <c r="I13" s="51">
        <v>0.88</v>
      </c>
      <c r="J13" s="51">
        <v>0.12</v>
      </c>
      <c r="K13" s="51">
        <v>339.87</v>
      </c>
      <c r="L13" s="51">
        <v>14.49</v>
      </c>
      <c r="M13" s="51">
        <v>78</v>
      </c>
      <c r="N13" s="51">
        <v>24.40</v>
      </c>
      <c r="O13" s="51">
        <v>0</v>
      </c>
      <c r="P13" s="51">
        <v>2.4700000000000002</v>
      </c>
      <c r="Q13" s="51">
        <v>45.77</v>
      </c>
      <c r="R13" s="43"/>
      <c r="S13" s="43"/>
      <c r="T13" s="43"/>
      <c r="U13" s="43"/>
    </row>
    <row r="14" spans="1:21" s="11" customFormat="1" ht="15">
      <c r="A14" s="50" t="s">
        <v>523</v>
      </c>
      <c r="B14" s="51">
        <v>83.96</v>
      </c>
      <c r="C14" s="51">
        <v>99.04</v>
      </c>
      <c r="D14" s="51">
        <v>121.99</v>
      </c>
      <c r="E14" s="51">
        <v>4.96</v>
      </c>
      <c r="F14" s="51">
        <v>2.35</v>
      </c>
      <c r="G14" s="51">
        <v>164.34</v>
      </c>
      <c r="H14" s="51">
        <v>76.540000000000006</v>
      </c>
      <c r="I14" s="51">
        <v>0.73</v>
      </c>
      <c r="J14" s="51">
        <v>0.14000000000000001</v>
      </c>
      <c r="K14" s="51">
        <v>334.22</v>
      </c>
      <c r="L14" s="51">
        <v>13.91</v>
      </c>
      <c r="M14" s="51">
        <v>83</v>
      </c>
      <c r="N14" s="51">
        <v>24.30</v>
      </c>
      <c r="O14" s="51">
        <v>0</v>
      </c>
      <c r="P14" s="51">
        <v>2.19</v>
      </c>
      <c r="Q14" s="51">
        <v>43.36</v>
      </c>
      <c r="R14" s="43"/>
      <c r="S14" s="43"/>
      <c r="T14" s="43"/>
      <c r="U14" s="43"/>
    </row>
    <row r="15" spans="1:21" s="11" customFormat="1" ht="15">
      <c r="A15" s="50" t="s">
        <v>524</v>
      </c>
      <c r="B15" s="51">
        <v>121.82</v>
      </c>
      <c r="C15" s="51">
        <v>111.51</v>
      </c>
      <c r="D15" s="51">
        <v>159.22999999999999</v>
      </c>
      <c r="E15" s="51">
        <v>5.80</v>
      </c>
      <c r="F15" s="51">
        <v>0.90</v>
      </c>
      <c r="G15" s="51">
        <v>205.76</v>
      </c>
      <c r="H15" s="51">
        <v>90.13</v>
      </c>
      <c r="I15" s="51">
        <v>0.65</v>
      </c>
      <c r="J15" s="51">
        <v>0.10</v>
      </c>
      <c r="K15" s="51">
        <v>299.80</v>
      </c>
      <c r="L15" s="51">
        <v>14.25</v>
      </c>
      <c r="M15" s="51">
        <v>84</v>
      </c>
      <c r="N15" s="51">
        <v>36.5</v>
      </c>
      <c r="O15" s="51">
        <v>0</v>
      </c>
      <c r="P15" s="51">
        <v>2.23</v>
      </c>
      <c r="Q15" s="51">
        <v>45.35</v>
      </c>
      <c r="R15" s="43"/>
      <c r="S15" s="43"/>
      <c r="T15" s="43"/>
      <c r="U15" s="43"/>
    </row>
    <row r="16" spans="1:21" s="11" customFormat="1" ht="15">
      <c r="A16" s="50" t="s">
        <v>525</v>
      </c>
      <c r="B16" s="51">
        <v>125.45</v>
      </c>
      <c r="C16" s="51">
        <v>114.86</v>
      </c>
      <c r="D16" s="51">
        <v>163.22</v>
      </c>
      <c r="E16" s="51">
        <v>5.82</v>
      </c>
      <c r="F16" s="51">
        <v>1.18</v>
      </c>
      <c r="G16" s="51">
        <v>212.54</v>
      </c>
      <c r="H16" s="51">
        <v>101.02</v>
      </c>
      <c r="I16" s="51">
        <v>0.65</v>
      </c>
      <c r="J16" s="51">
        <v>0.43</v>
      </c>
      <c r="K16" s="51">
        <v>290.19</v>
      </c>
      <c r="L16" s="51">
        <v>17.30</v>
      </c>
      <c r="M16" s="51">
        <v>77</v>
      </c>
      <c r="N16" s="51">
        <v>176</v>
      </c>
      <c r="O16" s="51">
        <v>0</v>
      </c>
      <c r="P16" s="51">
        <v>2.25</v>
      </c>
      <c r="Q16" s="51">
        <v>46.96</v>
      </c>
      <c r="R16" s="43"/>
      <c r="S16" s="43"/>
      <c r="T16" s="43"/>
      <c r="U16" s="43"/>
    </row>
    <row r="17" spans="1:21" s="11" customFormat="1" ht="15">
      <c r="A17" s="50" t="s">
        <v>526</v>
      </c>
      <c r="B17" s="51">
        <v>107.47</v>
      </c>
      <c r="C17" s="51">
        <v>116.96</v>
      </c>
      <c r="D17" s="51">
        <v>150.72999999999999</v>
      </c>
      <c r="E17" s="51">
        <v>5.58</v>
      </c>
      <c r="F17" s="51">
        <v>0.13</v>
      </c>
      <c r="G17" s="51">
        <v>212.54</v>
      </c>
      <c r="H17" s="51">
        <v>101.02</v>
      </c>
      <c r="I17" s="51">
        <v>0.62</v>
      </c>
      <c r="J17" s="51">
        <v>0.55000000000000004</v>
      </c>
      <c r="K17" s="51">
        <v>189.78</v>
      </c>
      <c r="L17" s="51">
        <v>22.24</v>
      </c>
      <c r="M17" s="51">
        <v>63</v>
      </c>
      <c r="N17" s="51">
        <v>297.70</v>
      </c>
      <c r="O17" s="51">
        <v>0</v>
      </c>
      <c r="P17" s="51">
        <v>2.2200000000000002</v>
      </c>
      <c r="Q17" s="51">
        <v>45.68</v>
      </c>
      <c r="R17" s="43"/>
      <c r="S17" s="43"/>
      <c r="T17" s="43"/>
      <c r="U17" s="43"/>
    </row>
    <row r="18" spans="1:21" s="11" customFormat="1" ht="15">
      <c r="A18" s="50" t="s">
        <v>527</v>
      </c>
      <c r="B18" s="51">
        <v>82.60</v>
      </c>
      <c r="C18" s="51">
        <v>113.24</v>
      </c>
      <c r="D18" s="51">
        <v>128.47</v>
      </c>
      <c r="E18" s="51">
        <v>5.88</v>
      </c>
      <c r="F18" s="51">
        <v>0.36</v>
      </c>
      <c r="G18" s="51">
        <v>163.07</v>
      </c>
      <c r="H18" s="51">
        <v>85.60</v>
      </c>
      <c r="I18" s="51">
        <v>0.57999999999999996</v>
      </c>
      <c r="J18" s="51">
        <v>0.86</v>
      </c>
      <c r="K18" s="51">
        <v>167.70</v>
      </c>
      <c r="L18" s="51">
        <v>24.48</v>
      </c>
      <c r="M18" s="51">
        <v>47</v>
      </c>
      <c r="N18" s="51">
        <v>351.30</v>
      </c>
      <c r="O18" s="51">
        <v>0</v>
      </c>
      <c r="P18" s="51">
        <v>2.2000000000000002</v>
      </c>
      <c r="Q18" s="51">
        <v>44.33</v>
      </c>
      <c r="R18" s="43"/>
      <c r="S18" s="43"/>
      <c r="T18" s="43"/>
      <c r="U18" s="43"/>
    </row>
    <row r="19" spans="1:21" s="11" customFormat="1" ht="15">
      <c r="A19" s="50" t="s">
        <v>528</v>
      </c>
      <c r="B19" s="51">
        <v>59.19</v>
      </c>
      <c r="C19" s="51">
        <v>112.96</v>
      </c>
      <c r="D19" s="51">
        <v>108.66</v>
      </c>
      <c r="E19" s="51">
        <v>7.36</v>
      </c>
      <c r="F19" s="51">
        <v>1.41</v>
      </c>
      <c r="G19" s="51">
        <v>155.81</v>
      </c>
      <c r="H19" s="51">
        <v>84.26</v>
      </c>
      <c r="I19" s="51">
        <v>0.56999999999999995</v>
      </c>
      <c r="J19" s="51">
        <v>0.75</v>
      </c>
      <c r="K19" s="51">
        <v>167.10</v>
      </c>
      <c r="L19" s="51">
        <v>30.68</v>
      </c>
      <c r="M19" s="51">
        <v>35</v>
      </c>
      <c r="N19" s="51">
        <v>387.40</v>
      </c>
      <c r="O19" s="51">
        <v>0</v>
      </c>
      <c r="P19" s="51">
        <v>2.06</v>
      </c>
      <c r="Q19" s="51">
        <v>45.64</v>
      </c>
      <c r="R19" s="43"/>
      <c r="S19" s="43"/>
      <c r="T19" s="43"/>
      <c r="U19" s="43"/>
    </row>
    <row r="20" spans="1:21" s="11" customFormat="1" ht="15">
      <c r="A20" s="50" t="s">
        <v>529</v>
      </c>
      <c r="B20" s="51">
        <v>37.229999999999997</v>
      </c>
      <c r="C20" s="51">
        <v>122.75</v>
      </c>
      <c r="D20" s="51">
        <v>93.65</v>
      </c>
      <c r="E20" s="51">
        <v>6</v>
      </c>
      <c r="F20" s="51">
        <v>1.05</v>
      </c>
      <c r="G20" s="51">
        <v>123.63</v>
      </c>
      <c r="H20" s="51">
        <v>73.78</v>
      </c>
      <c r="I20" s="51">
        <v>0.55000000000000004</v>
      </c>
      <c r="J20" s="51">
        <v>0.46</v>
      </c>
      <c r="K20" s="51">
        <v>356.98</v>
      </c>
      <c r="L20" s="51">
        <v>31.93</v>
      </c>
      <c r="M20" s="51">
        <v>26</v>
      </c>
      <c r="N20" s="51">
        <v>408.60</v>
      </c>
      <c r="O20" s="51">
        <v>0</v>
      </c>
      <c r="P20" s="51">
        <v>1.93</v>
      </c>
      <c r="Q20" s="51">
        <v>46.73</v>
      </c>
      <c r="R20" s="43"/>
      <c r="S20" s="43"/>
      <c r="T20" s="43"/>
      <c r="U20" s="43"/>
    </row>
    <row r="21" spans="1:21" s="11" customFormat="1" ht="15">
      <c r="A21" s="50" t="s">
        <v>530</v>
      </c>
      <c r="B21" s="51">
        <v>9.6199999999999992</v>
      </c>
      <c r="C21" s="51">
        <v>123.72</v>
      </c>
      <c r="D21" s="51">
        <v>75.989999999999995</v>
      </c>
      <c r="E21" s="51">
        <v>6.35</v>
      </c>
      <c r="F21" s="51">
        <v>3.59</v>
      </c>
      <c r="G21" s="51">
        <v>104.29</v>
      </c>
      <c r="H21" s="51">
        <v>59.99</v>
      </c>
      <c r="I21" s="51">
        <v>0.49</v>
      </c>
      <c r="J21" s="51">
        <v>0.41</v>
      </c>
      <c r="K21" s="51">
        <v>17.53</v>
      </c>
      <c r="L21" s="51">
        <v>32.78</v>
      </c>
      <c r="M21" s="51">
        <v>25</v>
      </c>
      <c r="N21" s="51">
        <v>383.60</v>
      </c>
      <c r="O21" s="51">
        <v>0</v>
      </c>
      <c r="P21" s="51">
        <v>1.81</v>
      </c>
      <c r="Q21" s="51">
        <v>44.92</v>
      </c>
      <c r="R21" s="43"/>
      <c r="S21" s="43"/>
      <c r="T21" s="43"/>
      <c r="U21" s="43"/>
    </row>
    <row r="22" spans="1:21" s="11" customFormat="1" ht="15">
      <c r="A22" s="50" t="s">
        <v>531</v>
      </c>
      <c r="B22" s="51">
        <v>3.01</v>
      </c>
      <c r="C22" s="51">
        <v>109.95</v>
      </c>
      <c r="D22" s="51">
        <v>63.04</v>
      </c>
      <c r="E22" s="51">
        <v>9.8699999999999992</v>
      </c>
      <c r="F22" s="51">
        <v>9.65</v>
      </c>
      <c r="G22" s="51">
        <v>115.73</v>
      </c>
      <c r="H22" s="51">
        <v>53.11</v>
      </c>
      <c r="I22" s="51">
        <v>0.48</v>
      </c>
      <c r="J22" s="51">
        <v>0.21</v>
      </c>
      <c r="K22" s="51">
        <v>125.67</v>
      </c>
      <c r="L22" s="51">
        <v>31.03</v>
      </c>
      <c r="M22" s="51">
        <v>26</v>
      </c>
      <c r="N22" s="51">
        <v>304.70</v>
      </c>
      <c r="O22" s="51">
        <v>0</v>
      </c>
      <c r="P22" s="51">
        <v>1.82</v>
      </c>
      <c r="Q22" s="51">
        <v>43.75</v>
      </c>
      <c r="R22" s="43"/>
      <c r="S22" s="43"/>
      <c r="T22" s="43"/>
      <c r="U22" s="43"/>
    </row>
    <row r="23" spans="1:21" s="11" customFormat="1" ht="15">
      <c r="A23" s="50" t="s">
        <v>532</v>
      </c>
      <c r="B23" s="51">
        <v>4.33</v>
      </c>
      <c r="C23" s="51">
        <v>95.64</v>
      </c>
      <c r="D23" s="51">
        <v>56.25</v>
      </c>
      <c r="E23" s="51">
        <v>13.88</v>
      </c>
      <c r="F23" s="51">
        <v>11.16</v>
      </c>
      <c r="G23" s="51">
        <v>115.73</v>
      </c>
      <c r="H23" s="51">
        <v>56.23</v>
      </c>
      <c r="I23" s="51">
        <v>0.46</v>
      </c>
      <c r="J23" s="51">
        <v>0.97</v>
      </c>
      <c r="K23" s="51">
        <v>247.25</v>
      </c>
      <c r="L23" s="51">
        <v>32.47</v>
      </c>
      <c r="M23" s="51">
        <v>23</v>
      </c>
      <c r="N23" s="51">
        <v>251</v>
      </c>
      <c r="O23" s="51">
        <v>0</v>
      </c>
      <c r="P23" s="51">
        <v>1.78</v>
      </c>
      <c r="Q23" s="51">
        <v>47.26</v>
      </c>
      <c r="R23" s="43"/>
      <c r="S23" s="43"/>
      <c r="T23" s="43"/>
      <c r="U23" s="43"/>
    </row>
    <row r="24" spans="1:21" s="11" customFormat="1" ht="15">
      <c r="A24" s="50" t="s">
        <v>533</v>
      </c>
      <c r="B24" s="51">
        <v>7.03</v>
      </c>
      <c r="C24" s="51">
        <v>95.74</v>
      </c>
      <c r="D24" s="51">
        <v>58.46</v>
      </c>
      <c r="E24" s="51">
        <v>9.31</v>
      </c>
      <c r="F24" s="51">
        <v>3.91</v>
      </c>
      <c r="G24" s="51">
        <v>110.57</v>
      </c>
      <c r="H24" s="51">
        <v>56.23</v>
      </c>
      <c r="I24" s="51">
        <v>0.46</v>
      </c>
      <c r="J24" s="51">
        <v>0.89</v>
      </c>
      <c r="K24" s="51">
        <v>349.04</v>
      </c>
      <c r="L24" s="51">
        <v>31.56</v>
      </c>
      <c r="M24" s="51">
        <v>21</v>
      </c>
      <c r="N24" s="51">
        <v>199.5</v>
      </c>
      <c r="O24" s="51">
        <v>0</v>
      </c>
      <c r="P24" s="51">
        <v>1.71</v>
      </c>
      <c r="Q24" s="51">
        <v>46.31</v>
      </c>
      <c r="R24" s="43"/>
      <c r="S24" s="43"/>
      <c r="T24" s="43"/>
      <c r="U24" s="43"/>
    </row>
    <row r="25" spans="1:21" s="11" customFormat="1" ht="15">
      <c r="A25" s="50" t="s">
        <v>534</v>
      </c>
      <c r="B25" s="51">
        <v>15.5</v>
      </c>
      <c r="C25" s="51">
        <v>107</v>
      </c>
      <c r="D25" s="51">
        <v>71.48</v>
      </c>
      <c r="E25" s="51">
        <v>15.38</v>
      </c>
      <c r="F25" s="51">
        <v>6.77</v>
      </c>
      <c r="G25" s="51">
        <v>103.08</v>
      </c>
      <c r="H25" s="51">
        <v>47.31</v>
      </c>
      <c r="I25" s="51">
        <v>0.39</v>
      </c>
      <c r="J25" s="51">
        <v>0.87</v>
      </c>
      <c r="K25" s="51">
        <v>16.70</v>
      </c>
      <c r="L25" s="51">
        <v>28.79</v>
      </c>
      <c r="M25" s="51">
        <v>27</v>
      </c>
      <c r="N25" s="51">
        <v>57.10</v>
      </c>
      <c r="O25" s="51">
        <v>0</v>
      </c>
      <c r="P25" s="51">
        <v>1.81</v>
      </c>
      <c r="Q25" s="51">
        <v>43.86</v>
      </c>
      <c r="R25" s="43"/>
      <c r="S25" s="43"/>
      <c r="T25" s="43"/>
      <c r="U25" s="43"/>
    </row>
    <row r="26" spans="1:21" s="11" customFormat="1" ht="15">
      <c r="A26" s="50" t="s">
        <v>535</v>
      </c>
      <c r="B26" s="51">
        <v>22.69</v>
      </c>
      <c r="C26" s="51">
        <v>113.12</v>
      </c>
      <c r="D26" s="51">
        <v>78.38</v>
      </c>
      <c r="E26" s="51">
        <v>11.21</v>
      </c>
      <c r="F26" s="51">
        <v>2.39</v>
      </c>
      <c r="G26" s="51">
        <v>96.57</v>
      </c>
      <c r="H26" s="51">
        <v>41.49</v>
      </c>
      <c r="I26" s="51">
        <v>0.48</v>
      </c>
      <c r="J26" s="51">
        <v>0.28999999999999998</v>
      </c>
      <c r="K26" s="51">
        <v>89.31</v>
      </c>
      <c r="L26" s="51">
        <v>26.04</v>
      </c>
      <c r="M26" s="51">
        <v>35</v>
      </c>
      <c r="N26" s="51">
        <v>29.80</v>
      </c>
      <c r="O26" s="51">
        <v>0</v>
      </c>
      <c r="P26" s="51">
        <v>2.12</v>
      </c>
      <c r="Q26" s="51">
        <v>44.02</v>
      </c>
      <c r="R26" s="43"/>
      <c r="S26" s="43"/>
      <c r="T26" s="43"/>
      <c r="U26" s="43"/>
    </row>
    <row r="27" spans="1:21" s="11" customFormat="1" ht="15">
      <c r="A27" s="50" t="s">
        <v>536</v>
      </c>
      <c r="B27" s="51">
        <v>23.56</v>
      </c>
      <c r="C27" s="51">
        <v>106.32</v>
      </c>
      <c r="D27" s="51">
        <v>77.41</v>
      </c>
      <c r="E27" s="51">
        <v>7.06</v>
      </c>
      <c r="F27" s="51">
        <v>0.98</v>
      </c>
      <c r="G27" s="51">
        <v>114.86</v>
      </c>
      <c r="H27" s="51">
        <v>44.06</v>
      </c>
      <c r="I27" s="51">
        <v>0.60</v>
      </c>
      <c r="J27" s="51">
        <v>0.36</v>
      </c>
      <c r="K27" s="51">
        <v>85.39</v>
      </c>
      <c r="L27" s="51">
        <v>23.72</v>
      </c>
      <c r="M27" s="51">
        <v>39</v>
      </c>
      <c r="N27" s="51">
        <v>24.40</v>
      </c>
      <c r="O27" s="51">
        <v>0</v>
      </c>
      <c r="P27" s="51">
        <v>2.35</v>
      </c>
      <c r="Q27" s="51">
        <v>47.96</v>
      </c>
      <c r="R27" s="43"/>
      <c r="S27" s="43"/>
      <c r="T27" s="43"/>
      <c r="U27" s="43"/>
    </row>
    <row r="28" spans="1:21" s="11" customFormat="1" ht="15">
      <c r="A28" s="50" t="s">
        <v>537</v>
      </c>
      <c r="B28" s="51">
        <v>34.299999999999997</v>
      </c>
      <c r="C28" s="51">
        <v>115.05</v>
      </c>
      <c r="D28" s="51">
        <v>91</v>
      </c>
      <c r="E28" s="51">
        <v>6.39</v>
      </c>
      <c r="F28" s="51">
        <v>1.1100000000000001</v>
      </c>
      <c r="G28" s="51">
        <v>114.86</v>
      </c>
      <c r="H28" s="51">
        <v>49.07</v>
      </c>
      <c r="I28" s="51">
        <v>0.71</v>
      </c>
      <c r="J28" s="51">
        <v>0.23</v>
      </c>
      <c r="K28" s="51">
        <v>86.13</v>
      </c>
      <c r="L28" s="51">
        <v>22.59</v>
      </c>
      <c r="M28" s="51">
        <v>39</v>
      </c>
      <c r="N28" s="51">
        <v>24.30</v>
      </c>
      <c r="O28" s="51">
        <v>0</v>
      </c>
      <c r="P28" s="51">
        <v>2.67</v>
      </c>
      <c r="Q28" s="51">
        <v>47.35</v>
      </c>
      <c r="R28" s="43"/>
      <c r="S28" s="43"/>
      <c r="T28" s="43"/>
      <c r="U28" s="43"/>
    </row>
    <row r="29" spans="1:21" s="11" customFormat="1" ht="15">
      <c r="A29" s="50" t="s">
        <v>538</v>
      </c>
      <c r="B29" s="51">
        <v>46.06</v>
      </c>
      <c r="C29" s="51">
        <v>113.89</v>
      </c>
      <c r="D29" s="51">
        <v>99.79</v>
      </c>
      <c r="E29" s="51">
        <v>5.14</v>
      </c>
      <c r="F29" s="51">
        <v>0.26</v>
      </c>
      <c r="G29" s="51">
        <v>114.68</v>
      </c>
      <c r="H29" s="51">
        <v>50.12</v>
      </c>
      <c r="I29" s="51">
        <v>0.83</v>
      </c>
      <c r="J29" s="51">
        <v>0.15</v>
      </c>
      <c r="K29" s="51">
        <v>354.53</v>
      </c>
      <c r="L29" s="51">
        <v>21.42</v>
      </c>
      <c r="M29" s="51">
        <v>48</v>
      </c>
      <c r="N29" s="51">
        <v>24.40</v>
      </c>
      <c r="O29" s="51">
        <v>0</v>
      </c>
      <c r="P29" s="51">
        <v>2.91</v>
      </c>
      <c r="Q29" s="51">
        <v>46.04</v>
      </c>
      <c r="R29" s="43"/>
      <c r="S29" s="43"/>
      <c r="T29" s="43"/>
      <c r="U29" s="43"/>
    </row>
    <row r="30" spans="1:21" s="11" customFormat="1" ht="15">
      <c r="A30" s="50" t="s">
        <v>539</v>
      </c>
      <c r="B30" s="51">
        <v>79.53</v>
      </c>
      <c r="C30" s="51">
        <v>121.21</v>
      </c>
      <c r="D30" s="51">
        <v>130.66999999999999</v>
      </c>
      <c r="E30" s="51">
        <v>5.39</v>
      </c>
      <c r="F30" s="51">
        <v>1.1100000000000001</v>
      </c>
      <c r="G30" s="51">
        <v>132.54</v>
      </c>
      <c r="H30" s="51">
        <v>59.08</v>
      </c>
      <c r="I30" s="51">
        <v>0.99</v>
      </c>
      <c r="J30" s="51">
        <v>0.20</v>
      </c>
      <c r="K30" s="51">
        <v>323.64999999999998</v>
      </c>
      <c r="L30" s="51">
        <v>19.78</v>
      </c>
      <c r="M30" s="51">
        <v>60</v>
      </c>
      <c r="N30" s="51">
        <v>24.5</v>
      </c>
      <c r="O30" s="51">
        <v>0</v>
      </c>
      <c r="P30" s="51">
        <v>3.40</v>
      </c>
      <c r="Q30" s="51">
        <v>50.46</v>
      </c>
      <c r="R30" s="43"/>
      <c r="S30" s="43"/>
      <c r="T30" s="43"/>
      <c r="U30" s="43"/>
    </row>
    <row r="31" spans="1:21" s="11" customFormat="1" ht="15">
      <c r="A31" s="50" t="s">
        <v>540</v>
      </c>
      <c r="B31" s="51">
        <v>166.38</v>
      </c>
      <c r="C31" s="51">
        <v>154.78</v>
      </c>
      <c r="D31" s="51">
        <v>218.85</v>
      </c>
      <c r="E31" s="51">
        <v>5.73</v>
      </c>
      <c r="F31" s="51">
        <v>0.18</v>
      </c>
      <c r="G31" s="51">
        <v>248.17</v>
      </c>
      <c r="H31" s="51">
        <v>74.959999999999994</v>
      </c>
      <c r="I31" s="51">
        <v>1.29</v>
      </c>
      <c r="J31" s="51">
        <v>0.16</v>
      </c>
      <c r="K31" s="51">
        <v>359.36</v>
      </c>
      <c r="L31" s="51">
        <v>18.52</v>
      </c>
      <c r="M31" s="51">
        <v>66</v>
      </c>
      <c r="N31" s="51">
        <v>24.40</v>
      </c>
      <c r="O31" s="51">
        <v>0</v>
      </c>
      <c r="P31" s="51">
        <v>4.3099999999999996</v>
      </c>
      <c r="Q31" s="51">
        <v>55.25</v>
      </c>
      <c r="R31" s="43"/>
      <c r="S31" s="43"/>
      <c r="T31" s="43"/>
      <c r="U31" s="43"/>
    </row>
    <row r="32" spans="1:21" s="11" customFormat="1" ht="15">
      <c r="A32" s="50" t="s">
        <v>541</v>
      </c>
      <c r="B32" s="51">
        <v>173.35</v>
      </c>
      <c r="C32" s="51">
        <v>156.93</v>
      </c>
      <c r="D32" s="51">
        <v>225.39</v>
      </c>
      <c r="E32" s="51">
        <v>6.39</v>
      </c>
      <c r="F32" s="51">
        <v>0.77</v>
      </c>
      <c r="G32" s="51">
        <v>248.17</v>
      </c>
      <c r="H32" s="51">
        <v>75.03</v>
      </c>
      <c r="I32" s="51">
        <v>1.54</v>
      </c>
      <c r="J32" s="51">
        <v>0.30</v>
      </c>
      <c r="K32" s="51">
        <v>341.14</v>
      </c>
      <c r="L32" s="51">
        <v>18.57</v>
      </c>
      <c r="M32" s="51">
        <v>65</v>
      </c>
      <c r="N32" s="51">
        <v>24.60</v>
      </c>
      <c r="O32" s="51">
        <v>0</v>
      </c>
      <c r="P32" s="51">
        <v>4.32</v>
      </c>
      <c r="Q32" s="51">
        <v>55.71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3.0099999999999998</v>
      </c>
      <c r="C34" s="28">
        <f t="shared" si="0"/>
        <v>95.640000000000001</v>
      </c>
      <c r="D34" s="28">
        <f t="shared" si="0"/>
        <v>56.25</v>
      </c>
      <c r="E34" s="28">
        <f t="shared" si="0"/>
        <v>4.96</v>
      </c>
      <c r="F34" s="28">
        <f t="shared" si="0"/>
        <v>0.13</v>
      </c>
      <c r="G34" s="28">
        <f t="shared" si="0"/>
        <v>96.569999999999993</v>
      </c>
      <c r="H34" s="28">
        <f t="shared" si="0"/>
        <v>41.490000000000002</v>
      </c>
      <c r="I34" s="28">
        <f t="shared" si="0"/>
        <v>0.39000000000000001</v>
      </c>
      <c r="J34" s="28">
        <f t="shared" si="0"/>
        <v>0.10000000000000001</v>
      </c>
      <c r="K34" s="28">
        <f t="shared" si="0"/>
        <v>16.699999999999999</v>
      </c>
      <c r="L34" s="28">
        <f t="shared" si="0"/>
        <v>13.91</v>
      </c>
      <c r="M34" s="28">
        <f t="shared" si="0"/>
        <v>21</v>
      </c>
      <c r="N34" s="28">
        <f t="shared" si="0"/>
        <v>24.199999999999999</v>
      </c>
      <c r="O34" s="28">
        <f t="shared" si="0"/>
        <v>0</v>
      </c>
      <c r="P34" s="28">
        <f t="shared" si="0"/>
        <v>1.71</v>
      </c>
      <c r="Q34" s="28">
        <f t="shared" si="0"/>
        <v>43.359999999999999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207.75999999999999</v>
      </c>
      <c r="C35" s="29">
        <f t="shared" si="1"/>
        <v>162.44</v>
      </c>
      <c r="D35" s="29">
        <f t="shared" si="1"/>
        <v>256.25999999999999</v>
      </c>
      <c r="E35" s="29">
        <f t="shared" si="1"/>
        <v>15.380000000000001</v>
      </c>
      <c r="F35" s="29">
        <f t="shared" si="1"/>
        <v>11.16</v>
      </c>
      <c r="G35" s="29">
        <f t="shared" si="1"/>
        <v>248.16999999999999</v>
      </c>
      <c r="H35" s="29">
        <f t="shared" si="1"/>
        <v>101.02</v>
      </c>
      <c r="I35" s="29">
        <f t="shared" si="1"/>
        <v>1.78</v>
      </c>
      <c r="J35" s="29">
        <f t="shared" si="1"/>
        <v>0.96999999999999997</v>
      </c>
      <c r="K35" s="29">
        <f t="shared" si="1"/>
        <v>359.36000000000001</v>
      </c>
      <c r="L35" s="29">
        <f t="shared" si="1"/>
        <v>32.780000000000001</v>
      </c>
      <c r="M35" s="29">
        <f t="shared" si="1"/>
        <v>84</v>
      </c>
      <c r="N35" s="29">
        <f t="shared" si="1"/>
        <v>408.60000000000002</v>
      </c>
      <c r="O35" s="29">
        <f t="shared" si="1"/>
        <v>0</v>
      </c>
      <c r="P35" s="29">
        <f t="shared" si="1"/>
        <v>4.9199999999999999</v>
      </c>
      <c r="Q35" s="29">
        <f t="shared" si="1"/>
        <v>55.710000000000001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79.954166666666652</v>
      </c>
      <c r="C36" s="28">
        <f t="shared" si="2"/>
        <v>118.0454166666667</v>
      </c>
      <c r="D36" s="28">
        <f t="shared" si="2"/>
        <v>128.89666666666668</v>
      </c>
      <c r="E36" s="28">
        <f t="shared" si="2"/>
        <v>7.2079166666666632</v>
      </c>
      <c r="F36" s="28">
        <f t="shared" si="2"/>
        <v>2.2729166666666658</v>
      </c>
      <c r="G36" s="28">
        <f t="shared" si="2"/>
        <v>151.40375</v>
      </c>
      <c r="H36" s="28">
        <f t="shared" si="2"/>
        <v>69.972916666666649</v>
      </c>
      <c r="I36" s="28">
        <f t="shared" si="2"/>
        <v>0.81833333333333347</v>
      </c>
      <c r="J36" s="28">
        <f t="shared" si="2"/>
        <v>0.38041666666666668</v>
      </c>
      <c r="K36" s="28">
        <f t="shared" si="2"/>
        <v>242.80958333333334</v>
      </c>
      <c r="L36" s="28">
        <f t="shared" si="2"/>
        <v>22.449583333333337</v>
      </c>
      <c r="M36" s="28">
        <f t="shared" si="2"/>
        <v>53.041666666666664</v>
      </c>
      <c r="N36" s="28">
        <f t="shared" si="2"/>
        <v>132.32916666666668</v>
      </c>
      <c r="O36" s="28">
        <f t="shared" si="2"/>
        <v>0</v>
      </c>
      <c r="P36" s="28">
        <f t="shared" si="2"/>
        <v>2.6645833333333333</v>
      </c>
      <c r="Q36" s="28">
        <f t="shared" si="2"/>
        <v>47.417499999999997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61.974998319214748</v>
      </c>
      <c r="C37" s="28">
        <f t="shared" si="3" ref="C37:Q37">STDEV(C9:C32)</f>
        <v>18.36811343396985</v>
      </c>
      <c r="D37" s="28">
        <f t="shared" si="3"/>
        <v>57.698892888682984</v>
      </c>
      <c r="E37" s="28">
        <f t="shared" si="3"/>
        <v>2.7629945619337399</v>
      </c>
      <c r="F37" s="28">
        <f t="shared" si="3"/>
        <v>2.9176009787177031</v>
      </c>
      <c r="G37" s="28">
        <f t="shared" si="3"/>
        <v>46.920286500895145</v>
      </c>
      <c r="H37" s="28">
        <f t="shared" si="3"/>
        <v>18.071332445079527</v>
      </c>
      <c r="I37" s="28">
        <f t="shared" si="3"/>
        <v>0.40123360501969552</v>
      </c>
      <c r="J37" s="28">
        <f t="shared" si="3"/>
        <v>0.28269632142093309</v>
      </c>
      <c r="K37" s="28">
        <f t="shared" si="3"/>
        <v>117.96601280911251</v>
      </c>
      <c r="L37" s="28">
        <f t="shared" si="3"/>
        <v>6.7267270154644745</v>
      </c>
      <c r="M37" s="28">
        <f t="shared" si="3"/>
        <v>22.539779649913761</v>
      </c>
      <c r="N37" s="28">
        <f t="shared" si="3"/>
        <v>146.7316464462952</v>
      </c>
      <c r="O37" s="28">
        <f t="shared" si="3"/>
        <v>0</v>
      </c>
      <c r="P37" s="28">
        <f t="shared" si="3"/>
        <v>0.93035747765677768</v>
      </c>
      <c r="Q37" s="28">
        <f t="shared" si="3"/>
        <v>3.6658165351753782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a3bd407-61ae-454e-a824-33b4b85a8e0a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22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542</v>
      </c>
      <c r="B9" s="51">
        <v>160.83000000000001</v>
      </c>
      <c r="C9" s="51">
        <v>144.65</v>
      </c>
      <c r="D9" s="51">
        <v>208.80</v>
      </c>
      <c r="E9" s="51">
        <v>5.31</v>
      </c>
      <c r="F9" s="51">
        <v>0.53</v>
      </c>
      <c r="G9" s="51">
        <v>187.27</v>
      </c>
      <c r="H9" s="51">
        <v>75.03</v>
      </c>
      <c r="I9" s="51">
        <v>1.5</v>
      </c>
      <c r="J9" s="51">
        <v>0.13</v>
      </c>
      <c r="K9" s="51">
        <v>338.47</v>
      </c>
      <c r="L9" s="51">
        <v>17</v>
      </c>
      <c r="M9" s="51">
        <v>71</v>
      </c>
      <c r="N9" s="51">
        <v>24.5</v>
      </c>
      <c r="O9" s="51">
        <v>0</v>
      </c>
      <c r="P9" s="51">
        <v>4.08</v>
      </c>
      <c r="Q9" s="51">
        <v>53.15</v>
      </c>
      <c r="R9" s="43"/>
      <c r="S9" s="43"/>
      <c r="T9" s="43"/>
      <c r="U9" s="43"/>
    </row>
    <row r="10" spans="1:21" s="11" customFormat="1" ht="15">
      <c r="A10" s="50" t="s">
        <v>543</v>
      </c>
      <c r="B10" s="51">
        <v>141.62</v>
      </c>
      <c r="C10" s="51">
        <v>129.51</v>
      </c>
      <c r="D10" s="51">
        <v>185.04</v>
      </c>
      <c r="E10" s="51">
        <v>5.03</v>
      </c>
      <c r="F10" s="51">
        <v>1.68</v>
      </c>
      <c r="G10" s="51">
        <v>153.54</v>
      </c>
      <c r="H10" s="51">
        <v>70.19</v>
      </c>
      <c r="I10" s="51">
        <v>1.41</v>
      </c>
      <c r="J10" s="51">
        <v>0.19</v>
      </c>
      <c r="K10" s="51">
        <v>359.34</v>
      </c>
      <c r="L10" s="51">
        <v>17</v>
      </c>
      <c r="M10" s="51">
        <v>73</v>
      </c>
      <c r="N10" s="51">
        <v>24.20</v>
      </c>
      <c r="O10" s="51">
        <v>0</v>
      </c>
      <c r="P10" s="51">
        <v>3.55</v>
      </c>
      <c r="Q10" s="51">
        <v>52.41</v>
      </c>
      <c r="R10" s="43"/>
      <c r="S10" s="43"/>
      <c r="T10" s="43"/>
      <c r="U10" s="43"/>
    </row>
    <row r="11" spans="1:21" s="11" customFormat="1" ht="15">
      <c r="A11" s="50" t="s">
        <v>544</v>
      </c>
      <c r="B11" s="51">
        <v>115.73</v>
      </c>
      <c r="C11" s="51">
        <v>118.97</v>
      </c>
      <c r="D11" s="51">
        <v>158.46</v>
      </c>
      <c r="E11" s="51">
        <v>5.14</v>
      </c>
      <c r="F11" s="51">
        <v>0.88</v>
      </c>
      <c r="G11" s="51">
        <v>153.54</v>
      </c>
      <c r="H11" s="51">
        <v>72.650000000000006</v>
      </c>
      <c r="I11" s="51">
        <v>1.17</v>
      </c>
      <c r="J11" s="51">
        <v>0.12</v>
      </c>
      <c r="K11" s="51">
        <v>334.18</v>
      </c>
      <c r="L11" s="51">
        <v>16.78</v>
      </c>
      <c r="M11" s="51">
        <v>69</v>
      </c>
      <c r="N11" s="51">
        <v>24.40</v>
      </c>
      <c r="O11" s="51">
        <v>0</v>
      </c>
      <c r="P11" s="51">
        <v>3.32</v>
      </c>
      <c r="Q11" s="51">
        <v>49.87</v>
      </c>
      <c r="R11" s="43"/>
      <c r="S11" s="43"/>
      <c r="T11" s="43"/>
      <c r="U11" s="43"/>
    </row>
    <row r="12" spans="1:21" s="11" customFormat="1" ht="15">
      <c r="A12" s="50" t="s">
        <v>545</v>
      </c>
      <c r="B12" s="51">
        <v>92.13</v>
      </c>
      <c r="C12" s="51">
        <v>111.32</v>
      </c>
      <c r="D12" s="51">
        <v>135.32</v>
      </c>
      <c r="E12" s="51">
        <v>4.92</v>
      </c>
      <c r="F12" s="51">
        <v>0.22</v>
      </c>
      <c r="G12" s="51">
        <v>173.04</v>
      </c>
      <c r="H12" s="51">
        <v>81.05</v>
      </c>
      <c r="I12" s="51">
        <v>1.05</v>
      </c>
      <c r="J12" s="51">
        <v>0.31</v>
      </c>
      <c r="K12" s="51">
        <v>356.89</v>
      </c>
      <c r="L12" s="51">
        <v>16.73</v>
      </c>
      <c r="M12" s="51">
        <v>67</v>
      </c>
      <c r="N12" s="51">
        <v>24.30</v>
      </c>
      <c r="O12" s="51">
        <v>0</v>
      </c>
      <c r="P12" s="51">
        <v>3.03</v>
      </c>
      <c r="Q12" s="51">
        <v>46.26</v>
      </c>
      <c r="R12" s="43"/>
      <c r="S12" s="43"/>
      <c r="T12" s="43"/>
      <c r="U12" s="43"/>
    </row>
    <row r="13" spans="1:21" s="11" customFormat="1" ht="15">
      <c r="A13" s="50" t="s">
        <v>546</v>
      </c>
      <c r="B13" s="51">
        <v>72.59</v>
      </c>
      <c r="C13" s="51">
        <v>102.56</v>
      </c>
      <c r="D13" s="51">
        <v>114.81</v>
      </c>
      <c r="E13" s="51">
        <v>6.10</v>
      </c>
      <c r="F13" s="51">
        <v>0.10</v>
      </c>
      <c r="G13" s="51">
        <v>186.69</v>
      </c>
      <c r="H13" s="51">
        <v>88.62</v>
      </c>
      <c r="I13" s="51">
        <v>0.91</v>
      </c>
      <c r="J13" s="51">
        <v>0.24</v>
      </c>
      <c r="K13" s="51">
        <v>80.94</v>
      </c>
      <c r="L13" s="51">
        <v>16.96</v>
      </c>
      <c r="M13" s="51">
        <v>64</v>
      </c>
      <c r="N13" s="51">
        <v>24.40</v>
      </c>
      <c r="O13" s="51">
        <v>0</v>
      </c>
      <c r="P13" s="51">
        <v>2.86</v>
      </c>
      <c r="Q13" s="51">
        <v>45.34</v>
      </c>
      <c r="R13" s="43"/>
      <c r="S13" s="43"/>
      <c r="T13" s="43"/>
      <c r="U13" s="43"/>
    </row>
    <row r="14" spans="1:21" s="11" customFormat="1" ht="15">
      <c r="A14" s="50" t="s">
        <v>547</v>
      </c>
      <c r="B14" s="51">
        <v>61.5</v>
      </c>
      <c r="C14" s="51">
        <v>96.23</v>
      </c>
      <c r="D14" s="51">
        <v>102.42</v>
      </c>
      <c r="E14" s="51">
        <v>5.51</v>
      </c>
      <c r="F14" s="51">
        <v>0.13</v>
      </c>
      <c r="G14" s="51">
        <v>186.69</v>
      </c>
      <c r="H14" s="51">
        <v>88.62</v>
      </c>
      <c r="I14" s="51">
        <v>0.78</v>
      </c>
      <c r="J14" s="51">
        <v>0.19</v>
      </c>
      <c r="K14" s="51">
        <v>104.74</v>
      </c>
      <c r="L14" s="51">
        <v>16.61</v>
      </c>
      <c r="M14" s="51">
        <v>63</v>
      </c>
      <c r="N14" s="51">
        <v>24.30</v>
      </c>
      <c r="O14" s="51">
        <v>0</v>
      </c>
      <c r="P14" s="51">
        <v>2.75</v>
      </c>
      <c r="Q14" s="51">
        <v>45.24</v>
      </c>
      <c r="R14" s="43"/>
      <c r="S14" s="43"/>
      <c r="T14" s="43"/>
      <c r="U14" s="43"/>
    </row>
    <row r="15" spans="1:21" s="11" customFormat="1" ht="15">
      <c r="A15" s="50" t="s">
        <v>548</v>
      </c>
      <c r="B15" s="51">
        <v>48.35</v>
      </c>
      <c r="C15" s="51">
        <v>92.73</v>
      </c>
      <c r="D15" s="51">
        <v>89.95</v>
      </c>
      <c r="E15" s="51">
        <v>5.07</v>
      </c>
      <c r="F15" s="51">
        <v>0.21</v>
      </c>
      <c r="G15" s="51">
        <v>161.43</v>
      </c>
      <c r="H15" s="51">
        <v>86.74</v>
      </c>
      <c r="I15" s="51">
        <v>0.62</v>
      </c>
      <c r="J15" s="51">
        <v>0.16</v>
      </c>
      <c r="K15" s="51">
        <v>346.66</v>
      </c>
      <c r="L15" s="51">
        <v>16.329999999999998</v>
      </c>
      <c r="M15" s="51">
        <v>66</v>
      </c>
      <c r="N15" s="51">
        <v>36.200000000000003</v>
      </c>
      <c r="O15" s="51">
        <v>0</v>
      </c>
      <c r="P15" s="51">
        <v>2.31</v>
      </c>
      <c r="Q15" s="51">
        <v>42.65</v>
      </c>
      <c r="R15" s="43"/>
      <c r="S15" s="43"/>
      <c r="T15" s="43"/>
      <c r="U15" s="43"/>
    </row>
    <row r="16" spans="1:21" s="11" customFormat="1" ht="15">
      <c r="A16" s="50" t="s">
        <v>549</v>
      </c>
      <c r="B16" s="51">
        <v>63.03</v>
      </c>
      <c r="C16" s="51">
        <v>100.23</v>
      </c>
      <c r="D16" s="51">
        <v>105.86</v>
      </c>
      <c r="E16" s="51">
        <v>4.8600000000000003</v>
      </c>
      <c r="F16" s="51">
        <v>0.30</v>
      </c>
      <c r="G16" s="51">
        <v>116.86</v>
      </c>
      <c r="H16" s="51">
        <v>71.39</v>
      </c>
      <c r="I16" s="51">
        <v>0.53</v>
      </c>
      <c r="J16" s="51">
        <v>0.51</v>
      </c>
      <c r="K16" s="51">
        <v>115.77</v>
      </c>
      <c r="L16" s="51">
        <v>19.61</v>
      </c>
      <c r="M16" s="51">
        <v>65</v>
      </c>
      <c r="N16" s="51">
        <v>189.30</v>
      </c>
      <c r="O16" s="51">
        <v>0</v>
      </c>
      <c r="P16" s="51">
        <v>2.13</v>
      </c>
      <c r="Q16" s="51">
        <v>42.31</v>
      </c>
      <c r="R16" s="43"/>
      <c r="S16" s="43"/>
      <c r="T16" s="43"/>
      <c r="U16" s="43"/>
    </row>
    <row r="17" spans="1:21" s="11" customFormat="1" ht="15">
      <c r="A17" s="50" t="s">
        <v>550</v>
      </c>
      <c r="B17" s="51">
        <v>58.67</v>
      </c>
      <c r="C17" s="51">
        <v>97.11</v>
      </c>
      <c r="D17" s="51">
        <v>100.64</v>
      </c>
      <c r="E17" s="51">
        <v>5.59</v>
      </c>
      <c r="F17" s="51">
        <v>0.42</v>
      </c>
      <c r="G17" s="51">
        <v>119.44</v>
      </c>
      <c r="H17" s="51">
        <v>70.83</v>
      </c>
      <c r="I17" s="51">
        <v>0.52</v>
      </c>
      <c r="J17" s="51">
        <v>1.51</v>
      </c>
      <c r="K17" s="51">
        <v>126.17</v>
      </c>
      <c r="L17" s="51">
        <v>21.74</v>
      </c>
      <c r="M17" s="51">
        <v>46</v>
      </c>
      <c r="N17" s="51">
        <v>317.5</v>
      </c>
      <c r="O17" s="51">
        <v>0</v>
      </c>
      <c r="P17" s="51">
        <v>2.0299999999999998</v>
      </c>
      <c r="Q17" s="51">
        <v>43.55</v>
      </c>
      <c r="R17" s="43"/>
      <c r="S17" s="43"/>
      <c r="T17" s="43"/>
      <c r="U17" s="43"/>
    </row>
    <row r="18" spans="1:21" s="11" customFormat="1" ht="15">
      <c r="A18" s="50" t="s">
        <v>551</v>
      </c>
      <c r="B18" s="51">
        <v>39.69</v>
      </c>
      <c r="C18" s="51">
        <v>91.44</v>
      </c>
      <c r="D18" s="51">
        <v>82.12</v>
      </c>
      <c r="E18" s="51">
        <v>5.78</v>
      </c>
      <c r="F18" s="51">
        <v>0.53</v>
      </c>
      <c r="G18" s="51">
        <v>119.44</v>
      </c>
      <c r="H18" s="51">
        <v>63.5</v>
      </c>
      <c r="I18" s="51">
        <v>0.5</v>
      </c>
      <c r="J18" s="51">
        <v>1.02</v>
      </c>
      <c r="K18" s="51">
        <v>104.89</v>
      </c>
      <c r="L18" s="51">
        <v>24.70</v>
      </c>
      <c r="M18" s="51">
        <v>39</v>
      </c>
      <c r="N18" s="51">
        <v>365.60</v>
      </c>
      <c r="O18" s="51">
        <v>0</v>
      </c>
      <c r="P18" s="51">
        <v>1.73</v>
      </c>
      <c r="Q18" s="51">
        <v>42.89</v>
      </c>
      <c r="R18" s="43"/>
      <c r="S18" s="43"/>
      <c r="T18" s="43"/>
      <c r="U18" s="43"/>
    </row>
    <row r="19" spans="1:21" s="11" customFormat="1" ht="15">
      <c r="A19" s="50" t="s">
        <v>552</v>
      </c>
      <c r="B19" s="51">
        <v>23.52</v>
      </c>
      <c r="C19" s="51">
        <v>90.47</v>
      </c>
      <c r="D19" s="51">
        <v>68.790000000000006</v>
      </c>
      <c r="E19" s="51">
        <v>10.34</v>
      </c>
      <c r="F19" s="51">
        <v>8.66</v>
      </c>
      <c r="G19" s="51">
        <v>92.11</v>
      </c>
      <c r="H19" s="51">
        <v>53.48</v>
      </c>
      <c r="I19" s="51">
        <v>0.41</v>
      </c>
      <c r="J19" s="51">
        <v>1.58</v>
      </c>
      <c r="K19" s="51">
        <v>116.87</v>
      </c>
      <c r="L19" s="51">
        <v>27.36</v>
      </c>
      <c r="M19" s="51">
        <v>34</v>
      </c>
      <c r="N19" s="51">
        <v>394.5</v>
      </c>
      <c r="O19" s="51">
        <v>0</v>
      </c>
      <c r="P19" s="51">
        <v>1.46</v>
      </c>
      <c r="Q19" s="51">
        <v>40.03</v>
      </c>
      <c r="R19" s="43"/>
      <c r="S19" s="43"/>
      <c r="T19" s="43"/>
      <c r="U19" s="43"/>
    </row>
    <row r="20" spans="1:21" s="11" customFormat="1" ht="15">
      <c r="A20" s="50" t="s">
        <v>553</v>
      </c>
      <c r="B20" s="51">
        <v>9.8800000000000008</v>
      </c>
      <c r="C20" s="51">
        <v>86.25</v>
      </c>
      <c r="D20" s="51">
        <v>55.36</v>
      </c>
      <c r="E20" s="51">
        <v>14.86</v>
      </c>
      <c r="F20" s="51">
        <v>14.14</v>
      </c>
      <c r="G20" s="51">
        <v>77.5</v>
      </c>
      <c r="H20" s="51">
        <v>43.91</v>
      </c>
      <c r="I20" s="51">
        <v>0.32</v>
      </c>
      <c r="J20" s="51">
        <v>1.1299999999999999</v>
      </c>
      <c r="K20" s="51">
        <v>42.68</v>
      </c>
      <c r="L20" s="51">
        <v>31.84</v>
      </c>
      <c r="M20" s="51">
        <v>22</v>
      </c>
      <c r="N20" s="51">
        <v>397.40</v>
      </c>
      <c r="O20" s="51">
        <v>0</v>
      </c>
      <c r="P20" s="51">
        <v>1.04</v>
      </c>
      <c r="Q20" s="51">
        <v>30.99</v>
      </c>
      <c r="R20" s="43"/>
      <c r="S20" s="43"/>
      <c r="T20" s="43"/>
      <c r="U20" s="43"/>
    </row>
    <row r="21" spans="1:21" s="11" customFormat="1" ht="15">
      <c r="A21" s="50" t="s">
        <v>554</v>
      </c>
      <c r="B21" s="51">
        <v>10.34</v>
      </c>
      <c r="C21" s="51">
        <v>89.77</v>
      </c>
      <c r="D21" s="51">
        <v>57.05</v>
      </c>
      <c r="E21" s="51">
        <v>8.99</v>
      </c>
      <c r="F21" s="51">
        <v>4.5</v>
      </c>
      <c r="G21" s="51">
        <v>63.06</v>
      </c>
      <c r="H21" s="51">
        <v>35.74</v>
      </c>
      <c r="I21" s="51">
        <v>0.20</v>
      </c>
      <c r="J21" s="51">
        <v>0.81</v>
      </c>
      <c r="K21" s="51">
        <v>74.38</v>
      </c>
      <c r="L21" s="51">
        <v>31.03</v>
      </c>
      <c r="M21" s="51">
        <v>24</v>
      </c>
      <c r="N21" s="51">
        <v>389.90</v>
      </c>
      <c r="O21" s="51">
        <v>0</v>
      </c>
      <c r="P21" s="51">
        <v>0.97</v>
      </c>
      <c r="Q21" s="51">
        <v>29.55</v>
      </c>
      <c r="R21" s="43"/>
      <c r="S21" s="43"/>
      <c r="T21" s="43"/>
      <c r="U21" s="43"/>
    </row>
    <row r="22" spans="1:21" s="11" customFormat="1" ht="15">
      <c r="A22" s="50" t="s">
        <v>555</v>
      </c>
      <c r="B22" s="51">
        <v>6.57</v>
      </c>
      <c r="C22" s="51">
        <v>87.74</v>
      </c>
      <c r="D22" s="51">
        <v>53.69</v>
      </c>
      <c r="E22" s="51">
        <v>12.17</v>
      </c>
      <c r="F22" s="51">
        <v>7.36</v>
      </c>
      <c r="G22" s="51">
        <v>56.28</v>
      </c>
      <c r="H22" s="51">
        <v>31.41</v>
      </c>
      <c r="I22" s="51">
        <v>0.19</v>
      </c>
      <c r="J22" s="51">
        <v>0.87</v>
      </c>
      <c r="K22" s="51">
        <v>86.37</v>
      </c>
      <c r="L22" s="51">
        <v>31.13</v>
      </c>
      <c r="M22" s="51">
        <v>22</v>
      </c>
      <c r="N22" s="51">
        <v>375</v>
      </c>
      <c r="O22" s="51">
        <v>0</v>
      </c>
      <c r="P22" s="51">
        <v>1.03</v>
      </c>
      <c r="Q22" s="51">
        <v>29.16</v>
      </c>
      <c r="R22" s="43"/>
      <c r="S22" s="43"/>
      <c r="T22" s="43"/>
      <c r="U22" s="43"/>
    </row>
    <row r="23" spans="1:21" s="11" customFormat="1" ht="15">
      <c r="A23" s="50" t="s">
        <v>556</v>
      </c>
      <c r="B23" s="51">
        <v>6.82</v>
      </c>
      <c r="C23" s="51">
        <v>83.40</v>
      </c>
      <c r="D23" s="51">
        <v>50.73</v>
      </c>
      <c r="E23" s="51">
        <v>17.29</v>
      </c>
      <c r="F23" s="51">
        <v>11.61</v>
      </c>
      <c r="G23" s="51">
        <v>64.709999999999994</v>
      </c>
      <c r="H23" s="51">
        <v>27.84</v>
      </c>
      <c r="I23" s="51">
        <v>0.19</v>
      </c>
      <c r="J23" s="51">
        <v>1.19</v>
      </c>
      <c r="K23" s="51">
        <v>70.510000000000005</v>
      </c>
      <c r="L23" s="51">
        <v>31.20</v>
      </c>
      <c r="M23" s="51">
        <v>30</v>
      </c>
      <c r="N23" s="51">
        <v>303.10000000000002</v>
      </c>
      <c r="O23" s="51">
        <v>0</v>
      </c>
      <c r="P23" s="51">
        <v>1.07</v>
      </c>
      <c r="Q23" s="51">
        <v>31.23</v>
      </c>
      <c r="R23" s="43"/>
      <c r="S23" s="43"/>
      <c r="T23" s="43"/>
      <c r="U23" s="43"/>
    </row>
    <row r="24" spans="1:21" s="11" customFormat="1" ht="15">
      <c r="A24" s="50" t="s">
        <v>557</v>
      </c>
      <c r="B24" s="51">
        <v>7.97</v>
      </c>
      <c r="C24" s="51">
        <v>90.20</v>
      </c>
      <c r="D24" s="51">
        <v>54.52</v>
      </c>
      <c r="E24" s="51">
        <v>17.79</v>
      </c>
      <c r="F24" s="51">
        <v>13.54</v>
      </c>
      <c r="G24" s="51">
        <v>64.709999999999994</v>
      </c>
      <c r="H24" s="51">
        <v>26.59</v>
      </c>
      <c r="I24" s="51">
        <v>0.21</v>
      </c>
      <c r="J24" s="51">
        <v>0.76</v>
      </c>
      <c r="K24" s="51">
        <v>55.47</v>
      </c>
      <c r="L24" s="51">
        <v>28.02</v>
      </c>
      <c r="M24" s="51">
        <v>31</v>
      </c>
      <c r="N24" s="51">
        <v>208.90</v>
      </c>
      <c r="O24" s="51">
        <v>0</v>
      </c>
      <c r="P24" s="51">
        <v>1.1299999999999999</v>
      </c>
      <c r="Q24" s="51">
        <v>32.46</v>
      </c>
      <c r="R24" s="43"/>
      <c r="S24" s="43"/>
      <c r="T24" s="43"/>
      <c r="U24" s="43"/>
    </row>
    <row r="25" spans="1:21" s="11" customFormat="1" ht="15">
      <c r="A25" s="50" t="s">
        <v>558</v>
      </c>
      <c r="B25" s="51">
        <v>8.93</v>
      </c>
      <c r="C25" s="51">
        <v>100.85</v>
      </c>
      <c r="D25" s="51">
        <v>62.82</v>
      </c>
      <c r="E25" s="51">
        <v>10.97</v>
      </c>
      <c r="F25" s="51">
        <v>7.90</v>
      </c>
      <c r="G25" s="51">
        <v>59.27</v>
      </c>
      <c r="H25" s="51">
        <v>28.83</v>
      </c>
      <c r="I25" s="51">
        <v>0.20</v>
      </c>
      <c r="J25" s="51">
        <v>0.91</v>
      </c>
      <c r="K25" s="51">
        <v>31.86</v>
      </c>
      <c r="L25" s="51">
        <v>26.76</v>
      </c>
      <c r="M25" s="51">
        <v>30</v>
      </c>
      <c r="N25" s="51">
        <v>55.40</v>
      </c>
      <c r="O25" s="51">
        <v>0</v>
      </c>
      <c r="P25" s="51">
        <v>1.30</v>
      </c>
      <c r="Q25" s="51">
        <v>30.91</v>
      </c>
      <c r="R25" s="43"/>
      <c r="S25" s="43"/>
      <c r="T25" s="43"/>
      <c r="U25" s="43"/>
    </row>
    <row r="26" spans="1:21" s="11" customFormat="1" ht="15">
      <c r="A26" s="50" t="s">
        <v>559</v>
      </c>
      <c r="B26" s="51">
        <v>17.57</v>
      </c>
      <c r="C26" s="51">
        <v>112.94</v>
      </c>
      <c r="D26" s="51">
        <v>76.42</v>
      </c>
      <c r="E26" s="51">
        <v>7.38</v>
      </c>
      <c r="F26" s="51">
        <v>2.86</v>
      </c>
      <c r="G26" s="51">
        <v>72.349999999999994</v>
      </c>
      <c r="H26" s="51">
        <v>34.99</v>
      </c>
      <c r="I26" s="51">
        <v>0.28000000000000003</v>
      </c>
      <c r="J26" s="51">
        <v>0.25</v>
      </c>
      <c r="K26" s="51">
        <v>88.23</v>
      </c>
      <c r="L26" s="51">
        <v>25.45</v>
      </c>
      <c r="M26" s="51">
        <v>35</v>
      </c>
      <c r="N26" s="51">
        <v>30.80</v>
      </c>
      <c r="O26" s="51">
        <v>0</v>
      </c>
      <c r="P26" s="51">
        <v>1.66</v>
      </c>
      <c r="Q26" s="51">
        <v>34.15</v>
      </c>
      <c r="R26" s="43"/>
      <c r="S26" s="43"/>
      <c r="T26" s="43"/>
      <c r="U26" s="43"/>
    </row>
    <row r="27" spans="1:21" s="11" customFormat="1" ht="15">
      <c r="A27" s="50" t="s">
        <v>560</v>
      </c>
      <c r="B27" s="51">
        <v>38.71</v>
      </c>
      <c r="C27" s="51">
        <v>111.93</v>
      </c>
      <c r="D27" s="51">
        <v>92.81</v>
      </c>
      <c r="E27" s="51">
        <v>5.43</v>
      </c>
      <c r="F27" s="51">
        <v>0.47</v>
      </c>
      <c r="G27" s="51">
        <v>99.27</v>
      </c>
      <c r="H27" s="51">
        <v>38.630000000000003</v>
      </c>
      <c r="I27" s="51">
        <v>0.43</v>
      </c>
      <c r="J27" s="51">
        <v>0.28000000000000003</v>
      </c>
      <c r="K27" s="51">
        <v>354.34</v>
      </c>
      <c r="L27" s="51">
        <v>23.53</v>
      </c>
      <c r="M27" s="51">
        <v>50</v>
      </c>
      <c r="N27" s="51">
        <v>24.60</v>
      </c>
      <c r="O27" s="51">
        <v>0</v>
      </c>
      <c r="P27" s="51">
        <v>2.17</v>
      </c>
      <c r="Q27" s="51">
        <v>38.22</v>
      </c>
      <c r="R27" s="43"/>
      <c r="S27" s="43"/>
      <c r="T27" s="43"/>
      <c r="U27" s="43"/>
    </row>
    <row r="28" spans="1:21" s="11" customFormat="1" ht="15">
      <c r="A28" s="50" t="s">
        <v>561</v>
      </c>
      <c r="B28" s="51">
        <v>91.53</v>
      </c>
      <c r="C28" s="51">
        <v>136.41</v>
      </c>
      <c r="D28" s="51">
        <v>148.68</v>
      </c>
      <c r="E28" s="51">
        <v>5.61</v>
      </c>
      <c r="F28" s="51">
        <v>0.27</v>
      </c>
      <c r="G28" s="51">
        <v>216.19</v>
      </c>
      <c r="H28" s="51">
        <v>57.30</v>
      </c>
      <c r="I28" s="51">
        <v>0.74</v>
      </c>
      <c r="J28" s="51">
        <v>0.10</v>
      </c>
      <c r="K28" s="51">
        <v>346.61</v>
      </c>
      <c r="L28" s="51">
        <v>20.420000000000002</v>
      </c>
      <c r="M28" s="51">
        <v>56</v>
      </c>
      <c r="N28" s="51">
        <v>24.5</v>
      </c>
      <c r="O28" s="51">
        <v>0</v>
      </c>
      <c r="P28" s="51">
        <v>3.32</v>
      </c>
      <c r="Q28" s="51">
        <v>46.42</v>
      </c>
      <c r="R28" s="43"/>
      <c r="S28" s="43"/>
      <c r="T28" s="43"/>
      <c r="U28" s="43"/>
    </row>
    <row r="29" spans="1:21" s="11" customFormat="1" ht="15">
      <c r="A29" s="50" t="s">
        <v>562</v>
      </c>
      <c r="B29" s="51">
        <v>150.34</v>
      </c>
      <c r="C29" s="51">
        <v>159.38</v>
      </c>
      <c r="D29" s="51">
        <v>208.52</v>
      </c>
      <c r="E29" s="51">
        <v>5.38</v>
      </c>
      <c r="F29" s="51">
        <v>0.37</v>
      </c>
      <c r="G29" s="51">
        <v>216.19</v>
      </c>
      <c r="H29" s="51">
        <v>79.81</v>
      </c>
      <c r="I29" s="51">
        <v>1.32</v>
      </c>
      <c r="J29" s="51">
        <v>0.14000000000000001</v>
      </c>
      <c r="K29" s="51">
        <v>345.82</v>
      </c>
      <c r="L29" s="51">
        <v>19.260000000000002</v>
      </c>
      <c r="M29" s="51">
        <v>60</v>
      </c>
      <c r="N29" s="51">
        <v>24.30</v>
      </c>
      <c r="O29" s="51">
        <v>0</v>
      </c>
      <c r="P29" s="51">
        <v>4.3600000000000003</v>
      </c>
      <c r="Q29" s="51">
        <v>50.29</v>
      </c>
      <c r="R29" s="43"/>
      <c r="S29" s="43"/>
      <c r="T29" s="43"/>
      <c r="U29" s="43"/>
    </row>
    <row r="30" spans="1:21" s="11" customFormat="1" ht="15">
      <c r="A30" s="50" t="s">
        <v>563</v>
      </c>
      <c r="B30" s="51">
        <v>207.34</v>
      </c>
      <c r="C30" s="51">
        <v>176.03</v>
      </c>
      <c r="D30" s="51">
        <v>263.42</v>
      </c>
      <c r="E30" s="51">
        <v>6.5</v>
      </c>
      <c r="F30" s="51">
        <v>0.33</v>
      </c>
      <c r="G30" s="57" t="s">
        <v>15</v>
      </c>
      <c r="H30" s="51">
        <v>99.35</v>
      </c>
      <c r="I30" s="51">
        <v>1.71</v>
      </c>
      <c r="J30" s="51">
        <v>0.11</v>
      </c>
      <c r="K30" s="51">
        <v>348.70</v>
      </c>
      <c r="L30" s="51">
        <v>18.73</v>
      </c>
      <c r="M30" s="51">
        <v>62</v>
      </c>
      <c r="N30" s="51">
        <v>24.30</v>
      </c>
      <c r="O30" s="51">
        <v>0</v>
      </c>
      <c r="P30" s="51">
        <v>5.0999999999999996</v>
      </c>
      <c r="Q30" s="51">
        <v>55.95</v>
      </c>
      <c r="R30" s="43"/>
      <c r="S30" s="43"/>
      <c r="T30" s="43"/>
      <c r="U30" s="43"/>
    </row>
    <row r="31" spans="1:21" s="11" customFormat="1" ht="15">
      <c r="A31" s="50" t="s">
        <v>564</v>
      </c>
      <c r="B31" s="51">
        <v>224.44</v>
      </c>
      <c r="C31" s="51">
        <v>178.71</v>
      </c>
      <c r="D31" s="51">
        <v>278.06</v>
      </c>
      <c r="E31" s="51">
        <v>6.61</v>
      </c>
      <c r="F31" s="51">
        <v>1.52</v>
      </c>
      <c r="G31" s="51">
        <v>246.21</v>
      </c>
      <c r="H31" s="51">
        <v>99.35</v>
      </c>
      <c r="I31" s="51">
        <v>1.91</v>
      </c>
      <c r="J31" s="51">
        <v>0.13</v>
      </c>
      <c r="K31" s="51">
        <v>330.98</v>
      </c>
      <c r="L31" s="51">
        <v>18.05</v>
      </c>
      <c r="M31" s="51">
        <v>63</v>
      </c>
      <c r="N31" s="51">
        <v>24.20</v>
      </c>
      <c r="O31" s="51">
        <v>0</v>
      </c>
      <c r="P31" s="51">
        <v>5.26</v>
      </c>
      <c r="Q31" s="51">
        <v>59.21</v>
      </c>
      <c r="R31" s="43"/>
      <c r="S31" s="43"/>
      <c r="T31" s="43"/>
      <c r="U31" s="43"/>
    </row>
    <row r="32" spans="1:21" s="11" customFormat="1" ht="15">
      <c r="A32" s="50" t="s">
        <v>565</v>
      </c>
      <c r="B32" s="51">
        <v>233.64</v>
      </c>
      <c r="C32" s="51">
        <v>179.34</v>
      </c>
      <c r="D32" s="51">
        <v>286.33999999999997</v>
      </c>
      <c r="E32" s="51">
        <v>6.53</v>
      </c>
      <c r="F32" s="51">
        <v>0.19</v>
      </c>
      <c r="G32" s="51">
        <v>246.21</v>
      </c>
      <c r="H32" s="51">
        <v>99.79</v>
      </c>
      <c r="I32" s="51">
        <v>1.92</v>
      </c>
      <c r="J32" s="51">
        <v>0.16</v>
      </c>
      <c r="K32" s="51">
        <v>344.73</v>
      </c>
      <c r="L32" s="51">
        <v>17.63</v>
      </c>
      <c r="M32" s="51">
        <v>65</v>
      </c>
      <c r="N32" s="51">
        <v>24.20</v>
      </c>
      <c r="O32" s="51">
        <v>0</v>
      </c>
      <c r="P32" s="51">
        <v>5.37</v>
      </c>
      <c r="Q32" s="51">
        <v>59.38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6.5700000000000003</v>
      </c>
      <c r="C34" s="28">
        <f t="shared" si="0"/>
        <v>83.400000000000006</v>
      </c>
      <c r="D34" s="28">
        <f t="shared" si="0"/>
        <v>50.729999999999997</v>
      </c>
      <c r="E34" s="28">
        <f t="shared" si="0"/>
        <v>4.8600000000000003</v>
      </c>
      <c r="F34" s="28">
        <f t="shared" si="0"/>
        <v>0.10000000000000001</v>
      </c>
      <c r="G34" s="28">
        <f t="shared" si="0"/>
        <v>56.280000000000001</v>
      </c>
      <c r="H34" s="28">
        <f t="shared" si="0"/>
        <v>26.59</v>
      </c>
      <c r="I34" s="28">
        <f t="shared" si="0"/>
        <v>0.19</v>
      </c>
      <c r="J34" s="28">
        <f t="shared" si="0"/>
        <v>0.10000000000000001</v>
      </c>
      <c r="K34" s="28">
        <f t="shared" si="0"/>
        <v>31.859999999999999</v>
      </c>
      <c r="L34" s="28">
        <f t="shared" si="0"/>
        <v>16.329999999999998</v>
      </c>
      <c r="M34" s="28">
        <f t="shared" si="0"/>
        <v>22</v>
      </c>
      <c r="N34" s="28">
        <f t="shared" si="0"/>
        <v>24.199999999999999</v>
      </c>
      <c r="O34" s="28">
        <f t="shared" si="0"/>
        <v>0</v>
      </c>
      <c r="P34" s="28">
        <f t="shared" si="0"/>
        <v>0.96999999999999997</v>
      </c>
      <c r="Q34" s="28">
        <f t="shared" si="0"/>
        <v>29.16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233.63999999999999</v>
      </c>
      <c r="C35" s="29">
        <f t="shared" si="1"/>
        <v>179.34</v>
      </c>
      <c r="D35" s="29">
        <f t="shared" si="1"/>
        <v>286.33999999999997</v>
      </c>
      <c r="E35" s="29">
        <f t="shared" si="1"/>
        <v>17.789999999999999</v>
      </c>
      <c r="F35" s="29">
        <f t="shared" si="1"/>
        <v>14.140000000000001</v>
      </c>
      <c r="G35" s="29">
        <f t="shared" si="1"/>
        <v>246.21000000000001</v>
      </c>
      <c r="H35" s="29">
        <f t="shared" si="1"/>
        <v>99.790000000000006</v>
      </c>
      <c r="I35" s="29">
        <f t="shared" si="1"/>
        <v>1.9199999999999999</v>
      </c>
      <c r="J35" s="29">
        <f t="shared" si="1"/>
        <v>1.5800000000000001</v>
      </c>
      <c r="K35" s="29">
        <f t="shared" si="1"/>
        <v>359.33999999999997</v>
      </c>
      <c r="L35" s="29">
        <f t="shared" si="1"/>
        <v>31.84</v>
      </c>
      <c r="M35" s="29">
        <f t="shared" si="1"/>
        <v>73</v>
      </c>
      <c r="N35" s="29">
        <f t="shared" si="1"/>
        <v>397.39999999999998</v>
      </c>
      <c r="O35" s="29">
        <f t="shared" si="1"/>
        <v>0</v>
      </c>
      <c r="P35" s="29">
        <f t="shared" si="1"/>
        <v>5.3700000000000001</v>
      </c>
      <c r="Q35" s="29">
        <f t="shared" si="1"/>
        <v>59.380000000000003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78.822500000000005</v>
      </c>
      <c r="C36" s="28">
        <f t="shared" si="2"/>
        <v>115.34041666666668</v>
      </c>
      <c r="D36" s="28">
        <f t="shared" si="2"/>
        <v>126.69291666666668</v>
      </c>
      <c r="E36" s="28">
        <f t="shared" si="2"/>
        <v>7.8816666666666677</v>
      </c>
      <c r="F36" s="28">
        <f t="shared" si="2"/>
        <v>3.2799999999999998</v>
      </c>
      <c r="G36" s="28">
        <f t="shared" si="2"/>
        <v>136.17391304347825</v>
      </c>
      <c r="H36" s="28">
        <f t="shared" si="2"/>
        <v>63.568333333333328</v>
      </c>
      <c r="I36" s="28">
        <f t="shared" si="2"/>
        <v>0.79249999999999987</v>
      </c>
      <c r="J36" s="28">
        <f t="shared" si="2"/>
        <v>0.53333333333333333</v>
      </c>
      <c r="K36" s="28">
        <f t="shared" si="2"/>
        <v>204.40000000000001</v>
      </c>
      <c r="L36" s="28">
        <f t="shared" si="2"/>
        <v>22.244583333333335</v>
      </c>
      <c r="M36" s="28">
        <f t="shared" si="2"/>
        <v>50.291666666666664</v>
      </c>
      <c r="N36" s="28">
        <f t="shared" si="2"/>
        <v>139.82500000000002</v>
      </c>
      <c r="O36" s="28">
        <f t="shared" si="2"/>
        <v>0</v>
      </c>
      <c r="P36" s="28">
        <f t="shared" si="2"/>
        <v>2.6262499999999998</v>
      </c>
      <c r="Q36" s="28">
        <f t="shared" si="2"/>
        <v>42.98416666666666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72.471961969710264</v>
      </c>
      <c r="C37" s="28">
        <f t="shared" si="3" ref="C37:Q37">STDEV(C9:C32)</f>
        <v>31.067353685761944</v>
      </c>
      <c r="D37" s="28">
        <f t="shared" si="3"/>
        <v>74.611224209764245</v>
      </c>
      <c r="E37" s="28">
        <f t="shared" si="3"/>
        <v>3.9571626491570986</v>
      </c>
      <c r="F37" s="28">
        <f t="shared" si="3"/>
        <v>4.6029149554338407</v>
      </c>
      <c r="G37" s="28">
        <f t="shared" si="3"/>
        <v>62.865486610057907</v>
      </c>
      <c r="H37" s="28">
        <f t="shared" si="3"/>
        <v>24.874612807415534</v>
      </c>
      <c r="I37" s="28">
        <f t="shared" si="3"/>
        <v>0.57244897247436533</v>
      </c>
      <c r="J37" s="28">
        <f t="shared" si="3"/>
        <v>0.47867268172717381</v>
      </c>
      <c r="K37" s="28">
        <f t="shared" si="3"/>
        <v>134.91272528371167</v>
      </c>
      <c r="L37" s="28">
        <f t="shared" si="3"/>
        <v>5.5438512584089361</v>
      </c>
      <c r="M37" s="28">
        <f t="shared" si="3"/>
        <v>17.644999702259952</v>
      </c>
      <c r="N37" s="28">
        <f t="shared" si="3"/>
        <v>155.37272227159747</v>
      </c>
      <c r="O37" s="28">
        <f t="shared" si="3"/>
        <v>0</v>
      </c>
      <c r="P37" s="28">
        <f t="shared" si="3"/>
        <v>1.4140039127305808</v>
      </c>
      <c r="Q37" s="28">
        <f t="shared" si="3"/>
        <v>9.4337036466466344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23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84a07f-28b7-4aed-949f-dbad278e33e6}">
  <sheetPr codeName=""/>
  <dimension ref="A1:U119"/>
  <sheetViews>
    <sheetView workbookViewId="0" topLeftCell="A1">
      <pane xSplit="1" ySplit="8" topLeftCell="B30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22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566</v>
      </c>
      <c r="B9" s="51">
        <v>220.45</v>
      </c>
      <c r="C9" s="51">
        <v>173.67</v>
      </c>
      <c r="D9" s="51">
        <v>272.63</v>
      </c>
      <c r="E9" s="51">
        <v>6.09</v>
      </c>
      <c r="F9" s="51">
        <v>0.26</v>
      </c>
      <c r="G9" s="51">
        <v>232.16</v>
      </c>
      <c r="H9" s="51">
        <v>99.79</v>
      </c>
      <c r="I9" s="51">
        <v>1.93</v>
      </c>
      <c r="J9" s="51">
        <v>0.10</v>
      </c>
      <c r="K9" s="51">
        <v>289.49</v>
      </c>
      <c r="L9" s="51">
        <v>17.37</v>
      </c>
      <c r="M9" s="51">
        <v>56</v>
      </c>
      <c r="N9" s="51">
        <v>24.30</v>
      </c>
      <c r="O9" s="51">
        <v>0</v>
      </c>
      <c r="P9" s="51">
        <v>5.26</v>
      </c>
      <c r="Q9" s="51">
        <v>58.28</v>
      </c>
      <c r="R9" s="43"/>
      <c r="S9" s="43"/>
      <c r="T9" s="43"/>
      <c r="U9" s="43"/>
    </row>
    <row r="10" spans="1:21" s="11" customFormat="1" ht="15">
      <c r="A10" s="50" t="s">
        <v>567</v>
      </c>
      <c r="B10" s="51">
        <v>174.94</v>
      </c>
      <c r="C10" s="51">
        <v>151.19999999999999</v>
      </c>
      <c r="D10" s="51">
        <v>223.73</v>
      </c>
      <c r="E10" s="51">
        <v>5.72</v>
      </c>
      <c r="F10" s="51">
        <v>0.15</v>
      </c>
      <c r="G10" s="51">
        <v>176.80</v>
      </c>
      <c r="H10" s="51">
        <v>92.35</v>
      </c>
      <c r="I10" s="51">
        <v>1.82</v>
      </c>
      <c r="J10" s="51">
        <v>0.14000000000000001</v>
      </c>
      <c r="K10" s="51">
        <v>300.37</v>
      </c>
      <c r="L10" s="51">
        <v>16.75</v>
      </c>
      <c r="M10" s="51">
        <v>55</v>
      </c>
      <c r="N10" s="51">
        <v>24.20</v>
      </c>
      <c r="O10" s="51">
        <v>0</v>
      </c>
      <c r="P10" s="51">
        <v>4.4000000000000004</v>
      </c>
      <c r="Q10" s="51">
        <v>53.86</v>
      </c>
      <c r="R10" s="43"/>
      <c r="S10" s="43"/>
      <c r="T10" s="43"/>
      <c r="U10" s="43"/>
    </row>
    <row r="11" spans="1:21" s="11" customFormat="1" ht="15">
      <c r="A11" s="50" t="s">
        <v>568</v>
      </c>
      <c r="B11" s="51">
        <v>131</v>
      </c>
      <c r="C11" s="51">
        <v>132.21</v>
      </c>
      <c r="D11" s="51">
        <v>178.01</v>
      </c>
      <c r="E11" s="51">
        <v>4.96</v>
      </c>
      <c r="F11" s="51">
        <v>0.10</v>
      </c>
      <c r="G11" s="51">
        <v>110.93</v>
      </c>
      <c r="H11" s="51">
        <v>76.540000000000006</v>
      </c>
      <c r="I11" s="51">
        <v>1.55</v>
      </c>
      <c r="J11" s="51">
        <v>0.13</v>
      </c>
      <c r="K11" s="51">
        <v>325.19</v>
      </c>
      <c r="L11" s="51">
        <v>15.92</v>
      </c>
      <c r="M11" s="51">
        <v>63</v>
      </c>
      <c r="N11" s="51">
        <v>24.40</v>
      </c>
      <c r="O11" s="51">
        <v>0</v>
      </c>
      <c r="P11" s="51">
        <v>3.81</v>
      </c>
      <c r="Q11" s="51">
        <v>50.54</v>
      </c>
      <c r="R11" s="43"/>
      <c r="S11" s="43"/>
      <c r="T11" s="43"/>
      <c r="U11" s="43"/>
    </row>
    <row r="12" spans="1:21" s="11" customFormat="1" ht="15">
      <c r="A12" s="50" t="s">
        <v>569</v>
      </c>
      <c r="B12" s="51">
        <v>97.28</v>
      </c>
      <c r="C12" s="51">
        <v>116.29</v>
      </c>
      <c r="D12" s="51">
        <v>142.19</v>
      </c>
      <c r="E12" s="51">
        <v>4.63</v>
      </c>
      <c r="F12" s="51">
        <v>0.14000000000000001</v>
      </c>
      <c r="G12" s="51">
        <v>128.16999999999999</v>
      </c>
      <c r="H12" s="51">
        <v>66.89</v>
      </c>
      <c r="I12" s="51">
        <v>1.1499999999999999</v>
      </c>
      <c r="J12" s="51">
        <v>0.26</v>
      </c>
      <c r="K12" s="51">
        <v>267.02999999999997</v>
      </c>
      <c r="L12" s="51">
        <v>16.14</v>
      </c>
      <c r="M12" s="51">
        <v>72</v>
      </c>
      <c r="N12" s="51">
        <v>24.5</v>
      </c>
      <c r="O12" s="51">
        <v>0</v>
      </c>
      <c r="P12" s="51">
        <v>3.20</v>
      </c>
      <c r="Q12" s="51">
        <v>47.64</v>
      </c>
      <c r="R12" s="43"/>
      <c r="S12" s="43"/>
      <c r="T12" s="43"/>
      <c r="U12" s="43"/>
    </row>
    <row r="13" spans="1:21" s="11" customFormat="1" ht="15">
      <c r="A13" s="50" t="s">
        <v>570</v>
      </c>
      <c r="B13" s="51">
        <v>76.239999999999995</v>
      </c>
      <c r="C13" s="51">
        <v>102.69</v>
      </c>
      <c r="D13" s="51">
        <v>117.81</v>
      </c>
      <c r="E13" s="51">
        <v>5.08</v>
      </c>
      <c r="F13" s="51">
        <v>0.16</v>
      </c>
      <c r="G13" s="51">
        <v>128.16999999999999</v>
      </c>
      <c r="H13" s="51">
        <v>66.89</v>
      </c>
      <c r="I13" s="51">
        <v>0.95</v>
      </c>
      <c r="J13" s="51">
        <v>0.15</v>
      </c>
      <c r="K13" s="51">
        <v>328.25</v>
      </c>
      <c r="L13" s="51">
        <v>14.65</v>
      </c>
      <c r="M13" s="51">
        <v>76</v>
      </c>
      <c r="N13" s="51">
        <v>24.5</v>
      </c>
      <c r="O13" s="51">
        <v>0</v>
      </c>
      <c r="P13" s="51">
        <v>2.74</v>
      </c>
      <c r="Q13" s="51">
        <v>44.15</v>
      </c>
      <c r="R13" s="43"/>
      <c r="S13" s="43"/>
      <c r="T13" s="43"/>
      <c r="U13" s="43"/>
    </row>
    <row r="14" spans="1:21" s="11" customFormat="1" ht="15">
      <c r="A14" s="50" t="s">
        <v>571</v>
      </c>
      <c r="B14" s="51">
        <v>83.03</v>
      </c>
      <c r="C14" s="51">
        <v>102.63</v>
      </c>
      <c r="D14" s="51">
        <v>123.22</v>
      </c>
      <c r="E14" s="51">
        <v>5.05</v>
      </c>
      <c r="F14" s="51">
        <v>0.11</v>
      </c>
      <c r="G14" s="51">
        <v>177.20</v>
      </c>
      <c r="H14" s="51">
        <v>73.760000000000005</v>
      </c>
      <c r="I14" s="51">
        <v>0.81</v>
      </c>
      <c r="J14" s="51">
        <v>0.15</v>
      </c>
      <c r="K14" s="51">
        <v>334.05</v>
      </c>
      <c r="L14" s="51">
        <v>14.42</v>
      </c>
      <c r="M14" s="51">
        <v>76</v>
      </c>
      <c r="N14" s="51">
        <v>24.20</v>
      </c>
      <c r="O14" s="51">
        <v>0</v>
      </c>
      <c r="P14" s="51">
        <v>2.44</v>
      </c>
      <c r="Q14" s="51">
        <v>44.86</v>
      </c>
      <c r="R14" s="43"/>
      <c r="S14" s="43"/>
      <c r="T14" s="43"/>
      <c r="U14" s="43"/>
    </row>
    <row r="15" spans="1:21" s="11" customFormat="1" ht="15">
      <c r="A15" s="50" t="s">
        <v>572</v>
      </c>
      <c r="B15" s="51">
        <v>105.63</v>
      </c>
      <c r="C15" s="51">
        <v>113.71</v>
      </c>
      <c r="D15" s="51">
        <v>147.46</v>
      </c>
      <c r="E15" s="51">
        <v>5.22</v>
      </c>
      <c r="F15" s="51">
        <v>0.18</v>
      </c>
      <c r="G15" s="51">
        <v>177.20</v>
      </c>
      <c r="H15" s="51">
        <v>73.760000000000005</v>
      </c>
      <c r="I15" s="51">
        <v>0.72</v>
      </c>
      <c r="J15" s="51">
        <v>0.13</v>
      </c>
      <c r="K15" s="51">
        <v>348.73</v>
      </c>
      <c r="L15" s="51">
        <v>14.49</v>
      </c>
      <c r="M15" s="51">
        <v>74</v>
      </c>
      <c r="N15" s="51">
        <v>42</v>
      </c>
      <c r="O15" s="51">
        <v>0</v>
      </c>
      <c r="P15" s="51">
        <v>2.23</v>
      </c>
      <c r="Q15" s="51">
        <v>46.37</v>
      </c>
      <c r="R15" s="43"/>
      <c r="S15" s="43"/>
      <c r="T15" s="43"/>
      <c r="U15" s="43"/>
    </row>
    <row r="16" spans="1:21" s="11" customFormat="1" ht="15">
      <c r="A16" s="50" t="s">
        <v>573</v>
      </c>
      <c r="B16" s="51">
        <v>117.47</v>
      </c>
      <c r="C16" s="51">
        <v>120.32</v>
      </c>
      <c r="D16" s="51">
        <v>160.55000000000001</v>
      </c>
      <c r="E16" s="51">
        <v>5.35</v>
      </c>
      <c r="F16" s="51">
        <v>1.44</v>
      </c>
      <c r="G16" s="51">
        <v>145.26</v>
      </c>
      <c r="H16" s="51">
        <v>72</v>
      </c>
      <c r="I16" s="51">
        <v>0.63</v>
      </c>
      <c r="J16" s="51">
        <v>0.49</v>
      </c>
      <c r="K16" s="51">
        <v>24.88</v>
      </c>
      <c r="L16" s="51">
        <v>20.95</v>
      </c>
      <c r="M16" s="51">
        <v>68</v>
      </c>
      <c r="N16" s="51">
        <v>198.90</v>
      </c>
      <c r="O16" s="51">
        <v>0</v>
      </c>
      <c r="P16" s="51">
        <v>2.13</v>
      </c>
      <c r="Q16" s="51">
        <v>46.70</v>
      </c>
      <c r="R16" s="43"/>
      <c r="S16" s="43"/>
      <c r="T16" s="43"/>
      <c r="U16" s="43"/>
    </row>
    <row r="17" spans="1:21" s="11" customFormat="1" ht="15">
      <c r="A17" s="50" t="s">
        <v>574</v>
      </c>
      <c r="B17" s="51">
        <v>110.89</v>
      </c>
      <c r="C17" s="51">
        <v>119.60</v>
      </c>
      <c r="D17" s="51">
        <v>154.93</v>
      </c>
      <c r="E17" s="51">
        <v>6.67</v>
      </c>
      <c r="F17" s="51">
        <v>1.54</v>
      </c>
      <c r="G17" s="51">
        <v>138.35</v>
      </c>
      <c r="H17" s="51">
        <v>72</v>
      </c>
      <c r="I17" s="51">
        <v>0.61</v>
      </c>
      <c r="J17" s="51">
        <v>0.92</v>
      </c>
      <c r="K17" s="51">
        <v>27.43</v>
      </c>
      <c r="L17" s="51">
        <v>26.73</v>
      </c>
      <c r="M17" s="51">
        <v>34</v>
      </c>
      <c r="N17" s="51">
        <v>321.30</v>
      </c>
      <c r="O17" s="51">
        <v>0</v>
      </c>
      <c r="P17" s="51">
        <v>2.0699999999999998</v>
      </c>
      <c r="Q17" s="51">
        <v>46.07</v>
      </c>
      <c r="R17" s="43"/>
      <c r="S17" s="43"/>
      <c r="T17" s="43"/>
      <c r="U17" s="43"/>
    </row>
    <row r="18" spans="1:21" s="11" customFormat="1" ht="15">
      <c r="A18" s="50" t="s">
        <v>575</v>
      </c>
      <c r="B18" s="51">
        <v>83.14</v>
      </c>
      <c r="C18" s="51">
        <v>113.87</v>
      </c>
      <c r="D18" s="51">
        <v>128.24</v>
      </c>
      <c r="E18" s="51">
        <v>6.06</v>
      </c>
      <c r="F18" s="51">
        <v>0.39</v>
      </c>
      <c r="G18" s="51">
        <v>101.34</v>
      </c>
      <c r="H18" s="51">
        <v>63.47</v>
      </c>
      <c r="I18" s="51">
        <v>0.56000000000000005</v>
      </c>
      <c r="J18" s="51">
        <v>1.07</v>
      </c>
      <c r="K18" s="51">
        <v>111.59</v>
      </c>
      <c r="L18" s="51">
        <v>26.57</v>
      </c>
      <c r="M18" s="51">
        <v>33</v>
      </c>
      <c r="N18" s="51">
        <v>362.20</v>
      </c>
      <c r="O18" s="51">
        <v>0</v>
      </c>
      <c r="P18" s="51">
        <v>1.83</v>
      </c>
      <c r="Q18" s="51">
        <v>44.54</v>
      </c>
      <c r="R18" s="43"/>
      <c r="S18" s="43"/>
      <c r="T18" s="43"/>
      <c r="U18" s="43"/>
    </row>
    <row r="19" spans="1:21" s="11" customFormat="1" ht="15">
      <c r="A19" s="50" t="s">
        <v>576</v>
      </c>
      <c r="B19" s="51">
        <v>56.81</v>
      </c>
      <c r="C19" s="51">
        <v>108.59</v>
      </c>
      <c r="D19" s="51">
        <v>105.49</v>
      </c>
      <c r="E19" s="51">
        <v>5.79</v>
      </c>
      <c r="F19" s="51">
        <v>0.60</v>
      </c>
      <c r="G19" s="51">
        <v>73.47</v>
      </c>
      <c r="H19" s="51">
        <v>50.68</v>
      </c>
      <c r="I19" s="51">
        <v>0.5</v>
      </c>
      <c r="J19" s="51">
        <v>1.37</v>
      </c>
      <c r="K19" s="51">
        <v>123.40</v>
      </c>
      <c r="L19" s="51">
        <v>26.39</v>
      </c>
      <c r="M19" s="51">
        <v>30</v>
      </c>
      <c r="N19" s="51">
        <v>393.40</v>
      </c>
      <c r="O19" s="51">
        <v>0</v>
      </c>
      <c r="P19" s="51">
        <v>1.58</v>
      </c>
      <c r="Q19" s="51">
        <v>43.64</v>
      </c>
      <c r="R19" s="43"/>
      <c r="S19" s="43"/>
      <c r="T19" s="43"/>
      <c r="U19" s="43"/>
    </row>
    <row r="20" spans="1:21" s="11" customFormat="1" ht="15">
      <c r="A20" s="50" t="s">
        <v>577</v>
      </c>
      <c r="B20" s="51">
        <v>31.92</v>
      </c>
      <c r="C20" s="51">
        <v>99.93</v>
      </c>
      <c r="D20" s="51">
        <v>80.75</v>
      </c>
      <c r="E20" s="51">
        <v>12.72</v>
      </c>
      <c r="F20" s="51">
        <v>13.99</v>
      </c>
      <c r="G20" s="51">
        <v>72.27</v>
      </c>
      <c r="H20" s="51">
        <v>42.61</v>
      </c>
      <c r="I20" s="51">
        <v>0.42</v>
      </c>
      <c r="J20" s="51">
        <v>1.28</v>
      </c>
      <c r="K20" s="51">
        <v>107.35</v>
      </c>
      <c r="L20" s="51">
        <v>30.26</v>
      </c>
      <c r="M20" s="51">
        <v>28</v>
      </c>
      <c r="N20" s="51">
        <v>409.5</v>
      </c>
      <c r="O20" s="51">
        <v>0</v>
      </c>
      <c r="P20" s="51">
        <v>1.31</v>
      </c>
      <c r="Q20" s="51">
        <v>41.44</v>
      </c>
      <c r="R20" s="43"/>
      <c r="S20" s="43"/>
      <c r="T20" s="43"/>
      <c r="U20" s="43"/>
    </row>
    <row r="21" spans="1:21" s="11" customFormat="1" ht="15">
      <c r="A21" s="50" t="s">
        <v>578</v>
      </c>
      <c r="B21" s="51">
        <v>20.64</v>
      </c>
      <c r="C21" s="51">
        <v>96.53</v>
      </c>
      <c r="D21" s="51">
        <v>69.819999999999993</v>
      </c>
      <c r="E21" s="51">
        <v>26.96</v>
      </c>
      <c r="F21" s="51">
        <v>6.56</v>
      </c>
      <c r="G21" s="51">
        <v>58.21</v>
      </c>
      <c r="H21" s="51">
        <v>37.85</v>
      </c>
      <c r="I21" s="51">
        <v>0.16</v>
      </c>
      <c r="J21" s="51">
        <v>0.92</v>
      </c>
      <c r="K21" s="51">
        <v>115.5</v>
      </c>
      <c r="L21" s="51">
        <v>29.94</v>
      </c>
      <c r="M21" s="51">
        <v>22</v>
      </c>
      <c r="N21" s="51">
        <v>384.20</v>
      </c>
      <c r="O21" s="51">
        <v>0</v>
      </c>
      <c r="P21" s="51">
        <v>0.91</v>
      </c>
      <c r="Q21" s="51">
        <v>25.75</v>
      </c>
      <c r="R21" s="43"/>
      <c r="S21" s="43"/>
      <c r="T21" s="43"/>
      <c r="U21" s="43"/>
    </row>
    <row r="22" spans="1:21" s="11" customFormat="1" ht="15">
      <c r="A22" s="50" t="s">
        <v>579</v>
      </c>
      <c r="B22" s="51">
        <v>18.670000000000002</v>
      </c>
      <c r="C22" s="51">
        <v>94.63</v>
      </c>
      <c r="D22" s="51">
        <v>67.069999999999993</v>
      </c>
      <c r="E22" s="51">
        <v>9.8000000000000007</v>
      </c>
      <c r="F22" s="51">
        <v>3.62</v>
      </c>
      <c r="G22" s="51">
        <v>57.23</v>
      </c>
      <c r="H22" s="51">
        <v>37.85</v>
      </c>
      <c r="I22" s="51">
        <v>0.18</v>
      </c>
      <c r="J22" s="51">
        <v>1.01</v>
      </c>
      <c r="K22" s="51">
        <v>117.24</v>
      </c>
      <c r="L22" s="51">
        <v>30.72</v>
      </c>
      <c r="M22" s="51">
        <v>21</v>
      </c>
      <c r="N22" s="51">
        <v>349.10</v>
      </c>
      <c r="O22" s="51">
        <v>0</v>
      </c>
      <c r="P22" s="51">
        <v>0.93</v>
      </c>
      <c r="Q22" s="51">
        <v>29.63</v>
      </c>
      <c r="R22" s="43"/>
      <c r="S22" s="43"/>
      <c r="T22" s="43"/>
      <c r="U22" s="43"/>
    </row>
    <row r="23" spans="1:21" s="11" customFormat="1" ht="15">
      <c r="A23" s="50" t="s">
        <v>580</v>
      </c>
      <c r="B23" s="51">
        <v>19.559999999999999</v>
      </c>
      <c r="C23" s="51">
        <v>97.22</v>
      </c>
      <c r="D23" s="51">
        <v>68.09</v>
      </c>
      <c r="E23" s="51">
        <v>21.62</v>
      </c>
      <c r="F23" s="51">
        <v>6.29</v>
      </c>
      <c r="G23" s="51">
        <v>50.22</v>
      </c>
      <c r="H23" s="51">
        <v>26.89</v>
      </c>
      <c r="I23" s="51">
        <v>0.17</v>
      </c>
      <c r="J23" s="51">
        <v>1.04</v>
      </c>
      <c r="K23" s="51">
        <v>76.62</v>
      </c>
      <c r="L23" s="51">
        <v>31.19</v>
      </c>
      <c r="M23" s="51">
        <v>18</v>
      </c>
      <c r="N23" s="51">
        <v>303.39999999999998</v>
      </c>
      <c r="O23" s="51">
        <v>0</v>
      </c>
      <c r="P23" s="51">
        <v>0.89</v>
      </c>
      <c r="Q23" s="51">
        <v>30.91</v>
      </c>
      <c r="R23" s="43"/>
      <c r="S23" s="43"/>
      <c r="T23" s="43"/>
      <c r="U23" s="43"/>
    </row>
    <row r="24" spans="1:21" s="11" customFormat="1" ht="15">
      <c r="A24" s="50" t="s">
        <v>581</v>
      </c>
      <c r="B24" s="51">
        <v>15.90</v>
      </c>
      <c r="C24" s="51">
        <v>83.72</v>
      </c>
      <c r="D24" s="51">
        <v>57.36</v>
      </c>
      <c r="E24" s="51">
        <v>23.03</v>
      </c>
      <c r="F24" s="51">
        <v>10.26</v>
      </c>
      <c r="G24" s="51">
        <v>52.73</v>
      </c>
      <c r="H24" s="51">
        <v>26.89</v>
      </c>
      <c r="I24" s="51">
        <v>0.18</v>
      </c>
      <c r="J24" s="51">
        <v>0.67</v>
      </c>
      <c r="K24" s="51">
        <v>109.41</v>
      </c>
      <c r="L24" s="51">
        <v>28.62</v>
      </c>
      <c r="M24" s="51">
        <v>21</v>
      </c>
      <c r="N24" s="51">
        <v>212</v>
      </c>
      <c r="O24" s="51">
        <v>0</v>
      </c>
      <c r="P24" s="51">
        <v>0.86</v>
      </c>
      <c r="Q24" s="51">
        <v>32.020000000000003</v>
      </c>
      <c r="R24" s="43"/>
      <c r="S24" s="43"/>
      <c r="T24" s="43"/>
      <c r="U24" s="43"/>
    </row>
    <row r="25" spans="1:21" s="11" customFormat="1" ht="15">
      <c r="A25" s="50" t="s">
        <v>582</v>
      </c>
      <c r="B25" s="51">
        <v>21.22</v>
      </c>
      <c r="C25" s="51">
        <v>97.04</v>
      </c>
      <c r="D25" s="51">
        <v>70.209999999999994</v>
      </c>
      <c r="E25" s="51">
        <v>47.18</v>
      </c>
      <c r="F25" s="51">
        <v>13.72</v>
      </c>
      <c r="G25" s="51">
        <v>60.25</v>
      </c>
      <c r="H25" s="51">
        <v>26.40</v>
      </c>
      <c r="I25" s="51">
        <v>0.19</v>
      </c>
      <c r="J25" s="51">
        <v>0.51</v>
      </c>
      <c r="K25" s="51">
        <v>101.82</v>
      </c>
      <c r="L25" s="51">
        <v>27.83</v>
      </c>
      <c r="M25" s="51">
        <v>26</v>
      </c>
      <c r="N25" s="51">
        <v>63.70</v>
      </c>
      <c r="O25" s="51">
        <v>0</v>
      </c>
      <c r="P25" s="51">
        <v>1.04</v>
      </c>
      <c r="Q25" s="51">
        <v>33.90</v>
      </c>
      <c r="R25" s="43"/>
      <c r="S25" s="43"/>
      <c r="T25" s="43"/>
      <c r="U25" s="43"/>
    </row>
    <row r="26" spans="1:21" s="11" customFormat="1" ht="15">
      <c r="A26" s="50" t="s">
        <v>583</v>
      </c>
      <c r="B26" s="51">
        <v>10.65</v>
      </c>
      <c r="C26" s="51">
        <v>111.23</v>
      </c>
      <c r="D26" s="51">
        <v>69.930000000000007</v>
      </c>
      <c r="E26" s="51">
        <v>9.8699999999999992</v>
      </c>
      <c r="F26" s="51">
        <v>2.62</v>
      </c>
      <c r="G26" s="51">
        <v>60.25</v>
      </c>
      <c r="H26" s="51">
        <v>28.14</v>
      </c>
      <c r="I26" s="51">
        <v>0.24</v>
      </c>
      <c r="J26" s="51">
        <v>0.28000000000000003</v>
      </c>
      <c r="K26" s="51">
        <v>79.05</v>
      </c>
      <c r="L26" s="51">
        <v>25.78</v>
      </c>
      <c r="M26" s="51">
        <v>37</v>
      </c>
      <c r="N26" s="51">
        <v>29.90</v>
      </c>
      <c r="O26" s="51">
        <v>0</v>
      </c>
      <c r="P26" s="51">
        <v>1.1299999999999999</v>
      </c>
      <c r="Q26" s="51">
        <v>33.39</v>
      </c>
      <c r="R26" s="43"/>
      <c r="S26" s="43"/>
      <c r="T26" s="43"/>
      <c r="U26" s="43"/>
    </row>
    <row r="27" spans="1:21" s="11" customFormat="1" ht="15">
      <c r="A27" s="50" t="s">
        <v>584</v>
      </c>
      <c r="B27" s="51">
        <v>33.58</v>
      </c>
      <c r="C27" s="51">
        <v>121.84</v>
      </c>
      <c r="D27" s="51">
        <v>94.17</v>
      </c>
      <c r="E27" s="51">
        <v>5.30</v>
      </c>
      <c r="F27" s="51">
        <v>0.070000000000000007</v>
      </c>
      <c r="G27" s="51">
        <v>144.34</v>
      </c>
      <c r="H27" s="51">
        <v>37.22</v>
      </c>
      <c r="I27" s="51">
        <v>0.39</v>
      </c>
      <c r="J27" s="51">
        <v>0.14000000000000001</v>
      </c>
      <c r="K27" s="51">
        <v>359.59</v>
      </c>
      <c r="L27" s="51">
        <v>22.19</v>
      </c>
      <c r="M27" s="51">
        <v>47</v>
      </c>
      <c r="N27" s="51">
        <v>24.5</v>
      </c>
      <c r="O27" s="51">
        <v>0</v>
      </c>
      <c r="P27" s="51">
        <v>1.80</v>
      </c>
      <c r="Q27" s="51">
        <v>33.81</v>
      </c>
      <c r="R27" s="43"/>
      <c r="S27" s="43"/>
      <c r="T27" s="43"/>
      <c r="U27" s="43"/>
    </row>
    <row r="28" spans="1:21" s="11" customFormat="1" ht="15">
      <c r="A28" s="50" t="s">
        <v>585</v>
      </c>
      <c r="B28" s="51">
        <v>75.88</v>
      </c>
      <c r="C28" s="51">
        <v>125.34</v>
      </c>
      <c r="D28" s="51">
        <v>130.02000000000001</v>
      </c>
      <c r="E28" s="51">
        <v>5.14</v>
      </c>
      <c r="F28" s="51">
        <v>0.60</v>
      </c>
      <c r="G28" s="51">
        <v>177.37</v>
      </c>
      <c r="H28" s="51">
        <v>51.74</v>
      </c>
      <c r="I28" s="51">
        <v>0.67</v>
      </c>
      <c r="J28" s="51">
        <v>0.21</v>
      </c>
      <c r="K28" s="51">
        <v>357.87</v>
      </c>
      <c r="L28" s="51">
        <v>21.14</v>
      </c>
      <c r="M28" s="51">
        <v>54</v>
      </c>
      <c r="N28" s="51">
        <v>24.5</v>
      </c>
      <c r="O28" s="51">
        <v>0</v>
      </c>
      <c r="P28" s="51">
        <v>2.60</v>
      </c>
      <c r="Q28" s="51">
        <v>37.33</v>
      </c>
      <c r="R28" s="43"/>
      <c r="S28" s="43"/>
      <c r="T28" s="43"/>
      <c r="U28" s="43"/>
    </row>
    <row r="29" spans="1:21" s="11" customFormat="1" ht="15">
      <c r="A29" s="50" t="s">
        <v>586</v>
      </c>
      <c r="B29" s="51">
        <v>112.31</v>
      </c>
      <c r="C29" s="51">
        <v>133.37</v>
      </c>
      <c r="D29" s="51">
        <v>163.66</v>
      </c>
      <c r="E29" s="51">
        <v>5.33</v>
      </c>
      <c r="F29" s="51">
        <v>0.41</v>
      </c>
      <c r="G29" s="51">
        <v>210.56</v>
      </c>
      <c r="H29" s="51">
        <v>70.5</v>
      </c>
      <c r="I29" s="51">
        <v>1.1499999999999999</v>
      </c>
      <c r="J29" s="51">
        <v>0.16</v>
      </c>
      <c r="K29" s="51">
        <v>342.68</v>
      </c>
      <c r="L29" s="51">
        <v>19.760000000000002</v>
      </c>
      <c r="M29" s="51">
        <v>55</v>
      </c>
      <c r="N29" s="51">
        <v>24.10</v>
      </c>
      <c r="O29" s="51">
        <v>0</v>
      </c>
      <c r="P29" s="51">
        <v>3.68</v>
      </c>
      <c r="Q29" s="51">
        <v>47.10</v>
      </c>
      <c r="R29" s="43"/>
      <c r="S29" s="43"/>
      <c r="T29" s="43"/>
      <c r="U29" s="43"/>
    </row>
    <row r="30" spans="1:21" s="11" customFormat="1" ht="15">
      <c r="A30" s="50" t="s">
        <v>587</v>
      </c>
      <c r="B30" s="51">
        <v>116.32</v>
      </c>
      <c r="C30" s="51">
        <v>135.96</v>
      </c>
      <c r="D30" s="51">
        <v>167.90</v>
      </c>
      <c r="E30" s="51">
        <v>5.73</v>
      </c>
      <c r="F30" s="51">
        <v>0.18</v>
      </c>
      <c r="G30" s="51">
        <v>210.56</v>
      </c>
      <c r="H30" s="51">
        <v>71.069999999999993</v>
      </c>
      <c r="I30" s="51">
        <v>1.39</v>
      </c>
      <c r="J30" s="51">
        <v>0.11</v>
      </c>
      <c r="K30" s="51">
        <v>359.64</v>
      </c>
      <c r="L30" s="51">
        <v>19.829999999999998</v>
      </c>
      <c r="M30" s="51">
        <v>46</v>
      </c>
      <c r="N30" s="51">
        <v>24.30</v>
      </c>
      <c r="O30" s="51">
        <v>0</v>
      </c>
      <c r="P30" s="51">
        <v>3.82</v>
      </c>
      <c r="Q30" s="51">
        <v>47.62</v>
      </c>
      <c r="R30" s="43"/>
      <c r="S30" s="43"/>
      <c r="T30" s="43"/>
      <c r="U30" s="43"/>
    </row>
    <row r="31" spans="1:21" s="11" customFormat="1" ht="15">
      <c r="A31" s="50" t="s">
        <v>588</v>
      </c>
      <c r="B31" s="51">
        <v>100.88</v>
      </c>
      <c r="C31" s="51">
        <v>131.19999999999999</v>
      </c>
      <c r="D31" s="51">
        <v>153.30000000000001</v>
      </c>
      <c r="E31" s="51">
        <v>6.47</v>
      </c>
      <c r="F31" s="51">
        <v>0.54</v>
      </c>
      <c r="G31" s="51">
        <v>179.85</v>
      </c>
      <c r="H31" s="51">
        <v>71.069999999999993</v>
      </c>
      <c r="I31" s="51">
        <v>1.40</v>
      </c>
      <c r="J31" s="51">
        <v>0.24</v>
      </c>
      <c r="K31" s="51">
        <v>66.260000000000005</v>
      </c>
      <c r="L31" s="51">
        <v>20.39</v>
      </c>
      <c r="M31" s="51">
        <v>43</v>
      </c>
      <c r="N31" s="51">
        <v>24.20</v>
      </c>
      <c r="O31" s="51">
        <v>0</v>
      </c>
      <c r="P31" s="51">
        <v>3.68</v>
      </c>
      <c r="Q31" s="51">
        <v>44.99</v>
      </c>
      <c r="R31" s="43"/>
      <c r="S31" s="43"/>
      <c r="T31" s="43"/>
      <c r="U31" s="43"/>
    </row>
    <row r="32" spans="1:21" s="11" customFormat="1" ht="15">
      <c r="A32" s="50" t="s">
        <v>589</v>
      </c>
      <c r="B32" s="51">
        <v>83.23</v>
      </c>
      <c r="C32" s="51">
        <v>117.40</v>
      </c>
      <c r="D32" s="51">
        <v>131.54</v>
      </c>
      <c r="E32" s="51">
        <v>5.94</v>
      </c>
      <c r="F32" s="51">
        <v>0.91</v>
      </c>
      <c r="G32" s="51">
        <v>93.33</v>
      </c>
      <c r="H32" s="51">
        <v>67.400000000000006</v>
      </c>
      <c r="I32" s="51">
        <v>1.31</v>
      </c>
      <c r="J32" s="51">
        <v>0.32</v>
      </c>
      <c r="K32" s="51">
        <v>322.75</v>
      </c>
      <c r="L32" s="51">
        <v>19.63</v>
      </c>
      <c r="M32" s="51">
        <v>45</v>
      </c>
      <c r="N32" s="51">
        <v>24.60</v>
      </c>
      <c r="O32" s="51">
        <v>0</v>
      </c>
      <c r="P32" s="51">
        <v>3.30</v>
      </c>
      <c r="Q32" s="51">
        <v>45.66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10.65</v>
      </c>
      <c r="C34" s="28">
        <f t="shared" si="0"/>
        <v>83.719999999999999</v>
      </c>
      <c r="D34" s="28">
        <f t="shared" si="0"/>
        <v>57.359999999999999</v>
      </c>
      <c r="E34" s="28">
        <f t="shared" si="0"/>
        <v>4.6299999999999999</v>
      </c>
      <c r="F34" s="28">
        <f t="shared" si="0"/>
        <v>0.070000000000000007</v>
      </c>
      <c r="G34" s="28">
        <f t="shared" si="0"/>
        <v>50.219999999999999</v>
      </c>
      <c r="H34" s="28">
        <f t="shared" si="0"/>
        <v>26.399999999999999</v>
      </c>
      <c r="I34" s="28">
        <f t="shared" si="0"/>
        <v>0.16</v>
      </c>
      <c r="J34" s="28">
        <f t="shared" si="0"/>
        <v>0.10000000000000001</v>
      </c>
      <c r="K34" s="28">
        <f t="shared" si="0"/>
        <v>24.879999999999999</v>
      </c>
      <c r="L34" s="28">
        <f t="shared" si="0"/>
        <v>14.42</v>
      </c>
      <c r="M34" s="28">
        <f t="shared" si="0"/>
        <v>18</v>
      </c>
      <c r="N34" s="28">
        <f t="shared" si="0"/>
        <v>24.100000000000001</v>
      </c>
      <c r="O34" s="28">
        <f t="shared" si="0"/>
        <v>0</v>
      </c>
      <c r="P34" s="28">
        <f t="shared" si="0"/>
        <v>0.85999999999999999</v>
      </c>
      <c r="Q34" s="28">
        <f t="shared" si="0"/>
        <v>25.75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220.44999999999999</v>
      </c>
      <c r="C35" s="29">
        <f t="shared" si="1"/>
        <v>173.66999999999999</v>
      </c>
      <c r="D35" s="29">
        <f t="shared" si="1"/>
        <v>272.63</v>
      </c>
      <c r="E35" s="29">
        <f t="shared" si="1"/>
        <v>47.18</v>
      </c>
      <c r="F35" s="29">
        <f t="shared" si="1"/>
        <v>13.99</v>
      </c>
      <c r="G35" s="29">
        <f t="shared" si="1"/>
        <v>232.16</v>
      </c>
      <c r="H35" s="29">
        <f t="shared" si="1"/>
        <v>99.790000000000006</v>
      </c>
      <c r="I35" s="29">
        <f t="shared" si="1"/>
        <v>1.9299999999999999</v>
      </c>
      <c r="J35" s="29">
        <f t="shared" si="1"/>
        <v>1.3700000000000001</v>
      </c>
      <c r="K35" s="29">
        <f t="shared" si="1"/>
        <v>359.63999999999999</v>
      </c>
      <c r="L35" s="29">
        <f t="shared" si="1"/>
        <v>31.190000000000001</v>
      </c>
      <c r="M35" s="29">
        <f t="shared" si="1"/>
        <v>76</v>
      </c>
      <c r="N35" s="29">
        <f t="shared" si="1"/>
        <v>409.5</v>
      </c>
      <c r="O35" s="29">
        <f t="shared" si="1"/>
        <v>0</v>
      </c>
      <c r="P35" s="29">
        <f t="shared" si="1"/>
        <v>5.2599999999999998</v>
      </c>
      <c r="Q35" s="29">
        <f t="shared" si="1"/>
        <v>58.280000000000001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79.901666666666685</v>
      </c>
      <c r="C36" s="28">
        <f t="shared" si="2"/>
        <v>116.67458333333333</v>
      </c>
      <c r="D36" s="28">
        <f t="shared" si="2"/>
        <v>128.25333333333333</v>
      </c>
      <c r="E36" s="28">
        <f t="shared" si="2"/>
        <v>10.237916666666667</v>
      </c>
      <c r="F36" s="28">
        <f t="shared" si="2"/>
        <v>2.7016666666666662</v>
      </c>
      <c r="G36" s="28">
        <f t="shared" si="2"/>
        <v>125.67583333333333</v>
      </c>
      <c r="H36" s="28">
        <f t="shared" si="2"/>
        <v>58.490000000000002</v>
      </c>
      <c r="I36" s="28">
        <f t="shared" si="2"/>
        <v>0.79499999999999993</v>
      </c>
      <c r="J36" s="28">
        <f t="shared" si="2"/>
        <v>0.4916666666666667</v>
      </c>
      <c r="K36" s="28">
        <f t="shared" si="2"/>
        <v>208.17458333333335</v>
      </c>
      <c r="L36" s="28">
        <f t="shared" si="2"/>
        <v>22.402499999999993</v>
      </c>
      <c r="M36" s="28">
        <f t="shared" si="2"/>
        <v>45.833333333333336</v>
      </c>
      <c r="N36" s="28">
        <f t="shared" si="2"/>
        <v>140.07916666666665</v>
      </c>
      <c r="O36" s="28">
        <f t="shared" si="2"/>
        <v>0</v>
      </c>
      <c r="P36" s="28">
        <f t="shared" si="2"/>
        <v>2.4016666666666668</v>
      </c>
      <c r="Q36" s="28">
        <f t="shared" si="2"/>
        <v>42.091666666666661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53.499074568726328</v>
      </c>
      <c r="C37" s="28">
        <f t="shared" si="3" ref="C37:Q37">STDEV(C9:C32)</f>
        <v>19.993916244081923</v>
      </c>
      <c r="D37" s="28">
        <f t="shared" si="3"/>
        <v>53.105935938311674</v>
      </c>
      <c r="E37" s="28">
        <f t="shared" si="3"/>
        <v>10.045447586351985</v>
      </c>
      <c r="F37" s="28">
        <f t="shared" si="3"/>
        <v>4.2907825035479981</v>
      </c>
      <c r="G37" s="28">
        <f t="shared" si="3"/>
        <v>57.646056535187007</v>
      </c>
      <c r="H37" s="28">
        <f t="shared" si="3"/>
        <v>21.189225317722638</v>
      </c>
      <c r="I37" s="28">
        <f t="shared" si="3"/>
        <v>0.54869013984690618</v>
      </c>
      <c r="J37" s="28">
        <f t="shared" si="3"/>
        <v>0.42313187035502897</v>
      </c>
      <c r="K37" s="28">
        <f t="shared" si="3"/>
        <v>126.28005667112407</v>
      </c>
      <c r="L37" s="28">
        <f t="shared" si="3"/>
        <v>5.7123331485480033</v>
      </c>
      <c r="M37" s="28">
        <f t="shared" si="3"/>
        <v>19.057502611756387</v>
      </c>
      <c r="N37" s="28">
        <f t="shared" si="3"/>
        <v>154.04930599498405</v>
      </c>
      <c r="O37" s="28">
        <f t="shared" si="3"/>
        <v>0</v>
      </c>
      <c r="P37" s="28">
        <f t="shared" si="3"/>
        <v>1.2566230338790398</v>
      </c>
      <c r="Q37" s="28">
        <f t="shared" si="3"/>
        <v>8.1786342362900157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db7973-fa1d-48e2-9724-fa8dbf59a8d6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22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590</v>
      </c>
      <c r="B9" s="51">
        <v>71.900000000000006</v>
      </c>
      <c r="C9" s="51">
        <v>110.26</v>
      </c>
      <c r="D9" s="51">
        <v>118.51</v>
      </c>
      <c r="E9" s="51">
        <v>5.55</v>
      </c>
      <c r="F9" s="51">
        <v>0.37</v>
      </c>
      <c r="G9" s="51">
        <v>144.65</v>
      </c>
      <c r="H9" s="51">
        <v>60.24</v>
      </c>
      <c r="I9" s="51">
        <v>1.1499999999999999</v>
      </c>
      <c r="J9" s="51">
        <v>0.15</v>
      </c>
      <c r="K9" s="51">
        <v>348.33</v>
      </c>
      <c r="L9" s="51">
        <v>18.30</v>
      </c>
      <c r="M9" s="51">
        <v>66</v>
      </c>
      <c r="N9" s="51">
        <v>25</v>
      </c>
      <c r="O9" s="51">
        <v>0</v>
      </c>
      <c r="P9" s="51">
        <v>2.89</v>
      </c>
      <c r="Q9" s="51">
        <v>45.66</v>
      </c>
      <c r="R9" s="43"/>
      <c r="S9" s="43"/>
      <c r="T9" s="43"/>
      <c r="U9" s="43"/>
    </row>
    <row r="10" spans="1:21" s="11" customFormat="1" ht="15">
      <c r="A10" s="50" t="s">
        <v>591</v>
      </c>
      <c r="B10" s="51">
        <v>66.83</v>
      </c>
      <c r="C10" s="51">
        <v>105.08</v>
      </c>
      <c r="D10" s="51">
        <v>111.58</v>
      </c>
      <c r="E10" s="51">
        <v>5.30</v>
      </c>
      <c r="F10" s="51">
        <v>0.12</v>
      </c>
      <c r="G10" s="51">
        <v>144.65</v>
      </c>
      <c r="H10" s="51">
        <v>55.31</v>
      </c>
      <c r="I10" s="51">
        <v>0.92</v>
      </c>
      <c r="J10" s="51">
        <v>0.16</v>
      </c>
      <c r="K10" s="51">
        <v>356.42</v>
      </c>
      <c r="L10" s="51">
        <v>16.32</v>
      </c>
      <c r="M10" s="51">
        <v>67</v>
      </c>
      <c r="N10" s="51">
        <v>24.40</v>
      </c>
      <c r="O10" s="51">
        <v>0</v>
      </c>
      <c r="P10" s="51">
        <v>2.59</v>
      </c>
      <c r="Q10" s="51">
        <v>44.55</v>
      </c>
      <c r="R10" s="43"/>
      <c r="S10" s="43"/>
      <c r="T10" s="43"/>
      <c r="U10" s="43"/>
    </row>
    <row r="11" spans="1:21" s="11" customFormat="1" ht="15">
      <c r="A11" s="50" t="s">
        <v>592</v>
      </c>
      <c r="B11" s="51">
        <v>60.38</v>
      </c>
      <c r="C11" s="51">
        <v>96.55</v>
      </c>
      <c r="D11" s="51">
        <v>101.70</v>
      </c>
      <c r="E11" s="51">
        <v>5.0999999999999996</v>
      </c>
      <c r="F11" s="51">
        <v>0.59</v>
      </c>
      <c r="G11" s="51">
        <v>127.90</v>
      </c>
      <c r="H11" s="51">
        <v>52.02</v>
      </c>
      <c r="I11" s="51">
        <v>0.82</v>
      </c>
      <c r="J11" s="51">
        <v>0.13</v>
      </c>
      <c r="K11" s="51">
        <v>344.99</v>
      </c>
      <c r="L11" s="51">
        <v>16.03</v>
      </c>
      <c r="M11" s="51">
        <v>69</v>
      </c>
      <c r="N11" s="51">
        <v>24.30</v>
      </c>
      <c r="O11" s="51">
        <v>0</v>
      </c>
      <c r="P11" s="51">
        <v>2.39</v>
      </c>
      <c r="Q11" s="51">
        <v>40.82</v>
      </c>
      <c r="R11" s="43"/>
      <c r="S11" s="43"/>
      <c r="T11" s="43"/>
      <c r="U11" s="43"/>
    </row>
    <row r="12" spans="1:21" s="11" customFormat="1" ht="15">
      <c r="A12" s="50" t="s">
        <v>593</v>
      </c>
      <c r="B12" s="51">
        <v>49.52</v>
      </c>
      <c r="C12" s="51">
        <v>88.21</v>
      </c>
      <c r="D12" s="51">
        <v>88.39</v>
      </c>
      <c r="E12" s="51">
        <v>5.16</v>
      </c>
      <c r="F12" s="51">
        <v>0.10</v>
      </c>
      <c r="G12" s="51">
        <v>89.23</v>
      </c>
      <c r="H12" s="51">
        <v>51.72</v>
      </c>
      <c r="I12" s="51">
        <v>0.76</v>
      </c>
      <c r="J12" s="51">
        <v>0.11</v>
      </c>
      <c r="K12" s="51">
        <v>355.06</v>
      </c>
      <c r="L12" s="51">
        <v>15.49</v>
      </c>
      <c r="M12" s="51">
        <v>75</v>
      </c>
      <c r="N12" s="51">
        <v>24.30</v>
      </c>
      <c r="O12" s="51">
        <v>0</v>
      </c>
      <c r="P12" s="51">
        <v>2.12</v>
      </c>
      <c r="Q12" s="51">
        <v>41.74</v>
      </c>
      <c r="R12" s="43"/>
      <c r="S12" s="43"/>
      <c r="T12" s="43"/>
      <c r="U12" s="43"/>
    </row>
    <row r="13" spans="1:21" s="11" customFormat="1" ht="15">
      <c r="A13" s="50" t="s">
        <v>594</v>
      </c>
      <c r="B13" s="51">
        <v>48.43</v>
      </c>
      <c r="C13" s="51">
        <v>86.74</v>
      </c>
      <c r="D13" s="51">
        <v>86.71</v>
      </c>
      <c r="E13" s="51">
        <v>4.4000000000000004</v>
      </c>
      <c r="F13" s="51">
        <v>0.05</v>
      </c>
      <c r="G13" s="51">
        <v>98.19</v>
      </c>
      <c r="H13" s="51">
        <v>49.89</v>
      </c>
      <c r="I13" s="51">
        <v>0.68</v>
      </c>
      <c r="J13" s="51">
        <v>0.15</v>
      </c>
      <c r="K13" s="51">
        <v>345.02</v>
      </c>
      <c r="L13" s="51">
        <v>15.12</v>
      </c>
      <c r="M13" s="51">
        <v>76</v>
      </c>
      <c r="N13" s="51">
        <v>24.20</v>
      </c>
      <c r="O13" s="51">
        <v>0</v>
      </c>
      <c r="P13" s="51">
        <v>1.87</v>
      </c>
      <c r="Q13" s="51">
        <v>41.41</v>
      </c>
      <c r="R13" s="43"/>
      <c r="S13" s="43"/>
      <c r="T13" s="43"/>
      <c r="U13" s="43"/>
    </row>
    <row r="14" spans="1:21" s="11" customFormat="1" ht="15">
      <c r="A14" s="50" t="s">
        <v>595</v>
      </c>
      <c r="B14" s="51">
        <v>70.30</v>
      </c>
      <c r="C14" s="51">
        <v>92.56</v>
      </c>
      <c r="D14" s="51">
        <v>107.45</v>
      </c>
      <c r="E14" s="51">
        <v>4.37</v>
      </c>
      <c r="F14" s="51">
        <v>0.01</v>
      </c>
      <c r="G14" s="51">
        <v>172.23</v>
      </c>
      <c r="H14" s="51">
        <v>57.56</v>
      </c>
      <c r="I14" s="51">
        <v>0.64</v>
      </c>
      <c r="J14" s="51">
        <v>0.13</v>
      </c>
      <c r="K14" s="51">
        <v>334.44</v>
      </c>
      <c r="L14" s="51">
        <v>14.82</v>
      </c>
      <c r="M14" s="51">
        <v>77</v>
      </c>
      <c r="N14" s="51">
        <v>24.30</v>
      </c>
      <c r="O14" s="51">
        <v>0</v>
      </c>
      <c r="P14" s="51">
        <v>1.88</v>
      </c>
      <c r="Q14" s="51">
        <v>40.24</v>
      </c>
      <c r="R14" s="43"/>
      <c r="S14" s="43"/>
      <c r="T14" s="43"/>
      <c r="U14" s="43"/>
    </row>
    <row r="15" spans="1:21" s="11" customFormat="1" ht="15">
      <c r="A15" s="50" t="s">
        <v>596</v>
      </c>
      <c r="B15" s="51">
        <v>77.41</v>
      </c>
      <c r="C15" s="51">
        <v>93.59</v>
      </c>
      <c r="D15" s="51">
        <v>113.69</v>
      </c>
      <c r="E15" s="51">
        <v>5.08</v>
      </c>
      <c r="F15" s="51">
        <v>0.20</v>
      </c>
      <c r="G15" s="51">
        <v>182.43</v>
      </c>
      <c r="H15" s="51">
        <v>69.52</v>
      </c>
      <c r="I15" s="51">
        <v>0.65</v>
      </c>
      <c r="J15" s="51">
        <v>0.19</v>
      </c>
      <c r="K15" s="51">
        <v>251.92</v>
      </c>
      <c r="L15" s="51">
        <v>15.40</v>
      </c>
      <c r="M15" s="51">
        <v>70</v>
      </c>
      <c r="N15" s="51">
        <v>34.90</v>
      </c>
      <c r="O15" s="51">
        <v>0</v>
      </c>
      <c r="P15" s="51">
        <v>1.89</v>
      </c>
      <c r="Q15" s="51">
        <v>42.17</v>
      </c>
      <c r="R15" s="43"/>
      <c r="S15" s="43"/>
      <c r="T15" s="43"/>
      <c r="U15" s="43"/>
    </row>
    <row r="16" spans="1:21" s="11" customFormat="1" ht="15">
      <c r="A16" s="50" t="s">
        <v>597</v>
      </c>
      <c r="B16" s="51">
        <v>79.69</v>
      </c>
      <c r="C16" s="51">
        <v>96</v>
      </c>
      <c r="D16" s="51">
        <v>116.74</v>
      </c>
      <c r="E16" s="51">
        <v>5.43</v>
      </c>
      <c r="F16" s="51">
        <v>0.43</v>
      </c>
      <c r="G16" s="51">
        <v>209.98</v>
      </c>
      <c r="H16" s="51">
        <v>78.95</v>
      </c>
      <c r="I16" s="51">
        <v>0.61</v>
      </c>
      <c r="J16" s="51">
        <v>0.56000000000000005</v>
      </c>
      <c r="K16" s="51">
        <v>120.82</v>
      </c>
      <c r="L16" s="51">
        <v>18.96</v>
      </c>
      <c r="M16" s="51">
        <v>66</v>
      </c>
      <c r="N16" s="51">
        <v>169.90</v>
      </c>
      <c r="O16" s="51">
        <v>0</v>
      </c>
      <c r="P16" s="51">
        <v>2.09</v>
      </c>
      <c r="Q16" s="51">
        <v>43.62</v>
      </c>
      <c r="R16" s="43"/>
      <c r="S16" s="43"/>
      <c r="T16" s="43"/>
      <c r="U16" s="43"/>
    </row>
    <row r="17" spans="1:21" s="11" customFormat="1" ht="15">
      <c r="A17" s="50" t="s">
        <v>598</v>
      </c>
      <c r="B17" s="51">
        <v>70.84</v>
      </c>
      <c r="C17" s="51">
        <v>96.81</v>
      </c>
      <c r="D17" s="51">
        <v>109.99</v>
      </c>
      <c r="E17" s="51">
        <v>5.75</v>
      </c>
      <c r="F17" s="51">
        <v>0.85</v>
      </c>
      <c r="G17" s="51">
        <v>209.98</v>
      </c>
      <c r="H17" s="51">
        <v>90.39</v>
      </c>
      <c r="I17" s="51">
        <v>0.55000000000000004</v>
      </c>
      <c r="J17" s="51">
        <v>1.21</v>
      </c>
      <c r="K17" s="51">
        <v>124.60</v>
      </c>
      <c r="L17" s="51">
        <v>21.42</v>
      </c>
      <c r="M17" s="51">
        <v>50</v>
      </c>
      <c r="N17" s="51">
        <v>296.5</v>
      </c>
      <c r="O17" s="51">
        <v>0</v>
      </c>
      <c r="P17" s="51">
        <v>2.17</v>
      </c>
      <c r="Q17" s="51">
        <v>43.24</v>
      </c>
      <c r="R17" s="43"/>
      <c r="S17" s="43"/>
      <c r="T17" s="43"/>
      <c r="U17" s="43"/>
    </row>
    <row r="18" spans="1:21" s="11" customFormat="1" ht="15">
      <c r="A18" s="50" t="s">
        <v>599</v>
      </c>
      <c r="B18" s="51">
        <v>53.86</v>
      </c>
      <c r="C18" s="51">
        <v>93.71</v>
      </c>
      <c r="D18" s="51">
        <v>94.91</v>
      </c>
      <c r="E18" s="51">
        <v>5.5</v>
      </c>
      <c r="F18" s="51">
        <v>0.57999999999999996</v>
      </c>
      <c r="G18" s="51">
        <v>192.95</v>
      </c>
      <c r="H18" s="51">
        <v>90.39</v>
      </c>
      <c r="I18" s="51">
        <v>0.51</v>
      </c>
      <c r="J18" s="51">
        <v>1.1599999999999999</v>
      </c>
      <c r="K18" s="51">
        <v>127.10</v>
      </c>
      <c r="L18" s="51">
        <v>24.32</v>
      </c>
      <c r="M18" s="51">
        <v>42</v>
      </c>
      <c r="N18" s="51">
        <v>342.90</v>
      </c>
      <c r="O18" s="51">
        <v>0</v>
      </c>
      <c r="P18" s="51">
        <v>2.09</v>
      </c>
      <c r="Q18" s="51">
        <v>41.04</v>
      </c>
      <c r="R18" s="43"/>
      <c r="S18" s="43"/>
      <c r="T18" s="43"/>
      <c r="U18" s="43"/>
    </row>
    <row r="19" spans="1:21" s="11" customFormat="1" ht="15">
      <c r="A19" s="50" t="s">
        <v>600</v>
      </c>
      <c r="B19" s="51">
        <v>36.72</v>
      </c>
      <c r="C19" s="51">
        <v>99.25</v>
      </c>
      <c r="D19" s="51">
        <v>79.16</v>
      </c>
      <c r="E19" s="51">
        <v>5.88</v>
      </c>
      <c r="F19" s="51">
        <v>0.83</v>
      </c>
      <c r="G19" s="51">
        <v>93.24</v>
      </c>
      <c r="H19" s="51">
        <v>70.819999999999993</v>
      </c>
      <c r="I19" s="51">
        <v>0.5</v>
      </c>
      <c r="J19" s="51">
        <v>0.64</v>
      </c>
      <c r="K19" s="51">
        <v>126.86</v>
      </c>
      <c r="L19" s="51">
        <v>31.88</v>
      </c>
      <c r="M19" s="51">
        <v>37</v>
      </c>
      <c r="N19" s="51">
        <v>379.10</v>
      </c>
      <c r="O19" s="51">
        <v>0</v>
      </c>
      <c r="P19" s="51">
        <v>1.91</v>
      </c>
      <c r="Q19" s="51">
        <v>44.67</v>
      </c>
      <c r="R19" s="43"/>
      <c r="S19" s="43"/>
      <c r="T19" s="43"/>
      <c r="U19" s="43"/>
    </row>
    <row r="20" spans="1:21" s="11" customFormat="1" ht="15">
      <c r="A20" s="50" t="s">
        <v>601</v>
      </c>
      <c r="B20" s="51">
        <v>16.29</v>
      </c>
      <c r="C20" s="51">
        <v>108.59</v>
      </c>
      <c r="D20" s="51">
        <v>70.11</v>
      </c>
      <c r="E20" s="51">
        <v>5.86</v>
      </c>
      <c r="F20" s="51">
        <v>1.75</v>
      </c>
      <c r="G20" s="51">
        <v>95.5</v>
      </c>
      <c r="H20" s="51">
        <v>52.26</v>
      </c>
      <c r="I20" s="51">
        <v>0.46</v>
      </c>
      <c r="J20" s="51">
        <v>0.83</v>
      </c>
      <c r="K20" s="51">
        <v>359.64</v>
      </c>
      <c r="L20" s="51">
        <v>33.93</v>
      </c>
      <c r="M20" s="51">
        <v>25</v>
      </c>
      <c r="N20" s="51">
        <v>384</v>
      </c>
      <c r="O20" s="51">
        <v>0</v>
      </c>
      <c r="P20" s="51">
        <v>1.81</v>
      </c>
      <c r="Q20" s="51">
        <v>44.47</v>
      </c>
      <c r="R20" s="43"/>
      <c r="S20" s="43"/>
      <c r="T20" s="43"/>
      <c r="U20" s="43"/>
    </row>
    <row r="21" spans="1:21" s="11" customFormat="1" ht="15">
      <c r="A21" s="50" t="s">
        <v>602</v>
      </c>
      <c r="B21" s="51">
        <v>4.09</v>
      </c>
      <c r="C21" s="51">
        <v>102.11</v>
      </c>
      <c r="D21" s="51">
        <v>59.20</v>
      </c>
      <c r="E21" s="51">
        <v>9.08</v>
      </c>
      <c r="F21" s="51">
        <v>9.61</v>
      </c>
      <c r="G21" s="51">
        <v>95.5</v>
      </c>
      <c r="H21" s="51">
        <v>52.26</v>
      </c>
      <c r="I21" s="51">
        <v>0.42</v>
      </c>
      <c r="J21" s="51">
        <v>0.70</v>
      </c>
      <c r="K21" s="51">
        <v>131.36000000000001</v>
      </c>
      <c r="L21" s="51">
        <v>32.619999999999997</v>
      </c>
      <c r="M21" s="51">
        <v>27</v>
      </c>
      <c r="N21" s="51">
        <v>381.90</v>
      </c>
      <c r="O21" s="51">
        <v>0</v>
      </c>
      <c r="P21" s="51">
        <v>1.68</v>
      </c>
      <c r="Q21" s="51">
        <v>42.28</v>
      </c>
      <c r="R21" s="43"/>
      <c r="S21" s="43"/>
      <c r="T21" s="43"/>
      <c r="U21" s="43"/>
    </row>
    <row r="22" spans="1:21" s="11" customFormat="1" ht="15">
      <c r="A22" s="50" t="s">
        <v>603</v>
      </c>
      <c r="B22" s="51">
        <v>4.97</v>
      </c>
      <c r="C22" s="51">
        <v>86.20</v>
      </c>
      <c r="D22" s="51">
        <v>50.85</v>
      </c>
      <c r="E22" s="51">
        <v>9.08</v>
      </c>
      <c r="F22" s="51">
        <v>13.82</v>
      </c>
      <c r="G22" s="51">
        <v>74.040000000000006</v>
      </c>
      <c r="H22" s="51">
        <v>43.92</v>
      </c>
      <c r="I22" s="51">
        <v>0.39</v>
      </c>
      <c r="J22" s="51">
        <v>0.64</v>
      </c>
      <c r="K22" s="51">
        <v>123.46</v>
      </c>
      <c r="L22" s="51">
        <v>32.619999999999997</v>
      </c>
      <c r="M22" s="51">
        <v>25</v>
      </c>
      <c r="N22" s="51">
        <v>367.30</v>
      </c>
      <c r="O22" s="51">
        <v>0</v>
      </c>
      <c r="P22" s="51">
        <v>1.56</v>
      </c>
      <c r="Q22" s="51">
        <v>41</v>
      </c>
      <c r="R22" s="43"/>
      <c r="S22" s="43"/>
      <c r="T22" s="43"/>
      <c r="U22" s="43"/>
    </row>
    <row r="23" spans="1:21" s="11" customFormat="1" ht="15">
      <c r="A23" s="50" t="s">
        <v>604</v>
      </c>
      <c r="B23" s="51">
        <v>3.69</v>
      </c>
      <c r="C23" s="51">
        <v>82.98</v>
      </c>
      <c r="D23" s="51">
        <v>48.75</v>
      </c>
      <c r="E23" s="51">
        <v>6.70</v>
      </c>
      <c r="F23" s="51">
        <v>7.26</v>
      </c>
      <c r="G23" s="51">
        <v>74.040000000000006</v>
      </c>
      <c r="H23" s="51">
        <v>38.549999999999997</v>
      </c>
      <c r="I23" s="51">
        <v>0.42</v>
      </c>
      <c r="J23" s="51">
        <v>0.75</v>
      </c>
      <c r="K23" s="51">
        <v>139.22999999999999</v>
      </c>
      <c r="L23" s="51">
        <v>32.520000000000003</v>
      </c>
      <c r="M23" s="51">
        <v>25</v>
      </c>
      <c r="N23" s="51">
        <v>319.20</v>
      </c>
      <c r="O23" s="51">
        <v>0</v>
      </c>
      <c r="P23" s="51">
        <v>1.44</v>
      </c>
      <c r="Q23" s="51">
        <v>44.32</v>
      </c>
      <c r="R23" s="43"/>
      <c r="S23" s="43"/>
      <c r="T23" s="43"/>
      <c r="U23" s="43"/>
    </row>
    <row r="24" spans="1:21" s="11" customFormat="1" ht="15">
      <c r="A24" s="50" t="s">
        <v>605</v>
      </c>
      <c r="B24" s="51">
        <v>6.66</v>
      </c>
      <c r="C24" s="51">
        <v>79.81</v>
      </c>
      <c r="D24" s="51">
        <v>49.39</v>
      </c>
      <c r="E24" s="51">
        <v>10.48</v>
      </c>
      <c r="F24" s="51">
        <v>19.78</v>
      </c>
      <c r="G24" s="51">
        <v>68.89</v>
      </c>
      <c r="H24" s="51">
        <v>38.549999999999997</v>
      </c>
      <c r="I24" s="51">
        <v>0.37</v>
      </c>
      <c r="J24" s="51">
        <v>0.82</v>
      </c>
      <c r="K24" s="51">
        <v>133.54</v>
      </c>
      <c r="L24" s="51">
        <v>29.67</v>
      </c>
      <c r="M24" s="51">
        <v>27</v>
      </c>
      <c r="N24" s="51">
        <v>220.30</v>
      </c>
      <c r="O24" s="51">
        <v>0</v>
      </c>
      <c r="P24" s="51">
        <v>1.29</v>
      </c>
      <c r="Q24" s="51">
        <v>43.83</v>
      </c>
      <c r="R24" s="43"/>
      <c r="S24" s="43"/>
      <c r="T24" s="43"/>
      <c r="U24" s="43"/>
    </row>
    <row r="25" spans="1:21" s="11" customFormat="1" ht="15">
      <c r="A25" s="50" t="s">
        <v>606</v>
      </c>
      <c r="B25" s="51">
        <v>8.0399999999999991</v>
      </c>
      <c r="C25" s="51">
        <v>85.14</v>
      </c>
      <c r="D25" s="51">
        <v>53.44</v>
      </c>
      <c r="E25" s="51">
        <v>15.20</v>
      </c>
      <c r="F25" s="51">
        <v>24.79</v>
      </c>
      <c r="G25" s="51">
        <v>68.89</v>
      </c>
      <c r="H25" s="51">
        <v>32.700000000000003</v>
      </c>
      <c r="I25" s="51">
        <v>0.28000000000000003</v>
      </c>
      <c r="J25" s="51">
        <v>0.92</v>
      </c>
      <c r="K25" s="51">
        <v>113.31</v>
      </c>
      <c r="L25" s="51">
        <v>28.70</v>
      </c>
      <c r="M25" s="51">
        <v>29</v>
      </c>
      <c r="N25" s="51">
        <v>59.60</v>
      </c>
      <c r="O25" s="51">
        <v>0</v>
      </c>
      <c r="P25" s="51">
        <v>1.26</v>
      </c>
      <c r="Q25" s="51">
        <v>41.76</v>
      </c>
      <c r="R25" s="43"/>
      <c r="S25" s="43"/>
      <c r="T25" s="43"/>
      <c r="U25" s="43"/>
    </row>
    <row r="26" spans="1:21" s="11" customFormat="1" ht="15">
      <c r="A26" s="50" t="s">
        <v>607</v>
      </c>
      <c r="B26" s="51">
        <v>16.100000000000001</v>
      </c>
      <c r="C26" s="51">
        <v>90.76</v>
      </c>
      <c r="D26" s="51">
        <v>63</v>
      </c>
      <c r="E26" s="51">
        <v>18.059999999999999</v>
      </c>
      <c r="F26" s="51">
        <v>21.11</v>
      </c>
      <c r="G26" s="51">
        <v>67.08</v>
      </c>
      <c r="H26" s="51">
        <v>33.01</v>
      </c>
      <c r="I26" s="51">
        <v>0.34</v>
      </c>
      <c r="J26" s="51">
        <v>0.20</v>
      </c>
      <c r="K26" s="51">
        <v>133.37</v>
      </c>
      <c r="L26" s="51">
        <v>27.14</v>
      </c>
      <c r="M26" s="51">
        <v>44</v>
      </c>
      <c r="N26" s="51">
        <v>30.5</v>
      </c>
      <c r="O26" s="51">
        <v>0</v>
      </c>
      <c r="P26" s="51">
        <v>1.35</v>
      </c>
      <c r="Q26" s="51">
        <v>45.96</v>
      </c>
      <c r="R26" s="43"/>
      <c r="S26" s="43"/>
      <c r="T26" s="43"/>
      <c r="U26" s="43"/>
    </row>
    <row r="27" spans="1:21" s="11" customFormat="1" ht="15">
      <c r="A27" s="50" t="s">
        <v>608</v>
      </c>
      <c r="B27" s="51">
        <v>31.88</v>
      </c>
      <c r="C27" s="51">
        <v>112.02</v>
      </c>
      <c r="D27" s="51">
        <v>87.39</v>
      </c>
      <c r="E27" s="51">
        <v>5.22</v>
      </c>
      <c r="F27" s="51">
        <v>0.25</v>
      </c>
      <c r="G27" s="51">
        <v>143.16</v>
      </c>
      <c r="H27" s="51">
        <v>44.45</v>
      </c>
      <c r="I27" s="51">
        <v>0.52</v>
      </c>
      <c r="J27" s="51">
        <v>0.16</v>
      </c>
      <c r="K27" s="51">
        <v>268.68</v>
      </c>
      <c r="L27" s="51">
        <v>23.13</v>
      </c>
      <c r="M27" s="51">
        <v>52</v>
      </c>
      <c r="N27" s="51">
        <v>24.5</v>
      </c>
      <c r="O27" s="51">
        <v>0</v>
      </c>
      <c r="P27" s="51">
        <v>1.78</v>
      </c>
      <c r="Q27" s="51">
        <v>48.12</v>
      </c>
      <c r="R27" s="43"/>
      <c r="S27" s="43"/>
      <c r="T27" s="43"/>
      <c r="U27" s="43"/>
    </row>
    <row r="28" spans="1:21" s="11" customFormat="1" ht="15">
      <c r="A28" s="50" t="s">
        <v>609</v>
      </c>
      <c r="B28" s="51">
        <v>46.81</v>
      </c>
      <c r="C28" s="51">
        <v>134.44</v>
      </c>
      <c r="D28" s="51">
        <v>111.15</v>
      </c>
      <c r="E28" s="51">
        <v>7.31</v>
      </c>
      <c r="F28" s="51">
        <v>0.88</v>
      </c>
      <c r="G28" s="51">
        <v>144.29</v>
      </c>
      <c r="H28" s="51">
        <v>52.77</v>
      </c>
      <c r="I28" s="51">
        <v>0.69</v>
      </c>
      <c r="J28" s="51">
        <v>0.42</v>
      </c>
      <c r="K28" s="51">
        <v>359.44</v>
      </c>
      <c r="L28" s="51">
        <v>23.74</v>
      </c>
      <c r="M28" s="51">
        <v>47</v>
      </c>
      <c r="N28" s="51">
        <v>24.10</v>
      </c>
      <c r="O28" s="51">
        <v>0</v>
      </c>
      <c r="P28" s="51">
        <v>2.16</v>
      </c>
      <c r="Q28" s="51">
        <v>48.42</v>
      </c>
      <c r="R28" s="43"/>
      <c r="S28" s="43"/>
      <c r="T28" s="43"/>
      <c r="U28" s="43"/>
    </row>
    <row r="29" spans="1:21" s="11" customFormat="1" ht="15">
      <c r="A29" s="50" t="s">
        <v>610</v>
      </c>
      <c r="B29" s="51">
        <v>52.01</v>
      </c>
      <c r="C29" s="51">
        <v>128.36000000000001</v>
      </c>
      <c r="D29" s="51">
        <v>112.54</v>
      </c>
      <c r="E29" s="51">
        <v>6.97</v>
      </c>
      <c r="F29" s="51">
        <v>1.33</v>
      </c>
      <c r="G29" s="51">
        <v>144.29</v>
      </c>
      <c r="H29" s="51">
        <v>55.49</v>
      </c>
      <c r="I29" s="51">
        <v>0.76</v>
      </c>
      <c r="J29" s="51">
        <v>0.48</v>
      </c>
      <c r="K29" s="51">
        <v>96.48</v>
      </c>
      <c r="L29" s="51">
        <v>23.53</v>
      </c>
      <c r="M29" s="51">
        <v>42</v>
      </c>
      <c r="N29" s="51">
        <v>24.20</v>
      </c>
      <c r="O29" s="51">
        <v>0</v>
      </c>
      <c r="P29" s="51">
        <v>2.2599999999999998</v>
      </c>
      <c r="Q29" s="51">
        <v>48.51</v>
      </c>
      <c r="R29" s="43"/>
      <c r="S29" s="43"/>
      <c r="T29" s="43"/>
      <c r="U29" s="43"/>
    </row>
    <row r="30" spans="1:21" s="11" customFormat="1" ht="15">
      <c r="A30" s="50" t="s">
        <v>611</v>
      </c>
      <c r="B30" s="51">
        <v>48.46</v>
      </c>
      <c r="C30" s="51">
        <v>115.92</v>
      </c>
      <c r="D30" s="51">
        <v>102.83</v>
      </c>
      <c r="E30" s="51">
        <v>5.23</v>
      </c>
      <c r="F30" s="51">
        <v>0.56999999999999995</v>
      </c>
      <c r="G30" s="51">
        <v>122.69</v>
      </c>
      <c r="H30" s="51">
        <v>55.49</v>
      </c>
      <c r="I30" s="51">
        <v>0.78</v>
      </c>
      <c r="J30" s="51">
        <v>0.77</v>
      </c>
      <c r="K30" s="51">
        <v>130.07</v>
      </c>
      <c r="L30" s="51">
        <v>23.55</v>
      </c>
      <c r="M30" s="51">
        <v>41</v>
      </c>
      <c r="N30" s="51">
        <v>24.20</v>
      </c>
      <c r="O30" s="51">
        <v>0</v>
      </c>
      <c r="P30" s="51">
        <v>2.23</v>
      </c>
      <c r="Q30" s="51">
        <v>50.17</v>
      </c>
      <c r="R30" s="43"/>
      <c r="S30" s="43"/>
      <c r="T30" s="43"/>
      <c r="U30" s="43"/>
    </row>
    <row r="31" spans="1:21" s="11" customFormat="1" ht="15">
      <c r="A31" s="50" t="s">
        <v>612</v>
      </c>
      <c r="B31" s="51">
        <v>31.70</v>
      </c>
      <c r="C31" s="51">
        <v>105.68</v>
      </c>
      <c r="D31" s="51">
        <v>83.75</v>
      </c>
      <c r="E31" s="51">
        <v>4.58</v>
      </c>
      <c r="F31" s="51">
        <v>1.39</v>
      </c>
      <c r="G31" s="51">
        <v>87.11</v>
      </c>
      <c r="H31" s="51">
        <v>49.86</v>
      </c>
      <c r="I31" s="51">
        <v>0.70</v>
      </c>
      <c r="J31" s="51">
        <v>0.45</v>
      </c>
      <c r="K31" s="51">
        <v>178.78</v>
      </c>
      <c r="L31" s="51">
        <v>22.61</v>
      </c>
      <c r="M31" s="51">
        <v>46</v>
      </c>
      <c r="N31" s="51">
        <v>24.30</v>
      </c>
      <c r="O31" s="51">
        <v>0</v>
      </c>
      <c r="P31" s="51">
        <v>1.88</v>
      </c>
      <c r="Q31" s="51">
        <v>48.88</v>
      </c>
      <c r="R31" s="43"/>
      <c r="S31" s="43"/>
      <c r="T31" s="43"/>
      <c r="U31" s="43"/>
    </row>
    <row r="32" spans="1:21" s="11" customFormat="1" ht="15">
      <c r="A32" s="50" t="s">
        <v>613</v>
      </c>
      <c r="B32" s="51">
        <v>19.309999999999999</v>
      </c>
      <c r="C32" s="51">
        <v>93.82</v>
      </c>
      <c r="D32" s="51">
        <v>67.260000000000005</v>
      </c>
      <c r="E32" s="51">
        <v>3.75</v>
      </c>
      <c r="F32" s="51">
        <v>0.76</v>
      </c>
      <c r="G32" s="51">
        <v>44.95</v>
      </c>
      <c r="H32" s="51">
        <v>42.18</v>
      </c>
      <c r="I32" s="51">
        <v>0.55000000000000004</v>
      </c>
      <c r="J32" s="51">
        <v>0.51</v>
      </c>
      <c r="K32" s="51">
        <v>200.31</v>
      </c>
      <c r="L32" s="51">
        <v>21.42</v>
      </c>
      <c r="M32" s="51">
        <v>51</v>
      </c>
      <c r="N32" s="51">
        <v>24.30</v>
      </c>
      <c r="O32" s="51">
        <v>0</v>
      </c>
      <c r="P32" s="51">
        <v>1.58</v>
      </c>
      <c r="Q32" s="51">
        <v>44.77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3.6899999999999999</v>
      </c>
      <c r="C34" s="28">
        <f t="shared" si="0"/>
        <v>79.810000000000002</v>
      </c>
      <c r="D34" s="28">
        <f t="shared" si="0"/>
        <v>48.75</v>
      </c>
      <c r="E34" s="28">
        <f t="shared" si="0"/>
        <v>3.75</v>
      </c>
      <c r="F34" s="28">
        <f t="shared" si="0"/>
        <v>0.01</v>
      </c>
      <c r="G34" s="28">
        <f t="shared" si="0"/>
        <v>44.950000000000003</v>
      </c>
      <c r="H34" s="28">
        <f t="shared" si="0"/>
        <v>32.700000000000003</v>
      </c>
      <c r="I34" s="28">
        <f t="shared" si="0"/>
        <v>0.28000000000000003</v>
      </c>
      <c r="J34" s="28">
        <f t="shared" si="0"/>
        <v>0.11</v>
      </c>
      <c r="K34" s="28">
        <f t="shared" si="0"/>
        <v>96.480000000000004</v>
      </c>
      <c r="L34" s="28">
        <f t="shared" si="0"/>
        <v>14.82</v>
      </c>
      <c r="M34" s="28">
        <f t="shared" si="0"/>
        <v>25</v>
      </c>
      <c r="N34" s="28">
        <f t="shared" si="0"/>
        <v>24.100000000000001</v>
      </c>
      <c r="O34" s="28">
        <f t="shared" si="0"/>
        <v>0</v>
      </c>
      <c r="P34" s="28">
        <f t="shared" si="0"/>
        <v>1.26</v>
      </c>
      <c r="Q34" s="28">
        <f t="shared" si="0"/>
        <v>40.240000000000002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79.689999999999998</v>
      </c>
      <c r="C35" s="29">
        <f t="shared" si="1"/>
        <v>134.44</v>
      </c>
      <c r="D35" s="29">
        <f t="shared" si="1"/>
        <v>118.51000000000001</v>
      </c>
      <c r="E35" s="29">
        <f t="shared" si="1"/>
        <v>18.059999999999999</v>
      </c>
      <c r="F35" s="29">
        <f t="shared" si="1"/>
        <v>24.789999999999999</v>
      </c>
      <c r="G35" s="29">
        <f t="shared" si="1"/>
        <v>209.97999999999999</v>
      </c>
      <c r="H35" s="29">
        <f t="shared" si="1"/>
        <v>90.390000000000001</v>
      </c>
      <c r="I35" s="29">
        <f t="shared" si="1"/>
        <v>1.1499999999999999</v>
      </c>
      <c r="J35" s="29">
        <f t="shared" si="1"/>
        <v>1.21</v>
      </c>
      <c r="K35" s="29">
        <f t="shared" si="1"/>
        <v>359.63999999999999</v>
      </c>
      <c r="L35" s="29">
        <f t="shared" si="1"/>
        <v>33.93</v>
      </c>
      <c r="M35" s="29">
        <f t="shared" si="1"/>
        <v>77</v>
      </c>
      <c r="N35" s="29">
        <f t="shared" si="1"/>
        <v>384</v>
      </c>
      <c r="O35" s="29">
        <f t="shared" si="1"/>
        <v>0</v>
      </c>
      <c r="P35" s="29">
        <f t="shared" si="1"/>
        <v>2.8900000000000001</v>
      </c>
      <c r="Q35" s="29">
        <f t="shared" si="1"/>
        <v>50.170000000000002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40.662083333333335</v>
      </c>
      <c r="C36" s="28">
        <f t="shared" si="2"/>
        <v>99.357916666666668</v>
      </c>
      <c r="D36" s="28">
        <f t="shared" si="2"/>
        <v>87.020416666666677</v>
      </c>
      <c r="E36" s="28">
        <f t="shared" si="2"/>
        <v>6.8766666666666678</v>
      </c>
      <c r="F36" s="28">
        <f t="shared" si="2"/>
        <v>4.4762499999999994</v>
      </c>
      <c r="G36" s="28">
        <f t="shared" si="2"/>
        <v>120.66083333333331</v>
      </c>
      <c r="H36" s="28">
        <f t="shared" si="2"/>
        <v>54.929166666666653</v>
      </c>
      <c r="I36" s="28">
        <f t="shared" si="2"/>
        <v>0.60291666666666655</v>
      </c>
      <c r="J36" s="28">
        <f t="shared" si="2"/>
        <v>0.5099999999999999</v>
      </c>
      <c r="K36" s="28">
        <f t="shared" si="2"/>
        <v>216.80124999999995</v>
      </c>
      <c r="L36" s="28">
        <f t="shared" si="2"/>
        <v>23.46833333333333</v>
      </c>
      <c r="M36" s="28">
        <f t="shared" si="2"/>
        <v>49</v>
      </c>
      <c r="N36" s="28">
        <f t="shared" si="2"/>
        <v>136.59166666666667</v>
      </c>
      <c r="O36" s="28">
        <f t="shared" si="2"/>
        <v>0</v>
      </c>
      <c r="P36" s="28">
        <f t="shared" si="2"/>
        <v>1.9237499999999998</v>
      </c>
      <c r="Q36" s="28">
        <f t="shared" si="2"/>
        <v>44.235416666666673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25.772702609909576</v>
      </c>
      <c r="C37" s="28">
        <f t="shared" si="3" ref="C37:Q37">STDEV(C9:C32)</f>
        <v>13.739243691344321</v>
      </c>
      <c r="D37" s="28">
        <f t="shared" si="3"/>
        <v>24.059727035779723</v>
      </c>
      <c r="E37" s="28">
        <f t="shared" si="3"/>
        <v>3.432908092421711</v>
      </c>
      <c r="F37" s="28">
        <f t="shared" si="3"/>
        <v>7.5687594828145821</v>
      </c>
      <c r="G37" s="28">
        <f t="shared" si="3"/>
        <v>48.199648286346878</v>
      </c>
      <c r="H37" s="28">
        <f t="shared" si="3"/>
        <v>15.585265593604463</v>
      </c>
      <c r="I37" s="28">
        <f t="shared" si="3"/>
        <v>0.20283810564450008</v>
      </c>
      <c r="J37" s="28">
        <f t="shared" si="3"/>
        <v>0.33884715035595014</v>
      </c>
      <c r="K37" s="28">
        <f t="shared" si="3"/>
        <v>104.56815282544734</v>
      </c>
      <c r="L37" s="28">
        <f t="shared" si="3"/>
        <v>6.4123180822855348</v>
      </c>
      <c r="M37" s="28">
        <f t="shared" si="3"/>
        <v>17.920112577286133</v>
      </c>
      <c r="N37" s="28">
        <f t="shared" si="3"/>
        <v>150.61403571255633</v>
      </c>
      <c r="O37" s="28">
        <f t="shared" si="3"/>
        <v>0</v>
      </c>
      <c r="P37" s="28">
        <f t="shared" si="3"/>
        <v>0.40480604588198699</v>
      </c>
      <c r="Q37" s="28">
        <f t="shared" si="3"/>
        <v>2.8860383244414702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6ef0cc6-eacd-4b81-acf5-1cd12755c1fd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F39" sqref="F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22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614</v>
      </c>
      <c r="B9" s="51">
        <v>13.61</v>
      </c>
      <c r="C9" s="51">
        <v>82.96</v>
      </c>
      <c r="D9" s="51">
        <v>56.69</v>
      </c>
      <c r="E9" s="51">
        <v>4.09</v>
      </c>
      <c r="F9" s="51">
        <v>0.5</v>
      </c>
      <c r="G9" s="57" t="s">
        <v>15</v>
      </c>
      <c r="H9" s="51">
        <v>33.44</v>
      </c>
      <c r="I9" s="51">
        <v>0.49</v>
      </c>
      <c r="J9" s="51">
        <v>0.35</v>
      </c>
      <c r="K9" s="51">
        <v>256.06</v>
      </c>
      <c r="L9" s="51">
        <v>20.02</v>
      </c>
      <c r="M9" s="51">
        <v>55</v>
      </c>
      <c r="N9" s="51">
        <v>24.40</v>
      </c>
      <c r="O9" s="51">
        <v>0</v>
      </c>
      <c r="P9" s="51">
        <v>1.36</v>
      </c>
      <c r="Q9" s="51">
        <v>44.65</v>
      </c>
      <c r="R9" s="43"/>
      <c r="S9" s="43"/>
      <c r="T9" s="43"/>
      <c r="U9" s="43"/>
    </row>
    <row r="10" spans="1:21" s="11" customFormat="1" ht="15">
      <c r="A10" s="50" t="s">
        <v>615</v>
      </c>
      <c r="B10" s="51">
        <v>9.25</v>
      </c>
      <c r="C10" s="51">
        <v>77.67</v>
      </c>
      <c r="D10" s="51">
        <v>50.28</v>
      </c>
      <c r="E10" s="51">
        <v>4.03</v>
      </c>
      <c r="F10" s="51">
        <v>0.42</v>
      </c>
      <c r="G10" s="51">
        <v>50.57</v>
      </c>
      <c r="H10" s="51">
        <v>25.29</v>
      </c>
      <c r="I10" s="51">
        <v>0.44</v>
      </c>
      <c r="J10" s="51">
        <v>0.17</v>
      </c>
      <c r="K10" s="51">
        <v>340.27</v>
      </c>
      <c r="L10" s="51">
        <v>18.64</v>
      </c>
      <c r="M10" s="51">
        <v>68</v>
      </c>
      <c r="N10" s="51">
        <v>24.60</v>
      </c>
      <c r="O10" s="51">
        <v>0</v>
      </c>
      <c r="P10" s="51">
        <v>1.05</v>
      </c>
      <c r="Q10" s="51">
        <v>44.82</v>
      </c>
      <c r="R10" s="43"/>
      <c r="S10" s="43"/>
      <c r="T10" s="43"/>
      <c r="U10" s="43"/>
    </row>
    <row r="11" spans="1:21" s="11" customFormat="1" ht="15">
      <c r="A11" s="50" t="s">
        <v>616</v>
      </c>
      <c r="B11" s="51">
        <v>8.8000000000000007</v>
      </c>
      <c r="C11" s="51">
        <v>76.099999999999994</v>
      </c>
      <c r="D11" s="51">
        <v>48.64</v>
      </c>
      <c r="E11" s="51">
        <v>3.49</v>
      </c>
      <c r="F11" s="51">
        <v>0.61</v>
      </c>
      <c r="G11" s="51">
        <v>50.57</v>
      </c>
      <c r="H11" s="51">
        <v>22.55</v>
      </c>
      <c r="I11" s="51">
        <v>0.37</v>
      </c>
      <c r="J11" s="51">
        <v>0.20</v>
      </c>
      <c r="K11" s="51">
        <v>293.27</v>
      </c>
      <c r="L11" s="51">
        <v>16.53</v>
      </c>
      <c r="M11" s="51">
        <v>71</v>
      </c>
      <c r="N11" s="51">
        <v>24.40</v>
      </c>
      <c r="O11" s="51">
        <v>0</v>
      </c>
      <c r="P11" s="51">
        <v>0.94</v>
      </c>
      <c r="Q11" s="51">
        <v>43.13</v>
      </c>
      <c r="R11" s="43"/>
      <c r="S11" s="43"/>
      <c r="T11" s="43"/>
      <c r="U11" s="43"/>
    </row>
    <row r="12" spans="1:21" s="11" customFormat="1" ht="15">
      <c r="A12" s="50" t="s">
        <v>617</v>
      </c>
      <c r="B12" s="51">
        <v>9.17</v>
      </c>
      <c r="C12" s="51">
        <v>72.48</v>
      </c>
      <c r="D12" s="51">
        <v>47.03</v>
      </c>
      <c r="E12" s="51">
        <v>3.5</v>
      </c>
      <c r="F12" s="51">
        <v>0.26</v>
      </c>
      <c r="G12" s="51">
        <v>47.98</v>
      </c>
      <c r="H12" s="51">
        <v>24.48</v>
      </c>
      <c r="I12" s="51">
        <v>0.33</v>
      </c>
      <c r="J12" s="51">
        <v>0.20</v>
      </c>
      <c r="K12" s="51">
        <v>354.01</v>
      </c>
      <c r="L12" s="51">
        <v>16.16</v>
      </c>
      <c r="M12" s="51">
        <v>75</v>
      </c>
      <c r="N12" s="51">
        <v>24.30</v>
      </c>
      <c r="O12" s="51">
        <v>0</v>
      </c>
      <c r="P12" s="51">
        <v>0.85</v>
      </c>
      <c r="Q12" s="51">
        <v>39.270000000000003</v>
      </c>
      <c r="R12" s="43"/>
      <c r="S12" s="43"/>
      <c r="T12" s="43"/>
      <c r="U12" s="43"/>
    </row>
    <row r="13" spans="1:21" s="11" customFormat="1" ht="15">
      <c r="A13" s="50" t="s">
        <v>618</v>
      </c>
      <c r="B13" s="51">
        <v>15.59</v>
      </c>
      <c r="C13" s="51">
        <v>74.36</v>
      </c>
      <c r="D13" s="51">
        <v>53.54</v>
      </c>
      <c r="E13" s="51">
        <v>4.58</v>
      </c>
      <c r="F13" s="51">
        <v>0.12</v>
      </c>
      <c r="G13" s="51">
        <v>83.33</v>
      </c>
      <c r="H13" s="51">
        <v>32.380000000000003</v>
      </c>
      <c r="I13" s="51">
        <v>0.33</v>
      </c>
      <c r="J13" s="51">
        <v>0.18</v>
      </c>
      <c r="K13" s="51">
        <v>353.02</v>
      </c>
      <c r="L13" s="51">
        <v>15.93</v>
      </c>
      <c r="M13" s="51">
        <v>78</v>
      </c>
      <c r="N13" s="51">
        <v>24.10</v>
      </c>
      <c r="O13" s="51">
        <v>0</v>
      </c>
      <c r="P13" s="51">
        <v>0.97</v>
      </c>
      <c r="Q13" s="51">
        <v>41.82</v>
      </c>
      <c r="R13" s="43"/>
      <c r="S13" s="43"/>
      <c r="T13" s="43"/>
      <c r="U13" s="43"/>
    </row>
    <row r="14" spans="1:21" s="11" customFormat="1" ht="15">
      <c r="A14" s="50" t="s">
        <v>619</v>
      </c>
      <c r="B14" s="51">
        <v>28.73</v>
      </c>
      <c r="C14" s="51">
        <v>81.93</v>
      </c>
      <c r="D14" s="51">
        <v>68.25</v>
      </c>
      <c r="E14" s="51">
        <v>5.09</v>
      </c>
      <c r="F14" s="59" t="s">
        <v>18</v>
      </c>
      <c r="G14" s="51">
        <v>186.60</v>
      </c>
      <c r="H14" s="51">
        <v>96.12</v>
      </c>
      <c r="I14" s="51">
        <v>0.35</v>
      </c>
      <c r="J14" s="51">
        <v>0.23</v>
      </c>
      <c r="K14" s="51">
        <v>110.11</v>
      </c>
      <c r="L14" s="51">
        <v>16.57</v>
      </c>
      <c r="M14" s="51">
        <v>80</v>
      </c>
      <c r="N14" s="51">
        <v>24.10</v>
      </c>
      <c r="O14" s="51">
        <v>0</v>
      </c>
      <c r="P14" s="51">
        <v>1.32</v>
      </c>
      <c r="Q14" s="51">
        <v>42.26</v>
      </c>
      <c r="R14" s="43"/>
      <c r="S14" s="43"/>
      <c r="T14" s="43"/>
      <c r="U14" s="43"/>
    </row>
    <row r="15" spans="1:21" s="11" customFormat="1" ht="15">
      <c r="A15" s="50" t="s">
        <v>620</v>
      </c>
      <c r="B15" s="51">
        <v>30.56</v>
      </c>
      <c r="C15" s="51">
        <v>82.18</v>
      </c>
      <c r="D15" s="51">
        <v>69.81</v>
      </c>
      <c r="E15" s="51">
        <v>5.0199999999999996</v>
      </c>
      <c r="F15" s="51">
        <v>0.27</v>
      </c>
      <c r="G15" s="51">
        <v>232.42</v>
      </c>
      <c r="H15" s="51">
        <v>111.76</v>
      </c>
      <c r="I15" s="51">
        <v>0.35</v>
      </c>
      <c r="J15" s="51">
        <v>0.40</v>
      </c>
      <c r="K15" s="51">
        <v>97.27</v>
      </c>
      <c r="L15" s="51">
        <v>16.55</v>
      </c>
      <c r="M15" s="51">
        <v>72</v>
      </c>
      <c r="N15" s="51">
        <v>34.799999999999997</v>
      </c>
      <c r="O15" s="51">
        <v>0</v>
      </c>
      <c r="P15" s="51">
        <v>1.51</v>
      </c>
      <c r="Q15" s="51">
        <v>41.12</v>
      </c>
      <c r="R15" s="43"/>
      <c r="S15" s="43"/>
      <c r="T15" s="43"/>
      <c r="U15" s="43"/>
    </row>
    <row r="16" spans="1:21" s="11" customFormat="1" ht="15">
      <c r="A16" s="50" t="s">
        <v>621</v>
      </c>
      <c r="B16" s="51">
        <v>28.86</v>
      </c>
      <c r="C16" s="51">
        <v>81.08</v>
      </c>
      <c r="D16" s="51">
        <v>67.89</v>
      </c>
      <c r="E16" s="51">
        <v>5.33</v>
      </c>
      <c r="F16" s="51">
        <v>0.22</v>
      </c>
      <c r="G16" s="51">
        <v>232.42</v>
      </c>
      <c r="H16" s="51">
        <v>111.76</v>
      </c>
      <c r="I16" s="51">
        <v>0.36</v>
      </c>
      <c r="J16" s="51">
        <v>1.39</v>
      </c>
      <c r="K16" s="51">
        <v>112.31</v>
      </c>
      <c r="L16" s="51">
        <v>18.98</v>
      </c>
      <c r="M16" s="51">
        <v>69</v>
      </c>
      <c r="N16" s="51">
        <v>200.20</v>
      </c>
      <c r="O16" s="51">
        <v>0</v>
      </c>
      <c r="P16" s="51">
        <v>1.59</v>
      </c>
      <c r="Q16" s="51">
        <v>40.770000000000003</v>
      </c>
      <c r="R16" s="43"/>
      <c r="S16" s="43"/>
      <c r="T16" s="43"/>
      <c r="U16" s="43"/>
    </row>
    <row r="17" spans="1:21" s="11" customFormat="1" ht="15">
      <c r="A17" s="50" t="s">
        <v>622</v>
      </c>
      <c r="B17" s="51">
        <v>22.46</v>
      </c>
      <c r="C17" s="51">
        <v>80.23</v>
      </c>
      <c r="D17" s="51">
        <v>61.68</v>
      </c>
      <c r="E17" s="51">
        <v>6.04</v>
      </c>
      <c r="F17" s="51">
        <v>0.30</v>
      </c>
      <c r="G17" s="51">
        <v>121.69</v>
      </c>
      <c r="H17" s="51">
        <v>70.92</v>
      </c>
      <c r="I17" s="51">
        <v>0.37</v>
      </c>
      <c r="J17" s="51">
        <v>1.63</v>
      </c>
      <c r="K17" s="51">
        <v>112</v>
      </c>
      <c r="L17" s="51">
        <v>21.86</v>
      </c>
      <c r="M17" s="51">
        <v>57</v>
      </c>
      <c r="N17" s="51">
        <v>314.70</v>
      </c>
      <c r="O17" s="51">
        <v>0</v>
      </c>
      <c r="P17" s="51">
        <v>1.56</v>
      </c>
      <c r="Q17" s="51">
        <v>41.62</v>
      </c>
      <c r="R17" s="43"/>
      <c r="S17" s="43"/>
      <c r="T17" s="43"/>
      <c r="U17" s="43"/>
    </row>
    <row r="18" spans="1:21" s="11" customFormat="1" ht="15">
      <c r="A18" s="50" t="s">
        <v>623</v>
      </c>
      <c r="B18" s="51">
        <v>14.26</v>
      </c>
      <c r="C18" s="51">
        <v>84.04</v>
      </c>
      <c r="D18" s="51">
        <v>56.94</v>
      </c>
      <c r="E18" s="51">
        <v>6.21</v>
      </c>
      <c r="F18" s="51">
        <v>0.78</v>
      </c>
      <c r="G18" s="51">
        <v>81.59</v>
      </c>
      <c r="H18" s="51">
        <v>49.79</v>
      </c>
      <c r="I18" s="51">
        <v>0.35</v>
      </c>
      <c r="J18" s="51">
        <v>0.94</v>
      </c>
      <c r="K18" s="51">
        <v>113.26</v>
      </c>
      <c r="L18" s="51">
        <v>25.23</v>
      </c>
      <c r="M18" s="51">
        <v>48</v>
      </c>
      <c r="N18" s="51">
        <v>360.10</v>
      </c>
      <c r="O18" s="51">
        <v>0</v>
      </c>
      <c r="P18" s="51">
        <v>1.46</v>
      </c>
      <c r="Q18" s="51">
        <v>41.03</v>
      </c>
      <c r="R18" s="43"/>
      <c r="S18" s="43"/>
      <c r="T18" s="43"/>
      <c r="U18" s="43"/>
    </row>
    <row r="19" spans="1:21" s="11" customFormat="1" ht="15">
      <c r="A19" s="50" t="s">
        <v>624</v>
      </c>
      <c r="B19" s="51">
        <v>10.71</v>
      </c>
      <c r="C19" s="51">
        <v>82.26</v>
      </c>
      <c r="D19" s="51">
        <v>53.99</v>
      </c>
      <c r="E19" s="51">
        <v>7.43</v>
      </c>
      <c r="F19" s="51">
        <v>7.57</v>
      </c>
      <c r="G19" s="51">
        <v>81.11</v>
      </c>
      <c r="H19" s="51">
        <v>48.41</v>
      </c>
      <c r="I19" s="51">
        <v>0.33</v>
      </c>
      <c r="J19" s="51">
        <v>0.73</v>
      </c>
      <c r="K19" s="51">
        <v>169.71</v>
      </c>
      <c r="L19" s="51">
        <v>29.23</v>
      </c>
      <c r="M19" s="51">
        <v>39</v>
      </c>
      <c r="N19" s="51">
        <v>399.5</v>
      </c>
      <c r="O19" s="51">
        <v>0</v>
      </c>
      <c r="P19" s="51">
        <v>1.41</v>
      </c>
      <c r="Q19" s="51">
        <v>39.340000000000003</v>
      </c>
      <c r="R19" s="43"/>
      <c r="S19" s="43"/>
      <c r="T19" s="43"/>
      <c r="U19" s="43"/>
    </row>
    <row r="20" spans="1:21" s="11" customFormat="1" ht="15">
      <c r="A20" s="50" t="s">
        <v>625</v>
      </c>
      <c r="B20" s="51">
        <v>2.89</v>
      </c>
      <c r="C20" s="51">
        <v>62.69</v>
      </c>
      <c r="D20" s="51">
        <v>36.92</v>
      </c>
      <c r="E20" s="51">
        <v>9.1199999999999992</v>
      </c>
      <c r="F20" s="51">
        <v>15.01</v>
      </c>
      <c r="G20" s="51">
        <v>81.11</v>
      </c>
      <c r="H20" s="51">
        <v>38.24</v>
      </c>
      <c r="I20" s="51">
        <v>0.33</v>
      </c>
      <c r="J20" s="51">
        <v>1.06</v>
      </c>
      <c r="K20" s="51">
        <v>168.56</v>
      </c>
      <c r="L20" s="51">
        <v>29.83</v>
      </c>
      <c r="M20" s="51">
        <v>35</v>
      </c>
      <c r="N20" s="51">
        <v>401.40</v>
      </c>
      <c r="O20" s="51">
        <v>0</v>
      </c>
      <c r="P20" s="51">
        <v>1</v>
      </c>
      <c r="Q20" s="51">
        <v>30.33</v>
      </c>
      <c r="R20" s="43"/>
      <c r="S20" s="43"/>
      <c r="T20" s="43"/>
      <c r="U20" s="43"/>
    </row>
    <row r="21" spans="1:21" s="11" customFormat="1" ht="15">
      <c r="A21" s="50" t="s">
        <v>626</v>
      </c>
      <c r="B21" s="51">
        <v>2.74</v>
      </c>
      <c r="C21" s="51">
        <v>61.26</v>
      </c>
      <c r="D21" s="51">
        <v>36</v>
      </c>
      <c r="E21" s="51">
        <v>3.76</v>
      </c>
      <c r="F21" s="51">
        <v>6.05</v>
      </c>
      <c r="G21" s="51">
        <v>47.96</v>
      </c>
      <c r="H21" s="51">
        <v>32.43</v>
      </c>
      <c r="I21" s="51">
        <v>0.16</v>
      </c>
      <c r="J21" s="51">
        <v>0.75</v>
      </c>
      <c r="K21" s="51">
        <v>168.87</v>
      </c>
      <c r="L21" s="51">
        <v>32.11</v>
      </c>
      <c r="M21" s="51">
        <v>24</v>
      </c>
      <c r="N21" s="51">
        <v>399.90</v>
      </c>
      <c r="O21" s="51">
        <v>0</v>
      </c>
      <c r="P21" s="51">
        <v>0.80</v>
      </c>
      <c r="Q21" s="51">
        <v>29.39</v>
      </c>
      <c r="R21" s="43"/>
      <c r="S21" s="43"/>
      <c r="T21" s="43"/>
      <c r="U21" s="43"/>
    </row>
    <row r="22" spans="1:21" s="11" customFormat="1" ht="15">
      <c r="A22" s="50" t="s">
        <v>627</v>
      </c>
      <c r="B22" s="51">
        <v>6.81</v>
      </c>
      <c r="C22" s="51">
        <v>55.43</v>
      </c>
      <c r="D22" s="51">
        <v>35.270000000000003</v>
      </c>
      <c r="E22" s="51">
        <v>4.21</v>
      </c>
      <c r="F22" s="51">
        <v>16.21</v>
      </c>
      <c r="G22" s="51">
        <v>47.96</v>
      </c>
      <c r="H22" s="51">
        <v>32.43</v>
      </c>
      <c r="I22" s="51">
        <v>0.14000000000000001</v>
      </c>
      <c r="J22" s="51">
        <v>0.52</v>
      </c>
      <c r="K22" s="51">
        <v>148.63</v>
      </c>
      <c r="L22" s="51">
        <v>33.159999999999997</v>
      </c>
      <c r="M22" s="51">
        <v>21</v>
      </c>
      <c r="N22" s="51">
        <v>381</v>
      </c>
      <c r="O22" s="51">
        <v>0</v>
      </c>
      <c r="P22" s="51">
        <v>0.68</v>
      </c>
      <c r="Q22" s="51">
        <v>27.65</v>
      </c>
      <c r="R22" s="43"/>
      <c r="S22" s="43"/>
      <c r="T22" s="43"/>
      <c r="U22" s="43"/>
    </row>
    <row r="23" spans="1:21" s="11" customFormat="1" ht="15">
      <c r="A23" s="50" t="s">
        <v>628</v>
      </c>
      <c r="B23" s="51">
        <v>4.4400000000000004</v>
      </c>
      <c r="C23" s="51">
        <v>55.42</v>
      </c>
      <c r="D23" s="51">
        <v>34.11</v>
      </c>
      <c r="E23" s="51">
        <v>4.38</v>
      </c>
      <c r="F23" s="51">
        <v>14.38</v>
      </c>
      <c r="G23" s="51">
        <v>33.549999999999997</v>
      </c>
      <c r="H23" s="51">
        <v>24.47</v>
      </c>
      <c r="I23" s="51">
        <v>0.15</v>
      </c>
      <c r="J23" s="51">
        <v>0.82</v>
      </c>
      <c r="K23" s="51">
        <v>335.5</v>
      </c>
      <c r="L23" s="51">
        <v>32.35</v>
      </c>
      <c r="M23" s="51">
        <v>19</v>
      </c>
      <c r="N23" s="51">
        <v>328.5</v>
      </c>
      <c r="O23" s="51">
        <v>0</v>
      </c>
      <c r="P23" s="51">
        <v>0.61</v>
      </c>
      <c r="Q23" s="51">
        <v>31.01</v>
      </c>
      <c r="R23" s="43"/>
      <c r="S23" s="43"/>
      <c r="T23" s="43"/>
      <c r="U23" s="43"/>
    </row>
    <row r="24" spans="1:21" s="11" customFormat="1" ht="15">
      <c r="A24" s="50" t="s">
        <v>629</v>
      </c>
      <c r="B24" s="51">
        <v>4.2300000000000004</v>
      </c>
      <c r="C24" s="51">
        <v>60.49</v>
      </c>
      <c r="D24" s="51">
        <v>36.369999999999997</v>
      </c>
      <c r="E24" s="51">
        <v>3.26</v>
      </c>
      <c r="F24" s="51">
        <v>7.38</v>
      </c>
      <c r="G24" s="57" t="s">
        <v>15</v>
      </c>
      <c r="H24" s="51">
        <v>22.76</v>
      </c>
      <c r="I24" s="51">
        <v>0.19</v>
      </c>
      <c r="J24" s="51">
        <v>0.81</v>
      </c>
      <c r="K24" s="51">
        <v>170.36</v>
      </c>
      <c r="L24" s="51">
        <v>30.89</v>
      </c>
      <c r="M24" s="51">
        <v>21</v>
      </c>
      <c r="N24" s="51">
        <v>226.10</v>
      </c>
      <c r="O24" s="51">
        <v>0</v>
      </c>
      <c r="P24" s="51">
        <v>0.62</v>
      </c>
      <c r="Q24" s="51">
        <v>36.18</v>
      </c>
      <c r="R24" s="43"/>
      <c r="S24" s="43"/>
      <c r="T24" s="43"/>
      <c r="U24" s="43"/>
    </row>
    <row r="25" spans="1:21" s="11" customFormat="1" ht="15">
      <c r="A25" s="50" t="s">
        <v>630</v>
      </c>
      <c r="B25" s="51">
        <v>9.69</v>
      </c>
      <c r="C25" s="51">
        <v>80.63</v>
      </c>
      <c r="D25" s="51">
        <v>52.27</v>
      </c>
      <c r="E25" s="51">
        <v>5.14</v>
      </c>
      <c r="F25" s="51">
        <v>17.47</v>
      </c>
      <c r="G25" s="51">
        <v>36.14</v>
      </c>
      <c r="H25" s="51">
        <v>22.76</v>
      </c>
      <c r="I25" s="51">
        <v>0.17</v>
      </c>
      <c r="J25" s="51">
        <v>0.11</v>
      </c>
      <c r="K25" s="51">
        <v>206.33</v>
      </c>
      <c r="L25" s="51">
        <v>29.36</v>
      </c>
      <c r="M25" s="51">
        <v>23</v>
      </c>
      <c r="N25" s="51">
        <v>55.40</v>
      </c>
      <c r="O25" s="51">
        <v>0</v>
      </c>
      <c r="P25" s="51">
        <v>0.78</v>
      </c>
      <c r="Q25" s="51">
        <v>37.04</v>
      </c>
      <c r="R25" s="43"/>
      <c r="S25" s="43"/>
      <c r="T25" s="43"/>
      <c r="U25" s="43"/>
    </row>
    <row r="26" spans="1:21" s="11" customFormat="1" ht="15">
      <c r="A26" s="50" t="s">
        <v>631</v>
      </c>
      <c r="B26" s="51">
        <v>29.04</v>
      </c>
      <c r="C26" s="51">
        <v>94.57</v>
      </c>
      <c r="D26" s="51">
        <v>75.48</v>
      </c>
      <c r="E26" s="51">
        <v>4.47</v>
      </c>
      <c r="F26" s="51">
        <v>8.81</v>
      </c>
      <c r="G26" s="51">
        <v>59.08</v>
      </c>
      <c r="H26" s="51">
        <v>33.06</v>
      </c>
      <c r="I26" s="51">
        <v>0.27</v>
      </c>
      <c r="J26" s="51">
        <v>0.06</v>
      </c>
      <c r="K26" s="51">
        <v>351.47</v>
      </c>
      <c r="L26" s="51">
        <v>27.37</v>
      </c>
      <c r="M26" s="51">
        <v>46</v>
      </c>
      <c r="N26" s="51">
        <v>31.30</v>
      </c>
      <c r="O26" s="51">
        <v>0</v>
      </c>
      <c r="P26" s="51">
        <v>0.92</v>
      </c>
      <c r="Q26" s="51">
        <v>36.5</v>
      </c>
      <c r="R26" s="43"/>
      <c r="S26" s="43"/>
      <c r="T26" s="43"/>
      <c r="U26" s="43"/>
    </row>
    <row r="27" spans="1:21" s="11" customFormat="1" ht="15">
      <c r="A27" s="50" t="s">
        <v>632</v>
      </c>
      <c r="B27" s="51">
        <v>44.21</v>
      </c>
      <c r="C27" s="51">
        <v>105.66</v>
      </c>
      <c r="D27" s="51">
        <v>93.77</v>
      </c>
      <c r="E27" s="51">
        <v>4.55</v>
      </c>
      <c r="F27" s="51">
        <v>0.24</v>
      </c>
      <c r="G27" s="51">
        <v>146.93</v>
      </c>
      <c r="H27" s="51">
        <v>46.69</v>
      </c>
      <c r="I27" s="51">
        <v>0.35</v>
      </c>
      <c r="J27" s="51">
        <v>0.09</v>
      </c>
      <c r="K27" s="51">
        <v>172.44</v>
      </c>
      <c r="L27" s="51">
        <v>22.86</v>
      </c>
      <c r="M27" s="51">
        <v>53</v>
      </c>
      <c r="N27" s="51">
        <v>24.40</v>
      </c>
      <c r="O27" s="51">
        <v>0</v>
      </c>
      <c r="P27" s="51">
        <v>1.05</v>
      </c>
      <c r="Q27" s="51">
        <v>44.69</v>
      </c>
      <c r="R27" s="43"/>
      <c r="S27" s="43"/>
      <c r="T27" s="43"/>
      <c r="U27" s="43"/>
    </row>
    <row r="28" spans="1:21" s="11" customFormat="1" ht="15">
      <c r="A28" s="50" t="s">
        <v>633</v>
      </c>
      <c r="B28" s="51">
        <v>93.37</v>
      </c>
      <c r="C28" s="51">
        <v>120.90</v>
      </c>
      <c r="D28" s="51">
        <v>141.60</v>
      </c>
      <c r="E28" s="51">
        <v>4.63</v>
      </c>
      <c r="F28" s="51">
        <v>0.19</v>
      </c>
      <c r="G28" s="51">
        <v>162.90</v>
      </c>
      <c r="H28" s="51">
        <v>56.18</v>
      </c>
      <c r="I28" s="51">
        <v>0.48</v>
      </c>
      <c r="J28" s="51">
        <v>0.09</v>
      </c>
      <c r="K28" s="51">
        <v>123.57</v>
      </c>
      <c r="L28" s="51">
        <v>21.21</v>
      </c>
      <c r="M28" s="51">
        <v>61</v>
      </c>
      <c r="N28" s="51">
        <v>24.40</v>
      </c>
      <c r="O28" s="51">
        <v>0</v>
      </c>
      <c r="P28" s="51">
        <v>1.89</v>
      </c>
      <c r="Q28" s="51">
        <v>49.22</v>
      </c>
      <c r="R28" s="43"/>
      <c r="S28" s="43"/>
      <c r="T28" s="43"/>
      <c r="U28" s="43"/>
    </row>
    <row r="29" spans="1:21" s="11" customFormat="1" ht="15">
      <c r="A29" s="50" t="s">
        <v>634</v>
      </c>
      <c r="B29" s="51">
        <v>150.93</v>
      </c>
      <c r="C29" s="51">
        <v>136.51</v>
      </c>
      <c r="D29" s="51">
        <v>196.07</v>
      </c>
      <c r="E29" s="51">
        <v>4.46</v>
      </c>
      <c r="F29" s="51">
        <v>0.27</v>
      </c>
      <c r="G29" s="51">
        <v>222.84</v>
      </c>
      <c r="H29" s="51">
        <v>78.849999999999994</v>
      </c>
      <c r="I29" s="51">
        <v>1.04</v>
      </c>
      <c r="J29" s="51">
        <v>0.12</v>
      </c>
      <c r="K29" s="51">
        <v>335.29</v>
      </c>
      <c r="L29" s="51">
        <v>20.68</v>
      </c>
      <c r="M29" s="51">
        <v>65</v>
      </c>
      <c r="N29" s="51">
        <v>24.10</v>
      </c>
      <c r="O29" s="51">
        <v>0</v>
      </c>
      <c r="P29" s="51">
        <v>3.20</v>
      </c>
      <c r="Q29" s="51">
        <v>49.34</v>
      </c>
      <c r="R29" s="43"/>
      <c r="S29" s="43"/>
      <c r="T29" s="43"/>
      <c r="U29" s="43"/>
    </row>
    <row r="30" spans="1:21" s="11" customFormat="1" ht="15">
      <c r="A30" s="50" t="s">
        <v>635</v>
      </c>
      <c r="B30" s="51">
        <v>203.95</v>
      </c>
      <c r="C30" s="51">
        <v>150.72999999999999</v>
      </c>
      <c r="D30" s="51">
        <v>246.74</v>
      </c>
      <c r="E30" s="51">
        <v>5.79</v>
      </c>
      <c r="F30" s="51">
        <v>0.11</v>
      </c>
      <c r="G30" s="51">
        <v>241.07</v>
      </c>
      <c r="H30" s="51">
        <v>95.75</v>
      </c>
      <c r="I30" s="51">
        <v>1.54</v>
      </c>
      <c r="J30" s="51">
        <v>0.17</v>
      </c>
      <c r="K30" s="51">
        <v>333.35</v>
      </c>
      <c r="L30" s="51">
        <v>20.399999999999999</v>
      </c>
      <c r="M30" s="51">
        <v>67</v>
      </c>
      <c r="N30" s="51">
        <v>24.40</v>
      </c>
      <c r="O30" s="51">
        <v>0</v>
      </c>
      <c r="P30" s="51">
        <v>4.3499999999999996</v>
      </c>
      <c r="Q30" s="51">
        <v>54.46</v>
      </c>
      <c r="R30" s="43"/>
      <c r="S30" s="43"/>
      <c r="T30" s="43"/>
      <c r="U30" s="43"/>
    </row>
    <row r="31" spans="1:21" s="11" customFormat="1" ht="15">
      <c r="A31" s="50" t="s">
        <v>636</v>
      </c>
      <c r="B31" s="51">
        <v>250.06</v>
      </c>
      <c r="C31" s="51">
        <v>168.16</v>
      </c>
      <c r="D31" s="51">
        <v>293.33</v>
      </c>
      <c r="E31" s="51">
        <v>6.92</v>
      </c>
      <c r="F31" s="51">
        <v>0.23</v>
      </c>
      <c r="G31" s="51">
        <v>241.07</v>
      </c>
      <c r="H31" s="51">
        <v>97.06</v>
      </c>
      <c r="I31" s="51">
        <v>2.0299999999999998</v>
      </c>
      <c r="J31" s="51">
        <v>0.20</v>
      </c>
      <c r="K31" s="51">
        <v>341.63</v>
      </c>
      <c r="L31" s="51">
        <v>20.25</v>
      </c>
      <c r="M31" s="51">
        <v>68</v>
      </c>
      <c r="N31" s="51">
        <v>24.40</v>
      </c>
      <c r="O31" s="51">
        <v>0</v>
      </c>
      <c r="P31" s="51">
        <v>5.52</v>
      </c>
      <c r="Q31" s="51">
        <v>63.08</v>
      </c>
      <c r="R31" s="43"/>
      <c r="S31" s="43"/>
      <c r="T31" s="43"/>
      <c r="U31" s="43"/>
    </row>
    <row r="32" spans="1:21" s="11" customFormat="1" ht="15">
      <c r="A32" s="50" t="s">
        <v>637</v>
      </c>
      <c r="B32" s="51">
        <v>251.77</v>
      </c>
      <c r="C32" s="51">
        <v>168.29</v>
      </c>
      <c r="D32" s="51">
        <v>294.77999999999997</v>
      </c>
      <c r="E32" s="51">
        <v>6.85</v>
      </c>
      <c r="F32" s="51">
        <v>0.02</v>
      </c>
      <c r="G32" s="51">
        <v>166.32</v>
      </c>
      <c r="H32" s="51">
        <v>97.06</v>
      </c>
      <c r="I32" s="51">
        <v>2.1800000000000002</v>
      </c>
      <c r="J32" s="51">
        <v>0.19</v>
      </c>
      <c r="K32" s="51">
        <v>352.35</v>
      </c>
      <c r="L32" s="51">
        <v>19.78</v>
      </c>
      <c r="M32" s="51">
        <v>63</v>
      </c>
      <c r="N32" s="51">
        <v>24.60</v>
      </c>
      <c r="O32" s="51">
        <v>0</v>
      </c>
      <c r="P32" s="51">
        <v>5.64</v>
      </c>
      <c r="Q32" s="51">
        <v>63.06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2.7400000000000002</v>
      </c>
      <c r="C34" s="28">
        <f t="shared" si="0"/>
        <v>55.420000000000002</v>
      </c>
      <c r="D34" s="28">
        <f t="shared" si="0"/>
        <v>34.109999999999999</v>
      </c>
      <c r="E34" s="28">
        <f t="shared" si="0"/>
        <v>3.2599999999999998</v>
      </c>
      <c r="F34" s="28">
        <f t="shared" si="0"/>
        <v>0.02</v>
      </c>
      <c r="G34" s="28">
        <f t="shared" si="0"/>
        <v>33.549999999999997</v>
      </c>
      <c r="H34" s="28">
        <f t="shared" si="0"/>
        <v>22.550000000000001</v>
      </c>
      <c r="I34" s="28">
        <f t="shared" si="0"/>
        <v>0.14000000000000001</v>
      </c>
      <c r="J34" s="28">
        <f t="shared" si="0"/>
        <v>0.059999999999999998</v>
      </c>
      <c r="K34" s="28">
        <f t="shared" si="0"/>
        <v>97.269999999999996</v>
      </c>
      <c r="L34" s="28">
        <f t="shared" si="0"/>
        <v>15.93</v>
      </c>
      <c r="M34" s="28">
        <f t="shared" si="0"/>
        <v>19</v>
      </c>
      <c r="N34" s="28">
        <f t="shared" si="0"/>
        <v>24.100000000000001</v>
      </c>
      <c r="O34" s="28">
        <f t="shared" si="0"/>
        <v>0</v>
      </c>
      <c r="P34" s="28">
        <f t="shared" si="0"/>
        <v>0.60999999999999999</v>
      </c>
      <c r="Q34" s="28">
        <f t="shared" si="0"/>
        <v>27.649999999999999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251.77000000000001</v>
      </c>
      <c r="C35" s="29">
        <f t="shared" si="1"/>
        <v>168.28999999999999</v>
      </c>
      <c r="D35" s="29">
        <f t="shared" si="1"/>
        <v>294.77999999999997</v>
      </c>
      <c r="E35" s="29">
        <f t="shared" si="1"/>
        <v>9.1199999999999992</v>
      </c>
      <c r="F35" s="29">
        <f t="shared" si="1"/>
        <v>17.469999999999999</v>
      </c>
      <c r="G35" s="29">
        <f t="shared" si="1"/>
        <v>241.06999999999999</v>
      </c>
      <c r="H35" s="29">
        <f t="shared" si="1"/>
        <v>111.76000000000001</v>
      </c>
      <c r="I35" s="29">
        <f t="shared" si="1"/>
        <v>2.1800000000000002</v>
      </c>
      <c r="J35" s="29">
        <f t="shared" si="1"/>
        <v>1.6299999999999999</v>
      </c>
      <c r="K35" s="29">
        <f t="shared" si="1"/>
        <v>354.00999999999999</v>
      </c>
      <c r="L35" s="29">
        <f t="shared" si="1"/>
        <v>33.159999999999997</v>
      </c>
      <c r="M35" s="29">
        <f t="shared" si="1"/>
        <v>80</v>
      </c>
      <c r="N35" s="29">
        <f t="shared" si="1"/>
        <v>401.39999999999998</v>
      </c>
      <c r="O35" s="29">
        <f t="shared" si="1"/>
        <v>0</v>
      </c>
      <c r="P35" s="29">
        <f t="shared" si="1"/>
        <v>5.6399999999999997</v>
      </c>
      <c r="Q35" s="29">
        <f t="shared" si="1"/>
        <v>63.079999999999998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51.922083333333326</v>
      </c>
      <c r="C36" s="28">
        <f t="shared" si="2"/>
        <v>91.501250000000013</v>
      </c>
      <c r="D36" s="28">
        <f t="shared" si="2"/>
        <v>91.977083333333326</v>
      </c>
      <c r="E36" s="28">
        <f t="shared" si="2"/>
        <v>5.0979166666666655</v>
      </c>
      <c r="F36" s="28">
        <f t="shared" si="2"/>
        <v>4.2356521739130431</v>
      </c>
      <c r="G36" s="28">
        <f t="shared" si="2"/>
        <v>120.69136363636363</v>
      </c>
      <c r="H36" s="28">
        <f t="shared" si="2"/>
        <v>54.359999999999992</v>
      </c>
      <c r="I36" s="28">
        <f t="shared" si="2"/>
        <v>0.54583333333333328</v>
      </c>
      <c r="J36" s="28">
        <f t="shared" si="2"/>
        <v>0.4754166666666666</v>
      </c>
      <c r="K36" s="28">
        <f t="shared" si="2"/>
        <v>229.98500000000004</v>
      </c>
      <c r="L36" s="28">
        <f t="shared" si="2"/>
        <v>23.164583333333329</v>
      </c>
      <c r="M36" s="28">
        <f t="shared" si="2"/>
        <v>53.25</v>
      </c>
      <c r="N36" s="28">
        <f t="shared" si="2"/>
        <v>142.71250000000001</v>
      </c>
      <c r="O36" s="28">
        <f t="shared" si="2"/>
        <v>0</v>
      </c>
      <c r="P36" s="28">
        <f t="shared" si="2"/>
        <v>1.7116666666666667</v>
      </c>
      <c r="Q36" s="28">
        <f t="shared" si="2"/>
        <v>42.157499999999999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78.405739640121325</v>
      </c>
      <c r="C37" s="28">
        <f t="shared" si="3" ref="C37:Q37">STDEV(C9:C32)</f>
        <v>33.310705592425002</v>
      </c>
      <c r="D37" s="28">
        <f t="shared" si="3"/>
        <v>80.804965165953845</v>
      </c>
      <c r="E37" s="28">
        <f t="shared" si="3"/>
        <v>1.4146131109328794</v>
      </c>
      <c r="F37" s="28">
        <f t="shared" si="3"/>
        <v>6.0877386651642622</v>
      </c>
      <c r="G37" s="28">
        <f t="shared" si="3"/>
        <v>76.711341763749644</v>
      </c>
      <c r="H37" s="28">
        <f t="shared" si="3"/>
        <v>31.569110246238022</v>
      </c>
      <c r="I37" s="28">
        <f t="shared" si="3"/>
        <v>0.56625325926054371</v>
      </c>
      <c r="J37" s="28">
        <f t="shared" si="3"/>
        <v>0.44203068127496065</v>
      </c>
      <c r="K37" s="28">
        <f t="shared" si="3"/>
        <v>100.51102440074386</v>
      </c>
      <c r="L37" s="28">
        <f t="shared" si="3"/>
        <v>5.8437971419473502</v>
      </c>
      <c r="M37" s="28">
        <f t="shared" si="3"/>
        <v>20.098128833518199</v>
      </c>
      <c r="N37" s="28">
        <f t="shared" si="3"/>
        <v>158.41545904059834</v>
      </c>
      <c r="O37" s="28">
        <f t="shared" si="3"/>
        <v>0</v>
      </c>
      <c r="P37" s="28">
        <f t="shared" si="3"/>
        <v>1.4554027282677724</v>
      </c>
      <c r="Q37" s="28">
        <f t="shared" si="3"/>
        <v>9.0905274396172882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COUNT(F9:F32)+1</f>
        <v>24</v>
      </c>
      <c r="G38" s="32">
        <f t="shared" si="4"/>
        <v>22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638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b147719-5ff8-475b-87d3-0814199b2cbc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22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639</v>
      </c>
      <c r="B9" s="51">
        <v>203.49</v>
      </c>
      <c r="C9" s="51">
        <v>146.84</v>
      </c>
      <c r="D9" s="51">
        <v>244.22</v>
      </c>
      <c r="E9" s="51">
        <v>5.29</v>
      </c>
      <c r="F9" s="51">
        <v>0.19</v>
      </c>
      <c r="G9" s="51">
        <v>166.32</v>
      </c>
      <c r="H9" s="51">
        <v>87.59</v>
      </c>
      <c r="I9" s="51">
        <v>2.0099999999999998</v>
      </c>
      <c r="J9" s="51">
        <v>0.16</v>
      </c>
      <c r="K9" s="51">
        <v>340.18</v>
      </c>
      <c r="L9" s="51">
        <v>18.079999999999998</v>
      </c>
      <c r="M9" s="51">
        <v>65</v>
      </c>
      <c r="N9" s="51">
        <v>24.5</v>
      </c>
      <c r="O9" s="51">
        <v>0</v>
      </c>
      <c r="P9" s="51">
        <v>4.8499999999999996</v>
      </c>
      <c r="Q9" s="51">
        <v>56.22</v>
      </c>
      <c r="R9" s="43"/>
      <c r="S9" s="43"/>
      <c r="T9" s="43"/>
      <c r="U9" s="43"/>
    </row>
    <row r="10" spans="1:21" s="11" customFormat="1" ht="15">
      <c r="A10" s="50" t="s">
        <v>640</v>
      </c>
      <c r="B10" s="51">
        <v>164.22</v>
      </c>
      <c r="C10" s="51">
        <v>124.54</v>
      </c>
      <c r="D10" s="51">
        <v>200.43</v>
      </c>
      <c r="E10" s="51">
        <v>5.26</v>
      </c>
      <c r="F10" s="51">
        <v>0.10</v>
      </c>
      <c r="G10" s="51">
        <v>98.45</v>
      </c>
      <c r="H10" s="51">
        <v>66.02</v>
      </c>
      <c r="I10" s="51">
        <v>1.76</v>
      </c>
      <c r="J10" s="51">
        <v>0.12</v>
      </c>
      <c r="K10" s="51">
        <v>353.55</v>
      </c>
      <c r="L10" s="51">
        <v>18.43</v>
      </c>
      <c r="M10" s="51">
        <v>70</v>
      </c>
      <c r="N10" s="51">
        <v>24.40</v>
      </c>
      <c r="O10" s="51">
        <v>0</v>
      </c>
      <c r="P10" s="51">
        <v>3.78</v>
      </c>
      <c r="Q10" s="51">
        <v>53.64</v>
      </c>
      <c r="R10" s="43"/>
      <c r="S10" s="43"/>
      <c r="T10" s="43"/>
      <c r="U10" s="43"/>
    </row>
    <row r="11" spans="1:21" s="11" customFormat="1" ht="15">
      <c r="A11" s="50" t="s">
        <v>641</v>
      </c>
      <c r="B11" s="51">
        <v>128.19999999999999</v>
      </c>
      <c r="C11" s="51">
        <v>108.40</v>
      </c>
      <c r="D11" s="51">
        <v>162.63</v>
      </c>
      <c r="E11" s="51">
        <v>4.79</v>
      </c>
      <c r="F11" s="51">
        <v>0.33</v>
      </c>
      <c r="G11" s="51">
        <v>55.87</v>
      </c>
      <c r="H11" s="51">
        <v>46.20</v>
      </c>
      <c r="I11" s="51">
        <v>1.47</v>
      </c>
      <c r="J11" s="51">
        <v>0.22</v>
      </c>
      <c r="K11" s="51">
        <v>350.37</v>
      </c>
      <c r="L11" s="51">
        <v>17.04</v>
      </c>
      <c r="M11" s="51">
        <v>71</v>
      </c>
      <c r="N11" s="51">
        <v>24.30</v>
      </c>
      <c r="O11" s="51">
        <v>0</v>
      </c>
      <c r="P11" s="51">
        <v>3.16</v>
      </c>
      <c r="Q11" s="51">
        <v>52.36</v>
      </c>
      <c r="R11" s="43"/>
      <c r="S11" s="43"/>
      <c r="T11" s="43"/>
      <c r="U11" s="43"/>
    </row>
    <row r="12" spans="1:21" s="11" customFormat="1" ht="15">
      <c r="A12" s="50" t="s">
        <v>642</v>
      </c>
      <c r="B12" s="51">
        <v>92.66</v>
      </c>
      <c r="C12" s="51">
        <v>95.54</v>
      </c>
      <c r="D12" s="51">
        <v>127.03</v>
      </c>
      <c r="E12" s="51">
        <v>4.26</v>
      </c>
      <c r="F12" s="51">
        <v>0.03</v>
      </c>
      <c r="G12" s="51">
        <v>55.87</v>
      </c>
      <c r="H12" s="51">
        <v>40.380000000000003</v>
      </c>
      <c r="I12" s="51">
        <v>1.1000000000000001</v>
      </c>
      <c r="J12" s="51">
        <v>0.22</v>
      </c>
      <c r="K12" s="51">
        <v>340.23</v>
      </c>
      <c r="L12" s="51">
        <v>17.28</v>
      </c>
      <c r="M12" s="51">
        <v>77</v>
      </c>
      <c r="N12" s="51">
        <v>24.60</v>
      </c>
      <c r="O12" s="51">
        <v>0</v>
      </c>
      <c r="P12" s="51">
        <v>2.4900000000000002</v>
      </c>
      <c r="Q12" s="51">
        <v>48.35</v>
      </c>
      <c r="R12" s="43"/>
      <c r="S12" s="43"/>
      <c r="T12" s="43"/>
      <c r="U12" s="43"/>
    </row>
    <row r="13" spans="1:21" s="11" customFormat="1" ht="15">
      <c r="A13" s="50" t="s">
        <v>643</v>
      </c>
      <c r="B13" s="51">
        <v>72.22</v>
      </c>
      <c r="C13" s="51">
        <v>86.13</v>
      </c>
      <c r="D13" s="51">
        <v>105.45</v>
      </c>
      <c r="E13" s="51">
        <v>5.46</v>
      </c>
      <c r="F13" s="51">
        <v>0.18</v>
      </c>
      <c r="G13" s="51">
        <v>56.14</v>
      </c>
      <c r="H13" s="51">
        <v>35.10</v>
      </c>
      <c r="I13" s="51">
        <v>0.78</v>
      </c>
      <c r="J13" s="51">
        <v>0.23</v>
      </c>
      <c r="K13" s="51">
        <v>321.37</v>
      </c>
      <c r="L13" s="51">
        <v>17.21</v>
      </c>
      <c r="M13" s="51">
        <v>77</v>
      </c>
      <c r="N13" s="51">
        <v>24.60</v>
      </c>
      <c r="O13" s="51">
        <v>0</v>
      </c>
      <c r="P13" s="51">
        <v>2.09</v>
      </c>
      <c r="Q13" s="51">
        <v>43.57</v>
      </c>
      <c r="R13" s="43"/>
      <c r="S13" s="43"/>
      <c r="T13" s="43"/>
      <c r="U13" s="43"/>
    </row>
    <row r="14" spans="1:21" s="11" customFormat="1" ht="15">
      <c r="A14" s="50" t="s">
        <v>644</v>
      </c>
      <c r="B14" s="51">
        <v>73.94</v>
      </c>
      <c r="C14" s="51">
        <v>87.31</v>
      </c>
      <c r="D14" s="51">
        <v>107.48</v>
      </c>
      <c r="E14" s="51">
        <v>5.58</v>
      </c>
      <c r="F14" s="51">
        <v>0.70</v>
      </c>
      <c r="G14" s="51">
        <v>91.18</v>
      </c>
      <c r="H14" s="51">
        <v>38.68</v>
      </c>
      <c r="I14" s="51">
        <v>0.68</v>
      </c>
      <c r="J14" s="51">
        <v>0.13</v>
      </c>
      <c r="K14" s="51">
        <v>330.44</v>
      </c>
      <c r="L14" s="51">
        <v>16.12</v>
      </c>
      <c r="M14" s="51">
        <v>81</v>
      </c>
      <c r="N14" s="51">
        <v>24.5</v>
      </c>
      <c r="O14" s="51">
        <v>0</v>
      </c>
      <c r="P14" s="51">
        <v>1.85</v>
      </c>
      <c r="Q14" s="51">
        <v>46.05</v>
      </c>
      <c r="R14" s="43"/>
      <c r="S14" s="43"/>
      <c r="T14" s="43"/>
      <c r="U14" s="43"/>
    </row>
    <row r="15" spans="1:21" s="11" customFormat="1" ht="15">
      <c r="A15" s="50" t="s">
        <v>645</v>
      </c>
      <c r="B15" s="51">
        <v>102.76</v>
      </c>
      <c r="C15" s="51">
        <v>99.42</v>
      </c>
      <c r="D15" s="51">
        <v>137.27000000000001</v>
      </c>
      <c r="E15" s="51">
        <v>5.45</v>
      </c>
      <c r="F15" s="51">
        <v>0.12</v>
      </c>
      <c r="G15" s="51">
        <v>103.45</v>
      </c>
      <c r="H15" s="51">
        <v>40.49</v>
      </c>
      <c r="I15" s="51">
        <v>0.59</v>
      </c>
      <c r="J15" s="51">
        <v>0.23</v>
      </c>
      <c r="K15" s="51">
        <v>352.01</v>
      </c>
      <c r="L15" s="51">
        <v>16.11</v>
      </c>
      <c r="M15" s="51">
        <v>82</v>
      </c>
      <c r="N15" s="51">
        <v>35.10</v>
      </c>
      <c r="O15" s="51">
        <v>0</v>
      </c>
      <c r="P15" s="51">
        <v>1.72</v>
      </c>
      <c r="Q15" s="51">
        <v>47.10</v>
      </c>
      <c r="R15" s="43"/>
      <c r="S15" s="43"/>
      <c r="T15" s="43"/>
      <c r="U15" s="43"/>
    </row>
    <row r="16" spans="1:21" s="11" customFormat="1" ht="15">
      <c r="A16" s="50" t="s">
        <v>646</v>
      </c>
      <c r="B16" s="51">
        <v>105.59</v>
      </c>
      <c r="C16" s="51">
        <v>99.86</v>
      </c>
      <c r="D16" s="51">
        <v>139.72999999999999</v>
      </c>
      <c r="E16" s="51">
        <v>5.43</v>
      </c>
      <c r="F16" s="51">
        <v>0.03</v>
      </c>
      <c r="G16" s="51">
        <v>107.47</v>
      </c>
      <c r="H16" s="51">
        <v>44.46</v>
      </c>
      <c r="I16" s="51">
        <v>0.55000000000000004</v>
      </c>
      <c r="J16" s="51">
        <v>0.30</v>
      </c>
      <c r="K16" s="51">
        <v>259.01</v>
      </c>
      <c r="L16" s="51">
        <v>21.71</v>
      </c>
      <c r="M16" s="51">
        <v>80</v>
      </c>
      <c r="N16" s="51">
        <v>185.70</v>
      </c>
      <c r="O16" s="51">
        <v>0</v>
      </c>
      <c r="P16" s="51">
        <v>1.86</v>
      </c>
      <c r="Q16" s="51">
        <v>45.60</v>
      </c>
      <c r="R16" s="43"/>
      <c r="S16" s="43"/>
      <c r="T16" s="43"/>
      <c r="U16" s="43"/>
    </row>
    <row r="17" spans="1:21" s="11" customFormat="1" ht="15">
      <c r="A17" s="50" t="s">
        <v>647</v>
      </c>
      <c r="B17" s="51">
        <v>101.90</v>
      </c>
      <c r="C17" s="51">
        <v>102.59</v>
      </c>
      <c r="D17" s="51">
        <v>137.18</v>
      </c>
      <c r="E17" s="51">
        <v>4.97</v>
      </c>
      <c r="F17" s="51">
        <v>0.09</v>
      </c>
      <c r="G17" s="51">
        <v>107.47</v>
      </c>
      <c r="H17" s="51">
        <v>49.84</v>
      </c>
      <c r="I17" s="51">
        <v>0.55000000000000004</v>
      </c>
      <c r="J17" s="51">
        <v>0.5</v>
      </c>
      <c r="K17" s="51">
        <v>349.02</v>
      </c>
      <c r="L17" s="51">
        <v>28.63</v>
      </c>
      <c r="M17" s="51">
        <v>49</v>
      </c>
      <c r="N17" s="51">
        <v>280.70</v>
      </c>
      <c r="O17" s="51">
        <v>0</v>
      </c>
      <c r="P17" s="51">
        <v>1.86</v>
      </c>
      <c r="Q17" s="51">
        <v>46.5</v>
      </c>
      <c r="R17" s="43"/>
      <c r="S17" s="43"/>
      <c r="T17" s="43"/>
      <c r="U17" s="43"/>
    </row>
    <row r="18" spans="1:21" s="11" customFormat="1" ht="15">
      <c r="A18" s="50" t="s">
        <v>648</v>
      </c>
      <c r="B18" s="51">
        <v>83.88</v>
      </c>
      <c r="C18" s="51">
        <v>108.34</v>
      </c>
      <c r="D18" s="51">
        <v>124.63</v>
      </c>
      <c r="E18" s="51">
        <v>5.15</v>
      </c>
      <c r="F18" s="51">
        <v>0.18</v>
      </c>
      <c r="G18" s="51">
        <v>90.56</v>
      </c>
      <c r="H18" s="51">
        <v>49.84</v>
      </c>
      <c r="I18" s="51">
        <v>0.56000000000000005</v>
      </c>
      <c r="J18" s="51">
        <v>0.5</v>
      </c>
      <c r="K18" s="51">
        <v>7.78</v>
      </c>
      <c r="L18" s="51">
        <v>30.81</v>
      </c>
      <c r="M18" s="51">
        <v>40</v>
      </c>
      <c r="N18" s="51">
        <v>335.60</v>
      </c>
      <c r="O18" s="51">
        <v>0</v>
      </c>
      <c r="P18" s="51">
        <v>1.80</v>
      </c>
      <c r="Q18" s="51">
        <v>47.19</v>
      </c>
      <c r="R18" s="43"/>
      <c r="S18" s="43"/>
      <c r="T18" s="43"/>
      <c r="U18" s="43"/>
    </row>
    <row r="19" spans="1:21" s="11" customFormat="1" ht="15">
      <c r="A19" s="50" t="s">
        <v>649</v>
      </c>
      <c r="B19" s="51">
        <v>56.99</v>
      </c>
      <c r="C19" s="51">
        <v>110.92</v>
      </c>
      <c r="D19" s="51">
        <v>106.37</v>
      </c>
      <c r="E19" s="51">
        <v>4.57</v>
      </c>
      <c r="F19" s="51">
        <v>0.60</v>
      </c>
      <c r="G19" s="51">
        <v>77.849999999999994</v>
      </c>
      <c r="H19" s="51">
        <v>46.92</v>
      </c>
      <c r="I19" s="51">
        <v>0.48</v>
      </c>
      <c r="J19" s="51">
        <v>0.40</v>
      </c>
      <c r="K19" s="51">
        <v>355.60</v>
      </c>
      <c r="L19" s="51">
        <v>30.80</v>
      </c>
      <c r="M19" s="51">
        <v>39</v>
      </c>
      <c r="N19" s="51">
        <v>366.5</v>
      </c>
      <c r="O19" s="51">
        <v>0</v>
      </c>
      <c r="P19" s="51">
        <v>1.77</v>
      </c>
      <c r="Q19" s="51">
        <v>46</v>
      </c>
      <c r="R19" s="43"/>
      <c r="S19" s="43"/>
      <c r="T19" s="43"/>
      <c r="U19" s="43"/>
    </row>
    <row r="20" spans="1:21" s="11" customFormat="1" ht="15">
      <c r="A20" s="50" t="s">
        <v>650</v>
      </c>
      <c r="B20" s="51">
        <v>34.97</v>
      </c>
      <c r="C20" s="51">
        <v>107.19</v>
      </c>
      <c r="D20" s="51">
        <v>87.20</v>
      </c>
      <c r="E20" s="51">
        <v>4.05</v>
      </c>
      <c r="F20" s="51">
        <v>0.75</v>
      </c>
      <c r="G20" s="51">
        <v>77.849999999999994</v>
      </c>
      <c r="H20" s="51">
        <v>42.64</v>
      </c>
      <c r="I20" s="51">
        <v>0.42</v>
      </c>
      <c r="J20" s="51">
        <v>0.45</v>
      </c>
      <c r="K20" s="51">
        <v>355.32</v>
      </c>
      <c r="L20" s="51">
        <v>32.92</v>
      </c>
      <c r="M20" s="51">
        <v>35</v>
      </c>
      <c r="N20" s="51">
        <v>380</v>
      </c>
      <c r="O20" s="51">
        <v>0</v>
      </c>
      <c r="P20" s="51">
        <v>1.68</v>
      </c>
      <c r="Q20" s="51">
        <v>41.31</v>
      </c>
      <c r="R20" s="43"/>
      <c r="S20" s="43"/>
      <c r="T20" s="43"/>
      <c r="U20" s="43"/>
    </row>
    <row r="21" spans="1:21" s="11" customFormat="1" ht="15">
      <c r="A21" s="50" t="s">
        <v>651</v>
      </c>
      <c r="B21" s="51">
        <v>19.89</v>
      </c>
      <c r="C21" s="51">
        <v>98.19</v>
      </c>
      <c r="D21" s="51">
        <v>70.14</v>
      </c>
      <c r="E21" s="51">
        <v>2.87</v>
      </c>
      <c r="F21" s="51">
        <v>0.91</v>
      </c>
      <c r="G21" s="51">
        <v>63.73</v>
      </c>
      <c r="H21" s="51">
        <v>35.69</v>
      </c>
      <c r="I21" s="51">
        <v>0.37</v>
      </c>
      <c r="J21" s="51">
        <v>0.65</v>
      </c>
      <c r="K21" s="51">
        <v>354.68</v>
      </c>
      <c r="L21" s="51">
        <v>33.61</v>
      </c>
      <c r="M21" s="51">
        <v>30</v>
      </c>
      <c r="N21" s="51">
        <v>372.40</v>
      </c>
      <c r="O21" s="51">
        <v>0</v>
      </c>
      <c r="P21" s="51">
        <v>1.46</v>
      </c>
      <c r="Q21" s="51">
        <v>43.72</v>
      </c>
      <c r="R21" s="43"/>
      <c r="S21" s="43"/>
      <c r="T21" s="43"/>
      <c r="U21" s="43"/>
    </row>
    <row r="22" spans="1:21" s="11" customFormat="1" ht="15">
      <c r="A22" s="50" t="s">
        <v>652</v>
      </c>
      <c r="B22" s="51">
        <v>7.74</v>
      </c>
      <c r="C22" s="51">
        <v>95.72</v>
      </c>
      <c r="D22" s="51">
        <v>59.03</v>
      </c>
      <c r="E22" s="51">
        <v>3.44</v>
      </c>
      <c r="F22" s="51">
        <v>2.15</v>
      </c>
      <c r="G22" s="51">
        <v>48.78</v>
      </c>
      <c r="H22" s="51">
        <v>32.61</v>
      </c>
      <c r="I22" s="51">
        <v>0.34</v>
      </c>
      <c r="J22" s="51">
        <v>0.5</v>
      </c>
      <c r="K22" s="51">
        <v>346.71</v>
      </c>
      <c r="L22" s="51">
        <v>32.58</v>
      </c>
      <c r="M22" s="51">
        <v>30</v>
      </c>
      <c r="N22" s="51">
        <v>344.30</v>
      </c>
      <c r="O22" s="51">
        <v>0</v>
      </c>
      <c r="P22" s="51">
        <v>1.24</v>
      </c>
      <c r="Q22" s="51">
        <v>43.65</v>
      </c>
      <c r="R22" s="43"/>
      <c r="S22" s="43"/>
      <c r="T22" s="43"/>
      <c r="U22" s="43"/>
    </row>
    <row r="23" spans="1:21" s="11" customFormat="1" ht="15">
      <c r="A23" s="50" t="s">
        <v>653</v>
      </c>
      <c r="B23" s="51">
        <v>5.19</v>
      </c>
      <c r="C23" s="51">
        <v>80.239999999999995</v>
      </c>
      <c r="D23" s="51">
        <v>47.47</v>
      </c>
      <c r="E23" s="51">
        <v>4.2300000000000004</v>
      </c>
      <c r="F23" s="51">
        <v>8.07</v>
      </c>
      <c r="G23" s="51">
        <v>43.10</v>
      </c>
      <c r="H23" s="51">
        <v>29.22</v>
      </c>
      <c r="I23" s="51">
        <v>0.28000000000000003</v>
      </c>
      <c r="J23" s="51">
        <v>0.33</v>
      </c>
      <c r="K23" s="51">
        <v>359.45</v>
      </c>
      <c r="L23" s="51">
        <v>31.34</v>
      </c>
      <c r="M23" s="51">
        <v>30</v>
      </c>
      <c r="N23" s="51">
        <v>295.5</v>
      </c>
      <c r="O23" s="51">
        <v>0</v>
      </c>
      <c r="P23" s="51">
        <v>1.0900000000000001</v>
      </c>
      <c r="Q23" s="51">
        <v>41.70</v>
      </c>
      <c r="R23" s="43"/>
      <c r="S23" s="43"/>
      <c r="T23" s="43"/>
      <c r="U23" s="43"/>
    </row>
    <row r="24" spans="1:21" s="11" customFormat="1" ht="15">
      <c r="A24" s="50" t="s">
        <v>654</v>
      </c>
      <c r="B24" s="51">
        <v>4.9800000000000004</v>
      </c>
      <c r="C24" s="51">
        <v>74.290000000000006</v>
      </c>
      <c r="D24" s="51">
        <v>44.70</v>
      </c>
      <c r="E24" s="51">
        <v>5.27</v>
      </c>
      <c r="F24" s="51">
        <v>14.80</v>
      </c>
      <c r="G24" s="51">
        <v>38.270000000000003</v>
      </c>
      <c r="H24" s="51">
        <v>26.58</v>
      </c>
      <c r="I24" s="51">
        <v>0.25</v>
      </c>
      <c r="J24" s="51">
        <v>0.28000000000000003</v>
      </c>
      <c r="K24" s="51">
        <v>348.67</v>
      </c>
      <c r="L24" s="51">
        <v>30.84</v>
      </c>
      <c r="M24" s="51">
        <v>33</v>
      </c>
      <c r="N24" s="51">
        <v>202.80</v>
      </c>
      <c r="O24" s="51">
        <v>0</v>
      </c>
      <c r="P24" s="51">
        <v>1.05</v>
      </c>
      <c r="Q24" s="51">
        <v>41.82</v>
      </c>
      <c r="R24" s="43"/>
      <c r="S24" s="43"/>
      <c r="T24" s="43"/>
      <c r="U24" s="43"/>
    </row>
    <row r="25" spans="1:21" s="11" customFormat="1" ht="15">
      <c r="A25" s="50" t="s">
        <v>655</v>
      </c>
      <c r="B25" s="51">
        <v>6.37</v>
      </c>
      <c r="C25" s="51">
        <v>84.10</v>
      </c>
      <c r="D25" s="51">
        <v>51.52</v>
      </c>
      <c r="E25" s="51">
        <v>5.22</v>
      </c>
      <c r="F25" s="51">
        <v>3.16</v>
      </c>
      <c r="G25" s="51">
        <v>38.270000000000003</v>
      </c>
      <c r="H25" s="51">
        <v>25.66</v>
      </c>
      <c r="I25" s="51">
        <v>0.28000000000000003</v>
      </c>
      <c r="J25" s="51">
        <v>0.11</v>
      </c>
      <c r="K25" s="51">
        <v>354.35</v>
      </c>
      <c r="L25" s="51">
        <v>28.91</v>
      </c>
      <c r="M25" s="51">
        <v>38</v>
      </c>
      <c r="N25" s="51">
        <v>62.10</v>
      </c>
      <c r="O25" s="51">
        <v>0</v>
      </c>
      <c r="P25" s="51">
        <v>1.1499999999999999</v>
      </c>
      <c r="Q25" s="51">
        <v>44.92</v>
      </c>
      <c r="R25" s="43"/>
      <c r="S25" s="43"/>
      <c r="T25" s="43"/>
      <c r="U25" s="43"/>
    </row>
    <row r="26" spans="1:21" s="11" customFormat="1" ht="15">
      <c r="A26" s="50" t="s">
        <v>656</v>
      </c>
      <c r="B26" s="51">
        <v>22.19</v>
      </c>
      <c r="C26" s="51">
        <v>111.28</v>
      </c>
      <c r="D26" s="51">
        <v>79.209999999999994</v>
      </c>
      <c r="E26" s="51">
        <v>5.26</v>
      </c>
      <c r="F26" s="51">
        <v>1.96</v>
      </c>
      <c r="G26" s="51">
        <v>57.39</v>
      </c>
      <c r="H26" s="51">
        <v>23.94</v>
      </c>
      <c r="I26" s="51">
        <v>0.31</v>
      </c>
      <c r="J26" s="51">
        <v>0.15</v>
      </c>
      <c r="K26" s="51">
        <v>332.79</v>
      </c>
      <c r="L26" s="51">
        <v>26.89</v>
      </c>
      <c r="M26" s="51">
        <v>53</v>
      </c>
      <c r="N26" s="51">
        <v>31.10</v>
      </c>
      <c r="O26" s="51">
        <v>0</v>
      </c>
      <c r="P26" s="51">
        <v>1.5</v>
      </c>
      <c r="Q26" s="51">
        <v>45.10</v>
      </c>
      <c r="R26" s="43"/>
      <c r="S26" s="43"/>
      <c r="T26" s="43"/>
      <c r="U26" s="43"/>
    </row>
    <row r="27" spans="1:21" s="11" customFormat="1" ht="15">
      <c r="A27" s="50" t="s">
        <v>657</v>
      </c>
      <c r="B27" s="51">
        <v>53.55</v>
      </c>
      <c r="C27" s="51">
        <v>122.94</v>
      </c>
      <c r="D27" s="51">
        <v>110.79</v>
      </c>
      <c r="E27" s="51">
        <v>5.69</v>
      </c>
      <c r="F27" s="51">
        <v>0.25</v>
      </c>
      <c r="G27" s="51">
        <v>134.72999999999999</v>
      </c>
      <c r="H27" s="51">
        <v>34.46</v>
      </c>
      <c r="I27" s="51">
        <v>0.54</v>
      </c>
      <c r="J27" s="51">
        <v>0.10</v>
      </c>
      <c r="K27" s="51">
        <v>282.18</v>
      </c>
      <c r="L27" s="51">
        <v>23.63</v>
      </c>
      <c r="M27" s="51">
        <v>60</v>
      </c>
      <c r="N27" s="51">
        <v>24.60</v>
      </c>
      <c r="O27" s="51">
        <v>0</v>
      </c>
      <c r="P27" s="51">
        <v>2.15</v>
      </c>
      <c r="Q27" s="51">
        <v>44.46</v>
      </c>
      <c r="R27" s="43"/>
      <c r="S27" s="43"/>
      <c r="T27" s="43"/>
      <c r="U27" s="43"/>
    </row>
    <row r="28" spans="1:21" s="11" customFormat="1" ht="15">
      <c r="A28" s="50" t="s">
        <v>658</v>
      </c>
      <c r="B28" s="51">
        <v>61.97</v>
      </c>
      <c r="C28" s="51">
        <v>115.61</v>
      </c>
      <c r="D28" s="51">
        <v>112.90</v>
      </c>
      <c r="E28" s="51">
        <v>5.60</v>
      </c>
      <c r="F28" s="51">
        <v>0.18</v>
      </c>
      <c r="G28" s="51">
        <v>144.58000000000001</v>
      </c>
      <c r="H28" s="51">
        <v>44.56</v>
      </c>
      <c r="I28" s="51">
        <v>0.66</v>
      </c>
      <c r="J28" s="51">
        <v>0.06</v>
      </c>
      <c r="K28" s="51">
        <v>149.36000000000001</v>
      </c>
      <c r="L28" s="51">
        <v>22.14</v>
      </c>
      <c r="M28" s="51">
        <v>66</v>
      </c>
      <c r="N28" s="51">
        <v>24.5</v>
      </c>
      <c r="O28" s="51">
        <v>0</v>
      </c>
      <c r="P28" s="51">
        <v>2.0299999999999998</v>
      </c>
      <c r="Q28" s="51">
        <v>51.83</v>
      </c>
      <c r="R28" s="43"/>
      <c r="S28" s="43"/>
      <c r="T28" s="43"/>
      <c r="U28" s="43"/>
    </row>
    <row r="29" spans="1:21" s="11" customFormat="1" ht="15">
      <c r="A29" s="50" t="s">
        <v>659</v>
      </c>
      <c r="B29" s="51">
        <v>96.58</v>
      </c>
      <c r="C29" s="51">
        <v>132.29</v>
      </c>
      <c r="D29" s="51">
        <v>150.46</v>
      </c>
      <c r="E29" s="51">
        <v>5.12</v>
      </c>
      <c r="F29" s="51">
        <v>0.14000000000000001</v>
      </c>
      <c r="G29" s="51">
        <v>183.84</v>
      </c>
      <c r="H29" s="51">
        <v>56.51</v>
      </c>
      <c r="I29" s="51">
        <v>0.82</v>
      </c>
      <c r="J29" s="51">
        <v>0.13</v>
      </c>
      <c r="K29" s="51">
        <v>145.68</v>
      </c>
      <c r="L29" s="51">
        <v>21.30</v>
      </c>
      <c r="M29" s="51">
        <v>71</v>
      </c>
      <c r="N29" s="51">
        <v>24.60</v>
      </c>
      <c r="O29" s="51">
        <v>0</v>
      </c>
      <c r="P29" s="51">
        <v>2.57</v>
      </c>
      <c r="Q29" s="51">
        <v>53.99</v>
      </c>
      <c r="R29" s="43"/>
      <c r="S29" s="43"/>
      <c r="T29" s="43"/>
      <c r="U29" s="43"/>
    </row>
    <row r="30" spans="1:21" s="11" customFormat="1" ht="15">
      <c r="A30" s="50" t="s">
        <v>660</v>
      </c>
      <c r="B30" s="51">
        <v>130.41999999999999</v>
      </c>
      <c r="C30" s="51">
        <v>139.41</v>
      </c>
      <c r="D30" s="51">
        <v>180.52</v>
      </c>
      <c r="E30" s="51">
        <v>5.24</v>
      </c>
      <c r="F30" s="51">
        <v>0.10</v>
      </c>
      <c r="G30" s="51">
        <v>200.26</v>
      </c>
      <c r="H30" s="51">
        <v>67.040000000000006</v>
      </c>
      <c r="I30" s="51">
        <v>1.08</v>
      </c>
      <c r="J30" s="51">
        <v>0.11</v>
      </c>
      <c r="K30" s="51">
        <v>356.43</v>
      </c>
      <c r="L30" s="51">
        <v>20.87</v>
      </c>
      <c r="M30" s="51">
        <v>74</v>
      </c>
      <c r="N30" s="51">
        <v>24.30</v>
      </c>
      <c r="O30" s="51">
        <v>0</v>
      </c>
      <c r="P30" s="51">
        <v>3.43</v>
      </c>
      <c r="Q30" s="51">
        <v>53.92</v>
      </c>
      <c r="R30" s="43"/>
      <c r="S30" s="43"/>
      <c r="T30" s="43"/>
      <c r="U30" s="43"/>
    </row>
    <row r="31" spans="1:21" s="11" customFormat="1" ht="15">
      <c r="A31" s="50" t="s">
        <v>661</v>
      </c>
      <c r="B31" s="51">
        <v>163.18</v>
      </c>
      <c r="C31" s="51">
        <v>144.22</v>
      </c>
      <c r="D31" s="51">
        <v>210.45</v>
      </c>
      <c r="E31" s="51">
        <v>6.26</v>
      </c>
      <c r="F31" s="51">
        <v>0.05</v>
      </c>
      <c r="G31" s="51">
        <v>207.42</v>
      </c>
      <c r="H31" s="51">
        <v>77.56</v>
      </c>
      <c r="I31" s="51">
        <v>1.47</v>
      </c>
      <c r="J31" s="51">
        <v>0.17</v>
      </c>
      <c r="K31" s="51">
        <v>349.28</v>
      </c>
      <c r="L31" s="51">
        <v>20.07</v>
      </c>
      <c r="M31" s="51">
        <v>78</v>
      </c>
      <c r="N31" s="51">
        <v>24.40</v>
      </c>
      <c r="O31" s="51">
        <v>0</v>
      </c>
      <c r="P31" s="51">
        <v>4.08</v>
      </c>
      <c r="Q31" s="51">
        <v>55.61</v>
      </c>
      <c r="R31" s="43"/>
      <c r="S31" s="43"/>
      <c r="T31" s="43"/>
      <c r="U31" s="43"/>
    </row>
    <row r="32" spans="1:21" s="11" customFormat="1" ht="15">
      <c r="A32" s="50" t="s">
        <v>662</v>
      </c>
      <c r="B32" s="51">
        <v>165.18</v>
      </c>
      <c r="C32" s="51">
        <v>140.72</v>
      </c>
      <c r="D32" s="51">
        <v>210.12</v>
      </c>
      <c r="E32" s="51">
        <v>6.47</v>
      </c>
      <c r="F32" s="51">
        <v>0.27</v>
      </c>
      <c r="G32" s="51">
        <v>207.42</v>
      </c>
      <c r="H32" s="51">
        <v>77.56</v>
      </c>
      <c r="I32" s="51">
        <v>1.44</v>
      </c>
      <c r="J32" s="51">
        <v>0.66</v>
      </c>
      <c r="K32" s="51">
        <v>281.48</v>
      </c>
      <c r="L32" s="51">
        <v>20.420000000000002</v>
      </c>
      <c r="M32" s="51">
        <v>77</v>
      </c>
      <c r="N32" s="51">
        <v>24.60</v>
      </c>
      <c r="O32" s="51">
        <v>0</v>
      </c>
      <c r="P32" s="51">
        <v>4.20</v>
      </c>
      <c r="Q32" s="51">
        <v>58.43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4.9800000000000004</v>
      </c>
      <c r="C34" s="28">
        <f t="shared" si="0"/>
        <v>74.290000000000006</v>
      </c>
      <c r="D34" s="28">
        <f t="shared" si="0"/>
        <v>44.700000000000003</v>
      </c>
      <c r="E34" s="28">
        <f t="shared" si="0"/>
        <v>2.8700000000000001</v>
      </c>
      <c r="F34" s="28">
        <f t="shared" si="0"/>
        <v>0.029999999999999999</v>
      </c>
      <c r="G34" s="28">
        <f t="shared" si="0"/>
        <v>38.270000000000003</v>
      </c>
      <c r="H34" s="28">
        <f t="shared" si="0"/>
        <v>23.940000000000001</v>
      </c>
      <c r="I34" s="28">
        <f t="shared" si="0"/>
        <v>0.25</v>
      </c>
      <c r="J34" s="28">
        <f t="shared" si="0"/>
        <v>0.059999999999999998</v>
      </c>
      <c r="K34" s="28">
        <f t="shared" si="0"/>
        <v>7.7800000000000002</v>
      </c>
      <c r="L34" s="28">
        <f t="shared" si="0"/>
        <v>16.109999999999999</v>
      </c>
      <c r="M34" s="28">
        <f t="shared" si="0"/>
        <v>30</v>
      </c>
      <c r="N34" s="28">
        <f t="shared" si="0"/>
        <v>24.300000000000001</v>
      </c>
      <c r="O34" s="28">
        <f t="shared" si="0"/>
        <v>0</v>
      </c>
      <c r="P34" s="28">
        <f t="shared" si="0"/>
        <v>1.05</v>
      </c>
      <c r="Q34" s="28">
        <f t="shared" si="0"/>
        <v>41.310000000000002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203.49000000000001</v>
      </c>
      <c r="C35" s="29">
        <f t="shared" si="1"/>
        <v>146.84</v>
      </c>
      <c r="D35" s="29">
        <f t="shared" si="1"/>
        <v>244.22</v>
      </c>
      <c r="E35" s="29">
        <f t="shared" si="1"/>
        <v>6.4699999999999998</v>
      </c>
      <c r="F35" s="29">
        <f t="shared" si="1"/>
        <v>14.800000000000001</v>
      </c>
      <c r="G35" s="29">
        <f t="shared" si="1"/>
        <v>207.41999999999999</v>
      </c>
      <c r="H35" s="29">
        <f t="shared" si="1"/>
        <v>87.590000000000003</v>
      </c>
      <c r="I35" s="29">
        <f t="shared" si="1"/>
        <v>2.0099999999999998</v>
      </c>
      <c r="J35" s="29">
        <f t="shared" si="1"/>
        <v>0.66000000000000003</v>
      </c>
      <c r="K35" s="29">
        <f t="shared" si="1"/>
        <v>359.44999999999999</v>
      </c>
      <c r="L35" s="29">
        <f t="shared" si="1"/>
        <v>33.609999999999999</v>
      </c>
      <c r="M35" s="29">
        <f t="shared" si="1"/>
        <v>82</v>
      </c>
      <c r="N35" s="29">
        <f t="shared" si="1"/>
        <v>380</v>
      </c>
      <c r="O35" s="29">
        <f t="shared" si="1"/>
        <v>0</v>
      </c>
      <c r="P35" s="29">
        <f t="shared" si="1"/>
        <v>4.8499999999999996</v>
      </c>
      <c r="Q35" s="29">
        <f t="shared" si="1"/>
        <v>58.43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81.585833333333355</v>
      </c>
      <c r="C36" s="28">
        <f t="shared" si="2"/>
        <v>109.00374999999998</v>
      </c>
      <c r="D36" s="28">
        <f t="shared" si="2"/>
        <v>125.28875000000001</v>
      </c>
      <c r="E36" s="28">
        <f t="shared" si="2"/>
        <v>5.0387499999999994</v>
      </c>
      <c r="F36" s="28">
        <f t="shared" si="2"/>
        <v>1.4725000000000001</v>
      </c>
      <c r="G36" s="28">
        <f t="shared" si="2"/>
        <v>102.34458333333333</v>
      </c>
      <c r="H36" s="28">
        <f t="shared" si="2"/>
        <v>46.647916666666667</v>
      </c>
      <c r="I36" s="28">
        <f t="shared" si="2"/>
        <v>0.78291666666666682</v>
      </c>
      <c r="J36" s="28">
        <f t="shared" si="2"/>
        <v>0.27958333333333335</v>
      </c>
      <c r="K36" s="28">
        <f t="shared" si="2"/>
        <v>307.33083333333337</v>
      </c>
      <c r="L36" s="28">
        <f t="shared" si="2"/>
        <v>24.072499999999994</v>
      </c>
      <c r="M36" s="28">
        <f t="shared" si="2"/>
        <v>58.583333333333336</v>
      </c>
      <c r="N36" s="28">
        <f t="shared" si="2"/>
        <v>132.73750000000001</v>
      </c>
      <c r="O36" s="28">
        <f t="shared" si="2"/>
        <v>0</v>
      </c>
      <c r="P36" s="28">
        <f t="shared" si="2"/>
        <v>2.2858333333333332</v>
      </c>
      <c r="Q36" s="28">
        <f t="shared" si="2"/>
        <v>48.043333333333344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57.455775273847266</v>
      </c>
      <c r="C37" s="28">
        <f t="shared" si="3" ref="C37:Q37">STDEV(C9:C32)</f>
        <v>20.824674915255866</v>
      </c>
      <c r="D37" s="28">
        <f t="shared" si="3"/>
        <v>55.264240290546859</v>
      </c>
      <c r="E37" s="28">
        <f t="shared" si="3"/>
        <v>0.81193441853390946</v>
      </c>
      <c r="F37" s="28">
        <f t="shared" si="3"/>
        <v>3.3183354260833848</v>
      </c>
      <c r="G37" s="28">
        <f t="shared" si="3"/>
        <v>55.687547743924618</v>
      </c>
      <c r="H37" s="28">
        <f t="shared" si="3"/>
        <v>17.350523605472493</v>
      </c>
      <c r="I37" s="28">
        <f t="shared" si="3"/>
        <v>0.50692147721118574</v>
      </c>
      <c r="J37" s="28">
        <f t="shared" si="3"/>
        <v>0.17906712772556566</v>
      </c>
      <c r="K37" s="28">
        <f t="shared" si="3"/>
        <v>87.214842769309342</v>
      </c>
      <c r="L37" s="28">
        <f t="shared" si="3"/>
        <v>6.1746108837089881</v>
      </c>
      <c r="M37" s="28">
        <f t="shared" si="3"/>
        <v>19.354623459921974</v>
      </c>
      <c r="N37" s="28">
        <f t="shared" si="3"/>
        <v>144.56696300842131</v>
      </c>
      <c r="O37" s="28">
        <f t="shared" si="3"/>
        <v>0</v>
      </c>
      <c r="P37" s="28">
        <f t="shared" si="3"/>
        <v>1.0711875436277214</v>
      </c>
      <c r="Q37" s="28">
        <f t="shared" si="3"/>
        <v>5.0988845043209921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cd730b-1656-4b96-b5d2-335efcd105db}">
  <sheetPr codeName=""/>
  <dimension ref="A1:U119"/>
  <sheetViews>
    <sheetView workbookViewId="0" topLeftCell="A1">
      <pane xSplit="1" ySplit="8" topLeftCell="B21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5" t="s">
        <v>21</v>
      </c>
      <c r="B7" s="56" t="s">
        <v>58</v>
      </c>
      <c r="C7" s="56" t="s">
        <v>43</v>
      </c>
      <c r="D7" s="56" t="s">
        <v>44</v>
      </c>
      <c r="E7" s="56" t="s">
        <v>45</v>
      </c>
      <c r="F7" s="56" t="s">
        <v>46</v>
      </c>
      <c r="G7" s="56" t="s">
        <v>47</v>
      </c>
      <c r="H7" s="56" t="s">
        <v>48</v>
      </c>
      <c r="I7" s="56" t="s">
        <v>49</v>
      </c>
      <c r="J7" s="56" t="s">
        <v>50</v>
      </c>
      <c r="K7" s="56" t="s">
        <v>51</v>
      </c>
      <c r="L7" s="56" t="s">
        <v>52</v>
      </c>
      <c r="M7" s="56" t="s">
        <v>53</v>
      </c>
      <c r="N7" s="56" t="s">
        <v>54</v>
      </c>
      <c r="O7" s="56" t="s">
        <v>55</v>
      </c>
      <c r="P7" s="56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61" t="s">
        <v>22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663</v>
      </c>
      <c r="B9" s="51">
        <v>135.76</v>
      </c>
      <c r="C9" s="51">
        <v>128.11000000000001</v>
      </c>
      <c r="D9" s="51">
        <v>179.57</v>
      </c>
      <c r="E9" s="51">
        <v>5.22</v>
      </c>
      <c r="F9" s="51">
        <v>0.09</v>
      </c>
      <c r="G9" s="51">
        <v>188.74</v>
      </c>
      <c r="H9" s="51">
        <v>74.37</v>
      </c>
      <c r="I9" s="51">
        <v>1.5</v>
      </c>
      <c r="J9" s="51">
        <v>0.19</v>
      </c>
      <c r="K9" s="51">
        <v>350.71</v>
      </c>
      <c r="L9" s="51">
        <v>19.37</v>
      </c>
      <c r="M9" s="51">
        <v>77</v>
      </c>
      <c r="N9" s="51">
        <v>24.70</v>
      </c>
      <c r="O9" s="51">
        <v>0</v>
      </c>
      <c r="P9" s="51">
        <v>3.60</v>
      </c>
      <c r="Q9" s="51">
        <v>56.12</v>
      </c>
      <c r="R9" s="43"/>
      <c r="S9" s="43"/>
      <c r="T9" s="43"/>
      <c r="U9" s="43"/>
    </row>
    <row r="10" spans="1:21" s="11" customFormat="1" ht="15">
      <c r="A10" s="50" t="s">
        <v>664</v>
      </c>
      <c r="B10" s="51">
        <v>107.22</v>
      </c>
      <c r="C10" s="51">
        <v>115.14</v>
      </c>
      <c r="D10" s="51">
        <v>149.53</v>
      </c>
      <c r="E10" s="51">
        <v>4.66</v>
      </c>
      <c r="F10" s="51">
        <v>0.01</v>
      </c>
      <c r="G10" s="51">
        <v>94.71</v>
      </c>
      <c r="H10" s="51">
        <v>59.63</v>
      </c>
      <c r="I10" s="51">
        <v>1.07</v>
      </c>
      <c r="J10" s="51">
        <v>0.09</v>
      </c>
      <c r="K10" s="51">
        <v>340.68</v>
      </c>
      <c r="L10" s="51">
        <v>18.11</v>
      </c>
      <c r="M10" s="51">
        <v>80</v>
      </c>
      <c r="N10" s="51">
        <v>24.5</v>
      </c>
      <c r="O10" s="51">
        <v>0</v>
      </c>
      <c r="P10" s="51">
        <v>2.89</v>
      </c>
      <c r="Q10" s="51">
        <v>49.56</v>
      </c>
      <c r="R10" s="43"/>
      <c r="S10" s="43"/>
      <c r="T10" s="43"/>
      <c r="U10" s="43"/>
    </row>
    <row r="11" spans="1:21" s="11" customFormat="1" ht="15">
      <c r="A11" s="50" t="s">
        <v>665</v>
      </c>
      <c r="B11" s="51">
        <v>88.29</v>
      </c>
      <c r="C11" s="51">
        <v>104.05</v>
      </c>
      <c r="D11" s="51">
        <v>128.22</v>
      </c>
      <c r="E11" s="51">
        <v>4.93</v>
      </c>
      <c r="F11" s="51">
        <v>0.03</v>
      </c>
      <c r="G11" s="51">
        <v>91.81</v>
      </c>
      <c r="H11" s="51">
        <v>50.99</v>
      </c>
      <c r="I11" s="51">
        <v>0.93</v>
      </c>
      <c r="J11" s="51">
        <v>0.08</v>
      </c>
      <c r="K11" s="51">
        <v>343.61</v>
      </c>
      <c r="L11" s="51">
        <v>17.80</v>
      </c>
      <c r="M11" s="51">
        <v>81</v>
      </c>
      <c r="N11" s="51">
        <v>24.40</v>
      </c>
      <c r="O11" s="51">
        <v>0</v>
      </c>
      <c r="P11" s="51">
        <v>2.64</v>
      </c>
      <c r="Q11" s="51">
        <v>49.13</v>
      </c>
      <c r="R11" s="43"/>
      <c r="S11" s="43"/>
      <c r="T11" s="43"/>
      <c r="U11" s="43"/>
    </row>
    <row r="12" spans="1:21" s="11" customFormat="1" ht="15">
      <c r="A12" s="50" t="s">
        <v>666</v>
      </c>
      <c r="B12" s="51">
        <v>73.25</v>
      </c>
      <c r="C12" s="51">
        <v>97.15</v>
      </c>
      <c r="D12" s="51">
        <v>112.35</v>
      </c>
      <c r="E12" s="51">
        <v>4.55</v>
      </c>
      <c r="F12" s="51">
        <v>0.70</v>
      </c>
      <c r="G12" s="51">
        <v>91.81</v>
      </c>
      <c r="H12" s="51">
        <v>50.99</v>
      </c>
      <c r="I12" s="51">
        <v>0.83</v>
      </c>
      <c r="J12" s="51">
        <v>0.17</v>
      </c>
      <c r="K12" s="51">
        <v>353.93</v>
      </c>
      <c r="L12" s="51">
        <v>18.07</v>
      </c>
      <c r="M12" s="51">
        <v>82</v>
      </c>
      <c r="N12" s="51">
        <v>24.5</v>
      </c>
      <c r="O12" s="51">
        <v>0</v>
      </c>
      <c r="P12" s="51">
        <v>2.27</v>
      </c>
      <c r="Q12" s="51">
        <v>49.17</v>
      </c>
      <c r="R12" s="43"/>
      <c r="S12" s="43"/>
      <c r="T12" s="43"/>
      <c r="U12" s="43"/>
    </row>
    <row r="13" spans="1:21" s="11" customFormat="1" ht="15">
      <c r="A13" s="50" t="s">
        <v>667</v>
      </c>
      <c r="B13" s="51">
        <v>60.61</v>
      </c>
      <c r="C13" s="51">
        <v>91.92</v>
      </c>
      <c r="D13" s="51">
        <v>99.33</v>
      </c>
      <c r="E13" s="51">
        <v>4.58</v>
      </c>
      <c r="F13" s="51">
        <v>0.01</v>
      </c>
      <c r="G13" s="51">
        <v>75.400000000000006</v>
      </c>
      <c r="H13" s="51">
        <v>45.92</v>
      </c>
      <c r="I13" s="51">
        <v>0.69</v>
      </c>
      <c r="J13" s="51">
        <v>0.16</v>
      </c>
      <c r="K13" s="51">
        <v>338.13</v>
      </c>
      <c r="L13" s="51">
        <v>17.170000000000002</v>
      </c>
      <c r="M13" s="51">
        <v>81</v>
      </c>
      <c r="N13" s="51">
        <v>24.60</v>
      </c>
      <c r="O13" s="51">
        <v>0</v>
      </c>
      <c r="P13" s="51">
        <v>1.94</v>
      </c>
      <c r="Q13" s="51">
        <v>47.47</v>
      </c>
      <c r="R13" s="43"/>
      <c r="S13" s="43"/>
      <c r="T13" s="43"/>
      <c r="U13" s="43"/>
    </row>
    <row r="14" spans="1:21" s="11" customFormat="1" ht="15">
      <c r="A14" s="50" t="s">
        <v>668</v>
      </c>
      <c r="B14" s="51">
        <v>69.56</v>
      </c>
      <c r="C14" s="51">
        <v>91.60</v>
      </c>
      <c r="D14" s="51">
        <v>106.33</v>
      </c>
      <c r="E14" s="51">
        <v>4.76</v>
      </c>
      <c r="F14" s="51">
        <v>0.070000000000000007</v>
      </c>
      <c r="G14" s="51">
        <v>105.26</v>
      </c>
      <c r="H14" s="51">
        <v>36.24</v>
      </c>
      <c r="I14" s="51">
        <v>0.59</v>
      </c>
      <c r="J14" s="51">
        <v>0.18</v>
      </c>
      <c r="K14" s="51">
        <v>271.07</v>
      </c>
      <c r="L14" s="51">
        <v>17.440000000000001</v>
      </c>
      <c r="M14" s="51">
        <v>81</v>
      </c>
      <c r="N14" s="51">
        <v>24.30</v>
      </c>
      <c r="O14" s="51">
        <v>0</v>
      </c>
      <c r="P14" s="51">
        <v>1.76</v>
      </c>
      <c r="Q14" s="51">
        <v>44.10</v>
      </c>
      <c r="R14" s="43"/>
      <c r="S14" s="43"/>
      <c r="T14" s="43"/>
      <c r="U14" s="43"/>
    </row>
    <row r="15" spans="1:21" s="11" customFormat="1" ht="15">
      <c r="A15" s="50" t="s">
        <v>669</v>
      </c>
      <c r="B15" s="51">
        <v>80.30</v>
      </c>
      <c r="C15" s="51">
        <v>95.43</v>
      </c>
      <c r="D15" s="51">
        <v>117.06</v>
      </c>
      <c r="E15" s="51">
        <v>4.8600000000000003</v>
      </c>
      <c r="F15" s="51">
        <v>0.77</v>
      </c>
      <c r="G15" s="51">
        <v>105.26</v>
      </c>
      <c r="H15" s="51">
        <v>40.83</v>
      </c>
      <c r="I15" s="51">
        <v>0.55000000000000004</v>
      </c>
      <c r="J15" s="51">
        <v>0.18</v>
      </c>
      <c r="K15" s="51">
        <v>352.06</v>
      </c>
      <c r="L15" s="51">
        <v>16.98</v>
      </c>
      <c r="M15" s="51">
        <v>84</v>
      </c>
      <c r="N15" s="51">
        <v>34.90</v>
      </c>
      <c r="O15" s="51">
        <v>0</v>
      </c>
      <c r="P15" s="51">
        <v>1.66</v>
      </c>
      <c r="Q15" s="51">
        <v>47.42</v>
      </c>
      <c r="R15" s="43"/>
      <c r="S15" s="43"/>
      <c r="T15" s="43"/>
      <c r="U15" s="43"/>
    </row>
    <row r="16" spans="1:21" s="11" customFormat="1" ht="15">
      <c r="A16" s="50" t="s">
        <v>670</v>
      </c>
      <c r="B16" s="51">
        <v>84.52</v>
      </c>
      <c r="C16" s="51">
        <v>97.83</v>
      </c>
      <c r="D16" s="51">
        <v>121.76</v>
      </c>
      <c r="E16" s="51">
        <v>4.62</v>
      </c>
      <c r="F16" s="51">
        <v>0.15</v>
      </c>
      <c r="G16" s="51">
        <v>96.06</v>
      </c>
      <c r="H16" s="51">
        <v>43.82</v>
      </c>
      <c r="I16" s="51">
        <v>0.53</v>
      </c>
      <c r="J16" s="51">
        <v>0.89</v>
      </c>
      <c r="K16" s="51">
        <v>327.27999999999997</v>
      </c>
      <c r="L16" s="51">
        <v>19.03</v>
      </c>
      <c r="M16" s="51">
        <v>82</v>
      </c>
      <c r="N16" s="51">
        <v>155.60</v>
      </c>
      <c r="O16" s="51">
        <v>0</v>
      </c>
      <c r="P16" s="51">
        <v>1.69</v>
      </c>
      <c r="Q16" s="51">
        <v>47.40</v>
      </c>
      <c r="R16" s="43"/>
      <c r="S16" s="43"/>
      <c r="T16" s="43"/>
      <c r="U16" s="43"/>
    </row>
    <row r="17" spans="1:21" s="11" customFormat="1" ht="15">
      <c r="A17" s="50" t="s">
        <v>671</v>
      </c>
      <c r="B17" s="51">
        <v>71.47</v>
      </c>
      <c r="C17" s="51">
        <v>96.71</v>
      </c>
      <c r="D17" s="51">
        <v>108.57</v>
      </c>
      <c r="E17" s="51">
        <v>4.83</v>
      </c>
      <c r="F17" s="51">
        <v>0.02</v>
      </c>
      <c r="G17" s="51">
        <v>93.17</v>
      </c>
      <c r="H17" s="51">
        <v>43.82</v>
      </c>
      <c r="I17" s="51">
        <v>0.48</v>
      </c>
      <c r="J17" s="51">
        <v>0.61</v>
      </c>
      <c r="K17" s="51">
        <v>357.13</v>
      </c>
      <c r="L17" s="51">
        <v>27.61</v>
      </c>
      <c r="M17" s="51">
        <v>66</v>
      </c>
      <c r="N17" s="51">
        <v>271.20</v>
      </c>
      <c r="O17" s="51">
        <v>0</v>
      </c>
      <c r="P17" s="51">
        <v>1.56</v>
      </c>
      <c r="Q17" s="51">
        <v>43.81</v>
      </c>
      <c r="R17" s="43"/>
      <c r="S17" s="43"/>
      <c r="T17" s="43"/>
      <c r="U17" s="43"/>
    </row>
    <row r="18" spans="1:21" s="11" customFormat="1" ht="15">
      <c r="A18" s="50" t="s">
        <v>672</v>
      </c>
      <c r="B18" s="51">
        <v>63.90</v>
      </c>
      <c r="C18" s="51">
        <v>106.16</v>
      </c>
      <c r="D18" s="51">
        <v>105.52</v>
      </c>
      <c r="E18" s="51">
        <v>5.63</v>
      </c>
      <c r="F18" s="51">
        <v>0.37</v>
      </c>
      <c r="G18" s="51">
        <v>95.58</v>
      </c>
      <c r="H18" s="51">
        <v>44.02</v>
      </c>
      <c r="I18" s="51">
        <v>0.45</v>
      </c>
      <c r="J18" s="51">
        <v>1.06</v>
      </c>
      <c r="K18" s="51">
        <v>12.19</v>
      </c>
      <c r="L18" s="51">
        <v>30.45</v>
      </c>
      <c r="M18" s="51">
        <v>46</v>
      </c>
      <c r="N18" s="51">
        <v>321.30</v>
      </c>
      <c r="O18" s="51">
        <v>0</v>
      </c>
      <c r="P18" s="51">
        <v>1.67</v>
      </c>
      <c r="Q18" s="51">
        <v>44.47</v>
      </c>
      <c r="R18" s="43"/>
      <c r="S18" s="43"/>
      <c r="T18" s="43"/>
      <c r="U18" s="43"/>
    </row>
    <row r="19" spans="1:21" s="11" customFormat="1" ht="15">
      <c r="A19" s="50" t="s">
        <v>673</v>
      </c>
      <c r="B19" s="51">
        <v>48.08</v>
      </c>
      <c r="C19" s="51">
        <v>110.55</v>
      </c>
      <c r="D19" s="51">
        <v>99.57</v>
      </c>
      <c r="E19" s="51">
        <v>7</v>
      </c>
      <c r="F19" s="51">
        <v>2.4500000000000002</v>
      </c>
      <c r="G19" s="51">
        <v>95.58</v>
      </c>
      <c r="H19" s="51">
        <v>44.02</v>
      </c>
      <c r="I19" s="51">
        <v>0.46</v>
      </c>
      <c r="J19" s="51">
        <v>0.55000000000000004</v>
      </c>
      <c r="K19" s="51">
        <v>130.53</v>
      </c>
      <c r="L19" s="51">
        <v>30.68</v>
      </c>
      <c r="M19" s="51">
        <v>44</v>
      </c>
      <c r="N19" s="51">
        <v>341.70</v>
      </c>
      <c r="O19" s="51">
        <v>0</v>
      </c>
      <c r="P19" s="51">
        <v>1.85</v>
      </c>
      <c r="Q19" s="51">
        <v>45.28</v>
      </c>
      <c r="R19" s="43"/>
      <c r="S19" s="43"/>
      <c r="T19" s="43"/>
      <c r="U19" s="43"/>
    </row>
    <row r="20" spans="1:21" s="11" customFormat="1" ht="15">
      <c r="A20" s="50" t="s">
        <v>674</v>
      </c>
      <c r="B20" s="51">
        <v>6.87</v>
      </c>
      <c r="C20" s="51">
        <v>126.58</v>
      </c>
      <c r="D20" s="51">
        <v>75.37</v>
      </c>
      <c r="E20" s="51">
        <v>18.510000000000002</v>
      </c>
      <c r="F20" s="51">
        <v>14.11</v>
      </c>
      <c r="G20" s="58" t="s">
        <v>12</v>
      </c>
      <c r="H20" s="58" t="s">
        <v>12</v>
      </c>
      <c r="I20" s="51">
        <v>0.40</v>
      </c>
      <c r="J20" s="51">
        <v>0.45</v>
      </c>
      <c r="K20" s="51">
        <v>98.65</v>
      </c>
      <c r="L20" s="51">
        <v>33.31</v>
      </c>
      <c r="M20" s="51">
        <v>41</v>
      </c>
      <c r="N20" s="51">
        <v>357.40</v>
      </c>
      <c r="O20" s="51">
        <v>0</v>
      </c>
      <c r="P20" s="51">
        <v>1.93</v>
      </c>
      <c r="Q20" s="51">
        <v>39.450000000000003</v>
      </c>
      <c r="R20" s="43"/>
      <c r="S20" s="43"/>
      <c r="T20" s="43"/>
      <c r="U20" s="43"/>
    </row>
    <row r="21" spans="1:21" s="11" customFormat="1" ht="15">
      <c r="A21" s="50" t="s">
        <v>675</v>
      </c>
      <c r="B21" s="51">
        <v>8.61</v>
      </c>
      <c r="C21" s="51">
        <v>105.48</v>
      </c>
      <c r="D21" s="51">
        <v>63.5</v>
      </c>
      <c r="E21" s="51">
        <v>19.66</v>
      </c>
      <c r="F21" s="51">
        <v>12.24</v>
      </c>
      <c r="G21" s="51">
        <v>166.32</v>
      </c>
      <c r="H21" s="51">
        <v>52.59</v>
      </c>
      <c r="I21" s="51">
        <v>0.28999999999999998</v>
      </c>
      <c r="J21" s="51">
        <v>0.74</v>
      </c>
      <c r="K21" s="51">
        <v>163.92</v>
      </c>
      <c r="L21" s="51">
        <v>32.130000000000003</v>
      </c>
      <c r="M21" s="51">
        <v>34</v>
      </c>
      <c r="N21" s="51">
        <v>367.60</v>
      </c>
      <c r="O21" s="51">
        <v>0</v>
      </c>
      <c r="P21" s="51">
        <v>1.77</v>
      </c>
      <c r="Q21" s="51">
        <v>35.69</v>
      </c>
      <c r="R21" s="43"/>
      <c r="S21" s="43"/>
      <c r="T21" s="43"/>
      <c r="U21" s="43"/>
    </row>
    <row r="22" spans="1:21" s="11" customFormat="1" ht="15">
      <c r="A22" s="50" t="s">
        <v>676</v>
      </c>
      <c r="B22" s="62" t="s">
        <v>4</v>
      </c>
      <c r="C22" s="62" t="s">
        <v>4</v>
      </c>
      <c r="D22" s="62" t="s">
        <v>4</v>
      </c>
      <c r="E22" s="62" t="s">
        <v>4</v>
      </c>
      <c r="F22" s="62" t="s">
        <v>4</v>
      </c>
      <c r="G22" s="62" t="s">
        <v>4</v>
      </c>
      <c r="H22" s="62" t="s">
        <v>4</v>
      </c>
      <c r="I22" s="62" t="s">
        <v>4</v>
      </c>
      <c r="J22" s="62" t="s">
        <v>4</v>
      </c>
      <c r="K22" s="62" t="s">
        <v>4</v>
      </c>
      <c r="L22" s="62" t="s">
        <v>4</v>
      </c>
      <c r="M22" s="62" t="s">
        <v>4</v>
      </c>
      <c r="N22" s="62" t="s">
        <v>4</v>
      </c>
      <c r="O22" s="62" t="s">
        <v>4</v>
      </c>
      <c r="P22" s="62" t="s">
        <v>4</v>
      </c>
      <c r="Q22" s="62" t="s">
        <v>4</v>
      </c>
      <c r="R22" s="43"/>
      <c r="S22" s="43"/>
      <c r="T22" s="43"/>
      <c r="U22" s="43"/>
    </row>
    <row r="23" spans="1:21" s="11" customFormat="1" ht="15">
      <c r="A23" s="50" t="s">
        <v>677</v>
      </c>
      <c r="B23" s="62" t="s">
        <v>4</v>
      </c>
      <c r="C23" s="62" t="s">
        <v>4</v>
      </c>
      <c r="D23" s="62" t="s">
        <v>4</v>
      </c>
      <c r="E23" s="62" t="s">
        <v>4</v>
      </c>
      <c r="F23" s="62" t="s">
        <v>4</v>
      </c>
      <c r="G23" s="62" t="s">
        <v>4</v>
      </c>
      <c r="H23" s="62" t="s">
        <v>4</v>
      </c>
      <c r="I23" s="62" t="s">
        <v>4</v>
      </c>
      <c r="J23" s="62" t="s">
        <v>4</v>
      </c>
      <c r="K23" s="62" t="s">
        <v>4</v>
      </c>
      <c r="L23" s="62" t="s">
        <v>4</v>
      </c>
      <c r="M23" s="62" t="s">
        <v>4</v>
      </c>
      <c r="N23" s="62" t="s">
        <v>4</v>
      </c>
      <c r="O23" s="62" t="s">
        <v>4</v>
      </c>
      <c r="P23" s="62" t="s">
        <v>4</v>
      </c>
      <c r="Q23" s="62" t="s">
        <v>4</v>
      </c>
      <c r="R23" s="43"/>
      <c r="S23" s="43"/>
      <c r="T23" s="43"/>
      <c r="U23" s="43"/>
    </row>
    <row r="24" spans="1:21" s="11" customFormat="1" ht="15">
      <c r="A24" s="50" t="s">
        <v>678</v>
      </c>
      <c r="B24" s="51">
        <v>4.8600000000000003</v>
      </c>
      <c r="C24" s="51">
        <v>82.60</v>
      </c>
      <c r="D24" s="51">
        <v>48.65</v>
      </c>
      <c r="E24" s="51">
        <v>3.39</v>
      </c>
      <c r="F24" s="51">
        <v>13.25</v>
      </c>
      <c r="G24" s="51">
        <v>101.36</v>
      </c>
      <c r="H24" s="51">
        <v>45.44</v>
      </c>
      <c r="I24" s="63" t="s">
        <v>20</v>
      </c>
      <c r="J24" s="51">
        <v>0.44</v>
      </c>
      <c r="K24" s="51">
        <v>351</v>
      </c>
      <c r="L24" s="51">
        <v>31.57</v>
      </c>
      <c r="M24" s="51">
        <v>31</v>
      </c>
      <c r="N24" s="51">
        <v>160.30000000000001</v>
      </c>
      <c r="O24" s="51">
        <v>0</v>
      </c>
      <c r="P24" s="51">
        <v>1.1299999999999999</v>
      </c>
      <c r="Q24" s="51">
        <v>61.21</v>
      </c>
      <c r="R24" s="43"/>
      <c r="S24" s="43"/>
      <c r="T24" s="43"/>
      <c r="U24" s="43"/>
    </row>
    <row r="25" spans="1:21" s="11" customFormat="1" ht="15">
      <c r="A25" s="50" t="s">
        <v>679</v>
      </c>
      <c r="B25" s="51">
        <v>3.31</v>
      </c>
      <c r="C25" s="51">
        <v>81.040000000000006</v>
      </c>
      <c r="D25" s="51">
        <v>45.98</v>
      </c>
      <c r="E25" s="51">
        <v>3.70</v>
      </c>
      <c r="F25" s="51">
        <v>15.05</v>
      </c>
      <c r="G25" s="51">
        <v>82.95</v>
      </c>
      <c r="H25" s="51">
        <v>41.32</v>
      </c>
      <c r="I25" s="51">
        <v>0.31</v>
      </c>
      <c r="J25" s="51">
        <v>0.34</v>
      </c>
      <c r="K25" s="51">
        <v>103.96</v>
      </c>
      <c r="L25" s="51">
        <v>29.37</v>
      </c>
      <c r="M25" s="51">
        <v>34</v>
      </c>
      <c r="N25" s="51">
        <v>60.70</v>
      </c>
      <c r="O25" s="51">
        <v>0</v>
      </c>
      <c r="P25" s="51">
        <v>0.85</v>
      </c>
      <c r="Q25" s="51">
        <v>52.20</v>
      </c>
      <c r="R25" s="43"/>
      <c r="S25" s="43"/>
      <c r="T25" s="43"/>
      <c r="U25" s="43"/>
    </row>
    <row r="26" spans="1:21" s="11" customFormat="1" ht="15">
      <c r="A26" s="50" t="s">
        <v>680</v>
      </c>
      <c r="B26" s="51">
        <v>28.14</v>
      </c>
      <c r="C26" s="51">
        <v>112.37</v>
      </c>
      <c r="D26" s="51">
        <v>84.58</v>
      </c>
      <c r="E26" s="51">
        <v>3.72</v>
      </c>
      <c r="F26" s="51">
        <v>16.39</v>
      </c>
      <c r="G26" s="51">
        <v>64.48</v>
      </c>
      <c r="H26" s="51">
        <v>36.590000000000003</v>
      </c>
      <c r="I26" s="51">
        <v>0.33</v>
      </c>
      <c r="J26" s="51">
        <v>0.09</v>
      </c>
      <c r="K26" s="51">
        <v>339.30</v>
      </c>
      <c r="L26" s="51">
        <v>27.79</v>
      </c>
      <c r="M26" s="51">
        <v>55</v>
      </c>
      <c r="N26" s="51">
        <v>31.40</v>
      </c>
      <c r="O26" s="51">
        <v>0</v>
      </c>
      <c r="P26" s="51">
        <v>1.43</v>
      </c>
      <c r="Q26" s="51">
        <v>32.97</v>
      </c>
      <c r="R26" s="43"/>
      <c r="S26" s="43"/>
      <c r="T26" s="43"/>
      <c r="U26" s="43"/>
    </row>
    <row r="27" spans="1:21" s="11" customFormat="1" ht="15">
      <c r="A27" s="50" t="s">
        <v>681</v>
      </c>
      <c r="B27" s="51">
        <v>45.68</v>
      </c>
      <c r="C27" s="51">
        <v>121.97</v>
      </c>
      <c r="D27" s="51">
        <v>103.94</v>
      </c>
      <c r="E27" s="51">
        <v>2.4300000000000002</v>
      </c>
      <c r="F27" s="51">
        <v>0.59</v>
      </c>
      <c r="G27" s="51">
        <v>148.66999999999999</v>
      </c>
      <c r="H27" s="51">
        <v>41.57</v>
      </c>
      <c r="I27" s="51">
        <v>0.47</v>
      </c>
      <c r="J27" s="51">
        <v>0.21</v>
      </c>
      <c r="K27" s="51">
        <v>127.97</v>
      </c>
      <c r="L27" s="51">
        <v>23.98</v>
      </c>
      <c r="M27" s="51">
        <v>65</v>
      </c>
      <c r="N27" s="51">
        <v>24.40</v>
      </c>
      <c r="O27" s="51">
        <v>0</v>
      </c>
      <c r="P27" s="51">
        <v>1.39</v>
      </c>
      <c r="Q27" s="51">
        <v>32.51</v>
      </c>
      <c r="R27" s="43"/>
      <c r="S27" s="43"/>
      <c r="T27" s="43"/>
      <c r="U27" s="43"/>
    </row>
    <row r="28" spans="1:21" s="11" customFormat="1" ht="15">
      <c r="A28" s="50" t="s">
        <v>682</v>
      </c>
      <c r="B28" s="51">
        <v>79.39</v>
      </c>
      <c r="C28" s="51">
        <v>134.16</v>
      </c>
      <c r="D28" s="51">
        <v>137.71</v>
      </c>
      <c r="E28" s="51">
        <v>2.59</v>
      </c>
      <c r="F28" s="51">
        <v>0.33</v>
      </c>
      <c r="G28" s="51">
        <v>161.05000000000001</v>
      </c>
      <c r="H28" s="51">
        <v>45.77</v>
      </c>
      <c r="I28" s="51">
        <v>0.68</v>
      </c>
      <c r="J28" s="51">
        <v>0.070000000000000007</v>
      </c>
      <c r="K28" s="51">
        <v>336.01</v>
      </c>
      <c r="L28" s="51">
        <v>22.64</v>
      </c>
      <c r="M28" s="51">
        <v>67</v>
      </c>
      <c r="N28" s="51">
        <v>24.40</v>
      </c>
      <c r="O28" s="51">
        <v>0</v>
      </c>
      <c r="P28" s="51">
        <v>2.62</v>
      </c>
      <c r="Q28" s="51">
        <v>40.69</v>
      </c>
      <c r="R28" s="43"/>
      <c r="S28" s="43"/>
      <c r="T28" s="43"/>
      <c r="U28" s="43"/>
    </row>
    <row r="29" spans="1:21" s="11" customFormat="1" ht="15">
      <c r="A29" s="50" t="s">
        <v>683</v>
      </c>
      <c r="B29" s="51">
        <v>140.53</v>
      </c>
      <c r="C29" s="51">
        <v>163.27000000000001</v>
      </c>
      <c r="D29" s="51">
        <v>197.66</v>
      </c>
      <c r="E29" s="51">
        <v>5.79</v>
      </c>
      <c r="F29" s="51">
        <v>0.23</v>
      </c>
      <c r="G29" s="51">
        <v>239.94</v>
      </c>
      <c r="H29" s="51">
        <v>59.46</v>
      </c>
      <c r="I29" s="51">
        <v>1.1100000000000001</v>
      </c>
      <c r="J29" s="51">
        <v>0.13</v>
      </c>
      <c r="K29" s="51">
        <v>341.27</v>
      </c>
      <c r="L29" s="51">
        <v>21.95</v>
      </c>
      <c r="M29" s="51">
        <v>67</v>
      </c>
      <c r="N29" s="51">
        <v>24.30</v>
      </c>
      <c r="O29" s="51">
        <v>0</v>
      </c>
      <c r="P29" s="51">
        <v>4.1100000000000003</v>
      </c>
      <c r="Q29" s="51">
        <v>43.38</v>
      </c>
      <c r="R29" s="43"/>
      <c r="S29" s="43"/>
      <c r="T29" s="43"/>
      <c r="U29" s="43"/>
    </row>
    <row r="30" spans="1:21" s="11" customFormat="1" ht="15">
      <c r="A30" s="50" t="s">
        <v>684</v>
      </c>
      <c r="B30" s="51">
        <v>162.90</v>
      </c>
      <c r="C30" s="51">
        <v>167.69</v>
      </c>
      <c r="D30" s="51">
        <v>223.01</v>
      </c>
      <c r="E30" s="51">
        <v>6.76</v>
      </c>
      <c r="F30" s="51">
        <v>0.13</v>
      </c>
      <c r="G30" s="51">
        <v>236.22</v>
      </c>
      <c r="H30" s="51">
        <v>70.849999999999994</v>
      </c>
      <c r="I30" s="51">
        <v>1.73</v>
      </c>
      <c r="J30" s="51">
        <v>0.16</v>
      </c>
      <c r="K30" s="51">
        <v>349.16</v>
      </c>
      <c r="L30" s="51">
        <v>21.70</v>
      </c>
      <c r="M30" s="51">
        <v>70</v>
      </c>
      <c r="N30" s="51">
        <v>24.40</v>
      </c>
      <c r="O30" s="51">
        <v>0</v>
      </c>
      <c r="P30" s="51">
        <v>4.68</v>
      </c>
      <c r="Q30" s="51">
        <v>44.29</v>
      </c>
      <c r="R30" s="43"/>
      <c r="S30" s="43"/>
      <c r="T30" s="43"/>
      <c r="U30" s="43"/>
    </row>
    <row r="31" spans="1:21" s="11" customFormat="1" ht="15">
      <c r="A31" s="50" t="s">
        <v>685</v>
      </c>
      <c r="B31" s="51">
        <v>170.56</v>
      </c>
      <c r="C31" s="51">
        <v>173.56</v>
      </c>
      <c r="D31" s="51">
        <v>232.56</v>
      </c>
      <c r="E31" s="51">
        <v>6.57</v>
      </c>
      <c r="F31" s="51">
        <v>0.62</v>
      </c>
      <c r="G31" s="51">
        <v>231.81</v>
      </c>
      <c r="H31" s="51">
        <v>83.87</v>
      </c>
      <c r="I31" s="51">
        <v>1.85</v>
      </c>
      <c r="J31" s="51">
        <v>0.16</v>
      </c>
      <c r="K31" s="51">
        <v>339.82</v>
      </c>
      <c r="L31" s="51">
        <v>21.37</v>
      </c>
      <c r="M31" s="51">
        <v>68</v>
      </c>
      <c r="N31" s="51">
        <v>24.40</v>
      </c>
      <c r="O31" s="51">
        <v>0</v>
      </c>
      <c r="P31" s="51">
        <v>4.7699999999999996</v>
      </c>
      <c r="Q31" s="51">
        <v>49.36</v>
      </c>
      <c r="R31" s="43"/>
      <c r="S31" s="43"/>
      <c r="T31" s="43"/>
      <c r="U31" s="43"/>
    </row>
    <row r="32" spans="1:21" s="11" customFormat="1" ht="15">
      <c r="A32" s="50" t="s">
        <v>686</v>
      </c>
      <c r="B32" s="51">
        <v>157.94</v>
      </c>
      <c r="C32" s="51">
        <v>164.64</v>
      </c>
      <c r="D32" s="51">
        <v>217.51</v>
      </c>
      <c r="E32" s="51">
        <v>6.34</v>
      </c>
      <c r="F32" s="51">
        <v>0.41</v>
      </c>
      <c r="G32" s="51">
        <v>189.86</v>
      </c>
      <c r="H32" s="51">
        <v>75.33</v>
      </c>
      <c r="I32" s="51">
        <v>1.85</v>
      </c>
      <c r="J32" s="51">
        <v>0.10</v>
      </c>
      <c r="K32" s="51">
        <v>333.18</v>
      </c>
      <c r="L32" s="51">
        <v>20.30</v>
      </c>
      <c r="M32" s="51">
        <v>73</v>
      </c>
      <c r="N32" s="51">
        <v>24.60</v>
      </c>
      <c r="O32" s="51">
        <v>0</v>
      </c>
      <c r="P32" s="51">
        <v>4.38</v>
      </c>
      <c r="Q32" s="51">
        <v>48.70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3.3100000000000001</v>
      </c>
      <c r="C34" s="28">
        <f t="shared" si="0"/>
        <v>81.040000000000006</v>
      </c>
      <c r="D34" s="28">
        <f t="shared" si="0"/>
        <v>45.979999999999997</v>
      </c>
      <c r="E34" s="28">
        <f t="shared" si="0"/>
        <v>2.4300000000000002</v>
      </c>
      <c r="F34" s="28">
        <f t="shared" si="0"/>
        <v>0.01</v>
      </c>
      <c r="G34" s="28">
        <f t="shared" si="0"/>
        <v>64.480000000000004</v>
      </c>
      <c r="H34" s="28">
        <f t="shared" si="0"/>
        <v>36.240000000000002</v>
      </c>
      <c r="I34" s="28">
        <f t="shared" si="0"/>
        <v>0.28999999999999998</v>
      </c>
      <c r="J34" s="28">
        <f t="shared" si="0"/>
        <v>0.070000000000000007</v>
      </c>
      <c r="K34" s="28">
        <f t="shared" si="0"/>
        <v>12.19</v>
      </c>
      <c r="L34" s="28">
        <f t="shared" si="0"/>
        <v>16.98</v>
      </c>
      <c r="M34" s="28">
        <f t="shared" si="0"/>
        <v>31</v>
      </c>
      <c r="N34" s="28">
        <f t="shared" si="0"/>
        <v>24.300000000000001</v>
      </c>
      <c r="O34" s="28">
        <f t="shared" si="0"/>
        <v>0</v>
      </c>
      <c r="P34" s="28">
        <f t="shared" si="0"/>
        <v>0.84999999999999998</v>
      </c>
      <c r="Q34" s="28">
        <f t="shared" si="0"/>
        <v>32.509999999999998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170.56</v>
      </c>
      <c r="C35" s="29">
        <f t="shared" si="1"/>
        <v>173.56</v>
      </c>
      <c r="D35" s="29">
        <f t="shared" si="1"/>
        <v>232.56</v>
      </c>
      <c r="E35" s="29">
        <f t="shared" si="1"/>
        <v>19.66</v>
      </c>
      <c r="F35" s="29">
        <f t="shared" si="1"/>
        <v>16.390000000000001</v>
      </c>
      <c r="G35" s="29">
        <f t="shared" si="1"/>
        <v>239.94</v>
      </c>
      <c r="H35" s="29">
        <f t="shared" si="1"/>
        <v>83.870000000000005</v>
      </c>
      <c r="I35" s="29">
        <f t="shared" si="1"/>
        <v>1.8500000000000001</v>
      </c>
      <c r="J35" s="29">
        <f t="shared" si="1"/>
        <v>1.0600000000000001</v>
      </c>
      <c r="K35" s="29">
        <f t="shared" si="1"/>
        <v>357.13</v>
      </c>
      <c r="L35" s="29">
        <f t="shared" si="1"/>
        <v>33.310000000000002</v>
      </c>
      <c r="M35" s="29">
        <f t="shared" si="1"/>
        <v>84</v>
      </c>
      <c r="N35" s="29">
        <f t="shared" si="1"/>
        <v>367.60000000000002</v>
      </c>
      <c r="O35" s="29">
        <f t="shared" si="1"/>
        <v>0</v>
      </c>
      <c r="P35" s="29">
        <f t="shared" si="1"/>
        <v>4.7699999999999996</v>
      </c>
      <c r="Q35" s="29">
        <f t="shared" si="1"/>
        <v>61.210000000000001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76.897727272727266</v>
      </c>
      <c r="C36" s="28">
        <f t="shared" si="2"/>
        <v>116.72772727272726</v>
      </c>
      <c r="D36" s="28">
        <f t="shared" si="2"/>
        <v>125.37636363636362</v>
      </c>
      <c r="E36" s="28">
        <f t="shared" si="2"/>
        <v>6.1409090909090915</v>
      </c>
      <c r="F36" s="28">
        <f t="shared" si="2"/>
        <v>3.5463636363636368</v>
      </c>
      <c r="G36" s="28">
        <f t="shared" si="2"/>
        <v>131.23999999999998</v>
      </c>
      <c r="H36" s="28">
        <f t="shared" si="2"/>
        <v>51.782857142857154</v>
      </c>
      <c r="I36" s="28">
        <f t="shared" si="2"/>
        <v>0.81428571428571439</v>
      </c>
      <c r="J36" s="28">
        <f t="shared" si="2"/>
        <v>0.32045454545454549</v>
      </c>
      <c r="K36" s="28">
        <f t="shared" si="2"/>
        <v>275.52545454545458</v>
      </c>
      <c r="L36" s="28">
        <f t="shared" si="2"/>
        <v>23.582727272727269</v>
      </c>
      <c r="M36" s="28">
        <f t="shared" si="2"/>
        <v>64.045454545454547</v>
      </c>
      <c r="N36" s="28">
        <f t="shared" si="2"/>
        <v>108.8909090909091</v>
      </c>
      <c r="O36" s="28">
        <f t="shared" si="2"/>
        <v>0</v>
      </c>
      <c r="P36" s="28">
        <f t="shared" si="2"/>
        <v>2.3904545454545452</v>
      </c>
      <c r="Q36" s="28">
        <f t="shared" si="2"/>
        <v>45.653636363636366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51.759817465989521</v>
      </c>
      <c r="C37" s="28">
        <f t="shared" si="3" ref="C37:Q37">STDEV(C9:C32)</f>
        <v>28.102924933658411</v>
      </c>
      <c r="D37" s="28">
        <f t="shared" si="3"/>
        <v>54.201758409839613</v>
      </c>
      <c r="E37" s="28">
        <f t="shared" si="3"/>
        <v>4.3660474760096877</v>
      </c>
      <c r="F37" s="28">
        <f t="shared" si="3"/>
        <v>5.9811533729704403</v>
      </c>
      <c r="G37" s="28">
        <f t="shared" si="3"/>
        <v>56.542107672070436</v>
      </c>
      <c r="H37" s="28">
        <f t="shared" si="3"/>
        <v>13.682931390187161</v>
      </c>
      <c r="I37" s="28">
        <f t="shared" si="3"/>
        <v>0.51375647371659883</v>
      </c>
      <c r="J37" s="28">
        <f t="shared" si="3"/>
        <v>0.28414411622956187</v>
      </c>
      <c r="K37" s="28">
        <f t="shared" si="3"/>
        <v>110.35799575007688</v>
      </c>
      <c r="L37" s="28">
        <f t="shared" si="3"/>
        <v>5.6654863043639336</v>
      </c>
      <c r="M37" s="28">
        <f t="shared" si="3"/>
        <v>17.887152273355767</v>
      </c>
      <c r="N37" s="28">
        <f t="shared" si="3"/>
        <v>130.6617002545884</v>
      </c>
      <c r="O37" s="28">
        <f t="shared" si="3"/>
        <v>0</v>
      </c>
      <c r="P37" s="28">
        <f t="shared" si="3"/>
        <v>1.1805748288045643</v>
      </c>
      <c r="Q37" s="28">
        <f t="shared" si="3"/>
        <v>6.8208542583647258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COUNT(B9:B32)+2</f>
        <v>24</v>
      </c>
      <c r="C38" s="32">
        <f>COUNT(C9:C32)+2</f>
        <v>24</v>
      </c>
      <c r="D38" s="32">
        <f>COUNT(D9:D32)+2</f>
        <v>24</v>
      </c>
      <c r="E38" s="32">
        <f>COUNT(E9:E32)+2</f>
        <v>24</v>
      </c>
      <c r="F38" s="32">
        <f>COUNT(F9:F32)+2</f>
        <v>24</v>
      </c>
      <c r="G38" s="32">
        <f>COUNT(G9:G32)+3</f>
        <v>24</v>
      </c>
      <c r="H38" s="32">
        <f>COUNT(H9:H32)+3</f>
        <v>24</v>
      </c>
      <c r="I38" s="32">
        <f>COUNT(I9:I32)+3</f>
        <v>24</v>
      </c>
      <c r="J38" s="32">
        <f t="shared" si="4" ref="J38:Q38">COUNT(J9:J32)+2</f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6fcc7a-79ac-4f55-ad92-207b7c61ec7c}">
  <sheetPr codeName=""/>
  <dimension ref="A1:U119"/>
  <sheetViews>
    <sheetView workbookViewId="0" topLeftCell="A1">
      <pane xSplit="1" ySplit="8" topLeftCell="B30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22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687</v>
      </c>
      <c r="B9" s="51">
        <v>131.19</v>
      </c>
      <c r="C9" s="51">
        <v>146.94</v>
      </c>
      <c r="D9" s="51">
        <v>186.30</v>
      </c>
      <c r="E9" s="51">
        <v>4.74</v>
      </c>
      <c r="F9" s="51">
        <v>0.070000000000000007</v>
      </c>
      <c r="G9" s="51">
        <v>104.88</v>
      </c>
      <c r="H9" s="51">
        <v>56.25</v>
      </c>
      <c r="I9" s="51">
        <v>1.54</v>
      </c>
      <c r="J9" s="51">
        <v>0.11</v>
      </c>
      <c r="K9" s="51">
        <v>345.91</v>
      </c>
      <c r="L9" s="51">
        <v>19.12</v>
      </c>
      <c r="M9" s="51">
        <v>73</v>
      </c>
      <c r="N9" s="51">
        <v>24.5</v>
      </c>
      <c r="O9" s="51">
        <v>0</v>
      </c>
      <c r="P9" s="51">
        <v>3.68</v>
      </c>
      <c r="Q9" s="51">
        <v>45.75</v>
      </c>
      <c r="R9" s="43"/>
      <c r="S9" s="43"/>
      <c r="T9" s="43"/>
      <c r="U9" s="43"/>
    </row>
    <row r="10" spans="1:21" s="11" customFormat="1" ht="15">
      <c r="A10" s="50" t="s">
        <v>688</v>
      </c>
      <c r="B10" s="51">
        <v>110.40</v>
      </c>
      <c r="C10" s="51">
        <v>132.41</v>
      </c>
      <c r="D10" s="51">
        <v>161.61000000000001</v>
      </c>
      <c r="E10" s="51">
        <v>4.91</v>
      </c>
      <c r="F10" s="51">
        <v>0.17</v>
      </c>
      <c r="G10" s="51">
        <v>83.88</v>
      </c>
      <c r="H10" s="51">
        <v>42.65</v>
      </c>
      <c r="I10" s="51">
        <v>1.25</v>
      </c>
      <c r="J10" s="51">
        <v>0.15</v>
      </c>
      <c r="K10" s="51">
        <v>346.35</v>
      </c>
      <c r="L10" s="51">
        <v>19.39</v>
      </c>
      <c r="M10" s="51">
        <v>73</v>
      </c>
      <c r="N10" s="51">
        <v>24.20</v>
      </c>
      <c r="O10" s="51">
        <v>0</v>
      </c>
      <c r="P10" s="51">
        <v>3.10</v>
      </c>
      <c r="Q10" s="51">
        <v>41.39</v>
      </c>
      <c r="R10" s="43"/>
      <c r="S10" s="43"/>
      <c r="T10" s="43"/>
      <c r="U10" s="43"/>
    </row>
    <row r="11" spans="1:21" s="11" customFormat="1" ht="15">
      <c r="A11" s="50" t="s">
        <v>689</v>
      </c>
      <c r="B11" s="51">
        <v>93.72</v>
      </c>
      <c r="C11" s="51">
        <v>118.19</v>
      </c>
      <c r="D11" s="51">
        <v>140.38</v>
      </c>
      <c r="E11" s="51">
        <v>4.67</v>
      </c>
      <c r="F11" s="51">
        <v>0.13</v>
      </c>
      <c r="G11" s="51">
        <v>47.92</v>
      </c>
      <c r="H11" s="51">
        <v>32.04</v>
      </c>
      <c r="I11" s="51">
        <v>1.1599999999999999</v>
      </c>
      <c r="J11" s="51">
        <v>0.10</v>
      </c>
      <c r="K11" s="51">
        <v>317.08</v>
      </c>
      <c r="L11" s="51">
        <v>19.47</v>
      </c>
      <c r="M11" s="51">
        <v>77</v>
      </c>
      <c r="N11" s="51">
        <v>24.40</v>
      </c>
      <c r="O11" s="51">
        <v>0</v>
      </c>
      <c r="P11" s="51">
        <v>2.68</v>
      </c>
      <c r="Q11" s="51">
        <v>42.82</v>
      </c>
      <c r="R11" s="43"/>
      <c r="S11" s="43"/>
      <c r="T11" s="43"/>
      <c r="U11" s="43"/>
    </row>
    <row r="12" spans="1:21" s="11" customFormat="1" ht="15">
      <c r="A12" s="50" t="s">
        <v>690</v>
      </c>
      <c r="B12" s="51">
        <v>69.47</v>
      </c>
      <c r="C12" s="51">
        <v>101.92</v>
      </c>
      <c r="D12" s="51">
        <v>111.96</v>
      </c>
      <c r="E12" s="51">
        <v>4.09</v>
      </c>
      <c r="F12" s="51">
        <v>0.04</v>
      </c>
      <c r="G12" s="51">
        <v>27.05</v>
      </c>
      <c r="H12" s="51">
        <v>21.96</v>
      </c>
      <c r="I12" s="51">
        <v>0.82</v>
      </c>
      <c r="J12" s="51">
        <v>0.15</v>
      </c>
      <c r="K12" s="51">
        <v>354.28</v>
      </c>
      <c r="L12" s="51">
        <v>18.38</v>
      </c>
      <c r="M12" s="51">
        <v>83</v>
      </c>
      <c r="N12" s="51">
        <v>24.5</v>
      </c>
      <c r="O12" s="51">
        <v>0</v>
      </c>
      <c r="P12" s="51">
        <v>2.09</v>
      </c>
      <c r="Q12" s="51">
        <v>40.909999999999997</v>
      </c>
      <c r="R12" s="43"/>
      <c r="S12" s="43"/>
      <c r="T12" s="43"/>
      <c r="U12" s="43"/>
    </row>
    <row r="13" spans="1:21" s="11" customFormat="1" ht="15">
      <c r="A13" s="50" t="s">
        <v>691</v>
      </c>
      <c r="B13" s="51">
        <v>53.71</v>
      </c>
      <c r="C13" s="51">
        <v>89.39</v>
      </c>
      <c r="D13" s="51">
        <v>92.27</v>
      </c>
      <c r="E13" s="51">
        <v>4.26</v>
      </c>
      <c r="F13" s="51">
        <v>0.03</v>
      </c>
      <c r="G13" s="51">
        <v>28.62</v>
      </c>
      <c r="H13" s="51">
        <v>15.70</v>
      </c>
      <c r="I13" s="51">
        <v>0.63</v>
      </c>
      <c r="J13" s="51">
        <v>0.23</v>
      </c>
      <c r="K13" s="51">
        <v>349.40</v>
      </c>
      <c r="L13" s="51">
        <v>18.100000000000001</v>
      </c>
      <c r="M13" s="51">
        <v>84</v>
      </c>
      <c r="N13" s="51">
        <v>24.30</v>
      </c>
      <c r="O13" s="51">
        <v>0</v>
      </c>
      <c r="P13" s="51">
        <v>1.71</v>
      </c>
      <c r="Q13" s="51">
        <v>36.950000000000003</v>
      </c>
      <c r="R13" s="43"/>
      <c r="S13" s="43"/>
      <c r="T13" s="43"/>
      <c r="U13" s="43"/>
    </row>
    <row r="14" spans="1:21" s="11" customFormat="1" ht="15">
      <c r="A14" s="50" t="s">
        <v>692</v>
      </c>
      <c r="B14" s="51">
        <v>64.14</v>
      </c>
      <c r="C14" s="51">
        <v>90.53</v>
      </c>
      <c r="D14" s="51">
        <v>101.40</v>
      </c>
      <c r="E14" s="51">
        <v>4.49</v>
      </c>
      <c r="F14" s="59" t="s">
        <v>18</v>
      </c>
      <c r="G14" s="51">
        <v>57.98</v>
      </c>
      <c r="H14" s="51">
        <v>14.54</v>
      </c>
      <c r="I14" s="51">
        <v>0.56999999999999995</v>
      </c>
      <c r="J14" s="51">
        <v>0.08</v>
      </c>
      <c r="K14" s="51">
        <v>344.51</v>
      </c>
      <c r="L14" s="51">
        <v>17.89</v>
      </c>
      <c r="M14" s="51">
        <v>85</v>
      </c>
      <c r="N14" s="51">
        <v>24.40</v>
      </c>
      <c r="O14" s="51">
        <v>0</v>
      </c>
      <c r="P14" s="51">
        <v>1.51</v>
      </c>
      <c r="Q14" s="51">
        <v>39.69</v>
      </c>
      <c r="R14" s="43"/>
      <c r="S14" s="43"/>
      <c r="T14" s="43"/>
      <c r="U14" s="43"/>
    </row>
    <row r="15" spans="1:21" s="11" customFormat="1" ht="15">
      <c r="A15" s="50" t="s">
        <v>693</v>
      </c>
      <c r="B15" s="51">
        <v>94.58</v>
      </c>
      <c r="C15" s="51">
        <v>117.38</v>
      </c>
      <c r="D15" s="51">
        <v>140.62</v>
      </c>
      <c r="E15" s="51">
        <v>4.51</v>
      </c>
      <c r="F15" s="51">
        <v>0.02</v>
      </c>
      <c r="G15" s="51">
        <v>83.63</v>
      </c>
      <c r="H15" s="51">
        <v>23.15</v>
      </c>
      <c r="I15" s="51">
        <v>0.55000000000000004</v>
      </c>
      <c r="J15" s="51">
        <v>0.10</v>
      </c>
      <c r="K15" s="51">
        <v>268.07</v>
      </c>
      <c r="L15" s="51">
        <v>18.22</v>
      </c>
      <c r="M15" s="51">
        <v>87</v>
      </c>
      <c r="N15" s="51">
        <v>35.799999999999997</v>
      </c>
      <c r="O15" s="51">
        <v>0</v>
      </c>
      <c r="P15" s="51">
        <v>1.49</v>
      </c>
      <c r="Q15" s="51">
        <v>41.67</v>
      </c>
      <c r="R15" s="43"/>
      <c r="S15" s="43"/>
      <c r="T15" s="43"/>
      <c r="U15" s="43"/>
    </row>
    <row r="16" spans="1:21" s="11" customFormat="1" ht="15">
      <c r="A16" s="50" t="s">
        <v>694</v>
      </c>
      <c r="B16" s="51">
        <v>110.56</v>
      </c>
      <c r="C16" s="51">
        <v>125.64</v>
      </c>
      <c r="D16" s="51">
        <v>156.56</v>
      </c>
      <c r="E16" s="51">
        <v>4.41</v>
      </c>
      <c r="F16" s="51">
        <v>0.14000000000000001</v>
      </c>
      <c r="G16" s="51">
        <v>87.99</v>
      </c>
      <c r="H16" s="51">
        <v>25.88</v>
      </c>
      <c r="I16" s="51">
        <v>0.53</v>
      </c>
      <c r="J16" s="51">
        <v>0.49</v>
      </c>
      <c r="K16" s="51">
        <v>329.31</v>
      </c>
      <c r="L16" s="51">
        <v>21.77</v>
      </c>
      <c r="M16" s="51">
        <v>82</v>
      </c>
      <c r="N16" s="51">
        <v>176.5</v>
      </c>
      <c r="O16" s="51">
        <v>0</v>
      </c>
      <c r="P16" s="51">
        <v>1.58</v>
      </c>
      <c r="Q16" s="51">
        <v>42.90</v>
      </c>
      <c r="R16" s="43"/>
      <c r="S16" s="43"/>
      <c r="T16" s="43"/>
      <c r="U16" s="43"/>
    </row>
    <row r="17" spans="1:21" s="11" customFormat="1" ht="15">
      <c r="A17" s="50" t="s">
        <v>695</v>
      </c>
      <c r="B17" s="51">
        <v>103.59</v>
      </c>
      <c r="C17" s="51">
        <v>123.61</v>
      </c>
      <c r="D17" s="51">
        <v>151.29</v>
      </c>
      <c r="E17" s="51">
        <v>5.0599999999999996</v>
      </c>
      <c r="F17" s="51">
        <v>0.12</v>
      </c>
      <c r="G17" s="51">
        <v>82.48</v>
      </c>
      <c r="H17" s="51">
        <v>30.94</v>
      </c>
      <c r="I17" s="51">
        <v>0.55000000000000004</v>
      </c>
      <c r="J17" s="51">
        <v>1.32</v>
      </c>
      <c r="K17" s="51">
        <v>191.52</v>
      </c>
      <c r="L17" s="51">
        <v>23.85</v>
      </c>
      <c r="M17" s="51">
        <v>67</v>
      </c>
      <c r="N17" s="51">
        <v>298.70</v>
      </c>
      <c r="O17" s="51">
        <v>0</v>
      </c>
      <c r="P17" s="51">
        <v>1.54</v>
      </c>
      <c r="Q17" s="51">
        <v>40.15</v>
      </c>
      <c r="R17" s="43"/>
      <c r="S17" s="43"/>
      <c r="T17" s="43"/>
      <c r="U17" s="43"/>
    </row>
    <row r="18" spans="1:21" s="11" customFormat="1" ht="15">
      <c r="A18" s="50" t="s">
        <v>696</v>
      </c>
      <c r="B18" s="51">
        <v>82.17</v>
      </c>
      <c r="C18" s="51">
        <v>109.42</v>
      </c>
      <c r="D18" s="51">
        <v>125.43</v>
      </c>
      <c r="E18" s="51">
        <v>4.22</v>
      </c>
      <c r="F18" s="51">
        <v>0.20</v>
      </c>
      <c r="G18" s="51">
        <v>51.95</v>
      </c>
      <c r="H18" s="51">
        <v>29.14</v>
      </c>
      <c r="I18" s="51">
        <v>0.53</v>
      </c>
      <c r="J18" s="51">
        <v>1.31</v>
      </c>
      <c r="K18" s="51">
        <v>195.13</v>
      </c>
      <c r="L18" s="51">
        <v>29.23</v>
      </c>
      <c r="M18" s="51">
        <v>64</v>
      </c>
      <c r="N18" s="51">
        <v>330.20</v>
      </c>
      <c r="O18" s="51">
        <v>0</v>
      </c>
      <c r="P18" s="51">
        <v>1.35</v>
      </c>
      <c r="Q18" s="51">
        <v>40.520000000000003</v>
      </c>
      <c r="R18" s="43"/>
      <c r="S18" s="43"/>
      <c r="T18" s="43"/>
      <c r="U18" s="43"/>
    </row>
    <row r="19" spans="1:21" s="11" customFormat="1" ht="15">
      <c r="A19" s="50" t="s">
        <v>697</v>
      </c>
      <c r="B19" s="51">
        <v>57.43</v>
      </c>
      <c r="C19" s="51">
        <v>102.94</v>
      </c>
      <c r="D19" s="51">
        <v>102.86</v>
      </c>
      <c r="E19" s="51">
        <v>3.86</v>
      </c>
      <c r="F19" s="51">
        <v>0.10</v>
      </c>
      <c r="G19" s="51">
        <v>29.18</v>
      </c>
      <c r="H19" s="51">
        <v>24.77</v>
      </c>
      <c r="I19" s="51">
        <v>0.45</v>
      </c>
      <c r="J19" s="51">
        <v>0.28000000000000003</v>
      </c>
      <c r="K19" s="51">
        <v>32.56</v>
      </c>
      <c r="L19" s="51">
        <v>30.84</v>
      </c>
      <c r="M19" s="51">
        <v>51</v>
      </c>
      <c r="N19" s="51">
        <v>365.60</v>
      </c>
      <c r="O19" s="51">
        <v>0</v>
      </c>
      <c r="P19" s="51">
        <v>1.17</v>
      </c>
      <c r="Q19" s="51">
        <v>40.5</v>
      </c>
      <c r="R19" s="43"/>
      <c r="S19" s="43"/>
      <c r="T19" s="43"/>
      <c r="U19" s="43"/>
    </row>
    <row r="20" spans="1:21" s="11" customFormat="1" ht="15">
      <c r="A20" s="50" t="s">
        <v>698</v>
      </c>
      <c r="B20" s="51">
        <v>33.06</v>
      </c>
      <c r="C20" s="51">
        <v>97.51</v>
      </c>
      <c r="D20" s="51">
        <v>73.849999999999994</v>
      </c>
      <c r="E20" s="51">
        <v>2.91</v>
      </c>
      <c r="F20" s="51">
        <v>0.43</v>
      </c>
      <c r="G20" s="51">
        <v>38.53</v>
      </c>
      <c r="H20" s="51">
        <v>22.01</v>
      </c>
      <c r="I20" s="51">
        <v>0.37</v>
      </c>
      <c r="J20" s="51">
        <v>0.41</v>
      </c>
      <c r="K20" s="51">
        <v>357.35</v>
      </c>
      <c r="L20" s="51">
        <v>32.19</v>
      </c>
      <c r="M20" s="51">
        <v>52</v>
      </c>
      <c r="N20" s="51">
        <v>360.70</v>
      </c>
      <c r="O20" s="51">
        <v>0</v>
      </c>
      <c r="P20" s="51">
        <v>0.98</v>
      </c>
      <c r="Q20" s="51">
        <v>39.06</v>
      </c>
      <c r="R20" s="43"/>
      <c r="S20" s="43"/>
      <c r="T20" s="43"/>
      <c r="U20" s="43"/>
    </row>
    <row r="21" spans="1:21" s="11" customFormat="1" ht="15">
      <c r="A21" s="50" t="s">
        <v>699</v>
      </c>
      <c r="B21" s="51">
        <v>16.27</v>
      </c>
      <c r="C21" s="51">
        <v>94.46</v>
      </c>
      <c r="D21" s="51">
        <v>65.180000000000007</v>
      </c>
      <c r="E21" s="51">
        <v>3.45</v>
      </c>
      <c r="F21" s="51">
        <v>0.63</v>
      </c>
      <c r="G21" s="51">
        <v>36.46</v>
      </c>
      <c r="H21" s="51">
        <v>24.39</v>
      </c>
      <c r="I21" s="51">
        <v>0.27</v>
      </c>
      <c r="J21" s="51">
        <v>0.38</v>
      </c>
      <c r="K21" s="51">
        <v>359.69</v>
      </c>
      <c r="L21" s="51">
        <v>32.21</v>
      </c>
      <c r="M21" s="51">
        <v>49</v>
      </c>
      <c r="N21" s="51">
        <v>391.60</v>
      </c>
      <c r="O21" s="51">
        <v>0</v>
      </c>
      <c r="P21" s="51">
        <v>0.85</v>
      </c>
      <c r="Q21" s="51">
        <v>31.54</v>
      </c>
      <c r="R21" s="43"/>
      <c r="S21" s="43"/>
      <c r="T21" s="43"/>
      <c r="U21" s="43"/>
    </row>
    <row r="22" spans="1:21" s="11" customFormat="1" ht="15">
      <c r="A22" s="50" t="s">
        <v>700</v>
      </c>
      <c r="B22" s="51">
        <v>5.82</v>
      </c>
      <c r="C22" s="51">
        <v>78.400000000000006</v>
      </c>
      <c r="D22" s="51">
        <v>46.18</v>
      </c>
      <c r="E22" s="51">
        <v>3.03</v>
      </c>
      <c r="F22" s="51">
        <v>0.71</v>
      </c>
      <c r="G22" s="51">
        <v>34.67</v>
      </c>
      <c r="H22" s="51">
        <v>22.93</v>
      </c>
      <c r="I22" s="51">
        <v>0.23</v>
      </c>
      <c r="J22" s="51">
        <v>0.65</v>
      </c>
      <c r="K22" s="51">
        <v>353.80</v>
      </c>
      <c r="L22" s="51">
        <v>32.86</v>
      </c>
      <c r="M22" s="51">
        <v>44</v>
      </c>
      <c r="N22" s="51">
        <v>278</v>
      </c>
      <c r="O22" s="51">
        <v>0</v>
      </c>
      <c r="P22" s="51">
        <v>0.70</v>
      </c>
      <c r="Q22" s="51">
        <v>32.93</v>
      </c>
      <c r="R22" s="43"/>
      <c r="S22" s="43"/>
      <c r="T22" s="43"/>
      <c r="U22" s="43"/>
    </row>
    <row r="23" spans="1:21" s="11" customFormat="1" ht="15">
      <c r="A23" s="50" t="s">
        <v>701</v>
      </c>
      <c r="B23" s="51">
        <v>3.82</v>
      </c>
      <c r="C23" s="51">
        <v>87.83</v>
      </c>
      <c r="D23" s="51">
        <v>50.60</v>
      </c>
      <c r="E23" s="51">
        <v>3.32</v>
      </c>
      <c r="F23" s="51">
        <v>1.30</v>
      </c>
      <c r="G23" s="51">
        <v>34.08</v>
      </c>
      <c r="H23" s="51">
        <v>19.43</v>
      </c>
      <c r="I23" s="64" t="s">
        <v>14</v>
      </c>
      <c r="J23" s="51">
        <v>0.44</v>
      </c>
      <c r="K23" s="51">
        <v>357.11</v>
      </c>
      <c r="L23" s="51">
        <v>32.950000000000003</v>
      </c>
      <c r="M23" s="51">
        <v>38</v>
      </c>
      <c r="N23" s="51">
        <v>281.60000000000002</v>
      </c>
      <c r="O23" s="51">
        <v>0</v>
      </c>
      <c r="P23" s="51">
        <v>0.72</v>
      </c>
      <c r="Q23" s="51">
        <v>31.92</v>
      </c>
      <c r="R23" s="43"/>
      <c r="S23" s="43"/>
      <c r="T23" s="43"/>
      <c r="U23" s="43"/>
    </row>
    <row r="24" spans="1:21" s="11" customFormat="1" ht="15">
      <c r="A24" s="50" t="s">
        <v>702</v>
      </c>
      <c r="B24" s="51">
        <v>3.26</v>
      </c>
      <c r="C24" s="51">
        <v>86.70</v>
      </c>
      <c r="D24" s="51">
        <v>50.46</v>
      </c>
      <c r="E24" s="51">
        <v>2.93</v>
      </c>
      <c r="F24" s="51">
        <v>1.82</v>
      </c>
      <c r="G24" s="51">
        <v>34.22</v>
      </c>
      <c r="H24" s="51">
        <v>17.27</v>
      </c>
      <c r="I24" s="51">
        <v>0.08</v>
      </c>
      <c r="J24" s="51">
        <v>0.32</v>
      </c>
      <c r="K24" s="51">
        <v>37.549999999999997</v>
      </c>
      <c r="L24" s="51">
        <v>31.58</v>
      </c>
      <c r="M24" s="51">
        <v>42</v>
      </c>
      <c r="N24" s="51">
        <v>137.80000000000001</v>
      </c>
      <c r="O24" s="51">
        <v>0</v>
      </c>
      <c r="P24" s="51">
        <v>0.72</v>
      </c>
      <c r="Q24" s="51">
        <v>30.29</v>
      </c>
      <c r="R24" s="43"/>
      <c r="S24" s="43"/>
      <c r="T24" s="43"/>
      <c r="U24" s="43"/>
    </row>
    <row r="25" spans="1:21" s="11" customFormat="1" ht="15">
      <c r="A25" s="50" t="s">
        <v>703</v>
      </c>
      <c r="B25" s="51">
        <v>5.95</v>
      </c>
      <c r="C25" s="51">
        <v>90.27</v>
      </c>
      <c r="D25" s="51">
        <v>52.24</v>
      </c>
      <c r="E25" s="51">
        <v>3.12</v>
      </c>
      <c r="F25" s="51">
        <v>1.91</v>
      </c>
      <c r="G25" s="51">
        <v>34.19</v>
      </c>
      <c r="H25" s="51">
        <v>19.350000000000001</v>
      </c>
      <c r="I25" s="51">
        <v>0.19</v>
      </c>
      <c r="J25" s="51">
        <v>0.28000000000000003</v>
      </c>
      <c r="K25" s="51">
        <v>355.70</v>
      </c>
      <c r="L25" s="51">
        <v>29.80</v>
      </c>
      <c r="M25" s="51">
        <v>44</v>
      </c>
      <c r="N25" s="51">
        <v>72.70</v>
      </c>
      <c r="O25" s="51">
        <v>0</v>
      </c>
      <c r="P25" s="51">
        <v>0.74</v>
      </c>
      <c r="Q25" s="51">
        <v>33.21</v>
      </c>
      <c r="R25" s="43"/>
      <c r="S25" s="43"/>
      <c r="T25" s="43"/>
      <c r="U25" s="43"/>
    </row>
    <row r="26" spans="1:21" s="11" customFormat="1" ht="15">
      <c r="A26" s="50" t="s">
        <v>704</v>
      </c>
      <c r="B26" s="51">
        <v>14.66</v>
      </c>
      <c r="C26" s="51">
        <v>95.10</v>
      </c>
      <c r="D26" s="51">
        <v>64.239999999999995</v>
      </c>
      <c r="E26" s="51">
        <v>3.04</v>
      </c>
      <c r="F26" s="51">
        <v>0.32</v>
      </c>
      <c r="G26" s="51">
        <v>37.89</v>
      </c>
      <c r="H26" s="51">
        <v>18.63</v>
      </c>
      <c r="I26" s="51">
        <v>0.24</v>
      </c>
      <c r="J26" s="51">
        <v>0.18</v>
      </c>
      <c r="K26" s="51">
        <v>356.81</v>
      </c>
      <c r="L26" s="51">
        <v>28.13</v>
      </c>
      <c r="M26" s="51">
        <v>54</v>
      </c>
      <c r="N26" s="51">
        <v>31.80</v>
      </c>
      <c r="O26" s="51">
        <v>0</v>
      </c>
      <c r="P26" s="51">
        <v>1.03</v>
      </c>
      <c r="Q26" s="51">
        <v>34.86</v>
      </c>
      <c r="R26" s="43"/>
      <c r="S26" s="43"/>
      <c r="T26" s="43"/>
      <c r="U26" s="43"/>
    </row>
    <row r="27" spans="1:21" s="11" customFormat="1" ht="15">
      <c r="A27" s="50" t="s">
        <v>705</v>
      </c>
      <c r="B27" s="51">
        <v>29.78</v>
      </c>
      <c r="C27" s="51">
        <v>104.39</v>
      </c>
      <c r="D27" s="51">
        <v>81.260000000000005</v>
      </c>
      <c r="E27" s="51">
        <v>4.07</v>
      </c>
      <c r="F27" s="51">
        <v>0.71</v>
      </c>
      <c r="G27" s="51">
        <v>61.07</v>
      </c>
      <c r="H27" s="51">
        <v>20.309999999999999</v>
      </c>
      <c r="I27" s="51">
        <v>0.31</v>
      </c>
      <c r="J27" s="51">
        <v>0.10</v>
      </c>
      <c r="K27" s="51">
        <v>338.83</v>
      </c>
      <c r="L27" s="51">
        <v>26.01</v>
      </c>
      <c r="M27" s="51">
        <v>59</v>
      </c>
      <c r="N27" s="51">
        <v>24.60</v>
      </c>
      <c r="O27" s="51">
        <v>0</v>
      </c>
      <c r="P27" s="51">
        <v>1.74</v>
      </c>
      <c r="Q27" s="51">
        <v>34.200000000000003</v>
      </c>
      <c r="R27" s="43"/>
      <c r="S27" s="43"/>
      <c r="T27" s="43"/>
      <c r="U27" s="43"/>
    </row>
    <row r="28" spans="1:21" s="11" customFormat="1" ht="15">
      <c r="A28" s="50" t="s">
        <v>706</v>
      </c>
      <c r="B28" s="51">
        <v>37.200000000000003</v>
      </c>
      <c r="C28" s="51">
        <v>107.85</v>
      </c>
      <c r="D28" s="51">
        <v>88.78</v>
      </c>
      <c r="E28" s="51">
        <v>3.95</v>
      </c>
      <c r="F28" s="51">
        <v>0.43</v>
      </c>
      <c r="G28" s="51">
        <v>70.72</v>
      </c>
      <c r="H28" s="51">
        <v>27.44</v>
      </c>
      <c r="I28" s="51">
        <v>0.44</v>
      </c>
      <c r="J28" s="51">
        <v>0.12</v>
      </c>
      <c r="K28" s="51">
        <v>289.88</v>
      </c>
      <c r="L28" s="51">
        <v>24.69</v>
      </c>
      <c r="M28" s="51">
        <v>63</v>
      </c>
      <c r="N28" s="51">
        <v>24.60</v>
      </c>
      <c r="O28" s="51">
        <v>0</v>
      </c>
      <c r="P28" s="51">
        <v>1.75</v>
      </c>
      <c r="Q28" s="51">
        <v>34.65</v>
      </c>
      <c r="R28" s="43"/>
      <c r="S28" s="43"/>
      <c r="T28" s="43"/>
      <c r="U28" s="43"/>
    </row>
    <row r="29" spans="1:21" s="11" customFormat="1" ht="15">
      <c r="A29" s="50" t="s">
        <v>707</v>
      </c>
      <c r="B29" s="51">
        <v>55.63</v>
      </c>
      <c r="C29" s="51">
        <v>113.39</v>
      </c>
      <c r="D29" s="51">
        <v>107.19</v>
      </c>
      <c r="E29" s="51">
        <v>4.49</v>
      </c>
      <c r="F29" s="51">
        <v>0.59</v>
      </c>
      <c r="G29" s="51">
        <v>78.099999999999994</v>
      </c>
      <c r="H29" s="51">
        <v>29.35</v>
      </c>
      <c r="I29" s="51">
        <v>0.53</v>
      </c>
      <c r="J29" s="51">
        <v>0.17</v>
      </c>
      <c r="K29" s="51">
        <v>310.77999999999997</v>
      </c>
      <c r="L29" s="51">
        <v>23.91</v>
      </c>
      <c r="M29" s="51">
        <v>73</v>
      </c>
      <c r="N29" s="51">
        <v>24.60</v>
      </c>
      <c r="O29" s="51">
        <v>0</v>
      </c>
      <c r="P29" s="51">
        <v>2.06</v>
      </c>
      <c r="Q29" s="51">
        <v>42.47</v>
      </c>
      <c r="R29" s="43"/>
      <c r="S29" s="43"/>
      <c r="T29" s="43"/>
      <c r="U29" s="43"/>
    </row>
    <row r="30" spans="1:21" s="11" customFormat="1" ht="15">
      <c r="A30" s="50" t="s">
        <v>708</v>
      </c>
      <c r="B30" s="51">
        <v>105.73</v>
      </c>
      <c r="C30" s="51">
        <v>133.54</v>
      </c>
      <c r="D30" s="51">
        <v>153.44</v>
      </c>
      <c r="E30" s="51">
        <v>4.84</v>
      </c>
      <c r="F30" s="51">
        <v>0.32</v>
      </c>
      <c r="G30" s="51">
        <v>189.79</v>
      </c>
      <c r="H30" s="51">
        <v>41.11</v>
      </c>
      <c r="I30" s="51">
        <v>0.78</v>
      </c>
      <c r="J30" s="51">
        <v>0.14000000000000001</v>
      </c>
      <c r="K30" s="51">
        <v>304.27</v>
      </c>
      <c r="L30" s="51">
        <v>22.82</v>
      </c>
      <c r="M30" s="51">
        <v>74</v>
      </c>
      <c r="N30" s="51">
        <v>24.5</v>
      </c>
      <c r="O30" s="51">
        <v>0</v>
      </c>
      <c r="P30" s="51">
        <v>2.73</v>
      </c>
      <c r="Q30" s="51">
        <v>45.56</v>
      </c>
      <c r="R30" s="43"/>
      <c r="S30" s="43"/>
      <c r="T30" s="43"/>
      <c r="U30" s="43"/>
    </row>
    <row r="31" spans="1:21" s="11" customFormat="1" ht="15">
      <c r="A31" s="50" t="s">
        <v>709</v>
      </c>
      <c r="B31" s="51">
        <v>104.62</v>
      </c>
      <c r="C31" s="51">
        <v>141.40</v>
      </c>
      <c r="D31" s="51">
        <v>157.97999999999999</v>
      </c>
      <c r="E31" s="51">
        <v>4.68</v>
      </c>
      <c r="F31" s="51">
        <v>0.03</v>
      </c>
      <c r="G31" s="51">
        <v>190.88</v>
      </c>
      <c r="H31" s="51">
        <v>47.70</v>
      </c>
      <c r="I31" s="51">
        <v>1.06</v>
      </c>
      <c r="J31" s="51">
        <v>0.15</v>
      </c>
      <c r="K31" s="51">
        <v>326.43</v>
      </c>
      <c r="L31" s="51">
        <v>22.44</v>
      </c>
      <c r="M31" s="51">
        <v>74</v>
      </c>
      <c r="N31" s="51">
        <v>24.5</v>
      </c>
      <c r="O31" s="51">
        <v>0</v>
      </c>
      <c r="P31" s="51">
        <v>2.65</v>
      </c>
      <c r="Q31" s="51">
        <v>43.14</v>
      </c>
      <c r="R31" s="43"/>
      <c r="S31" s="43"/>
      <c r="T31" s="43"/>
      <c r="U31" s="43"/>
    </row>
    <row r="32" spans="1:21" s="11" customFormat="1" ht="15">
      <c r="A32" s="50" t="s">
        <v>710</v>
      </c>
      <c r="B32" s="51">
        <v>107.96</v>
      </c>
      <c r="C32" s="51">
        <v>131.16</v>
      </c>
      <c r="D32" s="51">
        <v>156.63999999999999</v>
      </c>
      <c r="E32" s="51">
        <v>5.36</v>
      </c>
      <c r="F32" s="51">
        <v>0.12</v>
      </c>
      <c r="G32" s="51">
        <v>167.93</v>
      </c>
      <c r="H32" s="51">
        <v>47.54</v>
      </c>
      <c r="I32" s="51">
        <v>1.05</v>
      </c>
      <c r="J32" s="51">
        <v>0.10</v>
      </c>
      <c r="K32" s="51">
        <v>344.05</v>
      </c>
      <c r="L32" s="51">
        <v>21.55</v>
      </c>
      <c r="M32" s="51">
        <v>78</v>
      </c>
      <c r="N32" s="51">
        <v>24.60</v>
      </c>
      <c r="O32" s="51">
        <v>0</v>
      </c>
      <c r="P32" s="51">
        <v>2.63</v>
      </c>
      <c r="Q32" s="51">
        <v>47.49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3.2599999999999998</v>
      </c>
      <c r="C34" s="28">
        <f t="shared" si="0"/>
        <v>78.400000000000006</v>
      </c>
      <c r="D34" s="28">
        <f t="shared" si="0"/>
        <v>46.18</v>
      </c>
      <c r="E34" s="28">
        <f t="shared" si="0"/>
        <v>2.9100000000000001</v>
      </c>
      <c r="F34" s="28">
        <f t="shared" si="0"/>
        <v>0.02</v>
      </c>
      <c r="G34" s="28">
        <f t="shared" si="0"/>
        <v>27.050000000000001</v>
      </c>
      <c r="H34" s="28">
        <f t="shared" si="0"/>
        <v>14.539999999999999</v>
      </c>
      <c r="I34" s="28">
        <f t="shared" si="0"/>
        <v>0.080000000000000002</v>
      </c>
      <c r="J34" s="28">
        <f t="shared" si="0"/>
        <v>0.080000000000000002</v>
      </c>
      <c r="K34" s="28">
        <f t="shared" si="0"/>
        <v>32.560000000000002</v>
      </c>
      <c r="L34" s="28">
        <f t="shared" si="0"/>
        <v>17.890000000000001</v>
      </c>
      <c r="M34" s="28">
        <f t="shared" si="0"/>
        <v>38</v>
      </c>
      <c r="N34" s="28">
        <f t="shared" si="0"/>
        <v>24.199999999999999</v>
      </c>
      <c r="O34" s="28">
        <f t="shared" si="0"/>
        <v>0</v>
      </c>
      <c r="P34" s="28">
        <f t="shared" si="0"/>
        <v>0.69999999999999996</v>
      </c>
      <c r="Q34" s="28">
        <f t="shared" si="0"/>
        <v>30.289999999999999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131.19</v>
      </c>
      <c r="C35" s="29">
        <f t="shared" si="1"/>
        <v>146.94</v>
      </c>
      <c r="D35" s="29">
        <f t="shared" si="1"/>
        <v>186.30000000000001</v>
      </c>
      <c r="E35" s="29">
        <f t="shared" si="1"/>
        <v>5.3600000000000003</v>
      </c>
      <c r="F35" s="29">
        <f t="shared" si="1"/>
        <v>1.9099999999999999</v>
      </c>
      <c r="G35" s="29">
        <f t="shared" si="1"/>
        <v>190.88</v>
      </c>
      <c r="H35" s="29">
        <f t="shared" si="1"/>
        <v>56.25</v>
      </c>
      <c r="I35" s="29">
        <f t="shared" si="1"/>
        <v>1.54</v>
      </c>
      <c r="J35" s="29">
        <f t="shared" si="1"/>
        <v>1.3200000000000001</v>
      </c>
      <c r="K35" s="29">
        <f t="shared" si="1"/>
        <v>359.69</v>
      </c>
      <c r="L35" s="29">
        <f t="shared" si="1"/>
        <v>32.950000000000003</v>
      </c>
      <c r="M35" s="29">
        <f t="shared" si="1"/>
        <v>87</v>
      </c>
      <c r="N35" s="29">
        <f t="shared" si="1"/>
        <v>391.60000000000002</v>
      </c>
      <c r="O35" s="29">
        <f t="shared" si="1"/>
        <v>0</v>
      </c>
      <c r="P35" s="29">
        <f t="shared" si="1"/>
        <v>3.6800000000000002</v>
      </c>
      <c r="Q35" s="29">
        <f t="shared" si="1"/>
        <v>47.490000000000002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62.280000000000008</v>
      </c>
      <c r="C36" s="28">
        <f t="shared" si="2"/>
        <v>109.18208333333332</v>
      </c>
      <c r="D36" s="28">
        <f t="shared" si="2"/>
        <v>109.11333333333333</v>
      </c>
      <c r="E36" s="28">
        <f t="shared" si="2"/>
        <v>4.1004166666666668</v>
      </c>
      <c r="F36" s="28">
        <f t="shared" si="2"/>
        <v>0.44956521739130434</v>
      </c>
      <c r="G36" s="28">
        <f t="shared" si="2"/>
        <v>70.587083333333325</v>
      </c>
      <c r="H36" s="28">
        <f t="shared" si="2"/>
        <v>28.103333333333335</v>
      </c>
      <c r="I36" s="28">
        <f t="shared" si="2"/>
        <v>0.61434782608695648</v>
      </c>
      <c r="J36" s="28">
        <f t="shared" si="2"/>
        <v>0.32333333333333336</v>
      </c>
      <c r="K36" s="28">
        <f t="shared" si="2"/>
        <v>298.59875</v>
      </c>
      <c r="L36" s="28">
        <f t="shared" si="2"/>
        <v>24.891666666666666</v>
      </c>
      <c r="M36" s="28">
        <f t="shared" si="2"/>
        <v>65.416666666666671</v>
      </c>
      <c r="N36" s="28">
        <f t="shared" si="2"/>
        <v>127.27916666666665</v>
      </c>
      <c r="O36" s="28">
        <f t="shared" si="2"/>
        <v>0</v>
      </c>
      <c r="P36" s="28">
        <f t="shared" si="2"/>
        <v>1.7166666666666668</v>
      </c>
      <c r="Q36" s="28">
        <f t="shared" si="2"/>
        <v>38.940416666666657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41.53465844537439</v>
      </c>
      <c r="C37" s="28">
        <f t="shared" si="3" ref="C37:Q37">STDEV(C9:C32)</f>
        <v>19.10904065099696</v>
      </c>
      <c r="D37" s="28">
        <f t="shared" si="3"/>
        <v>42.946705665699582</v>
      </c>
      <c r="E37" s="28">
        <f t="shared" si="3"/>
        <v>0.73774320480224165</v>
      </c>
      <c r="F37" s="28">
        <f t="shared" si="3"/>
        <v>0.54283329318467866</v>
      </c>
      <c r="G37" s="28">
        <f t="shared" si="3"/>
        <v>48.986419544796711</v>
      </c>
      <c r="H37" s="28">
        <f t="shared" si="3"/>
        <v>11.180236314943036</v>
      </c>
      <c r="I37" s="28">
        <f t="shared" si="3"/>
        <v>0.37721257675645053</v>
      </c>
      <c r="J37" s="28">
        <f t="shared" si="3"/>
        <v>0.33953506147526868</v>
      </c>
      <c r="K37" s="28">
        <f t="shared" si="3"/>
        <v>93.399144550243975</v>
      </c>
      <c r="L37" s="28">
        <f t="shared" si="3"/>
        <v>5.4308416087849745</v>
      </c>
      <c r="M37" s="28">
        <f t="shared" si="3"/>
        <v>15.390331992539325</v>
      </c>
      <c r="N37" s="28">
        <f t="shared" si="3"/>
        <v>139.5743186143736</v>
      </c>
      <c r="O37" s="28">
        <f t="shared" si="3"/>
        <v>0</v>
      </c>
      <c r="P37" s="28">
        <f t="shared" si="3"/>
        <v>0.83416538171873933</v>
      </c>
      <c r="Q37" s="28">
        <f t="shared" si="3"/>
        <v>4.9243904757819328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COUNT(F9:F32)+1</f>
        <v>24</v>
      </c>
      <c r="G38" s="32">
        <f t="shared" si="4"/>
        <v>24</v>
      </c>
      <c r="H38" s="32">
        <f t="shared" si="4"/>
        <v>24</v>
      </c>
      <c r="I38" s="32">
        <f>COUNT(I9:I32)+1</f>
        <v>24</v>
      </c>
      <c r="J38" s="32">
        <f t="shared" si="4"/>
        <v>24</v>
      </c>
      <c r="K38" s="32">
        <f t="shared" si="4"/>
        <v>24</v>
      </c>
      <c r="L38" s="32">
        <f>COUNT(L9:L32)</f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3d200b2-0c8e-4231-8ba0-8d0dbf596f55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711</v>
      </c>
      <c r="B9" s="51">
        <v>109.12</v>
      </c>
      <c r="C9" s="51">
        <v>133.44999999999999</v>
      </c>
      <c r="D9" s="51">
        <v>161.15</v>
      </c>
      <c r="E9" s="51">
        <v>4.8499999999999996</v>
      </c>
      <c r="F9" s="51">
        <v>0.15</v>
      </c>
      <c r="G9" s="51">
        <v>174.32</v>
      </c>
      <c r="H9" s="51">
        <v>51.61</v>
      </c>
      <c r="I9" s="51">
        <v>1.0900000000000001</v>
      </c>
      <c r="J9" s="51">
        <v>0.28999999999999998</v>
      </c>
      <c r="K9" s="51">
        <v>306.27</v>
      </c>
      <c r="L9" s="51">
        <v>21.55</v>
      </c>
      <c r="M9" s="51">
        <v>80</v>
      </c>
      <c r="N9" s="51">
        <v>24.5</v>
      </c>
      <c r="O9" s="51">
        <v>0</v>
      </c>
      <c r="P9" s="51">
        <v>2.56</v>
      </c>
      <c r="Q9" s="51">
        <v>47.80</v>
      </c>
      <c r="R9" s="43"/>
      <c r="S9" s="43"/>
      <c r="T9" s="43"/>
      <c r="U9" s="43"/>
    </row>
    <row r="10" spans="1:21" s="11" customFormat="1" ht="15">
      <c r="A10" s="50" t="s">
        <v>712</v>
      </c>
      <c r="B10" s="51">
        <v>103.98</v>
      </c>
      <c r="C10" s="51">
        <v>131.63999999999999</v>
      </c>
      <c r="D10" s="51">
        <v>156.03</v>
      </c>
      <c r="E10" s="51">
        <v>4.57</v>
      </c>
      <c r="F10" s="51">
        <v>0.08</v>
      </c>
      <c r="G10" s="51">
        <v>137.24</v>
      </c>
      <c r="H10" s="51">
        <v>50.41</v>
      </c>
      <c r="I10" s="51">
        <v>0.90</v>
      </c>
      <c r="J10" s="51">
        <v>0.20</v>
      </c>
      <c r="K10" s="51">
        <v>301.27999999999997</v>
      </c>
      <c r="L10" s="51">
        <v>21.37</v>
      </c>
      <c r="M10" s="51">
        <v>79</v>
      </c>
      <c r="N10" s="51">
        <v>24.60</v>
      </c>
      <c r="O10" s="51">
        <v>0</v>
      </c>
      <c r="P10" s="51">
        <v>2.2799999999999998</v>
      </c>
      <c r="Q10" s="51">
        <v>47.26</v>
      </c>
      <c r="R10" s="43"/>
      <c r="S10" s="43"/>
      <c r="T10" s="43"/>
      <c r="U10" s="43"/>
    </row>
    <row r="11" spans="1:21" s="11" customFormat="1" ht="15">
      <c r="A11" s="50" t="s">
        <v>713</v>
      </c>
      <c r="B11" s="51">
        <v>84.03</v>
      </c>
      <c r="C11" s="51">
        <v>117.41</v>
      </c>
      <c r="D11" s="51">
        <v>132.18</v>
      </c>
      <c r="E11" s="51">
        <v>4.79</v>
      </c>
      <c r="F11" s="51">
        <v>0.18</v>
      </c>
      <c r="G11" s="51">
        <v>83.34</v>
      </c>
      <c r="H11" s="51">
        <v>45.92</v>
      </c>
      <c r="I11" s="51">
        <v>0.79</v>
      </c>
      <c r="J11" s="51">
        <v>0.23</v>
      </c>
      <c r="K11" s="51">
        <v>255.49</v>
      </c>
      <c r="L11" s="51">
        <v>21.14</v>
      </c>
      <c r="M11" s="51">
        <v>80</v>
      </c>
      <c r="N11" s="51">
        <v>24.90</v>
      </c>
      <c r="O11" s="51">
        <v>0</v>
      </c>
      <c r="P11" s="51">
        <v>2.09</v>
      </c>
      <c r="Q11" s="51">
        <v>42.33</v>
      </c>
      <c r="R11" s="43"/>
      <c r="S11" s="43"/>
      <c r="T11" s="43"/>
      <c r="U11" s="43"/>
    </row>
    <row r="12" spans="1:21" s="11" customFormat="1" ht="15">
      <c r="A12" s="50" t="s">
        <v>714</v>
      </c>
      <c r="B12" s="51">
        <v>72.89</v>
      </c>
      <c r="C12" s="51">
        <v>97.16</v>
      </c>
      <c r="D12" s="51">
        <v>112.07</v>
      </c>
      <c r="E12" s="51">
        <v>4.7300000000000004</v>
      </c>
      <c r="F12" s="51">
        <v>0.15</v>
      </c>
      <c r="G12" s="51">
        <v>60.76</v>
      </c>
      <c r="H12" s="51">
        <v>39.42</v>
      </c>
      <c r="I12" s="51">
        <v>0.74</v>
      </c>
      <c r="J12" s="51">
        <v>0.34</v>
      </c>
      <c r="K12" s="51">
        <v>359.14</v>
      </c>
      <c r="L12" s="51">
        <v>21.08</v>
      </c>
      <c r="M12" s="51">
        <v>84</v>
      </c>
      <c r="N12" s="51">
        <v>24.70</v>
      </c>
      <c r="O12" s="51">
        <v>0</v>
      </c>
      <c r="P12" s="51">
        <v>1.89</v>
      </c>
      <c r="Q12" s="51">
        <v>45.17</v>
      </c>
      <c r="R12" s="43"/>
      <c r="S12" s="43"/>
      <c r="T12" s="43"/>
      <c r="U12" s="43"/>
    </row>
    <row r="13" spans="1:21" s="11" customFormat="1" ht="15">
      <c r="A13" s="50" t="s">
        <v>715</v>
      </c>
      <c r="B13" s="51">
        <v>58.34</v>
      </c>
      <c r="C13" s="51">
        <v>100.10</v>
      </c>
      <c r="D13" s="51">
        <v>101.21</v>
      </c>
      <c r="E13" s="51">
        <v>4.33</v>
      </c>
      <c r="F13" s="51">
        <v>0.19</v>
      </c>
      <c r="G13" s="51">
        <v>51.54</v>
      </c>
      <c r="H13" s="51">
        <v>33.90</v>
      </c>
      <c r="I13" s="51">
        <v>0.65</v>
      </c>
      <c r="J13" s="51">
        <v>0.28999999999999998</v>
      </c>
      <c r="K13" s="51">
        <v>316.66000000000003</v>
      </c>
      <c r="L13" s="51">
        <v>20.86</v>
      </c>
      <c r="M13" s="51">
        <v>83</v>
      </c>
      <c r="N13" s="51">
        <v>24.60</v>
      </c>
      <c r="O13" s="51">
        <v>0</v>
      </c>
      <c r="P13" s="51">
        <v>1.65</v>
      </c>
      <c r="Q13" s="51">
        <v>44.11</v>
      </c>
      <c r="R13" s="43"/>
      <c r="S13" s="43"/>
      <c r="T13" s="43"/>
      <c r="U13" s="43"/>
    </row>
    <row r="14" spans="1:21" s="11" customFormat="1" ht="15">
      <c r="A14" s="50" t="s">
        <v>716</v>
      </c>
      <c r="B14" s="51">
        <v>55.78</v>
      </c>
      <c r="C14" s="51">
        <v>102.89</v>
      </c>
      <c r="D14" s="51">
        <v>101.51</v>
      </c>
      <c r="E14" s="51">
        <v>4.0199999999999996</v>
      </c>
      <c r="F14" s="51">
        <v>0.09</v>
      </c>
      <c r="G14" s="51">
        <v>83.44</v>
      </c>
      <c r="H14" s="51">
        <v>35.130000000000003</v>
      </c>
      <c r="I14" s="51">
        <v>0.56000000000000005</v>
      </c>
      <c r="J14" s="51">
        <v>0.18</v>
      </c>
      <c r="K14" s="51">
        <v>333.26</v>
      </c>
      <c r="L14" s="51">
        <v>20.27</v>
      </c>
      <c r="M14" s="51">
        <v>85</v>
      </c>
      <c r="N14" s="51">
        <v>24.60</v>
      </c>
      <c r="O14" s="51">
        <v>0</v>
      </c>
      <c r="P14" s="51">
        <v>1.58</v>
      </c>
      <c r="Q14" s="51">
        <v>40.06</v>
      </c>
      <c r="R14" s="43"/>
      <c r="S14" s="43"/>
      <c r="T14" s="43"/>
      <c r="U14" s="43"/>
    </row>
    <row r="15" spans="1:21" s="11" customFormat="1" ht="15">
      <c r="A15" s="50" t="s">
        <v>717</v>
      </c>
      <c r="B15" s="51">
        <v>65.61</v>
      </c>
      <c r="C15" s="51">
        <v>105.33</v>
      </c>
      <c r="D15" s="51">
        <v>108.60</v>
      </c>
      <c r="E15" s="51">
        <v>4.18</v>
      </c>
      <c r="F15" s="51">
        <v>0.08</v>
      </c>
      <c r="G15" s="51">
        <v>102.79</v>
      </c>
      <c r="H15" s="51">
        <v>40.950000000000003</v>
      </c>
      <c r="I15" s="51">
        <v>0.57999999999999996</v>
      </c>
      <c r="J15" s="51">
        <v>0.27</v>
      </c>
      <c r="K15" s="51">
        <v>338.98</v>
      </c>
      <c r="L15" s="51">
        <v>20.34</v>
      </c>
      <c r="M15" s="51">
        <v>85</v>
      </c>
      <c r="N15" s="51">
        <v>33.5</v>
      </c>
      <c r="O15" s="51">
        <v>0</v>
      </c>
      <c r="P15" s="51">
        <v>1.63</v>
      </c>
      <c r="Q15" s="51">
        <v>43.16</v>
      </c>
      <c r="R15" s="43"/>
      <c r="S15" s="43"/>
      <c r="T15" s="43"/>
      <c r="U15" s="43"/>
    </row>
    <row r="16" spans="1:21" s="11" customFormat="1" ht="15">
      <c r="A16" s="50" t="s">
        <v>718</v>
      </c>
      <c r="B16" s="51">
        <v>66.77</v>
      </c>
      <c r="C16" s="51">
        <v>109.89</v>
      </c>
      <c r="D16" s="51">
        <v>111.73</v>
      </c>
      <c r="E16" s="51">
        <v>4.42</v>
      </c>
      <c r="F16" s="51">
        <v>0.09</v>
      </c>
      <c r="G16" s="51">
        <v>112.36</v>
      </c>
      <c r="H16" s="51">
        <v>44.84</v>
      </c>
      <c r="I16" s="51">
        <v>0.59</v>
      </c>
      <c r="J16" s="51">
        <v>0.79</v>
      </c>
      <c r="K16" s="51">
        <v>64.84</v>
      </c>
      <c r="L16" s="51">
        <v>23.20</v>
      </c>
      <c r="M16" s="51">
        <v>75</v>
      </c>
      <c r="N16" s="51">
        <v>119.90</v>
      </c>
      <c r="O16" s="51">
        <v>0</v>
      </c>
      <c r="P16" s="51">
        <v>1.58</v>
      </c>
      <c r="Q16" s="51">
        <v>43.73</v>
      </c>
      <c r="R16" s="43"/>
      <c r="S16" s="43"/>
      <c r="T16" s="43"/>
      <c r="U16" s="43"/>
    </row>
    <row r="17" spans="1:21" s="11" customFormat="1" ht="15">
      <c r="A17" s="50" t="s">
        <v>719</v>
      </c>
      <c r="B17" s="51">
        <v>60.02</v>
      </c>
      <c r="C17" s="51">
        <v>112.11</v>
      </c>
      <c r="D17" s="51">
        <v>109.62</v>
      </c>
      <c r="E17" s="51">
        <v>4.57</v>
      </c>
      <c r="F17" s="51">
        <v>0.45</v>
      </c>
      <c r="G17" s="51">
        <v>108.91</v>
      </c>
      <c r="H17" s="51">
        <v>45.38</v>
      </c>
      <c r="I17" s="51">
        <v>0.55000000000000004</v>
      </c>
      <c r="J17" s="51">
        <v>1.1000000000000001</v>
      </c>
      <c r="K17" s="51">
        <v>96.25</v>
      </c>
      <c r="L17" s="51">
        <v>24</v>
      </c>
      <c r="M17" s="51">
        <v>70</v>
      </c>
      <c r="N17" s="51">
        <v>160.19999999999999</v>
      </c>
      <c r="O17" s="51">
        <v>0</v>
      </c>
      <c r="P17" s="51">
        <v>1.56</v>
      </c>
      <c r="Q17" s="51">
        <v>42.34</v>
      </c>
      <c r="R17" s="43"/>
      <c r="S17" s="43"/>
      <c r="T17" s="43"/>
      <c r="U17" s="43"/>
    </row>
    <row r="18" spans="1:21" s="11" customFormat="1" ht="15">
      <c r="A18" s="50" t="s">
        <v>720</v>
      </c>
      <c r="B18" s="51">
        <v>47.80</v>
      </c>
      <c r="C18" s="51">
        <v>106.70</v>
      </c>
      <c r="D18" s="51">
        <v>97.22</v>
      </c>
      <c r="E18" s="51">
        <v>4.3099999999999996</v>
      </c>
      <c r="F18" s="51">
        <v>0.36</v>
      </c>
      <c r="G18" s="51">
        <v>95.65</v>
      </c>
      <c r="H18" s="51">
        <v>45.30</v>
      </c>
      <c r="I18" s="51">
        <v>0.49</v>
      </c>
      <c r="J18" s="51">
        <v>1.1399999999999999</v>
      </c>
      <c r="K18" s="51">
        <v>111.65</v>
      </c>
      <c r="L18" s="51">
        <v>24.45</v>
      </c>
      <c r="M18" s="51">
        <v>70</v>
      </c>
      <c r="N18" s="51">
        <v>201.20</v>
      </c>
      <c r="O18" s="51">
        <v>0</v>
      </c>
      <c r="P18" s="51">
        <v>1.52</v>
      </c>
      <c r="Q18" s="51">
        <v>37.619999999999997</v>
      </c>
      <c r="R18" s="43"/>
      <c r="S18" s="43"/>
      <c r="T18" s="43"/>
      <c r="U18" s="43"/>
    </row>
    <row r="19" spans="1:21" s="11" customFormat="1" ht="15">
      <c r="A19" s="50" t="s">
        <v>721</v>
      </c>
      <c r="B19" s="51">
        <v>38.69</v>
      </c>
      <c r="C19" s="51">
        <v>99.15</v>
      </c>
      <c r="D19" s="51">
        <v>85.74</v>
      </c>
      <c r="E19" s="51">
        <v>7.63</v>
      </c>
      <c r="F19" s="51">
        <v>3.46</v>
      </c>
      <c r="G19" s="51">
        <v>82.58</v>
      </c>
      <c r="H19" s="51">
        <v>43.90</v>
      </c>
      <c r="I19" s="51">
        <v>0.47</v>
      </c>
      <c r="J19" s="51">
        <v>0.79</v>
      </c>
      <c r="K19" s="51">
        <v>93.42</v>
      </c>
      <c r="L19" s="51">
        <v>29.33</v>
      </c>
      <c r="M19" s="51">
        <v>58</v>
      </c>
      <c r="N19" s="51">
        <v>259.70</v>
      </c>
      <c r="O19" s="51">
        <v>0</v>
      </c>
      <c r="P19" s="51">
        <v>1.47</v>
      </c>
      <c r="Q19" s="51">
        <v>37.72</v>
      </c>
      <c r="R19" s="43"/>
      <c r="S19" s="43"/>
      <c r="T19" s="43"/>
      <c r="U19" s="43"/>
    </row>
    <row r="20" spans="1:21" s="11" customFormat="1" ht="15">
      <c r="A20" s="50" t="s">
        <v>722</v>
      </c>
      <c r="B20" s="51">
        <v>23.96</v>
      </c>
      <c r="C20" s="51">
        <v>114.70</v>
      </c>
      <c r="D20" s="51">
        <v>84.47</v>
      </c>
      <c r="E20" s="51">
        <v>5.57</v>
      </c>
      <c r="F20" s="51">
        <v>3.22</v>
      </c>
      <c r="G20" s="51">
        <v>77.81</v>
      </c>
      <c r="H20" s="51">
        <v>40.42</v>
      </c>
      <c r="I20" s="51">
        <v>0.36</v>
      </c>
      <c r="J20" s="51">
        <v>1.02</v>
      </c>
      <c r="K20" s="51">
        <v>10.79</v>
      </c>
      <c r="L20" s="51">
        <v>31.34</v>
      </c>
      <c r="M20" s="51">
        <v>42</v>
      </c>
      <c r="N20" s="51">
        <v>285.39999999999998</v>
      </c>
      <c r="O20" s="51">
        <v>0</v>
      </c>
      <c r="P20" s="51">
        <v>1.58</v>
      </c>
      <c r="Q20" s="51">
        <v>29.01</v>
      </c>
      <c r="R20" s="43"/>
      <c r="S20" s="43"/>
      <c r="T20" s="43"/>
      <c r="U20" s="43"/>
    </row>
    <row r="21" spans="1:21" s="11" customFormat="1" ht="15">
      <c r="A21" s="50" t="s">
        <v>723</v>
      </c>
      <c r="B21" s="51">
        <v>9.52</v>
      </c>
      <c r="C21" s="51">
        <v>106.89</v>
      </c>
      <c r="D21" s="51">
        <v>66.319999999999993</v>
      </c>
      <c r="E21" s="51">
        <v>14.17</v>
      </c>
      <c r="F21" s="51">
        <v>7.38</v>
      </c>
      <c r="G21" s="51">
        <v>100.14</v>
      </c>
      <c r="H21" s="51">
        <v>40.08</v>
      </c>
      <c r="I21" s="51">
        <v>0.25</v>
      </c>
      <c r="J21" s="51">
        <v>1.23</v>
      </c>
      <c r="K21" s="51">
        <v>23.21</v>
      </c>
      <c r="L21" s="51">
        <v>32.04</v>
      </c>
      <c r="M21" s="51">
        <v>38</v>
      </c>
      <c r="N21" s="51">
        <v>298.5</v>
      </c>
      <c r="O21" s="51">
        <v>0</v>
      </c>
      <c r="P21" s="51">
        <v>1.57</v>
      </c>
      <c r="Q21" s="51">
        <v>23.60</v>
      </c>
      <c r="R21" s="43"/>
      <c r="S21" s="43"/>
      <c r="T21" s="43"/>
      <c r="U21" s="43"/>
    </row>
    <row r="22" spans="1:21" s="11" customFormat="1" ht="15">
      <c r="A22" s="50" t="s">
        <v>724</v>
      </c>
      <c r="B22" s="62" t="s">
        <v>4</v>
      </c>
      <c r="C22" s="62" t="s">
        <v>4</v>
      </c>
      <c r="D22" s="62" t="s">
        <v>4</v>
      </c>
      <c r="E22" s="62" t="s">
        <v>4</v>
      </c>
      <c r="F22" s="62" t="s">
        <v>4</v>
      </c>
      <c r="G22" s="62" t="s">
        <v>4</v>
      </c>
      <c r="H22" s="62" t="s">
        <v>4</v>
      </c>
      <c r="I22" s="62" t="s">
        <v>4</v>
      </c>
      <c r="J22" s="62" t="s">
        <v>4</v>
      </c>
      <c r="K22" s="62" t="s">
        <v>4</v>
      </c>
      <c r="L22" s="62" t="s">
        <v>4</v>
      </c>
      <c r="M22" s="62" t="s">
        <v>4</v>
      </c>
      <c r="N22" s="62" t="s">
        <v>4</v>
      </c>
      <c r="O22" s="62" t="s">
        <v>4</v>
      </c>
      <c r="P22" s="62" t="s">
        <v>4</v>
      </c>
      <c r="Q22" s="62" t="s">
        <v>4</v>
      </c>
      <c r="R22" s="43"/>
      <c r="S22" s="43"/>
      <c r="T22" s="43"/>
      <c r="U22" s="43"/>
    </row>
    <row r="23" spans="1:21" s="11" customFormat="1" ht="15">
      <c r="A23" s="50" t="s">
        <v>725</v>
      </c>
      <c r="B23" s="62" t="s">
        <v>4</v>
      </c>
      <c r="C23" s="62" t="s">
        <v>4</v>
      </c>
      <c r="D23" s="62" t="s">
        <v>4</v>
      </c>
      <c r="E23" s="62" t="s">
        <v>4</v>
      </c>
      <c r="F23" s="62" t="s">
        <v>4</v>
      </c>
      <c r="G23" s="62" t="s">
        <v>4</v>
      </c>
      <c r="H23" s="62" t="s">
        <v>4</v>
      </c>
      <c r="I23" s="62" t="s">
        <v>4</v>
      </c>
      <c r="J23" s="62" t="s">
        <v>4</v>
      </c>
      <c r="K23" s="62" t="s">
        <v>4</v>
      </c>
      <c r="L23" s="62" t="s">
        <v>4</v>
      </c>
      <c r="M23" s="62" t="s">
        <v>4</v>
      </c>
      <c r="N23" s="62" t="s">
        <v>4</v>
      </c>
      <c r="O23" s="62" t="s">
        <v>4</v>
      </c>
      <c r="P23" s="62" t="s">
        <v>4</v>
      </c>
      <c r="Q23" s="62" t="s">
        <v>4</v>
      </c>
      <c r="R23" s="43"/>
      <c r="S23" s="43"/>
      <c r="T23" s="43"/>
      <c r="U23" s="43"/>
    </row>
    <row r="24" spans="1:21" s="11" customFormat="1" ht="15">
      <c r="A24" s="50" t="s">
        <v>726</v>
      </c>
      <c r="B24" s="51">
        <v>3.54</v>
      </c>
      <c r="C24" s="51">
        <v>72.25</v>
      </c>
      <c r="D24" s="51">
        <v>41.40</v>
      </c>
      <c r="E24" s="51">
        <v>1.90</v>
      </c>
      <c r="F24" s="51">
        <v>11.12</v>
      </c>
      <c r="G24" s="51">
        <v>92.32</v>
      </c>
      <c r="H24" s="51">
        <v>40.15</v>
      </c>
      <c r="I24" s="53" t="s">
        <v>8</v>
      </c>
      <c r="J24" s="51">
        <v>1.17</v>
      </c>
      <c r="K24" s="51">
        <v>357.92</v>
      </c>
      <c r="L24" s="51">
        <v>29.79</v>
      </c>
      <c r="M24" s="51">
        <v>46</v>
      </c>
      <c r="N24" s="51">
        <v>141.90</v>
      </c>
      <c r="O24" s="51">
        <v>0</v>
      </c>
      <c r="P24" s="51">
        <v>0.90</v>
      </c>
      <c r="Q24" s="51">
        <v>62.81</v>
      </c>
      <c r="R24" s="43"/>
      <c r="S24" s="43"/>
      <c r="T24" s="43"/>
      <c r="U24" s="43"/>
    </row>
    <row r="25" spans="1:21" s="11" customFormat="1" ht="15">
      <c r="A25" s="50" t="s">
        <v>727</v>
      </c>
      <c r="B25" s="51">
        <v>4.8499999999999996</v>
      </c>
      <c r="C25" s="51">
        <v>81.13</v>
      </c>
      <c r="D25" s="51">
        <v>48.66</v>
      </c>
      <c r="E25" s="51">
        <v>0.61</v>
      </c>
      <c r="F25" s="51">
        <v>4.75</v>
      </c>
      <c r="G25" s="51">
        <v>72.77</v>
      </c>
      <c r="H25" s="51">
        <v>39.14</v>
      </c>
      <c r="I25" s="53" t="s">
        <v>8</v>
      </c>
      <c r="J25" s="51">
        <v>0.87</v>
      </c>
      <c r="K25" s="51">
        <v>358.24</v>
      </c>
      <c r="L25" s="51">
        <v>28.98</v>
      </c>
      <c r="M25" s="51">
        <v>57</v>
      </c>
      <c r="N25" s="51">
        <v>63.90</v>
      </c>
      <c r="O25" s="51">
        <v>0</v>
      </c>
      <c r="P25" s="51">
        <v>0.82</v>
      </c>
      <c r="Q25" s="51">
        <v>58.05</v>
      </c>
      <c r="R25" s="43"/>
      <c r="S25" s="43"/>
      <c r="T25" s="43"/>
      <c r="U25" s="43"/>
    </row>
    <row r="26" spans="1:21" s="11" customFormat="1" ht="15">
      <c r="A26" s="50" t="s">
        <v>728</v>
      </c>
      <c r="B26" s="51">
        <v>11.79</v>
      </c>
      <c r="C26" s="51">
        <v>81.209999999999994</v>
      </c>
      <c r="D26" s="51">
        <v>54.01</v>
      </c>
      <c r="E26" s="51">
        <v>4.9400000000000004</v>
      </c>
      <c r="F26" s="51">
        <v>15.01</v>
      </c>
      <c r="G26" s="51">
        <v>57.45</v>
      </c>
      <c r="H26" s="51">
        <v>36.299999999999997</v>
      </c>
      <c r="I26" s="51">
        <v>0.22</v>
      </c>
      <c r="J26" s="51">
        <v>0.78</v>
      </c>
      <c r="K26" s="51">
        <v>14.38</v>
      </c>
      <c r="L26" s="51">
        <v>26.95</v>
      </c>
      <c r="M26" s="51">
        <v>59</v>
      </c>
      <c r="N26" s="51">
        <v>31.20</v>
      </c>
      <c r="O26" s="51">
        <v>0</v>
      </c>
      <c r="P26" s="51">
        <v>1.1000000000000001</v>
      </c>
      <c r="Q26" s="51">
        <v>39.770000000000003</v>
      </c>
      <c r="R26" s="43"/>
      <c r="S26" s="43"/>
      <c r="T26" s="43"/>
      <c r="U26" s="43"/>
    </row>
    <row r="27" spans="1:21" s="11" customFormat="1" ht="15">
      <c r="A27" s="50" t="s">
        <v>729</v>
      </c>
      <c r="B27" s="51">
        <v>24.95</v>
      </c>
      <c r="C27" s="51">
        <v>102.51</v>
      </c>
      <c r="D27" s="51">
        <v>75.37</v>
      </c>
      <c r="E27" s="51">
        <v>3.95</v>
      </c>
      <c r="F27" s="51">
        <v>2.09</v>
      </c>
      <c r="G27" s="51">
        <v>81.83</v>
      </c>
      <c r="H27" s="51">
        <v>34.47</v>
      </c>
      <c r="I27" s="51">
        <v>0.35</v>
      </c>
      <c r="J27" s="51">
        <v>0.22</v>
      </c>
      <c r="K27" s="51">
        <v>91.72</v>
      </c>
      <c r="L27" s="51">
        <v>25.28</v>
      </c>
      <c r="M27" s="51">
        <v>61</v>
      </c>
      <c r="N27" s="51">
        <v>24.60</v>
      </c>
      <c r="O27" s="51">
        <v>0</v>
      </c>
      <c r="P27" s="51">
        <v>1.45</v>
      </c>
      <c r="Q27" s="51">
        <v>38.950000000000003</v>
      </c>
      <c r="R27" s="43"/>
      <c r="S27" s="43"/>
      <c r="T27" s="43"/>
      <c r="U27" s="43"/>
    </row>
    <row r="28" spans="1:21" s="11" customFormat="1" ht="15">
      <c r="A28" s="50" t="s">
        <v>730</v>
      </c>
      <c r="B28" s="51">
        <v>45.47</v>
      </c>
      <c r="C28" s="51">
        <v>121.35</v>
      </c>
      <c r="D28" s="51">
        <v>103.43</v>
      </c>
      <c r="E28" s="51">
        <v>2.38</v>
      </c>
      <c r="F28" s="51">
        <v>0.10</v>
      </c>
      <c r="G28" s="51">
        <v>118.06</v>
      </c>
      <c r="H28" s="51">
        <v>41.23</v>
      </c>
      <c r="I28" s="51">
        <v>0.54</v>
      </c>
      <c r="J28" s="51">
        <v>0.23</v>
      </c>
      <c r="K28" s="51">
        <v>82.01</v>
      </c>
      <c r="L28" s="51">
        <v>24.31</v>
      </c>
      <c r="M28" s="51">
        <v>68</v>
      </c>
      <c r="N28" s="51">
        <v>24.60</v>
      </c>
      <c r="O28" s="51">
        <v>0</v>
      </c>
      <c r="P28" s="51">
        <v>2.4900000000000002</v>
      </c>
      <c r="Q28" s="51">
        <v>45.77</v>
      </c>
      <c r="R28" s="43"/>
      <c r="S28" s="43"/>
      <c r="T28" s="43"/>
      <c r="U28" s="43"/>
    </row>
    <row r="29" spans="1:21" s="11" customFormat="1" ht="15">
      <c r="A29" s="50" t="s">
        <v>731</v>
      </c>
      <c r="B29" s="51">
        <v>55.23</v>
      </c>
      <c r="C29" s="51">
        <v>125.34</v>
      </c>
      <c r="D29" s="51">
        <v>113.46</v>
      </c>
      <c r="E29" s="51">
        <v>4.05</v>
      </c>
      <c r="F29" s="51">
        <v>0.60</v>
      </c>
      <c r="G29" s="51">
        <v>183.82</v>
      </c>
      <c r="H29" s="51">
        <v>56.01</v>
      </c>
      <c r="I29" s="51">
        <v>0.88</v>
      </c>
      <c r="J29" s="51">
        <v>1.32</v>
      </c>
      <c r="K29" s="51">
        <v>18.25</v>
      </c>
      <c r="L29" s="51">
        <v>23.65</v>
      </c>
      <c r="M29" s="51">
        <v>70</v>
      </c>
      <c r="N29" s="51">
        <v>24</v>
      </c>
      <c r="O29" s="51">
        <v>0</v>
      </c>
      <c r="P29" s="51">
        <v>2.86</v>
      </c>
      <c r="Q29" s="51">
        <v>47.54</v>
      </c>
      <c r="R29" s="43"/>
      <c r="S29" s="43"/>
      <c r="T29" s="43"/>
      <c r="U29" s="43"/>
    </row>
    <row r="30" spans="1:21" s="11" customFormat="1" ht="15">
      <c r="A30" s="50" t="s">
        <v>732</v>
      </c>
      <c r="B30" s="51">
        <v>46.65</v>
      </c>
      <c r="C30" s="51">
        <v>115.29</v>
      </c>
      <c r="D30" s="51">
        <v>101.03</v>
      </c>
      <c r="E30" s="51">
        <v>4.88</v>
      </c>
      <c r="F30" s="51">
        <v>0.56000000000000005</v>
      </c>
      <c r="G30" s="51">
        <v>141.12</v>
      </c>
      <c r="H30" s="51">
        <v>55.72</v>
      </c>
      <c r="I30" s="51">
        <v>0.86</v>
      </c>
      <c r="J30" s="51">
        <v>1.58</v>
      </c>
      <c r="K30" s="51">
        <v>50.19</v>
      </c>
      <c r="L30" s="51">
        <v>23.30</v>
      </c>
      <c r="M30" s="51">
        <v>48</v>
      </c>
      <c r="N30" s="51">
        <v>24.60</v>
      </c>
      <c r="O30" s="51">
        <v>0</v>
      </c>
      <c r="P30" s="51">
        <v>2.62</v>
      </c>
      <c r="Q30" s="51">
        <v>43.17</v>
      </c>
      <c r="R30" s="43"/>
      <c r="S30" s="43"/>
      <c r="T30" s="43"/>
      <c r="U30" s="43"/>
    </row>
    <row r="31" spans="1:21" s="11" customFormat="1" ht="15">
      <c r="A31" s="50" t="s">
        <v>733</v>
      </c>
      <c r="B31" s="51">
        <v>42.27</v>
      </c>
      <c r="C31" s="51">
        <v>106.88</v>
      </c>
      <c r="D31" s="51">
        <v>92.88</v>
      </c>
      <c r="E31" s="51">
        <v>3.65</v>
      </c>
      <c r="F31" s="51">
        <v>0.22</v>
      </c>
      <c r="G31" s="51">
        <v>91.75</v>
      </c>
      <c r="H31" s="51">
        <v>50.83</v>
      </c>
      <c r="I31" s="51">
        <v>0.70</v>
      </c>
      <c r="J31" s="51">
        <v>0.31</v>
      </c>
      <c r="K31" s="51">
        <v>56.61</v>
      </c>
      <c r="L31" s="51">
        <v>21.80</v>
      </c>
      <c r="M31" s="51">
        <v>44</v>
      </c>
      <c r="N31" s="51">
        <v>24.30</v>
      </c>
      <c r="O31" s="51">
        <v>0</v>
      </c>
      <c r="P31" s="51">
        <v>2.35</v>
      </c>
      <c r="Q31" s="51">
        <v>44.20</v>
      </c>
      <c r="R31" s="43"/>
      <c r="S31" s="43"/>
      <c r="T31" s="43"/>
      <c r="U31" s="43"/>
    </row>
    <row r="32" spans="1:21" s="11" customFormat="1" ht="15">
      <c r="A32" s="50" t="s">
        <v>734</v>
      </c>
      <c r="B32" s="51">
        <v>39.020000000000003</v>
      </c>
      <c r="C32" s="51">
        <v>104.83</v>
      </c>
      <c r="D32" s="51">
        <v>89.14</v>
      </c>
      <c r="E32" s="51">
        <v>3.47</v>
      </c>
      <c r="F32" s="51">
        <v>7.44</v>
      </c>
      <c r="G32" s="51">
        <v>63.25</v>
      </c>
      <c r="H32" s="51">
        <v>40.79</v>
      </c>
      <c r="I32" s="51">
        <v>0.66</v>
      </c>
      <c r="J32" s="51">
        <v>0.27</v>
      </c>
      <c r="K32" s="51">
        <v>63.93</v>
      </c>
      <c r="L32" s="51">
        <v>20.04</v>
      </c>
      <c r="M32" s="51">
        <v>49</v>
      </c>
      <c r="N32" s="51">
        <v>24.30</v>
      </c>
      <c r="O32" s="51">
        <v>0</v>
      </c>
      <c r="P32" s="51">
        <v>2.0699999999999998</v>
      </c>
      <c r="Q32" s="51">
        <v>43.57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3.54</v>
      </c>
      <c r="C34" s="28">
        <f t="shared" si="0"/>
        <v>72.25</v>
      </c>
      <c r="D34" s="28">
        <f t="shared" si="0"/>
        <v>41.399999999999999</v>
      </c>
      <c r="E34" s="28">
        <f t="shared" si="0"/>
        <v>0.60999999999999999</v>
      </c>
      <c r="F34" s="28">
        <f t="shared" si="0"/>
        <v>0.080000000000000002</v>
      </c>
      <c r="G34" s="28">
        <f t="shared" si="0"/>
        <v>51.539999999999999</v>
      </c>
      <c r="H34" s="28">
        <f t="shared" si="0"/>
        <v>33.899999999999999</v>
      </c>
      <c r="I34" s="28">
        <f t="shared" si="0"/>
        <v>0.22</v>
      </c>
      <c r="J34" s="28">
        <f t="shared" si="0"/>
        <v>0.17999999999999999</v>
      </c>
      <c r="K34" s="28">
        <f t="shared" si="0"/>
        <v>10.789999999999999</v>
      </c>
      <c r="L34" s="28">
        <f t="shared" si="0"/>
        <v>20.039999999999999</v>
      </c>
      <c r="M34" s="28">
        <f t="shared" si="0"/>
        <v>38</v>
      </c>
      <c r="N34" s="28">
        <f t="shared" si="0"/>
        <v>24</v>
      </c>
      <c r="O34" s="28">
        <f t="shared" si="0"/>
        <v>0</v>
      </c>
      <c r="P34" s="28">
        <f t="shared" si="0"/>
        <v>0.81999999999999995</v>
      </c>
      <c r="Q34" s="28">
        <f t="shared" si="0"/>
        <v>23.600000000000001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109.12</v>
      </c>
      <c r="C35" s="29">
        <f t="shared" si="1"/>
        <v>133.44999999999999</v>
      </c>
      <c r="D35" s="29">
        <f t="shared" si="1"/>
        <v>161.15000000000001</v>
      </c>
      <c r="E35" s="29">
        <f t="shared" si="1"/>
        <v>14.17</v>
      </c>
      <c r="F35" s="29">
        <f t="shared" si="1"/>
        <v>15.01</v>
      </c>
      <c r="G35" s="29">
        <f t="shared" si="1"/>
        <v>183.81999999999999</v>
      </c>
      <c r="H35" s="29">
        <f t="shared" si="1"/>
        <v>56.009999999999998</v>
      </c>
      <c r="I35" s="29">
        <f t="shared" si="1"/>
        <v>1.0900000000000001</v>
      </c>
      <c r="J35" s="29">
        <f t="shared" si="1"/>
        <v>1.5800000000000001</v>
      </c>
      <c r="K35" s="29">
        <f t="shared" si="1"/>
        <v>359.13999999999999</v>
      </c>
      <c r="L35" s="29">
        <f t="shared" si="1"/>
        <v>32.039999999999999</v>
      </c>
      <c r="M35" s="29">
        <f t="shared" si="1"/>
        <v>85</v>
      </c>
      <c r="N35" s="29">
        <f t="shared" si="1"/>
        <v>298.5</v>
      </c>
      <c r="O35" s="29">
        <f t="shared" si="1"/>
        <v>0</v>
      </c>
      <c r="P35" s="29">
        <f t="shared" si="1"/>
        <v>2.8599999999999999</v>
      </c>
      <c r="Q35" s="29">
        <f t="shared" si="1"/>
        <v>62.810000000000002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48.649090909090908</v>
      </c>
      <c r="C36" s="28">
        <f t="shared" si="2"/>
        <v>106.73681818181818</v>
      </c>
      <c r="D36" s="28">
        <f t="shared" si="2"/>
        <v>97.601363636363658</v>
      </c>
      <c r="E36" s="28">
        <f t="shared" si="2"/>
        <v>4.6349999999999998</v>
      </c>
      <c r="F36" s="28">
        <f t="shared" si="2"/>
        <v>2.6259090909090905</v>
      </c>
      <c r="G36" s="28">
        <f t="shared" si="2"/>
        <v>98.784090909090892</v>
      </c>
      <c r="H36" s="28">
        <f t="shared" si="2"/>
        <v>43.268181818181823</v>
      </c>
      <c r="I36" s="28">
        <f t="shared" si="2"/>
        <v>0.61149999999999993</v>
      </c>
      <c r="J36" s="28">
        <f t="shared" si="2"/>
        <v>0.66454545454545455</v>
      </c>
      <c r="K36" s="28">
        <f t="shared" si="2"/>
        <v>168.38590909090911</v>
      </c>
      <c r="L36" s="28">
        <f t="shared" si="2"/>
        <v>24.321363636363632</v>
      </c>
      <c r="M36" s="28">
        <f t="shared" si="2"/>
        <v>65.045454545454547</v>
      </c>
      <c r="N36" s="28">
        <f t="shared" si="2"/>
        <v>85.895454545454541</v>
      </c>
      <c r="O36" s="28">
        <f t="shared" si="2"/>
        <v>0</v>
      </c>
      <c r="P36" s="28">
        <f t="shared" si="2"/>
        <v>1.8009090909090908</v>
      </c>
      <c r="Q36" s="28">
        <f t="shared" si="2"/>
        <v>43.079090909090908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29.075080626198009</v>
      </c>
      <c r="C37" s="28">
        <f t="shared" si="3" ref="C37:Q37">STDEV(C9:C32)</f>
        <v>15.292389761970865</v>
      </c>
      <c r="D37" s="28">
        <f t="shared" si="3"/>
        <v>30.064921387755959</v>
      </c>
      <c r="E37" s="28">
        <f t="shared" si="3"/>
        <v>2.5235665426610199</v>
      </c>
      <c r="F37" s="28">
        <f t="shared" si="3"/>
        <v>4.1262858418297741</v>
      </c>
      <c r="G37" s="28">
        <f t="shared" si="3"/>
        <v>35.033977610734446</v>
      </c>
      <c r="H37" s="28">
        <f t="shared" si="3"/>
        <v>6.4333222080068291</v>
      </c>
      <c r="I37" s="28">
        <f t="shared" si="3"/>
        <v>0.22588480995503249</v>
      </c>
      <c r="J37" s="28">
        <f t="shared" si="3"/>
        <v>0.45359649860838153</v>
      </c>
      <c r="K37" s="28">
        <f t="shared" si="3"/>
        <v>137.76011170765511</v>
      </c>
      <c r="L37" s="28">
        <f t="shared" si="3"/>
        <v>3.7933881016900215</v>
      </c>
      <c r="M37" s="28">
        <f t="shared" si="3"/>
        <v>15.560870561787107</v>
      </c>
      <c r="N37" s="28">
        <f t="shared" si="3"/>
        <v>95.053155441086517</v>
      </c>
      <c r="O37" s="28">
        <f t="shared" si="3"/>
        <v>0</v>
      </c>
      <c r="P37" s="28">
        <f t="shared" si="3"/>
        <v>0.55312884136656193</v>
      </c>
      <c r="Q37" s="28">
        <f t="shared" si="3"/>
        <v>8.0528988623091244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COUNT(B9:B32)+2</f>
        <v>24</v>
      </c>
      <c r="C38" s="32">
        <f t="shared" si="4" ref="C38:H38">COUNT(C9:C32)+2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COUNT(I9:I32)+4</f>
        <v>24</v>
      </c>
      <c r="J38" s="32">
        <f>COUNT(J9:J32)+2</f>
        <v>24</v>
      </c>
      <c r="K38" s="32">
        <f t="shared" si="5" ref="K38:Q38">COUNT(K9:K32)+2</f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6" ref="C39:P39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7" ref="C40:Q40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c1092b-7b03-48c3-9907-69e58734f4bc}">
  <sheetPr codeName=""/>
  <dimension ref="A1:U119"/>
  <sheetViews>
    <sheetView workbookViewId="0" topLeftCell="A1">
      <selection pane="topLef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735</v>
      </c>
      <c r="B9" s="51">
        <v>36.200000000000003</v>
      </c>
      <c r="C9" s="51">
        <v>100.84</v>
      </c>
      <c r="D9" s="51">
        <v>84.68</v>
      </c>
      <c r="E9" s="51">
        <v>4.09</v>
      </c>
      <c r="F9" s="51">
        <v>3.92</v>
      </c>
      <c r="G9" s="51">
        <v>55.70</v>
      </c>
      <c r="H9" s="51">
        <v>35.61</v>
      </c>
      <c r="I9" s="51">
        <v>0.62</v>
      </c>
      <c r="J9" s="51">
        <v>0.28999999999999998</v>
      </c>
      <c r="K9" s="51">
        <v>59.57</v>
      </c>
      <c r="L9" s="51">
        <v>19.559999999999999</v>
      </c>
      <c r="M9" s="51">
        <v>46</v>
      </c>
      <c r="N9" s="51">
        <v>24.10</v>
      </c>
      <c r="O9" s="51">
        <v>0</v>
      </c>
      <c r="P9" s="51">
        <v>1.79</v>
      </c>
      <c r="Q9" s="51">
        <v>42.29</v>
      </c>
      <c r="R9" s="43"/>
      <c r="S9" s="43"/>
      <c r="T9" s="43"/>
      <c r="U9" s="43"/>
    </row>
    <row r="10" spans="1:21" s="11" customFormat="1" ht="15">
      <c r="A10" s="50" t="s">
        <v>736</v>
      </c>
      <c r="B10" s="51">
        <v>30.44</v>
      </c>
      <c r="C10" s="51">
        <v>91.77</v>
      </c>
      <c r="D10" s="51">
        <v>75.05</v>
      </c>
      <c r="E10" s="51">
        <v>4.4800000000000004</v>
      </c>
      <c r="F10" s="51">
        <v>2.35</v>
      </c>
      <c r="G10" s="51">
        <v>38.200000000000003</v>
      </c>
      <c r="H10" s="51">
        <v>33.24</v>
      </c>
      <c r="I10" s="51">
        <v>0.5</v>
      </c>
      <c r="J10" s="51">
        <v>0.48</v>
      </c>
      <c r="K10" s="51">
        <v>55.22</v>
      </c>
      <c r="L10" s="51">
        <v>19.22</v>
      </c>
      <c r="M10" s="51">
        <v>42</v>
      </c>
      <c r="N10" s="51">
        <v>24.10</v>
      </c>
      <c r="O10" s="51">
        <v>0</v>
      </c>
      <c r="P10" s="51">
        <v>1.51</v>
      </c>
      <c r="Q10" s="51">
        <v>40.61</v>
      </c>
      <c r="R10" s="43"/>
      <c r="S10" s="43"/>
      <c r="T10" s="43"/>
      <c r="U10" s="43"/>
    </row>
    <row r="11" spans="1:21" s="11" customFormat="1" ht="15">
      <c r="A11" s="50" t="s">
        <v>737</v>
      </c>
      <c r="B11" s="51">
        <v>24.20</v>
      </c>
      <c r="C11" s="51">
        <v>82.16</v>
      </c>
      <c r="D11" s="51">
        <v>64.75</v>
      </c>
      <c r="E11" s="51">
        <v>4.5599999999999996</v>
      </c>
      <c r="F11" s="51">
        <v>4.16</v>
      </c>
      <c r="G11" s="57" t="s">
        <v>15</v>
      </c>
      <c r="H11" s="51">
        <v>29.19</v>
      </c>
      <c r="I11" s="51">
        <v>0.46</v>
      </c>
      <c r="J11" s="51">
        <v>0.67</v>
      </c>
      <c r="K11" s="51">
        <v>28.21</v>
      </c>
      <c r="L11" s="51">
        <v>18.579999999999998</v>
      </c>
      <c r="M11" s="51">
        <v>42</v>
      </c>
      <c r="N11" s="51">
        <v>24.20</v>
      </c>
      <c r="O11" s="51">
        <v>0</v>
      </c>
      <c r="P11" s="51">
        <v>1.34</v>
      </c>
      <c r="Q11" s="51">
        <v>41.07</v>
      </c>
      <c r="R11" s="43"/>
      <c r="S11" s="43"/>
      <c r="T11" s="43"/>
      <c r="U11" s="43"/>
    </row>
    <row r="12" spans="1:21" s="11" customFormat="1" ht="15">
      <c r="A12" s="50" t="s">
        <v>738</v>
      </c>
      <c r="B12" s="51">
        <v>19.27</v>
      </c>
      <c r="C12" s="51">
        <v>78.81</v>
      </c>
      <c r="D12" s="51">
        <v>58.95</v>
      </c>
      <c r="E12" s="51">
        <v>4.20</v>
      </c>
      <c r="F12" s="51">
        <v>0.41</v>
      </c>
      <c r="G12" s="57" t="s">
        <v>15</v>
      </c>
      <c r="H12" s="51">
        <v>30.09</v>
      </c>
      <c r="I12" s="51">
        <v>0.42</v>
      </c>
      <c r="J12" s="51">
        <v>0.37</v>
      </c>
      <c r="K12" s="51">
        <v>77.13</v>
      </c>
      <c r="L12" s="51">
        <v>17.88</v>
      </c>
      <c r="M12" s="51">
        <v>44</v>
      </c>
      <c r="N12" s="51">
        <v>24.20</v>
      </c>
      <c r="O12" s="51">
        <v>0</v>
      </c>
      <c r="P12" s="51">
        <v>1.1499999999999999</v>
      </c>
      <c r="Q12" s="51">
        <v>38.92</v>
      </c>
      <c r="R12" s="43"/>
      <c r="S12" s="43"/>
      <c r="T12" s="43"/>
      <c r="U12" s="43"/>
    </row>
    <row r="13" spans="1:21" s="11" customFormat="1" ht="15">
      <c r="A13" s="50" t="s">
        <v>739</v>
      </c>
      <c r="B13" s="51">
        <v>14.88</v>
      </c>
      <c r="C13" s="51">
        <v>71.80</v>
      </c>
      <c r="D13" s="51">
        <v>51.56</v>
      </c>
      <c r="E13" s="51">
        <v>3.30</v>
      </c>
      <c r="F13" s="51">
        <v>0.20</v>
      </c>
      <c r="G13" s="57" t="s">
        <v>15</v>
      </c>
      <c r="H13" s="51">
        <v>30.12</v>
      </c>
      <c r="I13" s="51">
        <v>0.37</v>
      </c>
      <c r="J13" s="51">
        <v>0.09</v>
      </c>
      <c r="K13" s="51">
        <v>308.02999999999997</v>
      </c>
      <c r="L13" s="51">
        <v>17.059999999999999</v>
      </c>
      <c r="M13" s="51">
        <v>52</v>
      </c>
      <c r="N13" s="51">
        <v>24.5</v>
      </c>
      <c r="O13" s="51">
        <v>0</v>
      </c>
      <c r="P13" s="51">
        <v>1.03</v>
      </c>
      <c r="Q13" s="51">
        <v>36.520000000000003</v>
      </c>
      <c r="R13" s="43"/>
      <c r="S13" s="43"/>
      <c r="T13" s="43"/>
      <c r="U13" s="43"/>
    </row>
    <row r="14" spans="1:21" s="11" customFormat="1" ht="15">
      <c r="A14" s="50" t="s">
        <v>740</v>
      </c>
      <c r="B14" s="51">
        <v>20.350000000000001</v>
      </c>
      <c r="C14" s="51">
        <v>72.58</v>
      </c>
      <c r="D14" s="51">
        <v>56.38</v>
      </c>
      <c r="E14" s="51">
        <v>3.74</v>
      </c>
      <c r="F14" s="51">
        <v>0.38</v>
      </c>
      <c r="G14" s="57" t="s">
        <v>15</v>
      </c>
      <c r="H14" s="51">
        <v>29.83</v>
      </c>
      <c r="I14" s="51">
        <v>0.36</v>
      </c>
      <c r="J14" s="51">
        <v>0.20</v>
      </c>
      <c r="K14" s="51">
        <v>314.35000000000002</v>
      </c>
      <c r="L14" s="51">
        <v>16.149999999999999</v>
      </c>
      <c r="M14" s="51">
        <v>57</v>
      </c>
      <c r="N14" s="51">
        <v>24.40</v>
      </c>
      <c r="O14" s="51">
        <v>0</v>
      </c>
      <c r="P14" s="51">
        <v>1</v>
      </c>
      <c r="Q14" s="51">
        <v>36.799999999999997</v>
      </c>
      <c r="R14" s="43"/>
      <c r="S14" s="43"/>
      <c r="T14" s="43"/>
      <c r="U14" s="43"/>
    </row>
    <row r="15" spans="1:21" s="11" customFormat="1" ht="15">
      <c r="A15" s="50" t="s">
        <v>741</v>
      </c>
      <c r="B15" s="51">
        <v>38.07</v>
      </c>
      <c r="C15" s="51">
        <v>84.98</v>
      </c>
      <c r="D15" s="51">
        <v>77.430000000000007</v>
      </c>
      <c r="E15" s="51">
        <v>3.53</v>
      </c>
      <c r="F15" s="51">
        <v>0.40</v>
      </c>
      <c r="G15" s="51">
        <v>123.48</v>
      </c>
      <c r="H15" s="51">
        <v>32.86</v>
      </c>
      <c r="I15" s="51">
        <v>0.35</v>
      </c>
      <c r="J15" s="51">
        <v>0.22</v>
      </c>
      <c r="K15" s="51">
        <v>349.08</v>
      </c>
      <c r="L15" s="51">
        <v>15.92</v>
      </c>
      <c r="M15" s="51">
        <v>56</v>
      </c>
      <c r="N15" s="51">
        <v>34.60</v>
      </c>
      <c r="O15" s="51">
        <v>0</v>
      </c>
      <c r="P15" s="51">
        <v>1.06</v>
      </c>
      <c r="Q15" s="51">
        <v>37.659999999999997</v>
      </c>
      <c r="R15" s="43"/>
      <c r="S15" s="43"/>
      <c r="T15" s="43"/>
      <c r="U15" s="43"/>
    </row>
    <row r="16" spans="1:21" s="11" customFormat="1" ht="15">
      <c r="A16" s="50" t="s">
        <v>742</v>
      </c>
      <c r="B16" s="51">
        <v>41.39</v>
      </c>
      <c r="C16" s="51">
        <v>87.94</v>
      </c>
      <c r="D16" s="51">
        <v>81.73</v>
      </c>
      <c r="E16" s="51">
        <v>3.81</v>
      </c>
      <c r="F16" s="51">
        <v>0.14000000000000001</v>
      </c>
      <c r="G16" s="51">
        <v>81.66</v>
      </c>
      <c r="H16" s="51">
        <v>34.520000000000003</v>
      </c>
      <c r="I16" s="51">
        <v>0.32</v>
      </c>
      <c r="J16" s="51">
        <v>0.48</v>
      </c>
      <c r="K16" s="51">
        <v>79.66</v>
      </c>
      <c r="L16" s="51">
        <v>19.260000000000002</v>
      </c>
      <c r="M16" s="51">
        <v>52</v>
      </c>
      <c r="N16" s="51">
        <v>203</v>
      </c>
      <c r="O16" s="51">
        <v>0</v>
      </c>
      <c r="P16" s="51">
        <v>1.0900000000000001</v>
      </c>
      <c r="Q16" s="51">
        <v>37.43</v>
      </c>
      <c r="R16" s="43"/>
      <c r="S16" s="43"/>
      <c r="T16" s="43"/>
      <c r="U16" s="43"/>
    </row>
    <row r="17" spans="1:21" s="11" customFormat="1" ht="15">
      <c r="A17" s="50" t="s">
        <v>743</v>
      </c>
      <c r="B17" s="51">
        <v>38</v>
      </c>
      <c r="C17" s="51">
        <v>86.13</v>
      </c>
      <c r="D17" s="51">
        <v>78.010000000000005</v>
      </c>
      <c r="E17" s="51">
        <v>4.1900000000000004</v>
      </c>
      <c r="F17" s="51">
        <v>0.43</v>
      </c>
      <c r="G17" s="51">
        <v>233.71</v>
      </c>
      <c r="H17" s="51">
        <v>34.090000000000003</v>
      </c>
      <c r="I17" s="51">
        <v>0.33</v>
      </c>
      <c r="J17" s="51">
        <v>1.24</v>
      </c>
      <c r="K17" s="51">
        <v>124.31</v>
      </c>
      <c r="L17" s="51">
        <v>22.40</v>
      </c>
      <c r="M17" s="51">
        <v>36</v>
      </c>
      <c r="N17" s="51">
        <v>317.10000000000002</v>
      </c>
      <c r="O17" s="51">
        <v>0</v>
      </c>
      <c r="P17" s="51">
        <v>1.05</v>
      </c>
      <c r="Q17" s="51">
        <v>35.61</v>
      </c>
      <c r="R17" s="43"/>
      <c r="S17" s="43"/>
      <c r="T17" s="43"/>
      <c r="U17" s="43"/>
    </row>
    <row r="18" spans="1:21" s="11" customFormat="1" ht="15">
      <c r="A18" s="50" t="s">
        <v>744</v>
      </c>
      <c r="B18" s="51">
        <v>30.36</v>
      </c>
      <c r="C18" s="51">
        <v>81.64</v>
      </c>
      <c r="D18" s="51">
        <v>69.400000000000006</v>
      </c>
      <c r="E18" s="51">
        <v>3.91</v>
      </c>
      <c r="F18" s="51">
        <v>0.79</v>
      </c>
      <c r="G18" s="51">
        <v>173.17</v>
      </c>
      <c r="H18" s="51">
        <v>32.520000000000003</v>
      </c>
      <c r="I18" s="51">
        <v>0.33</v>
      </c>
      <c r="J18" s="51">
        <v>1.1200000000000001</v>
      </c>
      <c r="K18" s="51">
        <v>130.57</v>
      </c>
      <c r="L18" s="51">
        <v>24.92</v>
      </c>
      <c r="M18" s="51">
        <v>33</v>
      </c>
      <c r="N18" s="51">
        <v>355.10</v>
      </c>
      <c r="O18" s="51">
        <v>0</v>
      </c>
      <c r="P18" s="51">
        <v>0.96</v>
      </c>
      <c r="Q18" s="51">
        <v>37.60</v>
      </c>
      <c r="R18" s="43"/>
      <c r="S18" s="43"/>
      <c r="T18" s="43"/>
      <c r="U18" s="43"/>
    </row>
    <row r="19" spans="1:21" s="11" customFormat="1" ht="15">
      <c r="A19" s="50" t="s">
        <v>745</v>
      </c>
      <c r="B19" s="51">
        <v>22.27</v>
      </c>
      <c r="C19" s="51">
        <v>83.53</v>
      </c>
      <c r="D19" s="51">
        <v>62.85</v>
      </c>
      <c r="E19" s="51">
        <v>6.49</v>
      </c>
      <c r="F19" s="51">
        <v>2.08</v>
      </c>
      <c r="G19" s="51">
        <v>71.510000000000005</v>
      </c>
      <c r="H19" s="51">
        <v>32.44</v>
      </c>
      <c r="I19" s="51">
        <v>0.30</v>
      </c>
      <c r="J19" s="51">
        <v>1.08</v>
      </c>
      <c r="K19" s="51">
        <v>116.44</v>
      </c>
      <c r="L19" s="51">
        <v>26.20</v>
      </c>
      <c r="M19" s="51">
        <v>26</v>
      </c>
      <c r="N19" s="51">
        <v>394.70</v>
      </c>
      <c r="O19" s="51">
        <v>0</v>
      </c>
      <c r="P19" s="51">
        <v>0.86</v>
      </c>
      <c r="Q19" s="51">
        <v>37.29</v>
      </c>
      <c r="R19" s="43"/>
      <c r="S19" s="43"/>
      <c r="T19" s="43"/>
      <c r="U19" s="43"/>
    </row>
    <row r="20" spans="1:21" s="11" customFormat="1" ht="15">
      <c r="A20" s="50" t="s">
        <v>746</v>
      </c>
      <c r="B20" s="51">
        <v>12.11</v>
      </c>
      <c r="C20" s="51">
        <v>85.23</v>
      </c>
      <c r="D20" s="51">
        <v>56.75</v>
      </c>
      <c r="E20" s="51">
        <v>9.85</v>
      </c>
      <c r="F20" s="51">
        <v>4.17</v>
      </c>
      <c r="G20" s="51">
        <v>43.69</v>
      </c>
      <c r="H20" s="51">
        <v>18.440000000000001</v>
      </c>
      <c r="I20" s="51">
        <v>0.26</v>
      </c>
      <c r="J20" s="51">
        <v>1.45</v>
      </c>
      <c r="K20" s="51">
        <v>129.72</v>
      </c>
      <c r="L20" s="51">
        <v>26.30</v>
      </c>
      <c r="M20" s="51">
        <v>23</v>
      </c>
      <c r="N20" s="51">
        <v>395.20</v>
      </c>
      <c r="O20" s="51">
        <v>0</v>
      </c>
      <c r="P20" s="51">
        <v>0.65</v>
      </c>
      <c r="Q20" s="51">
        <v>28.97</v>
      </c>
      <c r="R20" s="43"/>
      <c r="S20" s="43"/>
      <c r="T20" s="43"/>
      <c r="U20" s="43"/>
    </row>
    <row r="21" spans="1:21" s="11" customFormat="1" ht="15">
      <c r="A21" s="50" t="s">
        <v>747</v>
      </c>
      <c r="B21" s="51">
        <v>6.63</v>
      </c>
      <c r="C21" s="51">
        <v>72.400000000000006</v>
      </c>
      <c r="D21" s="51">
        <v>44.89</v>
      </c>
      <c r="E21" s="51">
        <v>4.91</v>
      </c>
      <c r="F21" s="51">
        <v>4.12</v>
      </c>
      <c r="G21" s="51">
        <v>43.69</v>
      </c>
      <c r="H21" s="51">
        <v>24.99</v>
      </c>
      <c r="I21" s="51">
        <v>0.16</v>
      </c>
      <c r="J21" s="51">
        <v>1.01</v>
      </c>
      <c r="K21" s="51">
        <v>115.44</v>
      </c>
      <c r="L21" s="51">
        <v>31.02</v>
      </c>
      <c r="M21" s="51">
        <v>18</v>
      </c>
      <c r="N21" s="51">
        <v>386.20</v>
      </c>
      <c r="O21" s="51">
        <v>0</v>
      </c>
      <c r="P21" s="51">
        <v>0.5</v>
      </c>
      <c r="Q21" s="51">
        <v>27.16</v>
      </c>
      <c r="R21" s="43"/>
      <c r="S21" s="43"/>
      <c r="T21" s="43"/>
      <c r="U21" s="43"/>
    </row>
    <row r="22" spans="1:21" s="11" customFormat="1" ht="15">
      <c r="A22" s="50" t="s">
        <v>748</v>
      </c>
      <c r="B22" s="51">
        <v>7.52</v>
      </c>
      <c r="C22" s="51">
        <v>73.959999999999994</v>
      </c>
      <c r="D22" s="51">
        <v>46.49</v>
      </c>
      <c r="E22" s="51">
        <v>6.14</v>
      </c>
      <c r="F22" s="51">
        <v>1.57</v>
      </c>
      <c r="G22" s="51">
        <v>42.84</v>
      </c>
      <c r="H22" s="51">
        <v>25.36</v>
      </c>
      <c r="I22" s="51">
        <v>0.16</v>
      </c>
      <c r="J22" s="51">
        <v>0.78</v>
      </c>
      <c r="K22" s="51">
        <v>141.43</v>
      </c>
      <c r="L22" s="51">
        <v>28.83</v>
      </c>
      <c r="M22" s="51">
        <v>16</v>
      </c>
      <c r="N22" s="51">
        <v>376.90</v>
      </c>
      <c r="O22" s="51">
        <v>0</v>
      </c>
      <c r="P22" s="51">
        <v>0.53</v>
      </c>
      <c r="Q22" s="51">
        <v>29.75</v>
      </c>
      <c r="R22" s="43"/>
      <c r="S22" s="43"/>
      <c r="T22" s="43"/>
      <c r="U22" s="43"/>
    </row>
    <row r="23" spans="1:21" s="11" customFormat="1" ht="15">
      <c r="A23" s="50" t="s">
        <v>749</v>
      </c>
      <c r="B23" s="51">
        <v>6.86</v>
      </c>
      <c r="C23" s="51">
        <v>72.349999999999994</v>
      </c>
      <c r="D23" s="51">
        <v>45.40</v>
      </c>
      <c r="E23" s="51">
        <v>8.0500000000000007</v>
      </c>
      <c r="F23" s="51">
        <v>5.49</v>
      </c>
      <c r="G23" s="51">
        <v>39.85</v>
      </c>
      <c r="H23" s="51">
        <v>24.19</v>
      </c>
      <c r="I23" s="51">
        <v>0.14000000000000001</v>
      </c>
      <c r="J23" s="51">
        <v>1.02</v>
      </c>
      <c r="K23" s="51">
        <v>139.96</v>
      </c>
      <c r="L23" s="51">
        <v>28.75</v>
      </c>
      <c r="M23" s="51">
        <v>17</v>
      </c>
      <c r="N23" s="51">
        <v>330.5</v>
      </c>
      <c r="O23" s="51">
        <v>0</v>
      </c>
      <c r="P23" s="51">
        <v>0.5</v>
      </c>
      <c r="Q23" s="51">
        <v>30.93</v>
      </c>
      <c r="R23" s="43"/>
      <c r="S23" s="43"/>
      <c r="T23" s="43"/>
      <c r="U23" s="43"/>
    </row>
    <row r="24" spans="1:21" s="11" customFormat="1" ht="15">
      <c r="A24" s="50" t="s">
        <v>750</v>
      </c>
      <c r="B24" s="51">
        <v>5.14</v>
      </c>
      <c r="C24" s="51">
        <v>68.30</v>
      </c>
      <c r="D24" s="51">
        <v>41.62</v>
      </c>
      <c r="E24" s="51">
        <v>11.28</v>
      </c>
      <c r="F24" s="51">
        <v>11.97</v>
      </c>
      <c r="G24" s="51">
        <v>31.79</v>
      </c>
      <c r="H24" s="51">
        <v>21.34</v>
      </c>
      <c r="I24" s="51">
        <v>0.13</v>
      </c>
      <c r="J24" s="51">
        <v>0.57999999999999996</v>
      </c>
      <c r="K24" s="51">
        <v>133.33000000000001</v>
      </c>
      <c r="L24" s="51">
        <v>27.75</v>
      </c>
      <c r="M24" s="51">
        <v>19</v>
      </c>
      <c r="N24" s="51">
        <v>225.20</v>
      </c>
      <c r="O24" s="51">
        <v>0</v>
      </c>
      <c r="P24" s="51">
        <v>0.53</v>
      </c>
      <c r="Q24" s="51">
        <v>27.81</v>
      </c>
      <c r="R24" s="43"/>
      <c r="S24" s="43"/>
      <c r="T24" s="43"/>
      <c r="U24" s="43"/>
    </row>
    <row r="25" spans="1:21" s="11" customFormat="1" ht="15">
      <c r="A25" s="50" t="s">
        <v>751</v>
      </c>
      <c r="B25" s="51">
        <v>7.37</v>
      </c>
      <c r="C25" s="51">
        <v>72.040000000000006</v>
      </c>
      <c r="D25" s="51">
        <v>45.34</v>
      </c>
      <c r="E25" s="51">
        <v>10.02</v>
      </c>
      <c r="F25" s="51">
        <v>6.32</v>
      </c>
      <c r="G25" s="51">
        <v>35.56</v>
      </c>
      <c r="H25" s="51">
        <v>23.42</v>
      </c>
      <c r="I25" s="51">
        <v>0.16</v>
      </c>
      <c r="J25" s="51">
        <v>0.61</v>
      </c>
      <c r="K25" s="51">
        <v>105.59</v>
      </c>
      <c r="L25" s="51">
        <v>27.11</v>
      </c>
      <c r="M25" s="51">
        <v>22</v>
      </c>
      <c r="N25" s="51">
        <v>55.10</v>
      </c>
      <c r="O25" s="51">
        <v>0</v>
      </c>
      <c r="P25" s="51">
        <v>0.61</v>
      </c>
      <c r="Q25" s="51">
        <v>31.57</v>
      </c>
      <c r="R25" s="43"/>
      <c r="S25" s="43"/>
      <c r="T25" s="43"/>
      <c r="U25" s="43"/>
    </row>
    <row r="26" spans="1:21" s="11" customFormat="1" ht="15">
      <c r="A26" s="50" t="s">
        <v>752</v>
      </c>
      <c r="B26" s="51">
        <v>9</v>
      </c>
      <c r="C26" s="51">
        <v>89.59</v>
      </c>
      <c r="D26" s="51">
        <v>56.66</v>
      </c>
      <c r="E26" s="51">
        <v>5.58</v>
      </c>
      <c r="F26" s="51">
        <v>2.0099999999999998</v>
      </c>
      <c r="G26" s="51">
        <v>58.47</v>
      </c>
      <c r="H26" s="51">
        <v>28.47</v>
      </c>
      <c r="I26" s="51">
        <v>0.21</v>
      </c>
      <c r="J26" s="51">
        <v>0.33</v>
      </c>
      <c r="K26" s="51">
        <v>236.98</v>
      </c>
      <c r="L26" s="51">
        <v>25.30</v>
      </c>
      <c r="M26" s="51">
        <v>31</v>
      </c>
      <c r="N26" s="51">
        <v>30.5</v>
      </c>
      <c r="O26" s="51">
        <v>0</v>
      </c>
      <c r="P26" s="51">
        <v>0.92</v>
      </c>
      <c r="Q26" s="51">
        <v>32.83</v>
      </c>
      <c r="R26" s="43"/>
      <c r="S26" s="43"/>
      <c r="T26" s="43"/>
      <c r="U26" s="43"/>
    </row>
    <row r="27" spans="1:21" s="11" customFormat="1" ht="15">
      <c r="A27" s="50" t="s">
        <v>753</v>
      </c>
      <c r="B27" s="51">
        <v>21.69</v>
      </c>
      <c r="C27" s="51">
        <v>101.64</v>
      </c>
      <c r="D27" s="51">
        <v>72.94</v>
      </c>
      <c r="E27" s="51">
        <v>4.38</v>
      </c>
      <c r="F27" s="51">
        <v>0.28999999999999998</v>
      </c>
      <c r="G27" s="51">
        <v>80.73</v>
      </c>
      <c r="H27" s="51">
        <v>38.08</v>
      </c>
      <c r="I27" s="51">
        <v>0.32</v>
      </c>
      <c r="J27" s="51">
        <v>0.16</v>
      </c>
      <c r="K27" s="51">
        <v>89.93</v>
      </c>
      <c r="L27" s="51">
        <v>22.01</v>
      </c>
      <c r="M27" s="51">
        <v>40</v>
      </c>
      <c r="N27" s="51">
        <v>24.60</v>
      </c>
      <c r="O27" s="51">
        <v>0</v>
      </c>
      <c r="P27" s="51">
        <v>1.26</v>
      </c>
      <c r="Q27" s="51">
        <v>32.96</v>
      </c>
      <c r="R27" s="43"/>
      <c r="S27" s="43"/>
      <c r="T27" s="43"/>
      <c r="U27" s="43"/>
    </row>
    <row r="28" spans="1:21" s="11" customFormat="1" ht="15">
      <c r="A28" s="50" t="s">
        <v>754</v>
      </c>
      <c r="B28" s="51">
        <v>44.55</v>
      </c>
      <c r="C28" s="51">
        <v>107.70</v>
      </c>
      <c r="D28" s="51">
        <v>95.16</v>
      </c>
      <c r="E28" s="51">
        <v>4.41</v>
      </c>
      <c r="F28" s="51">
        <v>0.15</v>
      </c>
      <c r="G28" s="51">
        <v>155.12</v>
      </c>
      <c r="H28" s="51">
        <v>48.72</v>
      </c>
      <c r="I28" s="51">
        <v>0.49</v>
      </c>
      <c r="J28" s="51">
        <v>0.09</v>
      </c>
      <c r="K28" s="51">
        <v>120.11</v>
      </c>
      <c r="L28" s="51">
        <v>20.91</v>
      </c>
      <c r="M28" s="51">
        <v>51</v>
      </c>
      <c r="N28" s="51">
        <v>24.40</v>
      </c>
      <c r="O28" s="51">
        <v>0</v>
      </c>
      <c r="P28" s="51">
        <v>1.68</v>
      </c>
      <c r="Q28" s="51">
        <v>36.64</v>
      </c>
      <c r="R28" s="43"/>
      <c r="S28" s="43"/>
      <c r="T28" s="43"/>
      <c r="U28" s="43"/>
    </row>
    <row r="29" spans="1:21" s="11" customFormat="1" ht="15">
      <c r="A29" s="50" t="s">
        <v>755</v>
      </c>
      <c r="B29" s="51">
        <v>68.13</v>
      </c>
      <c r="C29" s="51">
        <v>121.52</v>
      </c>
      <c r="D29" s="51">
        <v>121.70</v>
      </c>
      <c r="E29" s="51">
        <v>3.94</v>
      </c>
      <c r="F29" s="51">
        <v>3.85</v>
      </c>
      <c r="G29" s="51">
        <v>155.12</v>
      </c>
      <c r="H29" s="51">
        <v>56.10</v>
      </c>
      <c r="I29" s="51">
        <v>0.80</v>
      </c>
      <c r="J29" s="51">
        <v>0.12</v>
      </c>
      <c r="K29" s="51">
        <v>352.53</v>
      </c>
      <c r="L29" s="51">
        <v>19.89</v>
      </c>
      <c r="M29" s="51">
        <v>52</v>
      </c>
      <c r="N29" s="51">
        <v>24.20</v>
      </c>
      <c r="O29" s="51">
        <v>0</v>
      </c>
      <c r="P29" s="51">
        <v>2.29</v>
      </c>
      <c r="Q29" s="51">
        <v>40.60</v>
      </c>
      <c r="R29" s="43"/>
      <c r="S29" s="43"/>
      <c r="T29" s="43"/>
      <c r="U29" s="43"/>
    </row>
    <row r="30" spans="1:21" s="11" customFormat="1" ht="15">
      <c r="A30" s="50" t="s">
        <v>756</v>
      </c>
      <c r="B30" s="51">
        <v>128.46</v>
      </c>
      <c r="C30" s="51">
        <v>156.97999999999999</v>
      </c>
      <c r="D30" s="51">
        <v>189.65</v>
      </c>
      <c r="E30" s="51">
        <v>4.67</v>
      </c>
      <c r="F30" s="51">
        <v>0.19</v>
      </c>
      <c r="G30" s="51">
        <v>216.07</v>
      </c>
      <c r="H30" s="51">
        <v>66.73</v>
      </c>
      <c r="I30" s="51">
        <v>1.1200000000000001</v>
      </c>
      <c r="J30" s="51">
        <v>0.11</v>
      </c>
      <c r="K30" s="51">
        <v>342.43</v>
      </c>
      <c r="L30" s="51">
        <v>18.59</v>
      </c>
      <c r="M30" s="51">
        <v>58</v>
      </c>
      <c r="N30" s="51">
        <v>24.20</v>
      </c>
      <c r="O30" s="51">
        <v>0</v>
      </c>
      <c r="P30" s="51">
        <v>3.29</v>
      </c>
      <c r="Q30" s="51">
        <v>43.82</v>
      </c>
      <c r="R30" s="43"/>
      <c r="S30" s="43"/>
      <c r="T30" s="43"/>
      <c r="U30" s="43"/>
    </row>
    <row r="31" spans="1:21" s="11" customFormat="1" ht="15">
      <c r="A31" s="50" t="s">
        <v>757</v>
      </c>
      <c r="B31" s="51">
        <v>162.16</v>
      </c>
      <c r="C31" s="51">
        <v>173.11</v>
      </c>
      <c r="D31" s="51">
        <v>225.57</v>
      </c>
      <c r="E31" s="51">
        <v>5.0599999999999996</v>
      </c>
      <c r="F31" s="51">
        <v>0.19</v>
      </c>
      <c r="G31" s="51">
        <v>216.07</v>
      </c>
      <c r="H31" s="51">
        <v>72.38</v>
      </c>
      <c r="I31" s="51">
        <v>1.37</v>
      </c>
      <c r="J31" s="51">
        <v>0.12</v>
      </c>
      <c r="K31" s="51">
        <v>330.61</v>
      </c>
      <c r="L31" s="51">
        <v>17.829999999999998</v>
      </c>
      <c r="M31" s="51">
        <v>64</v>
      </c>
      <c r="N31" s="51">
        <v>24.30</v>
      </c>
      <c r="O31" s="51">
        <v>0</v>
      </c>
      <c r="P31" s="51">
        <v>3.69</v>
      </c>
      <c r="Q31" s="51">
        <v>46.53</v>
      </c>
      <c r="R31" s="43"/>
      <c r="S31" s="43"/>
      <c r="T31" s="43"/>
      <c r="U31" s="43"/>
    </row>
    <row r="32" spans="1:21" s="11" customFormat="1" ht="15">
      <c r="A32" s="50" t="s">
        <v>758</v>
      </c>
      <c r="B32" s="51">
        <v>196.60</v>
      </c>
      <c r="C32" s="51">
        <v>188.63</v>
      </c>
      <c r="D32" s="51">
        <v>261.76</v>
      </c>
      <c r="E32" s="51">
        <v>5.37</v>
      </c>
      <c r="F32" s="51">
        <v>0.19</v>
      </c>
      <c r="G32" s="51">
        <v>202.82</v>
      </c>
      <c r="H32" s="51">
        <v>76.52</v>
      </c>
      <c r="I32" s="51">
        <v>1.57</v>
      </c>
      <c r="J32" s="51">
        <v>0.12</v>
      </c>
      <c r="K32" s="51">
        <v>318.31</v>
      </c>
      <c r="L32" s="51">
        <v>17.350000000000001</v>
      </c>
      <c r="M32" s="51">
        <v>68</v>
      </c>
      <c r="N32" s="51">
        <v>24.40</v>
      </c>
      <c r="O32" s="51">
        <v>0</v>
      </c>
      <c r="P32" s="51">
        <v>3.90</v>
      </c>
      <c r="Q32" s="51">
        <v>51.58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5.1399999999999997</v>
      </c>
      <c r="C34" s="28">
        <f t="shared" si="0"/>
        <v>68.299999999999997</v>
      </c>
      <c r="D34" s="28">
        <f t="shared" si="0"/>
        <v>41.619999999999997</v>
      </c>
      <c r="E34" s="28">
        <f t="shared" si="0"/>
        <v>3.2999999999999998</v>
      </c>
      <c r="F34" s="28">
        <f t="shared" si="0"/>
        <v>0.14000000000000001</v>
      </c>
      <c r="G34" s="28">
        <f t="shared" si="0"/>
        <v>31.789999999999999</v>
      </c>
      <c r="H34" s="28">
        <f t="shared" si="0"/>
        <v>18.440000000000001</v>
      </c>
      <c r="I34" s="28">
        <f t="shared" si="0"/>
        <v>0.13</v>
      </c>
      <c r="J34" s="28">
        <f t="shared" si="0"/>
        <v>0.089999999999999997</v>
      </c>
      <c r="K34" s="28">
        <f t="shared" si="0"/>
        <v>28.210000000000001</v>
      </c>
      <c r="L34" s="28">
        <f t="shared" si="0"/>
        <v>15.92</v>
      </c>
      <c r="M34" s="28">
        <f t="shared" si="0"/>
        <v>16</v>
      </c>
      <c r="N34" s="28">
        <f t="shared" si="0"/>
        <v>24.100000000000001</v>
      </c>
      <c r="O34" s="28">
        <f t="shared" si="0"/>
        <v>0</v>
      </c>
      <c r="P34" s="28">
        <f t="shared" si="0"/>
        <v>0.5</v>
      </c>
      <c r="Q34" s="28">
        <f t="shared" si="0"/>
        <v>27.16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196.59999999999999</v>
      </c>
      <c r="C35" s="29">
        <f t="shared" si="1"/>
        <v>188.63</v>
      </c>
      <c r="D35" s="29">
        <f t="shared" si="1"/>
        <v>261.75999999999999</v>
      </c>
      <c r="E35" s="29">
        <f t="shared" si="1"/>
        <v>11.279999999999999</v>
      </c>
      <c r="F35" s="29">
        <f t="shared" si="1"/>
        <v>11.970000000000001</v>
      </c>
      <c r="G35" s="29">
        <f t="shared" si="1"/>
        <v>233.71000000000001</v>
      </c>
      <c r="H35" s="29">
        <f t="shared" si="1"/>
        <v>76.519999999999996</v>
      </c>
      <c r="I35" s="29">
        <f t="shared" si="1"/>
        <v>1.5700000000000001</v>
      </c>
      <c r="J35" s="29">
        <f t="shared" si="1"/>
        <v>1.45</v>
      </c>
      <c r="K35" s="29">
        <f t="shared" si="1"/>
        <v>352.52999999999997</v>
      </c>
      <c r="L35" s="29">
        <f t="shared" si="1"/>
        <v>31.02</v>
      </c>
      <c r="M35" s="29">
        <f t="shared" si="1"/>
        <v>68</v>
      </c>
      <c r="N35" s="29">
        <f t="shared" si="1"/>
        <v>395.19999999999999</v>
      </c>
      <c r="O35" s="29">
        <f t="shared" si="1"/>
        <v>0</v>
      </c>
      <c r="P35" s="29">
        <f t="shared" si="1"/>
        <v>3.8999999999999999</v>
      </c>
      <c r="Q35" s="29">
        <f t="shared" si="1"/>
        <v>51.579999999999998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41.318750000000001</v>
      </c>
      <c r="C36" s="28">
        <f t="shared" si="2"/>
        <v>96.067916666666676</v>
      </c>
      <c r="D36" s="28">
        <f t="shared" si="2"/>
        <v>86.030000000000015</v>
      </c>
      <c r="E36" s="28">
        <f t="shared" si="2"/>
        <v>5.4149999999999991</v>
      </c>
      <c r="F36" s="28">
        <f t="shared" si="2"/>
        <v>2.3237499999999995</v>
      </c>
      <c r="G36" s="28">
        <f t="shared" si="2"/>
        <v>104.96250000000001</v>
      </c>
      <c r="H36" s="28">
        <f t="shared" si="2"/>
        <v>36.635416666666671</v>
      </c>
      <c r="I36" s="28">
        <f t="shared" si="2"/>
        <v>0.46875</v>
      </c>
      <c r="J36" s="28">
        <f t="shared" si="2"/>
        <v>0.53083333333333316</v>
      </c>
      <c r="K36" s="28">
        <f t="shared" si="2"/>
        <v>174.95583333333335</v>
      </c>
      <c r="L36" s="28">
        <f t="shared" si="2"/>
        <v>22.032916666666665</v>
      </c>
      <c r="M36" s="28">
        <f t="shared" si="2"/>
        <v>40.208333333333336</v>
      </c>
      <c r="N36" s="28">
        <f t="shared" si="2"/>
        <v>141.48749999999998</v>
      </c>
      <c r="O36" s="28">
        <f t="shared" si="2"/>
        <v>0</v>
      </c>
      <c r="P36" s="28">
        <f t="shared" si="2"/>
        <v>1.3829166666666668</v>
      </c>
      <c r="Q36" s="28">
        <f t="shared" si="2"/>
        <v>36.789583333333347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50.165878175829569</v>
      </c>
      <c r="C37" s="28">
        <f t="shared" si="3" ref="C37:Q37">STDEV(C9:C32)</f>
        <v>32.619821525271689</v>
      </c>
      <c r="D37" s="28">
        <f t="shared" si="3"/>
        <v>57.942115493189277</v>
      </c>
      <c r="E37" s="28">
        <f t="shared" si="3"/>
        <v>2.1981316176916388</v>
      </c>
      <c r="F37" s="28">
        <f t="shared" si="3"/>
        <v>2.8248552290723481</v>
      </c>
      <c r="G37" s="28">
        <f t="shared" si="3"/>
        <v>71.797135177782963</v>
      </c>
      <c r="H37" s="28">
        <f t="shared" si="3"/>
        <v>15.85872958867343</v>
      </c>
      <c r="I37" s="28">
        <f t="shared" si="3"/>
        <v>0.38175011745107951</v>
      </c>
      <c r="J37" s="28">
        <f t="shared" si="3"/>
        <v>0.4222395432501061</v>
      </c>
      <c r="K37" s="28">
        <f t="shared" si="3"/>
        <v>109.57996769945902</v>
      </c>
      <c r="L37" s="28">
        <f t="shared" si="3"/>
        <v>4.6164144557802</v>
      </c>
      <c r="M37" s="28">
        <f t="shared" si="3"/>
        <v>15.91548102420672</v>
      </c>
      <c r="N37" s="28">
        <f t="shared" si="3"/>
        <v>156.42450134031182</v>
      </c>
      <c r="O37" s="28">
        <f t="shared" si="3"/>
        <v>0</v>
      </c>
      <c r="P37" s="28">
        <f t="shared" si="3"/>
        <v>0.97460573596696476</v>
      </c>
      <c r="Q37" s="28">
        <f t="shared" si="3"/>
        <v>5.9885277853768883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20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d269a3b-25e2-444b-bd47-f71bf0346a90}">
  <sheetPr codeName=""/>
  <dimension ref="A1:U119"/>
  <sheetViews>
    <sheetView workbookViewId="0" topLeftCell="A1">
      <selection pane="topLef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759</v>
      </c>
      <c r="B9" s="51">
        <v>201.81</v>
      </c>
      <c r="C9" s="51">
        <v>189.83</v>
      </c>
      <c r="D9" s="51">
        <v>266.60000000000002</v>
      </c>
      <c r="E9" s="51">
        <v>5.54</v>
      </c>
      <c r="F9" s="51">
        <v>0.15</v>
      </c>
      <c r="G9" s="51">
        <v>202.82</v>
      </c>
      <c r="H9" s="51">
        <v>80.13</v>
      </c>
      <c r="I9" s="51">
        <v>1.64</v>
      </c>
      <c r="J9" s="51">
        <v>0.14000000000000001</v>
      </c>
      <c r="K9" s="51">
        <v>354.06</v>
      </c>
      <c r="L9" s="51">
        <v>17.010000000000002</v>
      </c>
      <c r="M9" s="51">
        <v>68</v>
      </c>
      <c r="N9" s="51">
        <v>24.30</v>
      </c>
      <c r="O9" s="51">
        <v>0</v>
      </c>
      <c r="P9" s="51">
        <v>4.0199999999999996</v>
      </c>
      <c r="Q9" s="51">
        <v>52.09</v>
      </c>
      <c r="R9" s="43"/>
      <c r="S9" s="43"/>
      <c r="T9" s="43"/>
      <c r="U9" s="43"/>
    </row>
    <row r="10" spans="1:21" s="11" customFormat="1" ht="15">
      <c r="A10" s="50" t="s">
        <v>760</v>
      </c>
      <c r="B10" s="51">
        <v>191.25</v>
      </c>
      <c r="C10" s="51">
        <v>181.76</v>
      </c>
      <c r="D10" s="51">
        <v>253.67</v>
      </c>
      <c r="E10" s="51">
        <v>5.77</v>
      </c>
      <c r="F10" s="51">
        <v>0.35</v>
      </c>
      <c r="G10" s="51">
        <v>180.11</v>
      </c>
      <c r="H10" s="51">
        <v>80.89</v>
      </c>
      <c r="I10" s="51">
        <v>1.65</v>
      </c>
      <c r="J10" s="51">
        <v>0.09</v>
      </c>
      <c r="K10" s="51">
        <v>314.05</v>
      </c>
      <c r="L10" s="51">
        <v>17.14</v>
      </c>
      <c r="M10" s="51">
        <v>60</v>
      </c>
      <c r="N10" s="51">
        <v>24.20</v>
      </c>
      <c r="O10" s="51">
        <v>0</v>
      </c>
      <c r="P10" s="51">
        <v>3.81</v>
      </c>
      <c r="Q10" s="51">
        <v>51.18</v>
      </c>
      <c r="R10" s="43"/>
      <c r="S10" s="43"/>
      <c r="T10" s="43"/>
      <c r="U10" s="43"/>
    </row>
    <row r="11" spans="1:21" s="11" customFormat="1" ht="15">
      <c r="A11" s="50" t="s">
        <v>761</v>
      </c>
      <c r="B11" s="51">
        <v>159.15</v>
      </c>
      <c r="C11" s="51">
        <v>160.15</v>
      </c>
      <c r="D11" s="51">
        <v>216.01</v>
      </c>
      <c r="E11" s="51">
        <v>5.03</v>
      </c>
      <c r="F11" s="51">
        <v>0.12</v>
      </c>
      <c r="G11" s="51">
        <v>88.85</v>
      </c>
      <c r="H11" s="51">
        <v>69.19</v>
      </c>
      <c r="I11" s="51">
        <v>1.53</v>
      </c>
      <c r="J11" s="51">
        <v>0.28999999999999998</v>
      </c>
      <c r="K11" s="51">
        <v>298.56</v>
      </c>
      <c r="L11" s="51">
        <v>16.66</v>
      </c>
      <c r="M11" s="51">
        <v>65</v>
      </c>
      <c r="N11" s="51">
        <v>24.20</v>
      </c>
      <c r="O11" s="51">
        <v>0</v>
      </c>
      <c r="P11" s="51">
        <v>3.47</v>
      </c>
      <c r="Q11" s="51">
        <v>46.48</v>
      </c>
      <c r="R11" s="43"/>
      <c r="S11" s="43"/>
      <c r="T11" s="43"/>
      <c r="U11" s="43"/>
    </row>
    <row r="12" spans="1:21" s="11" customFormat="1" ht="15">
      <c r="A12" s="50" t="s">
        <v>762</v>
      </c>
      <c r="B12" s="51">
        <v>125.06</v>
      </c>
      <c r="C12" s="51">
        <v>136.38</v>
      </c>
      <c r="D12" s="51">
        <v>175.55</v>
      </c>
      <c r="E12" s="51">
        <v>4.74</v>
      </c>
      <c r="F12" s="51">
        <v>0.24</v>
      </c>
      <c r="G12" s="51">
        <v>76.09</v>
      </c>
      <c r="H12" s="51">
        <v>55.72</v>
      </c>
      <c r="I12" s="51">
        <v>1.37</v>
      </c>
      <c r="J12" s="51">
        <v>0.14000000000000001</v>
      </c>
      <c r="K12" s="51">
        <v>327.51</v>
      </c>
      <c r="L12" s="51">
        <v>15.40</v>
      </c>
      <c r="M12" s="51">
        <v>72</v>
      </c>
      <c r="N12" s="51">
        <v>24.60</v>
      </c>
      <c r="O12" s="51">
        <v>0</v>
      </c>
      <c r="P12" s="51">
        <v>2.86</v>
      </c>
      <c r="Q12" s="51">
        <v>44.17</v>
      </c>
      <c r="R12" s="43"/>
      <c r="S12" s="43"/>
      <c r="T12" s="43"/>
      <c r="U12" s="43"/>
    </row>
    <row r="13" spans="1:21" s="11" customFormat="1" ht="15">
      <c r="A13" s="50" t="s">
        <v>763</v>
      </c>
      <c r="B13" s="51">
        <v>95.34</v>
      </c>
      <c r="C13" s="51">
        <v>117.35</v>
      </c>
      <c r="D13" s="51">
        <v>141.21</v>
      </c>
      <c r="E13" s="51">
        <v>4.91</v>
      </c>
      <c r="F13" s="51">
        <v>0.39</v>
      </c>
      <c r="G13" s="51">
        <v>65.09</v>
      </c>
      <c r="H13" s="51">
        <v>40.40</v>
      </c>
      <c r="I13" s="51">
        <v>1.07</v>
      </c>
      <c r="J13" s="51">
        <v>0.15</v>
      </c>
      <c r="K13" s="51">
        <v>325.22000000000003</v>
      </c>
      <c r="L13" s="51">
        <v>14.76</v>
      </c>
      <c r="M13" s="51">
        <v>68</v>
      </c>
      <c r="N13" s="51">
        <v>24.10</v>
      </c>
      <c r="O13" s="51">
        <v>0</v>
      </c>
      <c r="P13" s="51">
        <v>2.27</v>
      </c>
      <c r="Q13" s="51">
        <v>41.74</v>
      </c>
      <c r="R13" s="43"/>
      <c r="S13" s="43"/>
      <c r="T13" s="43"/>
      <c r="U13" s="43"/>
    </row>
    <row r="14" spans="1:21" s="11" customFormat="1" ht="15">
      <c r="A14" s="50" t="s">
        <v>764</v>
      </c>
      <c r="B14" s="51">
        <v>76.30</v>
      </c>
      <c r="C14" s="51">
        <v>107.49</v>
      </c>
      <c r="D14" s="51">
        <v>120.51</v>
      </c>
      <c r="E14" s="51">
        <v>4.59</v>
      </c>
      <c r="F14" s="51">
        <v>0.14000000000000001</v>
      </c>
      <c r="G14" s="51">
        <v>84.66</v>
      </c>
      <c r="H14" s="51">
        <v>39.61</v>
      </c>
      <c r="I14" s="51">
        <v>0.82</v>
      </c>
      <c r="J14" s="51">
        <v>0.12</v>
      </c>
      <c r="K14" s="51">
        <v>344.22</v>
      </c>
      <c r="L14" s="51">
        <v>14.49</v>
      </c>
      <c r="M14" s="51">
        <v>72</v>
      </c>
      <c r="N14" s="51">
        <v>24.30</v>
      </c>
      <c r="O14" s="51">
        <v>0</v>
      </c>
      <c r="P14" s="51">
        <v>1.83</v>
      </c>
      <c r="Q14" s="51">
        <v>37.270000000000003</v>
      </c>
      <c r="R14" s="43"/>
      <c r="S14" s="43"/>
      <c r="T14" s="43"/>
      <c r="U14" s="43"/>
    </row>
    <row r="15" spans="1:21" s="11" customFormat="1" ht="15">
      <c r="A15" s="50" t="s">
        <v>765</v>
      </c>
      <c r="B15" s="51">
        <v>103.19</v>
      </c>
      <c r="C15" s="51">
        <v>123.51</v>
      </c>
      <c r="D15" s="51">
        <v>150.91</v>
      </c>
      <c r="E15" s="51">
        <v>4.88</v>
      </c>
      <c r="F15" s="51">
        <v>0.13</v>
      </c>
      <c r="G15" s="51">
        <v>129.08000000000001</v>
      </c>
      <c r="H15" s="51">
        <v>43.53</v>
      </c>
      <c r="I15" s="51">
        <v>0.65</v>
      </c>
      <c r="J15" s="51">
        <v>0.10</v>
      </c>
      <c r="K15" s="51">
        <v>326.75</v>
      </c>
      <c r="L15" s="51">
        <v>14.33</v>
      </c>
      <c r="M15" s="51">
        <v>76</v>
      </c>
      <c r="N15" s="51">
        <v>33.60</v>
      </c>
      <c r="O15" s="51">
        <v>0</v>
      </c>
      <c r="P15" s="51">
        <v>1.67</v>
      </c>
      <c r="Q15" s="51">
        <v>39.79</v>
      </c>
      <c r="R15" s="43"/>
      <c r="S15" s="43"/>
      <c r="T15" s="43"/>
      <c r="U15" s="43"/>
    </row>
    <row r="16" spans="1:21" s="11" customFormat="1" ht="15">
      <c r="A16" s="50" t="s">
        <v>766</v>
      </c>
      <c r="B16" s="51">
        <v>117.28</v>
      </c>
      <c r="C16" s="51">
        <v>136.09</v>
      </c>
      <c r="D16" s="51">
        <v>169.16</v>
      </c>
      <c r="E16" s="51">
        <v>5.07</v>
      </c>
      <c r="F16" s="51">
        <v>0.43</v>
      </c>
      <c r="G16" s="51">
        <v>145.02000000000001</v>
      </c>
      <c r="H16" s="51">
        <v>51.45</v>
      </c>
      <c r="I16" s="51">
        <v>0.62</v>
      </c>
      <c r="J16" s="51">
        <v>0.28000000000000003</v>
      </c>
      <c r="K16" s="51">
        <v>348.42</v>
      </c>
      <c r="L16" s="51">
        <v>19.45</v>
      </c>
      <c r="M16" s="51">
        <v>76</v>
      </c>
      <c r="N16" s="51">
        <v>168.70</v>
      </c>
      <c r="O16" s="51">
        <v>0</v>
      </c>
      <c r="P16" s="51">
        <v>1.92</v>
      </c>
      <c r="Q16" s="51">
        <v>41.38</v>
      </c>
      <c r="R16" s="43"/>
      <c r="S16" s="43"/>
      <c r="T16" s="43"/>
      <c r="U16" s="43"/>
    </row>
    <row r="17" spans="1:21" s="11" customFormat="1" ht="15">
      <c r="A17" s="50" t="s">
        <v>767</v>
      </c>
      <c r="B17" s="51">
        <v>118.27</v>
      </c>
      <c r="C17" s="51">
        <v>143.59</v>
      </c>
      <c r="D17" s="51">
        <v>172.12</v>
      </c>
      <c r="E17" s="51">
        <v>4.7699999999999996</v>
      </c>
      <c r="F17" s="51">
        <v>0.27</v>
      </c>
      <c r="G17" s="51">
        <v>147.55000000000001</v>
      </c>
      <c r="H17" s="51">
        <v>64.19</v>
      </c>
      <c r="I17" s="51">
        <v>0.63</v>
      </c>
      <c r="J17" s="51">
        <v>0.56999999999999995</v>
      </c>
      <c r="K17" s="51">
        <v>161.15</v>
      </c>
      <c r="L17" s="51">
        <v>24.48</v>
      </c>
      <c r="M17" s="51">
        <v>49</v>
      </c>
      <c r="N17" s="51">
        <v>284.70</v>
      </c>
      <c r="O17" s="51">
        <v>0</v>
      </c>
      <c r="P17" s="51">
        <v>2.12</v>
      </c>
      <c r="Q17" s="51">
        <v>41.58</v>
      </c>
      <c r="R17" s="43"/>
      <c r="S17" s="43"/>
      <c r="T17" s="43"/>
      <c r="U17" s="43"/>
    </row>
    <row r="18" spans="1:21" s="11" customFormat="1" ht="15">
      <c r="A18" s="50" t="s">
        <v>768</v>
      </c>
      <c r="B18" s="51">
        <v>100.48</v>
      </c>
      <c r="C18" s="51">
        <v>140.75</v>
      </c>
      <c r="D18" s="51">
        <v>158.25</v>
      </c>
      <c r="E18" s="51">
        <v>4.9800000000000004</v>
      </c>
      <c r="F18" s="51">
        <v>0.46</v>
      </c>
      <c r="G18" s="51">
        <v>147.55000000000001</v>
      </c>
      <c r="H18" s="51">
        <v>67.27</v>
      </c>
      <c r="I18" s="51">
        <v>0.64</v>
      </c>
      <c r="J18" s="51">
        <v>0.63</v>
      </c>
      <c r="K18" s="51">
        <v>171.73</v>
      </c>
      <c r="L18" s="51">
        <v>25.76</v>
      </c>
      <c r="M18" s="51">
        <v>38</v>
      </c>
      <c r="N18" s="51">
        <v>329.80</v>
      </c>
      <c r="O18" s="51">
        <v>0</v>
      </c>
      <c r="P18" s="51">
        <v>2.0499999999999998</v>
      </c>
      <c r="Q18" s="51">
        <v>39.93</v>
      </c>
      <c r="R18" s="43"/>
      <c r="S18" s="43"/>
      <c r="T18" s="43"/>
      <c r="U18" s="43"/>
    </row>
    <row r="19" spans="1:21" s="11" customFormat="1" ht="15">
      <c r="A19" s="50" t="s">
        <v>769</v>
      </c>
      <c r="B19" s="51">
        <v>75.08</v>
      </c>
      <c r="C19" s="51">
        <v>129.40</v>
      </c>
      <c r="D19" s="51">
        <v>131.62</v>
      </c>
      <c r="E19" s="51">
        <v>4.58</v>
      </c>
      <c r="F19" s="51">
        <v>0.35</v>
      </c>
      <c r="G19" s="51">
        <v>88.63</v>
      </c>
      <c r="H19" s="51">
        <v>54.77</v>
      </c>
      <c r="I19" s="51">
        <v>0.60</v>
      </c>
      <c r="J19" s="51">
        <v>0.83</v>
      </c>
      <c r="K19" s="51">
        <v>144.63</v>
      </c>
      <c r="L19" s="51">
        <v>26.75</v>
      </c>
      <c r="M19" s="51">
        <v>32</v>
      </c>
      <c r="N19" s="51">
        <v>368.80</v>
      </c>
      <c r="O19" s="51">
        <v>0</v>
      </c>
      <c r="P19" s="51">
        <v>1.86</v>
      </c>
      <c r="Q19" s="51">
        <v>41.33</v>
      </c>
      <c r="R19" s="43"/>
      <c r="S19" s="43"/>
      <c r="T19" s="43"/>
      <c r="U19" s="43"/>
    </row>
    <row r="20" spans="1:21" s="11" customFormat="1" ht="15">
      <c r="A20" s="50" t="s">
        <v>770</v>
      </c>
      <c r="B20" s="51">
        <v>44.83</v>
      </c>
      <c r="C20" s="51">
        <v>120.22</v>
      </c>
      <c r="D20" s="51">
        <v>102.25</v>
      </c>
      <c r="E20" s="51">
        <v>3.92</v>
      </c>
      <c r="F20" s="51">
        <v>0.53</v>
      </c>
      <c r="G20" s="51">
        <v>54.72</v>
      </c>
      <c r="H20" s="51">
        <v>43.22</v>
      </c>
      <c r="I20" s="51">
        <v>0.53</v>
      </c>
      <c r="J20" s="51">
        <v>0.91</v>
      </c>
      <c r="K20" s="51">
        <v>167.02</v>
      </c>
      <c r="L20" s="51">
        <v>29.17</v>
      </c>
      <c r="M20" s="51">
        <v>26</v>
      </c>
      <c r="N20" s="51">
        <v>370.40</v>
      </c>
      <c r="O20" s="51">
        <v>0</v>
      </c>
      <c r="P20" s="51">
        <v>1.56</v>
      </c>
      <c r="Q20" s="51">
        <v>40.56</v>
      </c>
      <c r="R20" s="43"/>
      <c r="S20" s="43"/>
      <c r="T20" s="43"/>
      <c r="U20" s="43"/>
    </row>
    <row r="21" spans="1:21" s="11" customFormat="1" ht="15">
      <c r="A21" s="50" t="s">
        <v>771</v>
      </c>
      <c r="B21" s="51">
        <v>20.39</v>
      </c>
      <c r="C21" s="51">
        <v>113.22</v>
      </c>
      <c r="D21" s="51">
        <v>78.83</v>
      </c>
      <c r="E21" s="51">
        <v>4.87</v>
      </c>
      <c r="F21" s="51">
        <v>5.54</v>
      </c>
      <c r="G21" s="51">
        <v>55.04</v>
      </c>
      <c r="H21" s="51">
        <v>36.01</v>
      </c>
      <c r="I21" s="51">
        <v>0.44</v>
      </c>
      <c r="J21" s="51">
        <v>0.44</v>
      </c>
      <c r="K21" s="51">
        <v>156.37</v>
      </c>
      <c r="L21" s="51">
        <v>33.159999999999997</v>
      </c>
      <c r="M21" s="51">
        <v>22</v>
      </c>
      <c r="N21" s="51">
        <v>363.20</v>
      </c>
      <c r="O21" s="51">
        <v>0</v>
      </c>
      <c r="P21" s="51">
        <v>1.32</v>
      </c>
      <c r="Q21" s="51">
        <v>37.950000000000003</v>
      </c>
      <c r="R21" s="43"/>
      <c r="S21" s="43"/>
      <c r="T21" s="43"/>
      <c r="U21" s="43"/>
    </row>
    <row r="22" spans="1:21" s="11" customFormat="1" ht="15">
      <c r="A22" s="50" t="s">
        <v>772</v>
      </c>
      <c r="B22" s="51">
        <v>11.84</v>
      </c>
      <c r="C22" s="51">
        <v>98.41</v>
      </c>
      <c r="D22" s="51">
        <v>63.81</v>
      </c>
      <c r="E22" s="51">
        <v>5.18</v>
      </c>
      <c r="F22" s="51">
        <v>6.52</v>
      </c>
      <c r="G22" s="51">
        <v>55.04</v>
      </c>
      <c r="H22" s="51">
        <v>31.54</v>
      </c>
      <c r="I22" s="51">
        <v>0.38</v>
      </c>
      <c r="J22" s="51">
        <v>0.82</v>
      </c>
      <c r="K22" s="51">
        <v>30.09</v>
      </c>
      <c r="L22" s="51">
        <v>33.78</v>
      </c>
      <c r="M22" s="51">
        <v>22</v>
      </c>
      <c r="N22" s="51">
        <v>344.90</v>
      </c>
      <c r="O22" s="51">
        <v>0</v>
      </c>
      <c r="P22" s="51">
        <v>1.24</v>
      </c>
      <c r="Q22" s="51">
        <v>37.340000000000003</v>
      </c>
      <c r="R22" s="43"/>
      <c r="S22" s="43"/>
      <c r="T22" s="43"/>
      <c r="U22" s="43"/>
    </row>
    <row r="23" spans="1:21" s="11" customFormat="1" ht="15">
      <c r="A23" s="50" t="s">
        <v>773</v>
      </c>
      <c r="B23" s="51">
        <v>5.35</v>
      </c>
      <c r="C23" s="51">
        <v>99.68</v>
      </c>
      <c r="D23" s="51">
        <v>59.28</v>
      </c>
      <c r="E23" s="51">
        <v>4.53</v>
      </c>
      <c r="F23" s="51">
        <v>4.66</v>
      </c>
      <c r="G23" s="51">
        <v>55.71</v>
      </c>
      <c r="H23" s="51">
        <v>31.87</v>
      </c>
      <c r="I23" s="51">
        <v>0.38</v>
      </c>
      <c r="J23" s="51">
        <v>0.93</v>
      </c>
      <c r="K23" s="51">
        <v>358.86</v>
      </c>
      <c r="L23" s="51">
        <v>33.07</v>
      </c>
      <c r="M23" s="51">
        <v>22</v>
      </c>
      <c r="N23" s="51">
        <v>300.5</v>
      </c>
      <c r="O23" s="51">
        <v>0</v>
      </c>
      <c r="P23" s="51">
        <v>1.20</v>
      </c>
      <c r="Q23" s="51">
        <v>39.81</v>
      </c>
      <c r="R23" s="43"/>
      <c r="S23" s="43"/>
      <c r="T23" s="43"/>
      <c r="U23" s="43"/>
    </row>
    <row r="24" spans="1:21" s="11" customFormat="1" ht="15">
      <c r="A24" s="50" t="s">
        <v>774</v>
      </c>
      <c r="B24" s="51">
        <v>3.68</v>
      </c>
      <c r="C24" s="51">
        <v>98.85</v>
      </c>
      <c r="D24" s="51">
        <v>57.38</v>
      </c>
      <c r="E24" s="51">
        <v>8.2100000000000009</v>
      </c>
      <c r="F24" s="51">
        <v>12.86</v>
      </c>
      <c r="G24" s="51">
        <v>61.84</v>
      </c>
      <c r="H24" s="51">
        <v>37.51</v>
      </c>
      <c r="I24" s="51">
        <v>0.33</v>
      </c>
      <c r="J24" s="51">
        <v>0.61</v>
      </c>
      <c r="K24" s="51">
        <v>355.47</v>
      </c>
      <c r="L24" s="51">
        <v>32.01</v>
      </c>
      <c r="M24" s="51">
        <v>26</v>
      </c>
      <c r="N24" s="51">
        <v>204.30</v>
      </c>
      <c r="O24" s="51">
        <v>0</v>
      </c>
      <c r="P24" s="51">
        <v>1.22</v>
      </c>
      <c r="Q24" s="51">
        <v>38.54</v>
      </c>
      <c r="R24" s="43"/>
      <c r="S24" s="43"/>
      <c r="T24" s="43"/>
      <c r="U24" s="43"/>
    </row>
    <row r="25" spans="1:21" s="11" customFormat="1" ht="15">
      <c r="A25" s="50" t="s">
        <v>775</v>
      </c>
      <c r="B25" s="51">
        <v>7.30</v>
      </c>
      <c r="C25" s="51">
        <v>100.86</v>
      </c>
      <c r="D25" s="51">
        <v>61.52</v>
      </c>
      <c r="E25" s="51">
        <v>12.07</v>
      </c>
      <c r="F25" s="51">
        <v>15.58</v>
      </c>
      <c r="G25" s="51">
        <v>68.37</v>
      </c>
      <c r="H25" s="51">
        <v>39.10</v>
      </c>
      <c r="I25" s="51">
        <v>0.28999999999999998</v>
      </c>
      <c r="J25" s="51">
        <v>0.83</v>
      </c>
      <c r="K25" s="51">
        <v>20.13</v>
      </c>
      <c r="L25" s="51">
        <v>29.30</v>
      </c>
      <c r="M25" s="51">
        <v>33</v>
      </c>
      <c r="N25" s="51">
        <v>60.90</v>
      </c>
      <c r="O25" s="51">
        <v>0</v>
      </c>
      <c r="P25" s="51">
        <v>1.33</v>
      </c>
      <c r="Q25" s="51">
        <v>35.74</v>
      </c>
      <c r="R25" s="43"/>
      <c r="S25" s="43"/>
      <c r="T25" s="43"/>
      <c r="U25" s="43"/>
    </row>
    <row r="26" spans="1:21" s="11" customFormat="1" ht="15">
      <c r="A26" s="50" t="s">
        <v>776</v>
      </c>
      <c r="B26" s="51">
        <v>19.149999999999999</v>
      </c>
      <c r="C26" s="51">
        <v>125.05</v>
      </c>
      <c r="D26" s="51">
        <v>84.37</v>
      </c>
      <c r="E26" s="51">
        <v>12.14</v>
      </c>
      <c r="F26" s="51">
        <v>4.45</v>
      </c>
      <c r="G26" s="51">
        <v>95.94</v>
      </c>
      <c r="H26" s="51">
        <v>38.630000000000003</v>
      </c>
      <c r="I26" s="51">
        <v>0.38</v>
      </c>
      <c r="J26" s="51">
        <v>0.35</v>
      </c>
      <c r="K26" s="51">
        <v>359.17</v>
      </c>
      <c r="L26" s="51">
        <v>26.61</v>
      </c>
      <c r="M26" s="51">
        <v>48</v>
      </c>
      <c r="N26" s="51">
        <v>31.30</v>
      </c>
      <c r="O26" s="51">
        <v>0</v>
      </c>
      <c r="P26" s="51">
        <v>1.59</v>
      </c>
      <c r="Q26" s="51">
        <v>41.18</v>
      </c>
      <c r="R26" s="43"/>
      <c r="S26" s="43"/>
      <c r="T26" s="43"/>
      <c r="U26" s="43"/>
    </row>
    <row r="27" spans="1:21" s="11" customFormat="1" ht="15">
      <c r="A27" s="50" t="s">
        <v>777</v>
      </c>
      <c r="B27" s="51">
        <v>27.20</v>
      </c>
      <c r="C27" s="51">
        <v>128.53</v>
      </c>
      <c r="D27" s="51">
        <v>92.74</v>
      </c>
      <c r="E27" s="51">
        <v>5.12</v>
      </c>
      <c r="F27" s="51">
        <v>0.15</v>
      </c>
      <c r="G27" s="51">
        <v>120.05</v>
      </c>
      <c r="H27" s="51">
        <v>46.97</v>
      </c>
      <c r="I27" s="51">
        <v>0.46</v>
      </c>
      <c r="J27" s="51">
        <v>0.10</v>
      </c>
      <c r="K27" s="51">
        <v>264.23</v>
      </c>
      <c r="L27" s="51">
        <v>23.48</v>
      </c>
      <c r="M27" s="51">
        <v>59</v>
      </c>
      <c r="N27" s="51">
        <v>24.5</v>
      </c>
      <c r="O27" s="51">
        <v>0</v>
      </c>
      <c r="P27" s="51">
        <v>1.82</v>
      </c>
      <c r="Q27" s="51">
        <v>41.95</v>
      </c>
      <c r="R27" s="43"/>
      <c r="S27" s="43"/>
      <c r="T27" s="43"/>
      <c r="U27" s="43"/>
    </row>
    <row r="28" spans="1:21" s="11" customFormat="1" ht="15">
      <c r="A28" s="50" t="s">
        <v>778</v>
      </c>
      <c r="B28" s="51">
        <v>57.41</v>
      </c>
      <c r="C28" s="51">
        <v>145.08000000000001</v>
      </c>
      <c r="D28" s="51">
        <v>126.11</v>
      </c>
      <c r="E28" s="51">
        <v>5.45</v>
      </c>
      <c r="F28" s="51">
        <v>0.20</v>
      </c>
      <c r="G28" s="51">
        <v>183.18</v>
      </c>
      <c r="H28" s="51">
        <v>58.10</v>
      </c>
      <c r="I28" s="51">
        <v>0.66</v>
      </c>
      <c r="J28" s="51">
        <v>0.06</v>
      </c>
      <c r="K28" s="51">
        <v>336.70</v>
      </c>
      <c r="L28" s="51">
        <v>21.98</v>
      </c>
      <c r="M28" s="51">
        <v>61</v>
      </c>
      <c r="N28" s="51">
        <v>24.40</v>
      </c>
      <c r="O28" s="51">
        <v>0</v>
      </c>
      <c r="P28" s="51">
        <v>2.36</v>
      </c>
      <c r="Q28" s="51">
        <v>41.10</v>
      </c>
      <c r="R28" s="43"/>
      <c r="S28" s="43"/>
      <c r="T28" s="43"/>
      <c r="U28" s="43"/>
    </row>
    <row r="29" spans="1:21" s="11" customFormat="1" ht="15">
      <c r="A29" s="50" t="s">
        <v>779</v>
      </c>
      <c r="B29" s="51">
        <v>82.87</v>
      </c>
      <c r="C29" s="51">
        <v>150.49</v>
      </c>
      <c r="D29" s="51">
        <v>149.51</v>
      </c>
      <c r="E29" s="51">
        <v>5.24</v>
      </c>
      <c r="F29" s="51">
        <v>0.25</v>
      </c>
      <c r="G29" s="51">
        <v>183.18</v>
      </c>
      <c r="H29" s="51">
        <v>75.89</v>
      </c>
      <c r="I29" s="51">
        <v>0.92</v>
      </c>
      <c r="J29" s="51">
        <v>0.10</v>
      </c>
      <c r="K29" s="51">
        <v>319.35000000000002</v>
      </c>
      <c r="L29" s="51">
        <v>21.10</v>
      </c>
      <c r="M29" s="51">
        <v>64</v>
      </c>
      <c r="N29" s="51">
        <v>24.30</v>
      </c>
      <c r="O29" s="51">
        <v>0</v>
      </c>
      <c r="P29" s="51">
        <v>2.92</v>
      </c>
      <c r="Q29" s="51">
        <v>45.20</v>
      </c>
      <c r="R29" s="43"/>
      <c r="S29" s="43"/>
      <c r="T29" s="43"/>
      <c r="U29" s="43"/>
    </row>
    <row r="30" spans="1:21" s="11" customFormat="1" ht="15">
      <c r="A30" s="50" t="s">
        <v>780</v>
      </c>
      <c r="B30" s="51">
        <v>115.41</v>
      </c>
      <c r="C30" s="51">
        <v>172.17</v>
      </c>
      <c r="D30" s="51">
        <v>187.56</v>
      </c>
      <c r="E30" s="51">
        <v>6</v>
      </c>
      <c r="F30" s="51">
        <v>0.08</v>
      </c>
      <c r="G30" s="51">
        <v>211.43</v>
      </c>
      <c r="H30" s="51">
        <v>87.56</v>
      </c>
      <c r="I30" s="51">
        <v>1.20</v>
      </c>
      <c r="J30" s="51">
        <v>0.12</v>
      </c>
      <c r="K30" s="51">
        <v>344.33</v>
      </c>
      <c r="L30" s="51">
        <v>20.61</v>
      </c>
      <c r="M30" s="51">
        <v>64</v>
      </c>
      <c r="N30" s="51">
        <v>24.5</v>
      </c>
      <c r="O30" s="51">
        <v>0</v>
      </c>
      <c r="P30" s="51">
        <v>3.62</v>
      </c>
      <c r="Q30" s="51">
        <v>49.04</v>
      </c>
      <c r="R30" s="43"/>
      <c r="S30" s="43"/>
      <c r="T30" s="43"/>
      <c r="U30" s="43"/>
    </row>
    <row r="31" spans="1:21" s="11" customFormat="1" ht="15">
      <c r="A31" s="50" t="s">
        <v>781</v>
      </c>
      <c r="B31" s="51">
        <v>145.88</v>
      </c>
      <c r="C31" s="51">
        <v>190.33</v>
      </c>
      <c r="D31" s="51">
        <v>221.95</v>
      </c>
      <c r="E31" s="51">
        <v>6.32</v>
      </c>
      <c r="F31" s="51">
        <v>0.06</v>
      </c>
      <c r="G31" s="51">
        <v>211.43</v>
      </c>
      <c r="H31" s="51">
        <v>89.66</v>
      </c>
      <c r="I31" s="51">
        <v>1.43</v>
      </c>
      <c r="J31" s="51">
        <v>0.14000000000000001</v>
      </c>
      <c r="K31" s="51">
        <v>355.54</v>
      </c>
      <c r="L31" s="51">
        <v>19.559999999999999</v>
      </c>
      <c r="M31" s="51">
        <v>66</v>
      </c>
      <c r="N31" s="51">
        <v>24.30</v>
      </c>
      <c r="O31" s="51">
        <v>0</v>
      </c>
      <c r="P31" s="51">
        <v>4.05</v>
      </c>
      <c r="Q31" s="51">
        <v>50.68</v>
      </c>
      <c r="R31" s="43"/>
      <c r="S31" s="43"/>
      <c r="T31" s="43"/>
      <c r="U31" s="43"/>
    </row>
    <row r="32" spans="1:21" s="11" customFormat="1" ht="15">
      <c r="A32" s="50" t="s">
        <v>782</v>
      </c>
      <c r="B32" s="51">
        <v>143.86000000000001</v>
      </c>
      <c r="C32" s="51">
        <v>185.70</v>
      </c>
      <c r="D32" s="51">
        <v>217.85</v>
      </c>
      <c r="E32" s="51">
        <v>6.89</v>
      </c>
      <c r="F32" s="51">
        <v>0.04</v>
      </c>
      <c r="G32" s="51">
        <v>195.81</v>
      </c>
      <c r="H32" s="51">
        <v>83.54</v>
      </c>
      <c r="I32" s="51">
        <v>1.43</v>
      </c>
      <c r="J32" s="51">
        <v>0.11</v>
      </c>
      <c r="K32" s="51">
        <v>333.65</v>
      </c>
      <c r="L32" s="51">
        <v>18.77</v>
      </c>
      <c r="M32" s="51">
        <v>68</v>
      </c>
      <c r="N32" s="51">
        <v>24.40</v>
      </c>
      <c r="O32" s="51">
        <v>0</v>
      </c>
      <c r="P32" s="51">
        <v>3.99</v>
      </c>
      <c r="Q32" s="51">
        <v>49.03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3.6800000000000002</v>
      </c>
      <c r="C34" s="28">
        <f t="shared" si="0"/>
        <v>98.409999999999997</v>
      </c>
      <c r="D34" s="28">
        <f t="shared" si="0"/>
        <v>57.380000000000003</v>
      </c>
      <c r="E34" s="28">
        <f t="shared" si="0"/>
        <v>3.9199999999999999</v>
      </c>
      <c r="F34" s="28">
        <f t="shared" si="0"/>
        <v>0.040000000000000001</v>
      </c>
      <c r="G34" s="28">
        <f t="shared" si="0"/>
        <v>54.719999999999999</v>
      </c>
      <c r="H34" s="28">
        <f t="shared" si="0"/>
        <v>31.539999999999999</v>
      </c>
      <c r="I34" s="28">
        <f t="shared" si="0"/>
        <v>0.28999999999999998</v>
      </c>
      <c r="J34" s="28">
        <f t="shared" si="0"/>
        <v>0.059999999999999998</v>
      </c>
      <c r="K34" s="28">
        <f t="shared" si="0"/>
        <v>20.129999999999999</v>
      </c>
      <c r="L34" s="28">
        <f t="shared" si="0"/>
        <v>14.33</v>
      </c>
      <c r="M34" s="28">
        <f t="shared" si="0"/>
        <v>22</v>
      </c>
      <c r="N34" s="28">
        <f t="shared" si="0"/>
        <v>24.100000000000001</v>
      </c>
      <c r="O34" s="28">
        <f t="shared" si="0"/>
        <v>0</v>
      </c>
      <c r="P34" s="28">
        <f t="shared" si="0"/>
        <v>1.2</v>
      </c>
      <c r="Q34" s="28">
        <f t="shared" si="0"/>
        <v>35.740000000000002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201.81</v>
      </c>
      <c r="C35" s="29">
        <f t="shared" si="1"/>
        <v>190.33000000000001</v>
      </c>
      <c r="D35" s="29">
        <f t="shared" si="1"/>
        <v>266.60000000000002</v>
      </c>
      <c r="E35" s="29">
        <f t="shared" si="1"/>
        <v>12.140000000000001</v>
      </c>
      <c r="F35" s="29">
        <f t="shared" si="1"/>
        <v>15.58</v>
      </c>
      <c r="G35" s="29">
        <f t="shared" si="1"/>
        <v>211.43000000000001</v>
      </c>
      <c r="H35" s="29">
        <f t="shared" si="1"/>
        <v>89.659999999999997</v>
      </c>
      <c r="I35" s="29">
        <f t="shared" si="1"/>
        <v>1.6499999999999999</v>
      </c>
      <c r="J35" s="29">
        <f t="shared" si="1"/>
        <v>0.93000000000000005</v>
      </c>
      <c r="K35" s="29">
        <f t="shared" si="1"/>
        <v>359.17000000000002</v>
      </c>
      <c r="L35" s="29">
        <f t="shared" si="1"/>
        <v>33.780000000000001</v>
      </c>
      <c r="M35" s="29">
        <f t="shared" si="1"/>
        <v>76</v>
      </c>
      <c r="N35" s="29">
        <f t="shared" si="1"/>
        <v>370.39999999999998</v>
      </c>
      <c r="O35" s="29">
        <f t="shared" si="1"/>
        <v>0</v>
      </c>
      <c r="P35" s="29">
        <f t="shared" si="1"/>
        <v>4.0499999999999998</v>
      </c>
      <c r="Q35" s="29">
        <f t="shared" si="1"/>
        <v>52.090000000000003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85.349166666666676</v>
      </c>
      <c r="C36" s="28">
        <f t="shared" si="2"/>
        <v>137.28708333333336</v>
      </c>
      <c r="D36" s="28">
        <f t="shared" si="2"/>
        <v>144.11541666666665</v>
      </c>
      <c r="E36" s="28">
        <f t="shared" si="2"/>
        <v>5.8666666666666663</v>
      </c>
      <c r="F36" s="28">
        <f t="shared" si="2"/>
        <v>2.2479166666666668</v>
      </c>
      <c r="G36" s="28">
        <f t="shared" si="2"/>
        <v>121.13291666666663</v>
      </c>
      <c r="H36" s="28">
        <f t="shared" si="2"/>
        <v>56.114583333333336</v>
      </c>
      <c r="I36" s="28">
        <f t="shared" si="2"/>
        <v>0.8354166666666667</v>
      </c>
      <c r="J36" s="28">
        <f t="shared" si="2"/>
        <v>0.36916666666666664</v>
      </c>
      <c r="K36" s="28">
        <f t="shared" si="2"/>
        <v>271.55041666666671</v>
      </c>
      <c r="L36" s="28">
        <f t="shared" si="2"/>
        <v>22.867916666666662</v>
      </c>
      <c r="M36" s="28">
        <f t="shared" si="2"/>
        <v>52.375</v>
      </c>
      <c r="N36" s="28">
        <f t="shared" si="2"/>
        <v>131.38333333333335</v>
      </c>
      <c r="O36" s="28">
        <f t="shared" si="2"/>
        <v>0</v>
      </c>
      <c r="P36" s="28">
        <f t="shared" si="2"/>
        <v>2.3374999999999999</v>
      </c>
      <c r="Q36" s="28">
        <f t="shared" si="2"/>
        <v>42.710833333333341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59.602822950118629</v>
      </c>
      <c r="C37" s="28">
        <f t="shared" si="3" ref="C37:Q37">STDEV(C9:C32)</f>
        <v>29.700595730984293</v>
      </c>
      <c r="D37" s="28">
        <f t="shared" si="3"/>
        <v>62.377360370372926</v>
      </c>
      <c r="E37" s="28">
        <f t="shared" si="3"/>
        <v>2.1125477440792886</v>
      </c>
      <c r="F37" s="28">
        <f t="shared" si="3"/>
        <v>4.1857729836930355</v>
      </c>
      <c r="G37" s="28">
        <f t="shared" si="3"/>
        <v>56.999393015774118</v>
      </c>
      <c r="H37" s="28">
        <f t="shared" si="3"/>
        <v>18.997749976422611</v>
      </c>
      <c r="I37" s="28">
        <f t="shared" si="3"/>
        <v>0.45657495376531193</v>
      </c>
      <c r="J37" s="28">
        <f t="shared" si="3"/>
        <v>0.30989362363723211</v>
      </c>
      <c r="K37" s="28">
        <f t="shared" si="3"/>
        <v>106.0547227277612</v>
      </c>
      <c r="L37" s="28">
        <f t="shared" si="3"/>
        <v>6.4364640435613474</v>
      </c>
      <c r="M37" s="28">
        <f t="shared" si="3"/>
        <v>19.334161026760267</v>
      </c>
      <c r="N37" s="28">
        <f t="shared" si="3"/>
        <v>143.41341477083611</v>
      </c>
      <c r="O37" s="28">
        <f t="shared" si="3"/>
        <v>0</v>
      </c>
      <c r="P37" s="28">
        <f t="shared" si="3"/>
        <v>0.99282753876951291</v>
      </c>
      <c r="Q37" s="28">
        <f t="shared" si="3"/>
        <v>4.7252742424822358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615de90-9c85-45c6-9f87-6c6d4250dae4}">
  <sheetPr codeName=""/>
  <dimension ref="A1:U119"/>
  <sheetViews>
    <sheetView workbookViewId="0" topLeftCell="A1">
      <selection pane="topLeft" activeCell="M40" sqref="M4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31-12-2022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783</v>
      </c>
      <c r="B9" s="51">
        <v>139.49</v>
      </c>
      <c r="C9" s="51">
        <v>177.27</v>
      </c>
      <c r="D9" s="51">
        <v>209.69</v>
      </c>
      <c r="E9" s="51">
        <v>5.16</v>
      </c>
      <c r="F9" s="51">
        <v>0.01</v>
      </c>
      <c r="G9" s="51">
        <v>193.06</v>
      </c>
      <c r="H9" s="51">
        <v>78.75</v>
      </c>
      <c r="I9" s="51">
        <v>1.40</v>
      </c>
      <c r="J9" s="51">
        <v>0.06</v>
      </c>
      <c r="K9" s="51">
        <v>243.88</v>
      </c>
      <c r="L9" s="51">
        <v>18.32</v>
      </c>
      <c r="M9" s="51">
        <v>71</v>
      </c>
      <c r="N9" s="51">
        <v>24.5</v>
      </c>
      <c r="O9" s="51">
        <v>0</v>
      </c>
      <c r="P9" s="51">
        <v>3.79</v>
      </c>
      <c r="Q9" s="51">
        <v>49.83</v>
      </c>
      <c r="R9" s="43"/>
      <c r="S9" s="43"/>
      <c r="T9" s="43"/>
      <c r="U9" s="43"/>
    </row>
    <row r="10" spans="1:21" s="11" customFormat="1" ht="15">
      <c r="A10" s="50" t="s">
        <v>784</v>
      </c>
      <c r="B10" s="51">
        <v>109.30</v>
      </c>
      <c r="C10" s="51">
        <v>155.01</v>
      </c>
      <c r="D10" s="51">
        <v>173.20</v>
      </c>
      <c r="E10" s="51">
        <v>4.53</v>
      </c>
      <c r="F10" s="51">
        <v>0.02</v>
      </c>
      <c r="G10" s="51">
        <v>112.98</v>
      </c>
      <c r="H10" s="51">
        <v>69.989999999999995</v>
      </c>
      <c r="I10" s="51">
        <v>1.19</v>
      </c>
      <c r="J10" s="51">
        <v>0.070000000000000007</v>
      </c>
      <c r="K10" s="51">
        <v>324.20</v>
      </c>
      <c r="L10" s="51">
        <v>17.600000000000001</v>
      </c>
      <c r="M10" s="51">
        <v>74</v>
      </c>
      <c r="N10" s="51">
        <v>24.40</v>
      </c>
      <c r="O10" s="51">
        <v>0</v>
      </c>
      <c r="P10" s="51">
        <v>2.98</v>
      </c>
      <c r="Q10" s="51">
        <v>48.10</v>
      </c>
      <c r="R10" s="43"/>
      <c r="S10" s="43"/>
      <c r="T10" s="43"/>
      <c r="U10" s="43"/>
    </row>
    <row r="11" spans="1:21" s="11" customFormat="1" ht="15">
      <c r="A11" s="50" t="s">
        <v>785</v>
      </c>
      <c r="B11" s="51">
        <v>79</v>
      </c>
      <c r="C11" s="51">
        <v>135.05000000000001</v>
      </c>
      <c r="D11" s="51">
        <v>137.88</v>
      </c>
      <c r="E11" s="51">
        <v>3.98</v>
      </c>
      <c r="F11" s="59" t="s">
        <v>18</v>
      </c>
      <c r="G11" s="51">
        <v>93.20</v>
      </c>
      <c r="H11" s="51">
        <v>60.44</v>
      </c>
      <c r="I11" s="51">
        <v>0.92</v>
      </c>
      <c r="J11" s="51">
        <v>0.12</v>
      </c>
      <c r="K11" s="51">
        <v>322.08</v>
      </c>
      <c r="L11" s="51">
        <v>17.11</v>
      </c>
      <c r="M11" s="51">
        <v>77</v>
      </c>
      <c r="N11" s="51">
        <v>24.30</v>
      </c>
      <c r="O11" s="51">
        <v>0</v>
      </c>
      <c r="P11" s="51">
        <v>2.66</v>
      </c>
      <c r="Q11" s="51">
        <v>44.07</v>
      </c>
      <c r="R11" s="43"/>
      <c r="S11" s="43"/>
      <c r="T11" s="43"/>
      <c r="U11" s="43"/>
    </row>
    <row r="12" spans="1:21" s="11" customFormat="1" ht="15">
      <c r="A12" s="50" t="s">
        <v>786</v>
      </c>
      <c r="B12" s="51">
        <v>62.72</v>
      </c>
      <c r="C12" s="51">
        <v>120.21</v>
      </c>
      <c r="D12" s="51">
        <v>116.64</v>
      </c>
      <c r="E12" s="51">
        <v>4.2699999999999996</v>
      </c>
      <c r="F12" s="51">
        <v>0.070000000000000007</v>
      </c>
      <c r="G12" s="51">
        <v>96.73</v>
      </c>
      <c r="H12" s="51">
        <v>55.61</v>
      </c>
      <c r="I12" s="51">
        <v>0.79</v>
      </c>
      <c r="J12" s="51">
        <v>0.09</v>
      </c>
      <c r="K12" s="51">
        <v>310.30</v>
      </c>
      <c r="L12" s="51">
        <v>16.899999999999999</v>
      </c>
      <c r="M12" s="51">
        <v>79</v>
      </c>
      <c r="N12" s="51">
        <v>24.5</v>
      </c>
      <c r="O12" s="51">
        <v>0</v>
      </c>
      <c r="P12" s="51">
        <v>2.35</v>
      </c>
      <c r="Q12" s="51">
        <v>40.93</v>
      </c>
      <c r="R12" s="43"/>
      <c r="S12" s="43"/>
      <c r="T12" s="43"/>
      <c r="U12" s="43"/>
    </row>
    <row r="13" spans="1:21" s="11" customFormat="1" ht="15">
      <c r="A13" s="50" t="s">
        <v>787</v>
      </c>
      <c r="B13" s="51">
        <v>51.95</v>
      </c>
      <c r="C13" s="51">
        <v>110.67</v>
      </c>
      <c r="D13" s="51">
        <v>102.74</v>
      </c>
      <c r="E13" s="51">
        <v>5.88</v>
      </c>
      <c r="F13" s="51">
        <v>0.070000000000000007</v>
      </c>
      <c r="G13" s="51">
        <v>96.73</v>
      </c>
      <c r="H13" s="51">
        <v>51.52</v>
      </c>
      <c r="I13" s="51">
        <v>0.71</v>
      </c>
      <c r="J13" s="51">
        <v>0.15</v>
      </c>
      <c r="K13" s="51">
        <v>334.44</v>
      </c>
      <c r="L13" s="51">
        <v>16.920000000000002</v>
      </c>
      <c r="M13" s="51">
        <v>80</v>
      </c>
      <c r="N13" s="51">
        <v>24.5</v>
      </c>
      <c r="O13" s="51">
        <v>0</v>
      </c>
      <c r="P13" s="51">
        <v>2.08</v>
      </c>
      <c r="Q13" s="51">
        <v>41.85</v>
      </c>
      <c r="R13" s="43"/>
      <c r="S13" s="43"/>
      <c r="T13" s="43"/>
      <c r="U13" s="43"/>
    </row>
    <row r="14" spans="1:21" s="11" customFormat="1" ht="15">
      <c r="A14" s="50" t="s">
        <v>788</v>
      </c>
      <c r="B14" s="51">
        <v>48.97</v>
      </c>
      <c r="C14" s="51">
        <v>109.14</v>
      </c>
      <c r="D14" s="51">
        <v>99.5</v>
      </c>
      <c r="E14" s="51">
        <v>5.28</v>
      </c>
      <c r="F14" s="51">
        <v>0.11</v>
      </c>
      <c r="G14" s="51">
        <v>95.37</v>
      </c>
      <c r="H14" s="51">
        <v>52.02</v>
      </c>
      <c r="I14" s="51">
        <v>0.60</v>
      </c>
      <c r="J14" s="51">
        <v>0.09</v>
      </c>
      <c r="K14" s="51">
        <v>315.41000000000003</v>
      </c>
      <c r="L14" s="51">
        <v>17.02</v>
      </c>
      <c r="M14" s="51">
        <v>80</v>
      </c>
      <c r="N14" s="51">
        <v>24.5</v>
      </c>
      <c r="O14" s="51">
        <v>0</v>
      </c>
      <c r="P14" s="51">
        <v>1.89</v>
      </c>
      <c r="Q14" s="51">
        <v>40.94</v>
      </c>
      <c r="R14" s="43"/>
      <c r="S14" s="43"/>
      <c r="T14" s="43"/>
      <c r="U14" s="43"/>
    </row>
    <row r="15" spans="1:21" s="11" customFormat="1" ht="15">
      <c r="A15" s="50" t="s">
        <v>789</v>
      </c>
      <c r="B15" s="51">
        <v>47.12</v>
      </c>
      <c r="C15" s="51">
        <v>107.68</v>
      </c>
      <c r="D15" s="51">
        <v>97.12</v>
      </c>
      <c r="E15" s="51">
        <v>5.48</v>
      </c>
      <c r="F15" s="51">
        <v>0.06</v>
      </c>
      <c r="G15" s="51">
        <v>117.51</v>
      </c>
      <c r="H15" s="51">
        <v>56.57</v>
      </c>
      <c r="I15" s="51">
        <v>0.53</v>
      </c>
      <c r="J15" s="51">
        <v>0.30</v>
      </c>
      <c r="K15" s="51">
        <v>355.68</v>
      </c>
      <c r="L15" s="51">
        <v>17.309999999999999</v>
      </c>
      <c r="M15" s="51">
        <v>76</v>
      </c>
      <c r="N15" s="51">
        <v>33.200000000000003</v>
      </c>
      <c r="O15" s="51">
        <v>0</v>
      </c>
      <c r="P15" s="51">
        <v>1.87</v>
      </c>
      <c r="Q15" s="51">
        <v>38.53</v>
      </c>
      <c r="R15" s="43"/>
      <c r="S15" s="43"/>
      <c r="T15" s="43"/>
      <c r="U15" s="43"/>
    </row>
    <row r="16" spans="1:21" s="11" customFormat="1" ht="15">
      <c r="A16" s="50" t="s">
        <v>790</v>
      </c>
      <c r="B16" s="51">
        <v>55.53</v>
      </c>
      <c r="C16" s="51">
        <v>109.84</v>
      </c>
      <c r="D16" s="51">
        <v>104.75</v>
      </c>
      <c r="E16" s="51">
        <v>5.41</v>
      </c>
      <c r="F16" s="51">
        <v>0.06</v>
      </c>
      <c r="G16" s="51">
        <v>131.07</v>
      </c>
      <c r="H16" s="51">
        <v>61.42</v>
      </c>
      <c r="I16" s="51">
        <v>0.55000000000000004</v>
      </c>
      <c r="J16" s="51">
        <v>0.41</v>
      </c>
      <c r="K16" s="51">
        <v>345.01</v>
      </c>
      <c r="L16" s="51">
        <v>19.87</v>
      </c>
      <c r="M16" s="51">
        <v>78</v>
      </c>
      <c r="N16" s="51">
        <v>133.60</v>
      </c>
      <c r="O16" s="51">
        <v>0</v>
      </c>
      <c r="P16" s="51">
        <v>2.10</v>
      </c>
      <c r="Q16" s="51">
        <v>40.58</v>
      </c>
      <c r="R16" s="43"/>
      <c r="S16" s="43"/>
      <c r="T16" s="43"/>
      <c r="U16" s="43"/>
    </row>
    <row r="17" spans="1:21" s="11" customFormat="1" ht="15">
      <c r="A17" s="50" t="s">
        <v>791</v>
      </c>
      <c r="B17" s="51">
        <v>61.23</v>
      </c>
      <c r="C17" s="51">
        <v>124.43</v>
      </c>
      <c r="D17" s="51">
        <v>116.30</v>
      </c>
      <c r="E17" s="51">
        <v>4.68</v>
      </c>
      <c r="F17" s="51">
        <v>0.06</v>
      </c>
      <c r="G17" s="51">
        <v>164.78</v>
      </c>
      <c r="H17" s="51">
        <v>67.489999999999995</v>
      </c>
      <c r="I17" s="51">
        <v>0.55000000000000004</v>
      </c>
      <c r="J17" s="51">
        <v>0.28000000000000003</v>
      </c>
      <c r="K17" s="51">
        <v>359.67</v>
      </c>
      <c r="L17" s="51">
        <v>27.09</v>
      </c>
      <c r="M17" s="51">
        <v>61</v>
      </c>
      <c r="N17" s="51">
        <v>230</v>
      </c>
      <c r="O17" s="51">
        <v>0</v>
      </c>
      <c r="P17" s="51">
        <v>2.39</v>
      </c>
      <c r="Q17" s="51">
        <v>41.20</v>
      </c>
      <c r="R17" s="43"/>
      <c r="S17" s="43"/>
      <c r="T17" s="43"/>
      <c r="U17" s="43"/>
    </row>
    <row r="18" spans="1:21" s="11" customFormat="1" ht="15">
      <c r="A18" s="50" t="s">
        <v>792</v>
      </c>
      <c r="B18" s="51">
        <v>56.61</v>
      </c>
      <c r="C18" s="51">
        <v>132.10</v>
      </c>
      <c r="D18" s="51">
        <v>116.29</v>
      </c>
      <c r="E18" s="51">
        <v>6.02</v>
      </c>
      <c r="F18" s="51">
        <v>1.74</v>
      </c>
      <c r="G18" s="51">
        <v>164.78</v>
      </c>
      <c r="H18" s="51">
        <v>77.150000000000006</v>
      </c>
      <c r="I18" s="51">
        <v>0.56000000000000005</v>
      </c>
      <c r="J18" s="51">
        <v>0.49</v>
      </c>
      <c r="K18" s="51">
        <v>357.02</v>
      </c>
      <c r="L18" s="51">
        <v>30.17</v>
      </c>
      <c r="M18" s="51">
        <v>38</v>
      </c>
      <c r="N18" s="51">
        <v>273.89999999999998</v>
      </c>
      <c r="O18" s="51">
        <v>0</v>
      </c>
      <c r="P18" s="51">
        <v>2.46</v>
      </c>
      <c r="Q18" s="51">
        <v>40.799999999999997</v>
      </c>
      <c r="R18" s="43"/>
      <c r="S18" s="43"/>
      <c r="T18" s="43"/>
      <c r="U18" s="43"/>
    </row>
    <row r="19" spans="1:21" s="11" customFormat="1" ht="15">
      <c r="A19" s="50" t="s">
        <v>793</v>
      </c>
      <c r="B19" s="51">
        <v>42.75</v>
      </c>
      <c r="C19" s="51">
        <v>144.01</v>
      </c>
      <c r="D19" s="51">
        <v>106.90</v>
      </c>
      <c r="E19" s="51">
        <v>13.58</v>
      </c>
      <c r="F19" s="51">
        <v>4.24</v>
      </c>
      <c r="G19" s="51">
        <v>171.84</v>
      </c>
      <c r="H19" s="51">
        <v>83</v>
      </c>
      <c r="I19" s="51">
        <v>0.56000000000000005</v>
      </c>
      <c r="J19" s="51">
        <v>1.02</v>
      </c>
      <c r="K19" s="51">
        <v>356.01</v>
      </c>
      <c r="L19" s="51">
        <v>33.21</v>
      </c>
      <c r="M19" s="51">
        <v>32</v>
      </c>
      <c r="N19" s="51">
        <v>321.70</v>
      </c>
      <c r="O19" s="51">
        <v>0</v>
      </c>
      <c r="P19" s="51">
        <v>2.4900000000000002</v>
      </c>
      <c r="Q19" s="51">
        <v>39.69</v>
      </c>
      <c r="R19" s="43"/>
      <c r="S19" s="43"/>
      <c r="T19" s="43"/>
      <c r="U19" s="43"/>
    </row>
    <row r="20" spans="1:21" s="11" customFormat="1" ht="15">
      <c r="A20" s="50" t="s">
        <v>794</v>
      </c>
      <c r="B20" s="51">
        <v>9.42</v>
      </c>
      <c r="C20" s="51">
        <v>138.82</v>
      </c>
      <c r="D20" s="51">
        <v>84.17</v>
      </c>
      <c r="E20" s="51">
        <v>9.81</v>
      </c>
      <c r="F20" s="51">
        <v>12.33</v>
      </c>
      <c r="G20" s="51">
        <v>171.84</v>
      </c>
      <c r="H20" s="51">
        <v>84</v>
      </c>
      <c r="I20" s="51">
        <v>0.48</v>
      </c>
      <c r="J20" s="51">
        <v>1.1399999999999999</v>
      </c>
      <c r="K20" s="51">
        <v>359.98</v>
      </c>
      <c r="L20" s="51">
        <v>34.229999999999997</v>
      </c>
      <c r="M20" s="51">
        <v>26</v>
      </c>
      <c r="N20" s="51">
        <v>342.70</v>
      </c>
      <c r="O20" s="51">
        <v>0</v>
      </c>
      <c r="P20" s="51">
        <v>1.96</v>
      </c>
      <c r="Q20" s="51">
        <v>28.15</v>
      </c>
      <c r="R20" s="43"/>
      <c r="S20" s="43"/>
      <c r="T20" s="43"/>
      <c r="U20" s="43"/>
    </row>
    <row r="21" spans="1:21" s="11" customFormat="1" ht="15">
      <c r="A21" s="50" t="s">
        <v>795</v>
      </c>
      <c r="B21" s="51">
        <v>3.61</v>
      </c>
      <c r="C21" s="51">
        <v>101.89</v>
      </c>
      <c r="D21" s="51">
        <v>57.40</v>
      </c>
      <c r="E21" s="51">
        <v>11.02</v>
      </c>
      <c r="F21" s="51">
        <v>24.82</v>
      </c>
      <c r="G21" s="51">
        <v>75.040000000000006</v>
      </c>
      <c r="H21" s="51">
        <v>73.44</v>
      </c>
      <c r="I21" s="51">
        <v>0.21</v>
      </c>
      <c r="J21" s="51">
        <v>1.31</v>
      </c>
      <c r="K21" s="51">
        <v>357.53</v>
      </c>
      <c r="L21" s="51">
        <v>33.61</v>
      </c>
      <c r="M21" s="51">
        <v>27</v>
      </c>
      <c r="N21" s="51">
        <v>332.90</v>
      </c>
      <c r="O21" s="51">
        <v>0</v>
      </c>
      <c r="P21" s="51">
        <v>1.40</v>
      </c>
      <c r="Q21" s="51">
        <v>26.72</v>
      </c>
      <c r="R21" s="43"/>
      <c r="S21" s="43"/>
      <c r="T21" s="43"/>
      <c r="U21" s="43"/>
    </row>
    <row r="22" spans="1:21" s="11" customFormat="1" ht="15">
      <c r="A22" s="50" t="s">
        <v>796</v>
      </c>
      <c r="B22" s="51">
        <v>3.08</v>
      </c>
      <c r="C22" s="51">
        <v>84.07</v>
      </c>
      <c r="D22" s="51">
        <v>47.60</v>
      </c>
      <c r="E22" s="51">
        <v>10.80</v>
      </c>
      <c r="F22" s="51">
        <v>21.32</v>
      </c>
      <c r="G22" s="51">
        <v>46.11</v>
      </c>
      <c r="H22" s="51">
        <v>44.82</v>
      </c>
      <c r="I22" s="51">
        <v>0.18</v>
      </c>
      <c r="J22" s="51">
        <v>0.98</v>
      </c>
      <c r="K22" s="51">
        <v>356.90</v>
      </c>
      <c r="L22" s="51">
        <v>33.51</v>
      </c>
      <c r="M22" s="51">
        <v>27</v>
      </c>
      <c r="N22" s="51">
        <v>319.39999999999998</v>
      </c>
      <c r="O22" s="51">
        <v>0</v>
      </c>
      <c r="P22" s="51">
        <v>1.1200000000000001</v>
      </c>
      <c r="Q22" s="51">
        <v>24.70</v>
      </c>
      <c r="R22" s="43"/>
      <c r="S22" s="43"/>
      <c r="T22" s="43"/>
      <c r="U22" s="43"/>
    </row>
    <row r="23" spans="1:21" s="11" customFormat="1" ht="15">
      <c r="A23" s="50" t="s">
        <v>797</v>
      </c>
      <c r="B23" s="51">
        <v>3.64</v>
      </c>
      <c r="C23" s="51">
        <v>84.57</v>
      </c>
      <c r="D23" s="51">
        <v>48.06</v>
      </c>
      <c r="E23" s="51">
        <v>5.25</v>
      </c>
      <c r="F23" s="51">
        <v>16.97</v>
      </c>
      <c r="G23" s="51">
        <v>48.09</v>
      </c>
      <c r="H23" s="51">
        <v>31.49</v>
      </c>
      <c r="I23" s="51">
        <v>0.19</v>
      </c>
      <c r="J23" s="51">
        <v>0.95</v>
      </c>
      <c r="K23" s="51">
        <v>357.96</v>
      </c>
      <c r="L23" s="51">
        <v>33.33</v>
      </c>
      <c r="M23" s="51">
        <v>27</v>
      </c>
      <c r="N23" s="51">
        <v>287.30</v>
      </c>
      <c r="O23" s="51">
        <v>0</v>
      </c>
      <c r="P23" s="51">
        <v>1.0900000000000001</v>
      </c>
      <c r="Q23" s="51">
        <v>25.70</v>
      </c>
      <c r="R23" s="43"/>
      <c r="S23" s="43"/>
      <c r="T23" s="43"/>
      <c r="U23" s="43"/>
    </row>
    <row r="24" spans="1:21" s="11" customFormat="1" ht="15">
      <c r="A24" s="50" t="s">
        <v>798</v>
      </c>
      <c r="B24" s="51">
        <v>3.53</v>
      </c>
      <c r="C24" s="51">
        <v>85.20</v>
      </c>
      <c r="D24" s="51">
        <v>49</v>
      </c>
      <c r="E24" s="51">
        <v>4.4000000000000004</v>
      </c>
      <c r="F24" s="51">
        <v>8.60</v>
      </c>
      <c r="G24" s="51">
        <v>47.08</v>
      </c>
      <c r="H24" s="51">
        <v>29.90</v>
      </c>
      <c r="I24" s="51">
        <v>0.17</v>
      </c>
      <c r="J24" s="51">
        <v>1.02</v>
      </c>
      <c r="K24" s="51">
        <v>350.75</v>
      </c>
      <c r="L24" s="51">
        <v>32.07</v>
      </c>
      <c r="M24" s="51">
        <v>30</v>
      </c>
      <c r="N24" s="51">
        <v>208.80</v>
      </c>
      <c r="O24" s="51">
        <v>0</v>
      </c>
      <c r="P24" s="51">
        <v>0.97</v>
      </c>
      <c r="Q24" s="51">
        <v>27.61</v>
      </c>
      <c r="R24" s="43"/>
      <c r="S24" s="43"/>
      <c r="T24" s="43"/>
      <c r="U24" s="43"/>
    </row>
    <row r="25" spans="1:21" s="11" customFormat="1" ht="15">
      <c r="A25" s="50" t="s">
        <v>799</v>
      </c>
      <c r="B25" s="51">
        <v>7.20</v>
      </c>
      <c r="C25" s="51">
        <v>94.44</v>
      </c>
      <c r="D25" s="51">
        <v>57.89</v>
      </c>
      <c r="E25" s="51">
        <v>4.0599999999999996</v>
      </c>
      <c r="F25" s="51">
        <v>7.97</v>
      </c>
      <c r="G25" s="51">
        <v>43.90</v>
      </c>
      <c r="H25" s="51">
        <v>24.87</v>
      </c>
      <c r="I25" s="51">
        <v>0.17</v>
      </c>
      <c r="J25" s="51">
        <v>0.68</v>
      </c>
      <c r="K25" s="51">
        <v>349.71</v>
      </c>
      <c r="L25" s="51">
        <v>29.18</v>
      </c>
      <c r="M25" s="51">
        <v>35</v>
      </c>
      <c r="N25" s="51">
        <v>60.60</v>
      </c>
      <c r="O25" s="51">
        <v>0</v>
      </c>
      <c r="P25" s="51">
        <v>1.06</v>
      </c>
      <c r="Q25" s="51">
        <v>28.23</v>
      </c>
      <c r="R25" s="43"/>
      <c r="S25" s="43"/>
      <c r="T25" s="43"/>
      <c r="U25" s="43"/>
    </row>
    <row r="26" spans="1:21" s="11" customFormat="1" ht="15">
      <c r="A26" s="50" t="s">
        <v>800</v>
      </c>
      <c r="B26" s="51">
        <v>14.76</v>
      </c>
      <c r="C26" s="51">
        <v>109.03</v>
      </c>
      <c r="D26" s="51">
        <v>72.010000000000005</v>
      </c>
      <c r="E26" s="51">
        <v>4.46</v>
      </c>
      <c r="F26" s="51">
        <v>5.85</v>
      </c>
      <c r="G26" s="51">
        <v>44.96</v>
      </c>
      <c r="H26" s="51">
        <v>24.83</v>
      </c>
      <c r="I26" s="51">
        <v>0.25</v>
      </c>
      <c r="J26" s="51">
        <v>0.20</v>
      </c>
      <c r="K26" s="51">
        <v>341.04</v>
      </c>
      <c r="L26" s="51">
        <v>26.82</v>
      </c>
      <c r="M26" s="51">
        <v>47</v>
      </c>
      <c r="N26" s="51">
        <v>31.60</v>
      </c>
      <c r="O26" s="51">
        <v>0</v>
      </c>
      <c r="P26" s="51">
        <v>1.24</v>
      </c>
      <c r="Q26" s="51">
        <v>29.99</v>
      </c>
      <c r="R26" s="43"/>
      <c r="S26" s="43"/>
      <c r="T26" s="43"/>
      <c r="U26" s="43"/>
    </row>
    <row r="27" spans="1:21" s="11" customFormat="1" ht="15">
      <c r="A27" s="50" t="s">
        <v>801</v>
      </c>
      <c r="B27" s="51">
        <v>36.21</v>
      </c>
      <c r="C27" s="51">
        <v>116</v>
      </c>
      <c r="D27" s="51">
        <v>93.05</v>
      </c>
      <c r="E27" s="51">
        <v>3.74</v>
      </c>
      <c r="F27" s="51">
        <v>0.13</v>
      </c>
      <c r="G27" s="51">
        <v>65.72</v>
      </c>
      <c r="H27" s="51">
        <v>32.299999999999997</v>
      </c>
      <c r="I27" s="51">
        <v>0.32</v>
      </c>
      <c r="J27" s="51">
        <v>0.10</v>
      </c>
      <c r="K27" s="51">
        <v>100.05</v>
      </c>
      <c r="L27" s="51">
        <v>23.76</v>
      </c>
      <c r="M27" s="51">
        <v>60</v>
      </c>
      <c r="N27" s="51">
        <v>24.60</v>
      </c>
      <c r="O27" s="51">
        <v>0</v>
      </c>
      <c r="P27" s="51">
        <v>1.45</v>
      </c>
      <c r="Q27" s="51">
        <v>37.450000000000003</v>
      </c>
      <c r="R27" s="43"/>
      <c r="S27" s="43"/>
      <c r="T27" s="43"/>
      <c r="U27" s="43"/>
    </row>
    <row r="28" spans="1:21" s="11" customFormat="1" ht="15">
      <c r="A28" s="50" t="s">
        <v>802</v>
      </c>
      <c r="B28" s="51">
        <v>61.94</v>
      </c>
      <c r="C28" s="51">
        <v>133.54</v>
      </c>
      <c r="D28" s="51">
        <v>123.36</v>
      </c>
      <c r="E28" s="51">
        <v>4.1100000000000003</v>
      </c>
      <c r="F28" s="51">
        <v>0.54</v>
      </c>
      <c r="G28" s="51">
        <v>172.52</v>
      </c>
      <c r="H28" s="51">
        <v>39.409999999999997</v>
      </c>
      <c r="I28" s="51">
        <v>0.54</v>
      </c>
      <c r="J28" s="51">
        <v>1.18</v>
      </c>
      <c r="K28" s="51">
        <v>357.19</v>
      </c>
      <c r="L28" s="51">
        <v>23.45</v>
      </c>
      <c r="M28" s="51">
        <v>64</v>
      </c>
      <c r="N28" s="51">
        <v>24.20</v>
      </c>
      <c r="O28" s="51">
        <v>0</v>
      </c>
      <c r="P28" s="51">
        <v>2.17</v>
      </c>
      <c r="Q28" s="51">
        <v>40.770000000000003</v>
      </c>
      <c r="R28" s="43"/>
      <c r="S28" s="43"/>
      <c r="T28" s="43"/>
      <c r="U28" s="43"/>
    </row>
    <row r="29" spans="1:21" s="11" customFormat="1" ht="15">
      <c r="A29" s="50" t="s">
        <v>803</v>
      </c>
      <c r="B29" s="51">
        <v>56.89</v>
      </c>
      <c r="C29" s="51">
        <v>132.54</v>
      </c>
      <c r="D29" s="51">
        <v>116.96</v>
      </c>
      <c r="E29" s="51">
        <v>4.88</v>
      </c>
      <c r="F29" s="51">
        <v>0.43</v>
      </c>
      <c r="G29" s="51">
        <v>157.25</v>
      </c>
      <c r="H29" s="51">
        <v>49.95</v>
      </c>
      <c r="I29" s="51">
        <v>0.70</v>
      </c>
      <c r="J29" s="51">
        <v>1.20</v>
      </c>
      <c r="K29" s="51">
        <v>14.66</v>
      </c>
      <c r="L29" s="51">
        <v>23.82</v>
      </c>
      <c r="M29" s="51">
        <v>45</v>
      </c>
      <c r="N29" s="51">
        <v>24.70</v>
      </c>
      <c r="O29" s="51">
        <v>0</v>
      </c>
      <c r="P29" s="51">
        <v>2.16</v>
      </c>
      <c r="Q29" s="51">
        <v>40.47</v>
      </c>
      <c r="R29" s="43"/>
      <c r="S29" s="43"/>
      <c r="T29" s="43"/>
      <c r="U29" s="43"/>
    </row>
    <row r="30" spans="1:21" s="11" customFormat="1" ht="15">
      <c r="A30" s="50" t="s">
        <v>804</v>
      </c>
      <c r="B30" s="51">
        <v>55.47</v>
      </c>
      <c r="C30" s="51">
        <v>118.52</v>
      </c>
      <c r="D30" s="51">
        <v>109.89</v>
      </c>
      <c r="E30" s="51">
        <v>5.43</v>
      </c>
      <c r="F30" s="51">
        <v>0.35</v>
      </c>
      <c r="G30" s="51">
        <v>114.78</v>
      </c>
      <c r="H30" s="51">
        <v>47.75</v>
      </c>
      <c r="I30" s="51">
        <v>0.70</v>
      </c>
      <c r="J30" s="51">
        <v>0.79</v>
      </c>
      <c r="K30" s="51">
        <v>17.5</v>
      </c>
      <c r="L30" s="51">
        <v>22.77</v>
      </c>
      <c r="M30" s="51">
        <v>45</v>
      </c>
      <c r="N30" s="51">
        <v>24.10</v>
      </c>
      <c r="O30" s="51">
        <v>0</v>
      </c>
      <c r="P30" s="51">
        <v>2.16</v>
      </c>
      <c r="Q30" s="51">
        <v>39.51</v>
      </c>
      <c r="R30" s="43"/>
      <c r="S30" s="43"/>
      <c r="T30" s="43"/>
      <c r="U30" s="43"/>
    </row>
    <row r="31" spans="1:21" s="11" customFormat="1" ht="15">
      <c r="A31" s="50" t="s">
        <v>805</v>
      </c>
      <c r="B31" s="51">
        <v>55.73</v>
      </c>
      <c r="C31" s="51">
        <v>116.76</v>
      </c>
      <c r="D31" s="51">
        <v>109.13</v>
      </c>
      <c r="E31" s="51">
        <v>4.74</v>
      </c>
      <c r="F31" s="51">
        <v>0.34</v>
      </c>
      <c r="G31" s="51">
        <v>92.29</v>
      </c>
      <c r="H31" s="51">
        <v>39.520000000000003</v>
      </c>
      <c r="I31" s="51">
        <v>0.65</v>
      </c>
      <c r="J31" s="51">
        <v>1.07</v>
      </c>
      <c r="K31" s="51">
        <v>17.100000000000001</v>
      </c>
      <c r="L31" s="51">
        <v>22.24</v>
      </c>
      <c r="M31" s="51">
        <v>44</v>
      </c>
      <c r="N31" s="51">
        <v>24.20</v>
      </c>
      <c r="O31" s="51">
        <v>0</v>
      </c>
      <c r="P31" s="51">
        <v>2.16</v>
      </c>
      <c r="Q31" s="51">
        <v>40.799999999999997</v>
      </c>
      <c r="R31" s="43"/>
      <c r="S31" s="43"/>
      <c r="T31" s="43"/>
      <c r="U31" s="43"/>
    </row>
    <row r="32" spans="1:21" s="11" customFormat="1" ht="15">
      <c r="A32" s="50" t="s">
        <v>806</v>
      </c>
      <c r="B32" s="51">
        <v>42.75</v>
      </c>
      <c r="C32" s="51">
        <v>108.37</v>
      </c>
      <c r="D32" s="51">
        <v>94.09</v>
      </c>
      <c r="E32" s="51">
        <v>4.6100000000000003</v>
      </c>
      <c r="F32" s="51">
        <v>0.75</v>
      </c>
      <c r="G32" s="51">
        <v>82.09</v>
      </c>
      <c r="H32" s="51">
        <v>36.020000000000003</v>
      </c>
      <c r="I32" s="51">
        <v>0.59</v>
      </c>
      <c r="J32" s="51">
        <v>1</v>
      </c>
      <c r="K32" s="51">
        <v>16.87</v>
      </c>
      <c r="L32" s="51">
        <v>21.59</v>
      </c>
      <c r="M32" s="51">
        <v>43</v>
      </c>
      <c r="N32" s="51">
        <v>24.20</v>
      </c>
      <c r="O32" s="51">
        <v>0</v>
      </c>
      <c r="P32" s="51">
        <v>1.85</v>
      </c>
      <c r="Q32" s="51">
        <v>38.840000000000003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3.0800000000000001</v>
      </c>
      <c r="C34" s="28">
        <f t="shared" si="0"/>
        <v>84.069999999999993</v>
      </c>
      <c r="D34" s="28">
        <f t="shared" si="0"/>
        <v>47.600000000000001</v>
      </c>
      <c r="E34" s="28">
        <f t="shared" si="0"/>
        <v>3.7400000000000002</v>
      </c>
      <c r="F34" s="28">
        <f t="shared" si="0"/>
        <v>0.01</v>
      </c>
      <c r="G34" s="28">
        <f t="shared" si="0"/>
        <v>43.899999999999999</v>
      </c>
      <c r="H34" s="28">
        <f t="shared" si="0"/>
        <v>24.829999999999998</v>
      </c>
      <c r="I34" s="28">
        <f t="shared" si="0"/>
        <v>0.17000000000000001</v>
      </c>
      <c r="J34" s="28">
        <f t="shared" si="0"/>
        <v>0.059999999999999998</v>
      </c>
      <c r="K34" s="28">
        <f t="shared" si="0"/>
        <v>14.66</v>
      </c>
      <c r="L34" s="28">
        <f t="shared" si="0"/>
        <v>16.899999999999999</v>
      </c>
      <c r="M34" s="28">
        <f t="shared" si="0"/>
        <v>26</v>
      </c>
      <c r="N34" s="28">
        <f t="shared" si="0"/>
        <v>24.100000000000001</v>
      </c>
      <c r="O34" s="28">
        <f t="shared" si="0"/>
        <v>0</v>
      </c>
      <c r="P34" s="28">
        <f t="shared" si="0"/>
        <v>0.96999999999999997</v>
      </c>
      <c r="Q34" s="28">
        <f t="shared" si="0"/>
        <v>24.699999999999999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139.49000000000001</v>
      </c>
      <c r="C35" s="29">
        <f t="shared" si="1"/>
        <v>177.27000000000001</v>
      </c>
      <c r="D35" s="29">
        <f t="shared" si="1"/>
        <v>209.69</v>
      </c>
      <c r="E35" s="29">
        <f t="shared" si="1"/>
        <v>13.58</v>
      </c>
      <c r="F35" s="29">
        <f t="shared" si="1"/>
        <v>24.82</v>
      </c>
      <c r="G35" s="29">
        <f t="shared" si="1"/>
        <v>193.06</v>
      </c>
      <c r="H35" s="29">
        <f t="shared" si="1"/>
        <v>84</v>
      </c>
      <c r="I35" s="29">
        <f t="shared" si="1"/>
        <v>1.3999999999999999</v>
      </c>
      <c r="J35" s="29">
        <f t="shared" si="1"/>
        <v>1.3100000000000001</v>
      </c>
      <c r="K35" s="29">
        <f t="shared" si="1"/>
        <v>359.98000000000002</v>
      </c>
      <c r="L35" s="29">
        <f t="shared" si="1"/>
        <v>34.229999999999997</v>
      </c>
      <c r="M35" s="29">
        <f t="shared" si="1"/>
        <v>80</v>
      </c>
      <c r="N35" s="29">
        <f t="shared" si="1"/>
        <v>342.69999999999999</v>
      </c>
      <c r="O35" s="29">
        <f t="shared" si="1"/>
        <v>0</v>
      </c>
      <c r="P35" s="29">
        <f t="shared" si="1"/>
        <v>3.79</v>
      </c>
      <c r="Q35" s="29">
        <f t="shared" si="1"/>
        <v>49.829999999999998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46.204166666666659</v>
      </c>
      <c r="C36" s="28">
        <f t="shared" si="2"/>
        <v>118.71499999999999</v>
      </c>
      <c r="D36" s="28">
        <f t="shared" si="2"/>
        <v>101.8175</v>
      </c>
      <c r="E36" s="28">
        <f t="shared" si="2"/>
        <v>5.8991666666666669</v>
      </c>
      <c r="F36" s="28">
        <f t="shared" si="2"/>
        <v>4.6452173913043477</v>
      </c>
      <c r="G36" s="28">
        <f t="shared" si="2"/>
        <v>108.32166666666667</v>
      </c>
      <c r="H36" s="28">
        <f t="shared" si="2"/>
        <v>53.010833333333331</v>
      </c>
      <c r="I36" s="28">
        <f t="shared" si="2"/>
        <v>0.56291666666666662</v>
      </c>
      <c r="J36" s="28">
        <f t="shared" si="2"/>
        <v>0.61249999999999993</v>
      </c>
      <c r="K36" s="28">
        <f t="shared" si="2"/>
        <v>275.8725</v>
      </c>
      <c r="L36" s="28">
        <f t="shared" si="2"/>
        <v>24.662499999999998</v>
      </c>
      <c r="M36" s="28">
        <f t="shared" si="2"/>
        <v>52.75</v>
      </c>
      <c r="N36" s="28">
        <f t="shared" si="2"/>
        <v>119.51666666666664</v>
      </c>
      <c r="O36" s="28">
        <f t="shared" si="2"/>
        <v>0</v>
      </c>
      <c r="P36" s="28">
        <f t="shared" si="2"/>
        <v>1.9937500000000001</v>
      </c>
      <c r="Q36" s="28">
        <f t="shared" si="2"/>
        <v>37.310833333333342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33.832216048518355</v>
      </c>
      <c r="C37" s="28">
        <f t="shared" si="3" ref="C37:Q37">STDEV(C9:C32)</f>
        <v>22.469901220734588</v>
      </c>
      <c r="D37" s="28">
        <f t="shared" si="3"/>
        <v>38.109804084924249</v>
      </c>
      <c r="E37" s="28">
        <f t="shared" si="3"/>
        <v>2.6030014726593342</v>
      </c>
      <c r="F37" s="28">
        <f t="shared" si="3"/>
        <v>7.4110647435042072</v>
      </c>
      <c r="G37" s="28">
        <f t="shared" si="3"/>
        <v>47.891148375807617</v>
      </c>
      <c r="H37" s="28">
        <f t="shared" si="3"/>
        <v>18.58093457579962</v>
      </c>
      <c r="I37" s="28">
        <f t="shared" si="3"/>
        <v>0.31114765356473562</v>
      </c>
      <c r="J37" s="28">
        <f t="shared" si="3"/>
        <v>0.45241621852295344</v>
      </c>
      <c r="K37" s="28">
        <f t="shared" si="3"/>
        <v>130.51106340743354</v>
      </c>
      <c r="L37" s="28">
        <f t="shared" si="3"/>
        <v>6.3891431350377559</v>
      </c>
      <c r="M37" s="28">
        <f t="shared" si="3"/>
        <v>20.304743502335906</v>
      </c>
      <c r="N37" s="28">
        <f t="shared" si="3"/>
        <v>127.82005580763403</v>
      </c>
      <c r="O37" s="28">
        <f t="shared" si="3"/>
        <v>0</v>
      </c>
      <c r="P37" s="28">
        <f t="shared" si="3"/>
        <v>0.66880043491248642</v>
      </c>
      <c r="Q37" s="28">
        <f t="shared" si="3"/>
        <v>7.1391065795113491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COUNT(F9:F32)+1</f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fc9e10-0fc6-4d0f-95dc-e07aede842eb}">
  <sheetPr codeName=""/>
  <dimension ref="A1:X55"/>
  <sheetViews>
    <sheetView tabSelected="1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M46" sqref="M46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6" width="8.85714285714286" style="11"/>
    <col min="17" max="17" width="9.71428571428571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01-12-2022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01-12-2022 01:00</v>
      </c>
      <c r="B9" s="24">
        <f>'01'!B36</f>
        <v>34.802083333333343</v>
      </c>
      <c r="C9" s="24">
        <f>'01'!C36</f>
        <v>104.64375</v>
      </c>
      <c r="D9" s="24">
        <f>'01'!D36</f>
        <v>85.277083333333351</v>
      </c>
      <c r="E9" s="24">
        <f>'01'!E36</f>
        <v>6.4904166666666674</v>
      </c>
      <c r="F9" s="24">
        <f>'01'!F36</f>
        <v>3.4058333333333324</v>
      </c>
      <c r="G9" s="24">
        <f>'01'!G36</f>
        <v>129.98249999999999</v>
      </c>
      <c r="H9" s="24">
        <f>'01'!H36</f>
        <v>51.37416666666666</v>
      </c>
      <c r="I9" s="24">
        <f>'01'!I36</f>
        <v>0.81708333333333327</v>
      </c>
      <c r="J9" s="24">
        <f>'01'!J36</f>
        <v>0.62666666666666659</v>
      </c>
      <c r="K9" s="24">
        <f>'01'!K36</f>
        <v>227.76388888888889</v>
      </c>
      <c r="L9" s="24">
        <f>'01'!L36</f>
        <v>25.309583333333332</v>
      </c>
      <c r="M9" s="24">
        <f>'01'!M36</f>
        <v>76.833333333333329</v>
      </c>
      <c r="N9" s="24">
        <f>'01'!N36</f>
        <v>206.96666666666664</v>
      </c>
      <c r="O9" s="24">
        <f>'01'!O36</f>
        <v>0</v>
      </c>
      <c r="P9" s="30">
        <f>'01'!$P$36</f>
        <v>2.242083333333333</v>
      </c>
      <c r="Q9" s="24">
        <f>'01'!Q36</f>
        <v>122.84041666666668</v>
      </c>
      <c r="R9" s="45"/>
      <c r="S9" s="45"/>
      <c r="T9" s="45"/>
      <c r="U9" s="46"/>
    </row>
    <row r="10" spans="1:21" s="34" customFormat="1" ht="15">
      <c r="A10" s="36" t="str">
        <f>'02'!$B$2</f>
        <v>02-12-2022 01:00</v>
      </c>
      <c r="B10" s="33">
        <f>'02'!B36</f>
        <v>30.434999999999992</v>
      </c>
      <c r="C10" s="33">
        <f>'02'!C36</f>
        <v>75.568333333333328</v>
      </c>
      <c r="D10" s="33">
        <f>'02'!D36</f>
        <v>64.879166666666691</v>
      </c>
      <c r="E10" s="33">
        <f>'02'!E36</f>
        <v>7.4445833333333331</v>
      </c>
      <c r="F10" s="33">
        <f>'02'!F36</f>
        <v>6.7129166666666684</v>
      </c>
      <c r="G10" s="33">
        <f>'02'!G36</f>
        <v>130.99333333333334</v>
      </c>
      <c r="H10" s="33">
        <f>'02'!H36</f>
        <v>47.877083333333353</v>
      </c>
      <c r="I10" s="33">
        <f>'02'!I36</f>
        <v>0.76666666666666672</v>
      </c>
      <c r="J10" s="33">
        <f>'02'!J36</f>
        <v>0.53708333333333336</v>
      </c>
      <c r="K10" s="33">
        <f>'02'!K36</f>
        <v>222.91111111111115</v>
      </c>
      <c r="L10" s="33">
        <f>'02'!L36</f>
        <v>23.599166666666672</v>
      </c>
      <c r="M10" s="8" t="s">
        <v>8</v>
      </c>
      <c r="N10" s="33">
        <f>'02'!N36</f>
        <v>133.07058823529411</v>
      </c>
      <c r="O10" s="33">
        <f>'02'!O36</f>
        <v>0</v>
      </c>
      <c r="P10" s="30">
        <f>'02'!$P$36</f>
        <v>2.2529166666666667</v>
      </c>
      <c r="Q10" s="33">
        <f>'02'!Q36</f>
        <v>91.733333333333334</v>
      </c>
      <c r="R10" s="47"/>
      <c r="S10" s="47"/>
      <c r="T10" s="47"/>
      <c r="U10" s="47"/>
    </row>
    <row r="11" spans="1:21" s="34" customFormat="1" ht="15">
      <c r="A11" s="36" t="str">
        <f>'03'!$B$2</f>
        <v>03-12-2022 01:00</v>
      </c>
      <c r="B11" s="33">
        <f>'03'!B36</f>
        <v>51.595000000000006</v>
      </c>
      <c r="C11" s="33">
        <f>'03'!C36</f>
        <v>28.00571428571428</v>
      </c>
      <c r="D11" s="33">
        <f>'03'!D36</f>
        <v>51.389166666666654</v>
      </c>
      <c r="E11" s="33">
        <f>'03'!E36</f>
        <v>5.6470833333333346</v>
      </c>
      <c r="F11" s="33">
        <f>'03'!F36</f>
        <v>1.7999999999999996</v>
      </c>
      <c r="G11" s="33">
        <f>'03'!G36</f>
        <v>157.54833333333332</v>
      </c>
      <c r="H11" s="33">
        <f>'03'!H36</f>
        <v>61.736666666666679</v>
      </c>
      <c r="I11" s="33">
        <f>'03'!I36</f>
        <v>1.0778947368421052</v>
      </c>
      <c r="J11" s="33">
        <f>'03'!J36</f>
        <v>0.48333333333333323</v>
      </c>
      <c r="K11" s="33">
        <f>'03'!K36</f>
        <v>235.95958333333328</v>
      </c>
      <c r="L11" s="33">
        <f>'03'!L36</f>
        <v>24.057083333333328</v>
      </c>
      <c r="M11" s="33">
        <f>'03'!M36</f>
        <v>34.291666666666664</v>
      </c>
      <c r="N11" s="33">
        <f>'03'!N36</f>
        <v>144.99999999999997</v>
      </c>
      <c r="O11" s="33">
        <f>'03'!O36</f>
        <v>0</v>
      </c>
      <c r="P11" s="30">
        <f>'03'!$P$36</f>
        <v>2.6095833333333331</v>
      </c>
      <c r="Q11" s="33">
        <f>'03'!Q36</f>
        <v>53.781250000000007</v>
      </c>
      <c r="R11" s="47"/>
      <c r="S11" s="47"/>
      <c r="T11" s="47"/>
      <c r="U11" s="47"/>
    </row>
    <row r="12" spans="1:21" s="34" customFormat="1" ht="15">
      <c r="A12" s="36" t="str">
        <f>'04'!$B$2</f>
        <v>04-12-2022 01:00</v>
      </c>
      <c r="B12" s="33">
        <f>'04'!B36</f>
        <v>61.046250000000008</v>
      </c>
      <c r="C12" s="33">
        <f>'04'!C36</f>
        <v>28.917894736842101</v>
      </c>
      <c r="D12" s="33">
        <f>'04'!D36</f>
        <v>55.67166666666666</v>
      </c>
      <c r="E12" s="33">
        <f>'04'!E36</f>
        <v>5.2104166666666663</v>
      </c>
      <c r="F12" s="33">
        <f>'04'!F36</f>
        <v>2.3762499999999998</v>
      </c>
      <c r="G12" s="33">
        <f>'04'!G36</f>
        <v>147.42791666666668</v>
      </c>
      <c r="H12" s="33">
        <f>'04'!H36</f>
        <v>57.525833333333331</v>
      </c>
      <c r="I12" s="33">
        <f>'04'!I36</f>
        <v>0.93736842105263174</v>
      </c>
      <c r="J12" s="33">
        <f>'04'!J36</f>
        <v>1.5966666666666667</v>
      </c>
      <c r="K12" s="33">
        <f>'04'!K36</f>
        <v>310.66708333333338</v>
      </c>
      <c r="L12" s="33">
        <f>'04'!L36</f>
        <v>21.289473684210527</v>
      </c>
      <c r="M12" s="33">
        <f>'04'!M36</f>
        <v>46.684210526315788</v>
      </c>
      <c r="N12" s="33">
        <f>'04'!N36</f>
        <v>147.47499999999999</v>
      </c>
      <c r="O12" s="33">
        <f>'04'!O36</f>
        <v>0</v>
      </c>
      <c r="P12" s="30">
        <f>'04'!$P$36</f>
        <v>2.617083333333333</v>
      </c>
      <c r="Q12" s="33">
        <f>'04'!Q36</f>
        <v>52.072916666666664</v>
      </c>
      <c r="R12" s="47"/>
      <c r="S12" s="47"/>
      <c r="T12" s="47"/>
      <c r="U12" s="47"/>
    </row>
    <row r="13" spans="1:21" s="34" customFormat="1" ht="15">
      <c r="A13" s="36" t="str">
        <f>'05'!$B$2</f>
        <v>05-12-2022 01:00</v>
      </c>
      <c r="B13" s="33">
        <f>'05'!B36</f>
        <v>54.084583333333335</v>
      </c>
      <c r="C13" s="33">
        <f>'05'!C36</f>
        <v>25.713999999999999</v>
      </c>
      <c r="D13" s="33">
        <f>'05'!D36</f>
        <v>52.212916666666672</v>
      </c>
      <c r="E13" s="33">
        <f>'05'!E36</f>
        <v>5.984583333333334</v>
      </c>
      <c r="F13" s="33">
        <f>'05'!F36</f>
        <v>3.1025000000000005</v>
      </c>
      <c r="G13" s="33">
        <f>'05'!G36</f>
        <v>114.35458333333331</v>
      </c>
      <c r="H13" s="33">
        <f>'05'!H36</f>
        <v>45.126666666666672</v>
      </c>
      <c r="I13" s="33">
        <f>'05'!I36</f>
        <v>0.81708333333333327</v>
      </c>
      <c r="J13" s="33">
        <f>'05'!J36</f>
        <v>0.47874999999999984</v>
      </c>
      <c r="K13" s="33">
        <f>'05'!K36</f>
        <v>303.71666666666664</v>
      </c>
      <c r="L13" s="33">
        <f>'05'!L36</f>
        <v>23.232083333333332</v>
      </c>
      <c r="M13" s="33">
        <f>'05'!M36</f>
        <v>58.916666666666664</v>
      </c>
      <c r="N13" s="33">
        <f>'05'!N36</f>
        <v>149.05416666666667</v>
      </c>
      <c r="O13" s="33">
        <f>'05'!O36</f>
        <v>0</v>
      </c>
      <c r="P13" s="30">
        <f>'05'!$P$36</f>
        <v>2.1833333333333331</v>
      </c>
      <c r="Q13" s="33">
        <f>'05'!Q36</f>
        <v>48.170416666666682</v>
      </c>
      <c r="R13" s="47"/>
      <c r="S13" s="47"/>
      <c r="T13" s="47"/>
      <c r="U13" s="47"/>
    </row>
    <row r="14" spans="1:21" s="34" customFormat="1" ht="15">
      <c r="A14" s="36" t="str">
        <f>'06'!$B$2</f>
        <v>06-12-2022 01:00</v>
      </c>
      <c r="B14" s="33">
        <f>'06'!B36</f>
        <v>38.944999999999993</v>
      </c>
      <c r="C14" s="33">
        <f>'06'!C36</f>
        <v>28.057272727272728</v>
      </c>
      <c r="D14" s="33">
        <f>'06'!D36</f>
        <v>42.967500000000001</v>
      </c>
      <c r="E14" s="33">
        <f>'06'!E36</f>
        <v>4.8733333333333331</v>
      </c>
      <c r="F14" s="33">
        <f>'06'!F36</f>
        <v>3.2033333333333327</v>
      </c>
      <c r="G14" s="33">
        <f>'06'!G36</f>
        <v>95.846666666666678</v>
      </c>
      <c r="H14" s="33">
        <f>'06'!H36</f>
        <v>32.700833333333328</v>
      </c>
      <c r="I14" s="33">
        <f>'06'!I36</f>
        <v>0.6908333333333333</v>
      </c>
      <c r="J14" s="33">
        <f>'06'!J36</f>
        <v>0.61583333333333334</v>
      </c>
      <c r="K14" s="33">
        <f>'06'!K36</f>
        <v>173.15416666666667</v>
      </c>
      <c r="L14" s="33">
        <f>'06'!L36</f>
        <v>23.116666666666664</v>
      </c>
      <c r="M14" s="33">
        <f>'06'!M36</f>
        <v>51.25</v>
      </c>
      <c r="N14" s="33">
        <f>'06'!N36</f>
        <v>156.45416666666668</v>
      </c>
      <c r="O14" s="33">
        <f>'06'!O36</f>
        <v>0</v>
      </c>
      <c r="P14" s="30">
        <f>'06'!$P$36</f>
        <v>1.7583333333333331</v>
      </c>
      <c r="Q14" s="33">
        <f>'06'!Q36</f>
        <v>45.019583333333323</v>
      </c>
      <c r="R14" s="47"/>
      <c r="S14" s="47"/>
      <c r="T14" s="47"/>
      <c r="U14" s="47"/>
    </row>
    <row r="15" spans="1:21" s="34" customFormat="1" ht="15">
      <c r="A15" s="36" t="str">
        <f>'07'!$B$2</f>
        <v>07-12-2022 01:00</v>
      </c>
      <c r="B15" s="33">
        <f>'07'!B36</f>
        <v>39.389166666666661</v>
      </c>
      <c r="C15" s="33">
        <f>'07'!C36</f>
        <v>29.5</v>
      </c>
      <c r="D15" s="33">
        <f>'07'!D36</f>
        <v>43.360000000000007</v>
      </c>
      <c r="E15" s="33">
        <f>'07'!E36</f>
        <v>4.8624999999999998</v>
      </c>
      <c r="F15" s="33">
        <f>'07'!F36</f>
        <v>1.4970833333333333</v>
      </c>
      <c r="G15" s="33">
        <f>'07'!G36</f>
        <v>116.32125000000002</v>
      </c>
      <c r="H15" s="33">
        <f>'07'!H36</f>
        <v>36.842083333333342</v>
      </c>
      <c r="I15" s="33">
        <f>'07'!I36</f>
        <v>0.81894736842105254</v>
      </c>
      <c r="J15" s="33">
        <f>'07'!J36</f>
        <v>0.74958333333333338</v>
      </c>
      <c r="K15" s="33">
        <f>'07'!K36</f>
        <v>163.67708333333334</v>
      </c>
      <c r="L15" s="33">
        <f>'07'!L36</f>
        <v>21.362083333333334</v>
      </c>
      <c r="M15" s="33">
        <f>'07'!M36</f>
        <v>53</v>
      </c>
      <c r="N15" s="33">
        <f>'07'!N36</f>
        <v>153.67916666666665</v>
      </c>
      <c r="O15" s="33">
        <f>'07'!O36</f>
        <v>0</v>
      </c>
      <c r="P15" s="30">
        <f>'07'!$P$36</f>
        <v>1.8916666666666668</v>
      </c>
      <c r="Q15" s="33">
        <f>'07'!Q36</f>
        <v>44.487916666666671</v>
      </c>
      <c r="R15" s="47"/>
      <c r="S15" s="47"/>
      <c r="T15" s="47"/>
      <c r="U15" s="47"/>
    </row>
    <row r="16" spans="1:21" s="34" customFormat="1" ht="15">
      <c r="A16" s="36" t="str">
        <f>'08'!$B$2</f>
        <v>08-12-2022 01:00</v>
      </c>
      <c r="B16" s="33">
        <f>'08'!B36</f>
        <v>39.182500000000012</v>
      </c>
      <c r="C16" s="33">
        <f>'08'!C36</f>
        <v>51.000000000000007</v>
      </c>
      <c r="D16" s="33">
        <f>'08'!D36</f>
        <v>58.337500000000006</v>
      </c>
      <c r="E16" s="33">
        <f>'08'!E36</f>
        <v>9.1829166666666673</v>
      </c>
      <c r="F16" s="33">
        <f>'08'!F36</f>
        <v>3.4925000000000002</v>
      </c>
      <c r="G16" s="33">
        <f>'08'!G36</f>
        <v>121.86235294117648</v>
      </c>
      <c r="H16" s="33">
        <f>'08'!H36</f>
        <v>39.882941176470581</v>
      </c>
      <c r="I16" s="33">
        <f>'08'!I36</f>
        <v>0.73222222222222244</v>
      </c>
      <c r="J16" s="33">
        <f>'08'!J36</f>
        <v>0.82416666666666671</v>
      </c>
      <c r="K16" s="33">
        <f>'08'!K36</f>
        <v>118.76458333333335</v>
      </c>
      <c r="L16" s="33">
        <f>'08'!L36</f>
        <v>20.317083333333333</v>
      </c>
      <c r="M16" s="33">
        <f>'08'!M36</f>
        <v>48.416666666666664</v>
      </c>
      <c r="N16" s="33">
        <f>'08'!N36</f>
        <v>146.09166666666667</v>
      </c>
      <c r="O16" s="33">
        <f>'08'!O36</f>
        <v>0</v>
      </c>
      <c r="P16" s="30">
        <f>'08'!$P$36</f>
        <v>1.8854166666666667</v>
      </c>
      <c r="Q16" s="33">
        <f>'08'!Q36</f>
        <v>38.503333333333337</v>
      </c>
      <c r="R16" s="47"/>
      <c r="S16" s="47"/>
      <c r="T16" s="47"/>
      <c r="U16" s="47"/>
    </row>
    <row r="17" spans="1:24" s="34" customFormat="1" ht="15">
      <c r="A17" s="36" t="str">
        <f>'09'!$B$2</f>
        <v>09-12-2022 01:00</v>
      </c>
      <c r="B17" s="33">
        <f>'09'!B36</f>
        <v>24.201250000000002</v>
      </c>
      <c r="C17" s="33">
        <f>'09'!C36</f>
        <v>75.21041666666666</v>
      </c>
      <c r="D17" s="33">
        <f>'09'!D36</f>
        <v>60.789166666666667</v>
      </c>
      <c r="E17" s="33">
        <f>'09'!E36</f>
        <v>7.4391666666666678</v>
      </c>
      <c r="F17" s="33">
        <f>'09'!F36</f>
        <v>2.6541666666666663</v>
      </c>
      <c r="G17" s="33">
        <f>'09'!G36</f>
        <v>101.06428571428573</v>
      </c>
      <c r="H17" s="33">
        <f>'09'!H36</f>
        <v>33.140833333333326</v>
      </c>
      <c r="I17" s="33">
        <f>'09'!I36</f>
        <v>0.54749999999999999</v>
      </c>
      <c r="J17" s="33">
        <f>'09'!J36</f>
        <v>0.78416666666666668</v>
      </c>
      <c r="K17" s="33">
        <f>'09'!K36</f>
        <v>100.38541666666669</v>
      </c>
      <c r="L17" s="33">
        <f>'09'!L36</f>
        <v>20.843749999999996</v>
      </c>
      <c r="M17" s="33">
        <f>'09'!M36</f>
        <v>49.5</v>
      </c>
      <c r="N17" s="33">
        <f>'09'!N36</f>
        <v>154.03749999999999</v>
      </c>
      <c r="O17" s="33">
        <f>'09'!O36</f>
        <v>0</v>
      </c>
      <c r="P17" s="30">
        <f>'09'!$P$36</f>
        <v>1.5266666666666671</v>
      </c>
      <c r="Q17" s="33">
        <f>'09'!Q36</f>
        <v>39.969166666666666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10-12-2022 01:00</v>
      </c>
      <c r="B18" s="33">
        <f>'10'!B36</f>
        <v>11.854583333333336</v>
      </c>
      <c r="C18" s="33">
        <f>'10'!C36</f>
        <v>79.207499999999982</v>
      </c>
      <c r="D18" s="33">
        <f>'10'!D36</f>
        <v>53.014999999999986</v>
      </c>
      <c r="E18" s="33">
        <f>'10'!E36</f>
        <v>5.7808333333333328</v>
      </c>
      <c r="F18" s="33">
        <f>'10'!F36</f>
        <v>1.7349999999999994</v>
      </c>
      <c r="G18" s="33">
        <f>'10'!G36</f>
        <v>86.424999999999997</v>
      </c>
      <c r="H18" s="33">
        <f>'10'!H36</f>
        <v>33.965000000000003</v>
      </c>
      <c r="I18" s="33">
        <f>'10'!I36</f>
        <v>0.51166666666666671</v>
      </c>
      <c r="J18" s="33">
        <f>'10'!J36</f>
        <v>0.77958333333333352</v>
      </c>
      <c r="K18" s="33">
        <f>'10'!K36</f>
        <v>116.95583333333337</v>
      </c>
      <c r="L18" s="33">
        <f>'10'!L36</f>
        <v>21.771249999999998</v>
      </c>
      <c r="M18" s="33">
        <f>'10'!M36</f>
        <v>51.666666666666664</v>
      </c>
      <c r="N18" s="33">
        <f>'10'!N36</f>
        <v>82.604166666666686</v>
      </c>
      <c r="O18" s="33">
        <f>'10'!O36</f>
        <v>0</v>
      </c>
      <c r="P18" s="30">
        <f>'10'!$P$36</f>
        <v>1.5362500000000001</v>
      </c>
      <c r="Q18" s="33">
        <f>'10'!Q36</f>
        <v>42.475000000000001</v>
      </c>
      <c r="R18" s="47"/>
      <c r="S18" s="47"/>
      <c r="T18" s="47"/>
      <c r="U18" s="47"/>
    </row>
    <row r="19" spans="1:21" s="34" customFormat="1" ht="15">
      <c r="A19" s="36" t="str">
        <f>'11'!$B$2</f>
        <v>11-12-2022 01:00</v>
      </c>
      <c r="B19" s="33">
        <f>'11'!B36</f>
        <v>13.767916666666665</v>
      </c>
      <c r="C19" s="33">
        <f>'11'!C36</f>
        <v>83.170416666666668</v>
      </c>
      <c r="D19" s="33">
        <f>'11'!D36</f>
        <v>56.587083333333332</v>
      </c>
      <c r="E19" s="33">
        <f>'11'!E36</f>
        <v>6.9833333333333316</v>
      </c>
      <c r="F19" s="33">
        <f>'11'!F36</f>
        <v>1.6529166666666668</v>
      </c>
      <c r="G19" s="33">
        <f>'11'!G36</f>
        <v>94.656666666666652</v>
      </c>
      <c r="H19" s="33">
        <f>'11'!H36</f>
        <v>38.170833333333341</v>
      </c>
      <c r="I19" s="33">
        <f>'11'!I36</f>
        <v>0.47875000000000001</v>
      </c>
      <c r="J19" s="33">
        <f>'11'!J36</f>
        <v>0.8304166666666668</v>
      </c>
      <c r="K19" s="33">
        <f>'11'!K36</f>
        <v>216.89750000000004</v>
      </c>
      <c r="L19" s="33">
        <f>'11'!L36</f>
        <v>23.910416666666674</v>
      </c>
      <c r="M19" s="33">
        <f>'11'!M36</f>
        <v>58.541666666666664</v>
      </c>
      <c r="N19" s="33">
        <f>'11'!N36</f>
        <v>89.137500000000003</v>
      </c>
      <c r="O19" s="33">
        <f>'11'!O36</f>
        <v>0</v>
      </c>
      <c r="P19" s="33">
        <f>'11'!P36</f>
        <v>1.7883333333333333</v>
      </c>
      <c r="Q19" s="33">
        <f>'11'!Q36</f>
        <v>44.174166666666672</v>
      </c>
      <c r="R19" s="47"/>
      <c r="S19" s="47"/>
      <c r="T19" s="47"/>
      <c r="U19" s="47"/>
    </row>
    <row r="20" spans="1:21" s="34" customFormat="1" ht="15">
      <c r="A20" s="36" t="str">
        <f>'12'!$B$2</f>
        <v>12-12-2022 01:00</v>
      </c>
      <c r="B20" s="33">
        <f>'12'!B36</f>
        <v>27.491666666666671</v>
      </c>
      <c r="C20" s="33">
        <f>'12'!C36</f>
        <v>88.443750000000009</v>
      </c>
      <c r="D20" s="33">
        <f>'12'!D36</f>
        <v>70.373333333333335</v>
      </c>
      <c r="E20" s="33">
        <f>'12'!E36</f>
        <v>9.4052173913043475</v>
      </c>
      <c r="F20" s="33">
        <f>'12'!F36</f>
        <v>3.1082608695652176</v>
      </c>
      <c r="G20" s="33">
        <f>'12'!G36</f>
        <v>101.54375</v>
      </c>
      <c r="H20" s="33">
        <f>'12'!H36</f>
        <v>33.761249999999997</v>
      </c>
      <c r="I20" s="33">
        <f>'12'!I36</f>
        <v>0.60875000000000001</v>
      </c>
      <c r="J20" s="33">
        <f>'12'!J36</f>
        <v>0.52083333333333337</v>
      </c>
      <c r="K20" s="33">
        <f>'12'!K36</f>
        <v>242.08708333333334</v>
      </c>
      <c r="L20" s="33">
        <f>'12'!L36</f>
        <v>25.626666666666665</v>
      </c>
      <c r="M20" s="33">
        <f>'12'!M36</f>
        <v>60.5</v>
      </c>
      <c r="N20" s="33">
        <f>'12'!N36</f>
        <v>112.85000000000001</v>
      </c>
      <c r="O20" s="33">
        <f>'12'!O36</f>
        <v>0</v>
      </c>
      <c r="P20" s="33">
        <f>'12'!P36</f>
        <v>2.0554166666666664</v>
      </c>
      <c r="Q20" s="33">
        <f>'12'!Q36</f>
        <v>45.496250000000003</v>
      </c>
      <c r="R20" s="47"/>
      <c r="S20" s="47"/>
      <c r="T20" s="47"/>
      <c r="U20" s="47"/>
    </row>
    <row r="21" spans="1:21" s="34" customFormat="1" ht="15">
      <c r="A21" s="36" t="str">
        <f>'13'!$B$2</f>
        <v>13-12-2022 01:00</v>
      </c>
      <c r="B21" s="33">
        <f>'13'!B36</f>
        <v>30.482916666666672</v>
      </c>
      <c r="C21" s="33">
        <f>'13'!C36</f>
        <v>87.976666666666674</v>
      </c>
      <c r="D21" s="33">
        <f>'13'!D36</f>
        <v>72.499583333333348</v>
      </c>
      <c r="E21" s="33">
        <f>'13'!E36</f>
        <v>10.865833333333333</v>
      </c>
      <c r="F21" s="33">
        <f>'13'!F36</f>
        <v>2.2470833333333329</v>
      </c>
      <c r="G21" s="33">
        <f>'13'!G36</f>
        <v>86.707499999999996</v>
      </c>
      <c r="H21" s="33">
        <f>'13'!H36</f>
        <v>32.661666666666669</v>
      </c>
      <c r="I21" s="33">
        <f>'13'!I36</f>
        <v>0.62250000000000016</v>
      </c>
      <c r="J21" s="33">
        <f>'13'!J36</f>
        <v>0.81791666666666663</v>
      </c>
      <c r="K21" s="33">
        <f>'13'!K36</f>
        <v>107.81375000000001</v>
      </c>
      <c r="L21" s="33">
        <f>'13'!L36</f>
        <v>27.170000000000002</v>
      </c>
      <c r="M21" s="33">
        <f>'13'!M36</f>
        <v>45.375</v>
      </c>
      <c r="N21" s="33">
        <f>'13'!N36</f>
        <v>128.18333333333334</v>
      </c>
      <c r="O21" s="33">
        <f>'13'!O36</f>
        <v>0</v>
      </c>
      <c r="P21" s="33">
        <f>'13'!P36</f>
        <v>1.87375</v>
      </c>
      <c r="Q21" s="33">
        <f>'13'!Q36</f>
        <v>49.457500000000003</v>
      </c>
      <c r="R21" s="47"/>
      <c r="S21" s="47"/>
      <c r="T21" s="47"/>
      <c r="U21" s="47"/>
    </row>
    <row r="22" spans="1:21" s="34" customFormat="1" ht="15">
      <c r="A22" s="36" t="str">
        <f>'14'!$B$2</f>
        <v>14-12-2022 01:00</v>
      </c>
      <c r="B22" s="30">
        <f>'14'!B36</f>
        <v>20.463333333333335</v>
      </c>
      <c r="C22" s="30">
        <f>'14'!C36</f>
        <v>79.709583333333327</v>
      </c>
      <c r="D22" s="30">
        <f>'14'!D36</f>
        <v>60.169166666666662</v>
      </c>
      <c r="E22" s="30">
        <f>'14'!E36</f>
        <v>10.029166666666667</v>
      </c>
      <c r="F22" s="30">
        <f>'14'!F36</f>
        <v>3.6529166666666666</v>
      </c>
      <c r="G22" s="30">
        <f>'14'!G36</f>
        <v>56.471249999999998</v>
      </c>
      <c r="H22" s="30">
        <f>'14'!H36</f>
        <v>20.924166666666665</v>
      </c>
      <c r="I22" s="30">
        <f>'14'!I36</f>
        <v>0.46541666666666653</v>
      </c>
      <c r="J22" s="30">
        <f>'14'!J36</f>
        <v>0.62916666666666665</v>
      </c>
      <c r="K22" s="30">
        <f>'14'!K36</f>
        <v>142.14250000000001</v>
      </c>
      <c r="L22" s="30">
        <f>'14'!L36</f>
        <v>26.68416666666667</v>
      </c>
      <c r="M22" s="30">
        <f>'14'!M36</f>
        <v>43.458333333333336</v>
      </c>
      <c r="N22" s="30">
        <f>'14'!N36</f>
        <v>145.84999999999999</v>
      </c>
      <c r="O22" s="30">
        <f>'14'!O36</f>
        <v>0</v>
      </c>
      <c r="P22" s="30">
        <f>'14'!P36</f>
        <v>1.3037500000000002</v>
      </c>
      <c r="Q22" s="30">
        <f>'14'!Q36</f>
        <v>43.103749999999998</v>
      </c>
      <c r="R22" s="48"/>
      <c r="S22" s="48"/>
      <c r="T22" s="48"/>
      <c r="U22" s="48"/>
    </row>
    <row r="23" spans="1:21" s="34" customFormat="1" ht="15">
      <c r="A23" s="36" t="str">
        <f>'15'!$B$2</f>
        <v>15-12-2022 01:00</v>
      </c>
      <c r="B23" s="33">
        <f>'15'!B36</f>
        <v>47.439999999999998</v>
      </c>
      <c r="C23" s="33">
        <f>'15'!C36</f>
        <v>92.577500000000029</v>
      </c>
      <c r="D23" s="33">
        <f>'15'!D36</f>
        <v>88.78125</v>
      </c>
      <c r="E23" s="33">
        <f>'15'!E36</f>
        <v>7.1470833333333319</v>
      </c>
      <c r="F23" s="33">
        <f>'15'!F36</f>
        <v>2.2979166666666671</v>
      </c>
      <c r="G23" s="33">
        <f>'15'!G36</f>
        <v>101.02833333333335</v>
      </c>
      <c r="H23" s="33">
        <f>'15'!H36</f>
        <v>26.177499999999998</v>
      </c>
      <c r="I23" s="33">
        <f>'15'!I36</f>
        <v>0.71208333333333329</v>
      </c>
      <c r="J23" s="33">
        <f>'15'!J36</f>
        <v>0.43041666666666673</v>
      </c>
      <c r="K23" s="33">
        <f>'15'!K36</f>
        <v>192.79374999999996</v>
      </c>
      <c r="L23" s="33">
        <f>'15'!L36</f>
        <v>25.905833333333334</v>
      </c>
      <c r="M23" s="33">
        <f>'15'!M36</f>
        <v>46.291666666666664</v>
      </c>
      <c r="N23" s="33">
        <f>'15'!N36</f>
        <v>132.3208333333333</v>
      </c>
      <c r="O23" s="33">
        <f>'15'!O36</f>
        <v>0</v>
      </c>
      <c r="P23" s="30">
        <f>'15'!P36</f>
        <v>1.8879166666666667</v>
      </c>
      <c r="Q23" s="30">
        <f>'15'!Q36</f>
        <v>48.165000000000013</v>
      </c>
      <c r="R23" s="48"/>
      <c r="S23" s="48"/>
      <c r="T23" s="48"/>
      <c r="U23" s="47"/>
    </row>
    <row r="24" spans="1:21" s="34" customFormat="1" ht="15">
      <c r="A24" s="36" t="str">
        <f>'16'!$B$2</f>
        <v>16-12-2022 01:00</v>
      </c>
      <c r="B24" s="33">
        <f>'16'!B36</f>
        <v>57.029166666666661</v>
      </c>
      <c r="C24" s="33">
        <f>'16'!C36</f>
        <v>96.277083333333337</v>
      </c>
      <c r="D24" s="33">
        <f>'16'!D36</f>
        <v>98.663750000000007</v>
      </c>
      <c r="E24" s="33">
        <f>'16'!E36</f>
        <v>6.3120833333333346</v>
      </c>
      <c r="F24" s="33">
        <f>'16'!F36</f>
        <v>1.8491666666666671</v>
      </c>
      <c r="G24" s="33">
        <f>'16'!G36</f>
        <v>93.528750000000002</v>
      </c>
      <c r="H24" s="33">
        <f>'16'!H36</f>
        <v>27.935833333333331</v>
      </c>
      <c r="I24" s="33">
        <f>'16'!I36</f>
        <v>0.91541666666666666</v>
      </c>
      <c r="J24" s="33">
        <f>'16'!J36</f>
        <v>0.71166666666666656</v>
      </c>
      <c r="K24" s="33">
        <f>'16'!K36</f>
        <v>193.92666666666665</v>
      </c>
      <c r="L24" s="33">
        <f>'16'!L36</f>
        <v>25.342083333333335</v>
      </c>
      <c r="M24" s="33">
        <f>'16'!M36</f>
        <v>54</v>
      </c>
      <c r="N24" s="33">
        <f>'16'!N36</f>
        <v>139.91249999999999</v>
      </c>
      <c r="O24" s="33">
        <f>'16'!O36</f>
        <v>0</v>
      </c>
      <c r="P24" s="30">
        <f>'16'!P36</f>
        <v>2.2916666666666665</v>
      </c>
      <c r="Q24" s="30">
        <f>'16'!Q36</f>
        <v>47.782916666666665</v>
      </c>
      <c r="R24" s="48"/>
      <c r="S24" s="48"/>
      <c r="T24" s="48"/>
      <c r="U24" s="47"/>
    </row>
    <row r="25" spans="1:21" s="34" customFormat="1" ht="15">
      <c r="A25" s="36" t="str">
        <f>'17'!$B$2</f>
        <v>17-12-2022 01:00</v>
      </c>
      <c r="B25" s="33">
        <f>'17'!B36</f>
        <v>34.598750000000003</v>
      </c>
      <c r="C25" s="33">
        <f>'17'!C36</f>
        <v>91.868333333333354</v>
      </c>
      <c r="D25" s="33">
        <f>'17'!D36</f>
        <v>78.107083333333321</v>
      </c>
      <c r="E25" s="33">
        <f>'17'!E36</f>
        <v>7.8933333333333335</v>
      </c>
      <c r="F25" s="33">
        <f>'17'!F36</f>
        <v>3.1445833333333337</v>
      </c>
      <c r="G25" s="33">
        <f>'17'!G36</f>
        <v>83.225999999999985</v>
      </c>
      <c r="H25" s="33">
        <f>'17'!H36</f>
        <v>26.954999999999995</v>
      </c>
      <c r="I25" s="33">
        <f>'17'!I36</f>
        <v>0.59208333333333341</v>
      </c>
      <c r="J25" s="33">
        <f>'17'!J36</f>
        <v>0.67833333333333323</v>
      </c>
      <c r="K25" s="33">
        <f>'17'!K36</f>
        <v>108.72250000000003</v>
      </c>
      <c r="L25" s="33">
        <f>'17'!L36</f>
        <v>24.626249999999999</v>
      </c>
      <c r="M25" s="33">
        <f>'17'!M36</f>
        <v>43.291666666666664</v>
      </c>
      <c r="N25" s="33">
        <f>'17'!N36</f>
        <v>147.06666666666666</v>
      </c>
      <c r="O25" s="33">
        <f>'17'!O36</f>
        <v>0</v>
      </c>
      <c r="P25" s="30">
        <f>'17'!P36</f>
        <v>1.7741666666666669</v>
      </c>
      <c r="Q25" s="30">
        <f>'17'!Q36</f>
        <v>39.478749999999998</v>
      </c>
      <c r="R25" s="48"/>
      <c r="S25" s="48"/>
      <c r="T25" s="48"/>
      <c r="U25" s="47"/>
    </row>
    <row r="26" spans="1:21" s="34" customFormat="1" ht="15">
      <c r="A26" s="36" t="str">
        <f>'18'!$B$2</f>
        <v>18-12-2022 01:00</v>
      </c>
      <c r="B26" s="33">
        <f>'18'!B36</f>
        <v>32.192083333333343</v>
      </c>
      <c r="C26" s="33">
        <f>'18'!C36</f>
        <v>89.395416666666677</v>
      </c>
      <c r="D26" s="33">
        <f>'18'!D36</f>
        <v>75.032499999999999</v>
      </c>
      <c r="E26" s="33">
        <f>'18'!E36</f>
        <v>7.7575000000000012</v>
      </c>
      <c r="F26" s="33">
        <f>'18'!F36</f>
        <v>1.4529166666666671</v>
      </c>
      <c r="G26" s="33">
        <f>'18'!G36</f>
        <v>116.92</v>
      </c>
      <c r="H26" s="33">
        <f>'18'!H36</f>
        <v>33.469545454545454</v>
      </c>
      <c r="I26" s="33">
        <f>'18'!I36</f>
        <v>0.48500000000000004</v>
      </c>
      <c r="J26" s="33">
        <f>'18'!J36</f>
        <v>0.72208333333333341</v>
      </c>
      <c r="K26" s="33">
        <f>'18'!K36</f>
        <v>141.38916666666665</v>
      </c>
      <c r="L26" s="33">
        <f>'18'!L36</f>
        <v>22.001249999999999</v>
      </c>
      <c r="M26" s="33">
        <f>'18'!M36</f>
        <v>44.291666666666664</v>
      </c>
      <c r="N26" s="33">
        <f>'18'!N36</f>
        <v>151.74583333333334</v>
      </c>
      <c r="O26" s="33">
        <f>'18'!O36</f>
        <v>0</v>
      </c>
      <c r="P26" s="30">
        <f>'18'!P36</f>
        <v>1.5716666666666665</v>
      </c>
      <c r="Q26" s="30">
        <f>'18'!Q36</f>
        <v>40.395000000000003</v>
      </c>
      <c r="R26" s="48"/>
      <c r="S26" s="48"/>
      <c r="T26" s="48"/>
      <c r="U26" s="47"/>
    </row>
    <row r="27" spans="1:21" s="34" customFormat="1" ht="15">
      <c r="A27" s="36" t="str">
        <f>'19'!$B$2</f>
        <v>19-12-2022 01:00</v>
      </c>
      <c r="B27" s="33">
        <f>'19'!B36</f>
        <v>58.783749999999998</v>
      </c>
      <c r="C27" s="33">
        <f>'19'!C36</f>
        <v>106.0675</v>
      </c>
      <c r="D27" s="33">
        <f>'19'!D36</f>
        <v>112.63291666666665</v>
      </c>
      <c r="E27" s="33">
        <f>'19'!E36</f>
        <v>9.9970833333333342</v>
      </c>
      <c r="F27" s="33">
        <f>'19'!F36</f>
        <v>1.7483333333333333</v>
      </c>
      <c r="G27" s="33">
        <f>'19'!G36</f>
        <v>118.3472727272727</v>
      </c>
      <c r="H27" s="33">
        <f>'19'!H36</f>
        <v>47.232272727272736</v>
      </c>
      <c r="I27" s="33">
        <f>'19'!I36</f>
        <v>0.66208333333333336</v>
      </c>
      <c r="J27" s="33">
        <f>'19'!J36</f>
        <v>0.51875000000000004</v>
      </c>
      <c r="K27" s="33">
        <f>'19'!K36</f>
        <v>216.13624999999999</v>
      </c>
      <c r="L27" s="33">
        <f>'19'!L36</f>
        <v>21.499166666666664</v>
      </c>
      <c r="M27" s="33">
        <f>'19'!M36</f>
        <v>48.916666666666664</v>
      </c>
      <c r="N27" s="33">
        <f>'19'!N36</f>
        <v>145.78749999999997</v>
      </c>
      <c r="O27" s="33">
        <f>'19'!O36</f>
        <v>0</v>
      </c>
      <c r="P27" s="30">
        <f>'19'!P36</f>
        <v>2.2474999999999996</v>
      </c>
      <c r="Q27" s="30">
        <f>'19'!Q36</f>
        <v>40.149583333333339</v>
      </c>
      <c r="R27" s="48"/>
      <c r="S27" s="48"/>
      <c r="T27" s="48"/>
      <c r="U27" s="47"/>
    </row>
    <row r="28" spans="1:21" s="34" customFormat="1" ht="15">
      <c r="A28" s="36" t="str">
        <f>'20'!$B$2</f>
        <v>20-12-2022 01:00</v>
      </c>
      <c r="B28" s="33">
        <f>'20'!B36</f>
        <v>79.954166666666652</v>
      </c>
      <c r="C28" s="33">
        <f>'20'!C36</f>
        <v>118.0454166666667</v>
      </c>
      <c r="D28" s="33">
        <f>'20'!D36</f>
        <v>128.89666666666668</v>
      </c>
      <c r="E28" s="33">
        <f>'20'!E36</f>
        <v>7.2079166666666632</v>
      </c>
      <c r="F28" s="33">
        <f>'20'!F36</f>
        <v>2.2729166666666658</v>
      </c>
      <c r="G28" s="33">
        <f>'20'!G36</f>
        <v>151.40375</v>
      </c>
      <c r="H28" s="33">
        <f>'20'!H36</f>
        <v>69.972916666666649</v>
      </c>
      <c r="I28" s="33">
        <f>'20'!I36</f>
        <v>0.81833333333333347</v>
      </c>
      <c r="J28" s="33">
        <f>'20'!J36</f>
        <v>0.38041666666666668</v>
      </c>
      <c r="K28" s="33">
        <f>'20'!K36</f>
        <v>242.80958333333334</v>
      </c>
      <c r="L28" s="33">
        <f>'20'!L36</f>
        <v>22.449583333333337</v>
      </c>
      <c r="M28" s="33">
        <f>'20'!M36</f>
        <v>53.041666666666664</v>
      </c>
      <c r="N28" s="33">
        <f>'20'!N36</f>
        <v>132.32916666666668</v>
      </c>
      <c r="O28" s="33">
        <f>'20'!O36</f>
        <v>0</v>
      </c>
      <c r="P28" s="30">
        <f>'20'!P36</f>
        <v>2.6645833333333333</v>
      </c>
      <c r="Q28" s="30">
        <f>'20'!Q36</f>
        <v>47.417499999999997</v>
      </c>
      <c r="R28" s="48"/>
      <c r="S28" s="48"/>
      <c r="T28" s="48"/>
      <c r="U28" s="47"/>
    </row>
    <row r="29" spans="1:21" s="34" customFormat="1" ht="15">
      <c r="A29" s="36" t="str">
        <f>'21'!$B$2</f>
        <v>21-12-2022 01:00</v>
      </c>
      <c r="B29" s="33">
        <f>'21'!B36</f>
        <v>78.822500000000005</v>
      </c>
      <c r="C29" s="33">
        <f>'21'!C36</f>
        <v>115.34041666666668</v>
      </c>
      <c r="D29" s="33">
        <f>'21'!D36</f>
        <v>126.69291666666668</v>
      </c>
      <c r="E29" s="33">
        <f>'21'!E36</f>
        <v>7.8816666666666677</v>
      </c>
      <c r="F29" s="33">
        <f>'21'!F36</f>
        <v>3.2799999999999998</v>
      </c>
      <c r="G29" s="33">
        <f>'21'!G36</f>
        <v>136.17391304347825</v>
      </c>
      <c r="H29" s="33">
        <f>'21'!H36</f>
        <v>63.568333333333328</v>
      </c>
      <c r="I29" s="33">
        <f>'21'!I36</f>
        <v>0.79249999999999987</v>
      </c>
      <c r="J29" s="33">
        <f>'21'!J36</f>
        <v>0.53333333333333333</v>
      </c>
      <c r="K29" s="33">
        <f>'21'!K36</f>
        <v>204.40000000000001</v>
      </c>
      <c r="L29" s="33">
        <f>'21'!L36</f>
        <v>22.244583333333335</v>
      </c>
      <c r="M29" s="33">
        <f>'21'!M36</f>
        <v>50.291666666666664</v>
      </c>
      <c r="N29" s="33">
        <f>'21'!N36</f>
        <v>139.82500000000002</v>
      </c>
      <c r="O29" s="33">
        <f>'21'!O36</f>
        <v>0</v>
      </c>
      <c r="P29" s="30">
        <f>'21'!P36</f>
        <v>2.6262499999999998</v>
      </c>
      <c r="Q29" s="30">
        <f>'21'!Q36</f>
        <v>42.98416666666666</v>
      </c>
      <c r="R29" s="48"/>
      <c r="S29" s="48"/>
      <c r="T29" s="48"/>
      <c r="U29" s="47"/>
    </row>
    <row r="30" spans="1:21" s="34" customFormat="1" ht="15">
      <c r="A30" s="36" t="str">
        <f>'22'!$B$2</f>
        <v>22-12-2022 01:00</v>
      </c>
      <c r="B30" s="33">
        <f>'22'!B36</f>
        <v>79.901666666666685</v>
      </c>
      <c r="C30" s="33">
        <f>'22'!C36</f>
        <v>116.67458333333333</v>
      </c>
      <c r="D30" s="33">
        <f>'22'!D36</f>
        <v>128.25333333333333</v>
      </c>
      <c r="E30" s="33">
        <f>'22'!E36</f>
        <v>10.237916666666667</v>
      </c>
      <c r="F30" s="33">
        <f>'22'!F36</f>
        <v>2.7016666666666662</v>
      </c>
      <c r="G30" s="33">
        <f>'22'!G36</f>
        <v>125.67583333333333</v>
      </c>
      <c r="H30" s="33">
        <f>'22'!H36</f>
        <v>58.490000000000002</v>
      </c>
      <c r="I30" s="33">
        <f>'22'!I36</f>
        <v>0.79499999999999993</v>
      </c>
      <c r="J30" s="33">
        <f>'22'!J36</f>
        <v>0.4916666666666667</v>
      </c>
      <c r="K30" s="33">
        <f>'22'!K36</f>
        <v>208.17458333333335</v>
      </c>
      <c r="L30" s="33">
        <f>'22'!L36</f>
        <v>22.402499999999993</v>
      </c>
      <c r="M30" s="33">
        <f>'22'!M36</f>
        <v>45.833333333333336</v>
      </c>
      <c r="N30" s="33">
        <f>'22'!N36</f>
        <v>140.07916666666665</v>
      </c>
      <c r="O30" s="33">
        <f>'22'!O36</f>
        <v>0</v>
      </c>
      <c r="P30" s="30">
        <f>'22'!P36</f>
        <v>2.4016666666666668</v>
      </c>
      <c r="Q30" s="30">
        <f>'22'!Q36</f>
        <v>42.091666666666661</v>
      </c>
      <c r="R30" s="48"/>
      <c r="S30" s="47"/>
      <c r="T30" s="47"/>
      <c r="U30" s="47"/>
    </row>
    <row r="31" spans="1:21" s="34" customFormat="1" ht="15">
      <c r="A31" s="36" t="str">
        <f>'23'!$B$2</f>
        <v>23-12-2022 01:00</v>
      </c>
      <c r="B31" s="33">
        <f>'23'!B36</f>
        <v>40.662083333333335</v>
      </c>
      <c r="C31" s="33">
        <f>'23'!C36</f>
        <v>99.357916666666668</v>
      </c>
      <c r="D31" s="33">
        <f>'23'!D36</f>
        <v>87.020416666666677</v>
      </c>
      <c r="E31" s="33">
        <f>'23'!E36</f>
        <v>6.8766666666666678</v>
      </c>
      <c r="F31" s="33">
        <f>'23'!F36</f>
        <v>4.4762499999999994</v>
      </c>
      <c r="G31" s="33">
        <f>'23'!G36</f>
        <v>120.66083333333331</v>
      </c>
      <c r="H31" s="33">
        <f>'23'!H36</f>
        <v>54.929166666666653</v>
      </c>
      <c r="I31" s="33">
        <f>'23'!I36</f>
        <v>0.60291666666666655</v>
      </c>
      <c r="J31" s="33">
        <f>'23'!J36</f>
        <v>0.5099999999999999</v>
      </c>
      <c r="K31" s="33">
        <f>'23'!K36</f>
        <v>216.80124999999995</v>
      </c>
      <c r="L31" s="33">
        <f>'23'!L36</f>
        <v>23.46833333333333</v>
      </c>
      <c r="M31" s="33">
        <f>'23'!M36</f>
        <v>49</v>
      </c>
      <c r="N31" s="33">
        <f>'23'!N36</f>
        <v>136.59166666666667</v>
      </c>
      <c r="O31" s="33">
        <f>'23'!O36</f>
        <v>0</v>
      </c>
      <c r="P31" s="33">
        <f>'23'!P36</f>
        <v>1.9237499999999998</v>
      </c>
      <c r="Q31" s="33">
        <f>'23'!Q36</f>
        <v>44.235416666666673</v>
      </c>
      <c r="R31" s="47"/>
      <c r="S31" s="47"/>
      <c r="T31" s="47"/>
      <c r="U31" s="47"/>
    </row>
    <row r="32" spans="1:21" s="34" customFormat="1" ht="15">
      <c r="A32" s="36" t="str">
        <f>'24'!$B$2</f>
        <v>24-12-2022 01:00</v>
      </c>
      <c r="B32" s="33">
        <f>'24'!B36</f>
        <v>51.922083333333326</v>
      </c>
      <c r="C32" s="33">
        <f>'24'!C36</f>
        <v>91.501250000000013</v>
      </c>
      <c r="D32" s="33">
        <f>'24'!D36</f>
        <v>91.977083333333326</v>
      </c>
      <c r="E32" s="33">
        <f>'24'!E36</f>
        <v>5.0979166666666655</v>
      </c>
      <c r="F32" s="33">
        <f>'24'!F36</f>
        <v>4.2356521739130431</v>
      </c>
      <c r="G32" s="33">
        <f>'24'!G36</f>
        <v>120.69136363636363</v>
      </c>
      <c r="H32" s="33">
        <f>'24'!H36</f>
        <v>54.359999999999992</v>
      </c>
      <c r="I32" s="33">
        <f>'24'!I36</f>
        <v>0.54583333333333328</v>
      </c>
      <c r="J32" s="33">
        <f>'24'!J36</f>
        <v>0.4754166666666666</v>
      </c>
      <c r="K32" s="33">
        <f>'24'!K36</f>
        <v>229.98500000000004</v>
      </c>
      <c r="L32" s="33">
        <f>'24'!L36</f>
        <v>23.164583333333329</v>
      </c>
      <c r="M32" s="33">
        <f>'24'!M36</f>
        <v>53.25</v>
      </c>
      <c r="N32" s="33">
        <f>'24'!N36</f>
        <v>142.71250000000001</v>
      </c>
      <c r="O32" s="33">
        <f>'24'!O36</f>
        <v>0</v>
      </c>
      <c r="P32" s="33">
        <f>'24'!P36</f>
        <v>1.7116666666666667</v>
      </c>
      <c r="Q32" s="33">
        <f>'24'!Q36</f>
        <v>42.157499999999999</v>
      </c>
      <c r="R32" s="47"/>
      <c r="S32" s="47"/>
      <c r="T32" s="47"/>
      <c r="U32" s="47"/>
    </row>
    <row r="33" spans="1:21" s="34" customFormat="1" ht="15">
      <c r="A33" s="36" t="str">
        <f>'25'!$B$2</f>
        <v>25-12-2022 01:00</v>
      </c>
      <c r="B33" s="33">
        <f>'25'!B36</f>
        <v>81.585833333333355</v>
      </c>
      <c r="C33" s="33">
        <f>'25'!C36</f>
        <v>109.00374999999998</v>
      </c>
      <c r="D33" s="33">
        <f>'25'!D36</f>
        <v>125.28875000000001</v>
      </c>
      <c r="E33" s="33">
        <f>'25'!E36</f>
        <v>5.0387499999999994</v>
      </c>
      <c r="F33" s="33">
        <f>'25'!F36</f>
        <v>1.4725000000000001</v>
      </c>
      <c r="G33" s="33">
        <f>'25'!G36</f>
        <v>102.34458333333333</v>
      </c>
      <c r="H33" s="33">
        <f>'25'!H36</f>
        <v>46.647916666666667</v>
      </c>
      <c r="I33" s="33">
        <f>'25'!I36</f>
        <v>0.78291666666666682</v>
      </c>
      <c r="J33" s="33">
        <f>'25'!J36</f>
        <v>0.27958333333333335</v>
      </c>
      <c r="K33" s="33">
        <f>'25'!K36</f>
        <v>307.33083333333337</v>
      </c>
      <c r="L33" s="33">
        <f>'25'!L36</f>
        <v>24.072499999999994</v>
      </c>
      <c r="M33" s="33">
        <f>'25'!M36</f>
        <v>58.583333333333336</v>
      </c>
      <c r="N33" s="33">
        <f>'25'!N36</f>
        <v>132.73750000000001</v>
      </c>
      <c r="O33" s="33">
        <f>'25'!O36</f>
        <v>0</v>
      </c>
      <c r="P33" s="33">
        <f>'25'!P36</f>
        <v>2.2858333333333332</v>
      </c>
      <c r="Q33" s="33">
        <f>'25'!Q36</f>
        <v>48.043333333333344</v>
      </c>
      <c r="R33" s="47"/>
      <c r="S33" s="47"/>
      <c r="T33" s="47"/>
      <c r="U33" s="47"/>
    </row>
    <row r="34" spans="1:21" s="34" customFormat="1" ht="15">
      <c r="A34" s="36" t="str">
        <f>'26'!$B$2</f>
        <v>26-12-2022 01:00</v>
      </c>
      <c r="B34" s="33">
        <f>'26'!B36</f>
        <v>76.897727272727266</v>
      </c>
      <c r="C34" s="33">
        <f>'26'!C36</f>
        <v>116.72772727272726</v>
      </c>
      <c r="D34" s="33">
        <f>'26'!D36</f>
        <v>125.37636363636362</v>
      </c>
      <c r="E34" s="33">
        <f>'26'!E36</f>
        <v>6.1409090909090915</v>
      </c>
      <c r="F34" s="33">
        <f>'26'!F36</f>
        <v>3.5463636363636368</v>
      </c>
      <c r="G34" s="33">
        <f>'26'!G36</f>
        <v>131.23999999999998</v>
      </c>
      <c r="H34" s="33">
        <f>'26'!H36</f>
        <v>51.782857142857154</v>
      </c>
      <c r="I34" s="33">
        <f>'26'!I36</f>
        <v>0.81428571428571439</v>
      </c>
      <c r="J34" s="33">
        <f>'26'!J36</f>
        <v>0.32045454545454549</v>
      </c>
      <c r="K34" s="33">
        <f>'26'!K36</f>
        <v>275.52545454545458</v>
      </c>
      <c r="L34" s="33">
        <f>'26'!L36</f>
        <v>23.582727272727269</v>
      </c>
      <c r="M34" s="33">
        <f>'26'!M36</f>
        <v>64.045454545454547</v>
      </c>
      <c r="N34" s="33">
        <f>'26'!N36</f>
        <v>108.8909090909091</v>
      </c>
      <c r="O34" s="33">
        <f>'26'!O36</f>
        <v>0</v>
      </c>
      <c r="P34" s="33">
        <f>'26'!P36</f>
        <v>2.3904545454545452</v>
      </c>
      <c r="Q34" s="33">
        <f>'26'!Q36</f>
        <v>45.653636363636366</v>
      </c>
      <c r="R34" s="47"/>
      <c r="S34" s="47"/>
      <c r="T34" s="47"/>
      <c r="U34" s="47"/>
    </row>
    <row r="35" spans="1:21" s="34" customFormat="1" ht="15">
      <c r="A35" s="36" t="str">
        <f>'27'!$B$2</f>
        <v>27-12-2022 01:00</v>
      </c>
      <c r="B35" s="33">
        <f>'27'!B36</f>
        <v>62.280000000000008</v>
      </c>
      <c r="C35" s="33">
        <f>'27'!C36</f>
        <v>109.18208333333332</v>
      </c>
      <c r="D35" s="33">
        <f>'27'!D36</f>
        <v>109.11333333333333</v>
      </c>
      <c r="E35" s="33">
        <f>'27'!E36</f>
        <v>4.1004166666666668</v>
      </c>
      <c r="F35" s="33">
        <f>'27'!F36</f>
        <v>0.44956521739130434</v>
      </c>
      <c r="G35" s="33">
        <f>'27'!G36</f>
        <v>70.587083333333325</v>
      </c>
      <c r="H35" s="33">
        <f>'27'!H36</f>
        <v>28.103333333333335</v>
      </c>
      <c r="I35" s="33">
        <f>'27'!I36</f>
        <v>0.61434782608695648</v>
      </c>
      <c r="J35" s="33">
        <f>'27'!J36</f>
        <v>0.32333333333333336</v>
      </c>
      <c r="K35" s="33">
        <f>'27'!K36</f>
        <v>298.59875</v>
      </c>
      <c r="L35" s="33">
        <f>'27'!L36</f>
        <v>24.891666666666666</v>
      </c>
      <c r="M35" s="33">
        <f>'27'!M36</f>
        <v>65.416666666666671</v>
      </c>
      <c r="N35" s="33">
        <f>'27'!N36</f>
        <v>127.27916666666665</v>
      </c>
      <c r="O35" s="33">
        <f>'27'!O36</f>
        <v>0</v>
      </c>
      <c r="P35" s="30">
        <f>'27'!P36</f>
        <v>1.7166666666666668</v>
      </c>
      <c r="Q35" s="33">
        <f>'27'!Q36</f>
        <v>38.940416666666657</v>
      </c>
      <c r="R35" s="47"/>
      <c r="S35" s="47"/>
      <c r="T35" s="47"/>
      <c r="U35" s="47"/>
    </row>
    <row r="36" spans="1:21" s="34" customFormat="1" ht="15">
      <c r="A36" s="36" t="str">
        <f>'28'!$B$2</f>
        <v>28-12-2022 01:00</v>
      </c>
      <c r="B36" s="33">
        <f>'28'!B36</f>
        <v>48.649090909090908</v>
      </c>
      <c r="C36" s="33">
        <f>'28'!C36</f>
        <v>106.73681818181818</v>
      </c>
      <c r="D36" s="33">
        <f>'28'!D36</f>
        <v>97.601363636363658</v>
      </c>
      <c r="E36" s="33">
        <f>'28'!E36</f>
        <v>4.6349999999999998</v>
      </c>
      <c r="F36" s="33">
        <f>'28'!F36</f>
        <v>2.6259090909090905</v>
      </c>
      <c r="G36" s="33">
        <f>'28'!G36</f>
        <v>98.784090909090892</v>
      </c>
      <c r="H36" s="33">
        <f>'28'!H36</f>
        <v>43.268181818181823</v>
      </c>
      <c r="I36" s="33">
        <f>'28'!I36</f>
        <v>0.61149999999999993</v>
      </c>
      <c r="J36" s="33">
        <f>'28'!J36</f>
        <v>0.66454545454545455</v>
      </c>
      <c r="K36" s="33">
        <f>'28'!K36</f>
        <v>168.38590909090911</v>
      </c>
      <c r="L36" s="33">
        <f>'28'!L36</f>
        <v>24.321363636363632</v>
      </c>
      <c r="M36" s="33">
        <f>'28'!M36</f>
        <v>65.045454545454547</v>
      </c>
      <c r="N36" s="33">
        <f>'28'!N36</f>
        <v>85.895454545454541</v>
      </c>
      <c r="O36" s="33">
        <f>'28'!O36</f>
        <v>0</v>
      </c>
      <c r="P36" s="30">
        <f>'28'!P36</f>
        <v>1.8009090909090908</v>
      </c>
      <c r="Q36" s="33">
        <f>'28'!Q36</f>
        <v>43.079090909090908</v>
      </c>
      <c r="R36" s="47"/>
      <c r="S36" s="47"/>
      <c r="T36" s="47"/>
      <c r="U36" s="47"/>
    </row>
    <row r="37" spans="1:21" s="34" customFormat="1" ht="15">
      <c r="A37" s="36" t="str">
        <f>'29'!$B$2</f>
        <v>29-12-2022 01:00</v>
      </c>
      <c r="B37" s="33">
        <f>'29'!B36</f>
        <v>41.318750000000001</v>
      </c>
      <c r="C37" s="33">
        <f>'29'!C36</f>
        <v>96.067916666666676</v>
      </c>
      <c r="D37" s="33">
        <f>'29'!D36</f>
        <v>86.030000000000015</v>
      </c>
      <c r="E37" s="33">
        <f>'29'!E36</f>
        <v>5.4149999999999991</v>
      </c>
      <c r="F37" s="33">
        <f>'29'!F36</f>
        <v>2.3237499999999995</v>
      </c>
      <c r="G37" s="33">
        <f>'29'!G36</f>
        <v>104.96250000000001</v>
      </c>
      <c r="H37" s="33">
        <f>'29'!H36</f>
        <v>36.635416666666671</v>
      </c>
      <c r="I37" s="33">
        <f>'29'!I36</f>
        <v>0.46875</v>
      </c>
      <c r="J37" s="33">
        <f>'29'!J36</f>
        <v>0.53083333333333316</v>
      </c>
      <c r="K37" s="33">
        <f>'29'!K36</f>
        <v>174.95583333333335</v>
      </c>
      <c r="L37" s="33">
        <f>'29'!L36</f>
        <v>22.032916666666665</v>
      </c>
      <c r="M37" s="33">
        <f>'29'!M36</f>
        <v>40.208333333333336</v>
      </c>
      <c r="N37" s="33">
        <f>'29'!N36</f>
        <v>141.48749999999998</v>
      </c>
      <c r="O37" s="33">
        <f>'29'!O36</f>
        <v>0</v>
      </c>
      <c r="P37" s="33">
        <f>'29'!P36</f>
        <v>1.3829166666666668</v>
      </c>
      <c r="Q37" s="33">
        <f>'29'!Q36</f>
        <v>36.789583333333347</v>
      </c>
      <c r="R37" s="47"/>
      <c r="S37" s="47"/>
      <c r="T37" s="47"/>
      <c r="U37" s="47"/>
    </row>
    <row r="38" spans="1:21" s="34" customFormat="1" ht="15">
      <c r="A38" s="36" t="str">
        <f>'30'!$B$2</f>
        <v>30-12-2022 01:00</v>
      </c>
      <c r="B38" s="33">
        <f>'30'!B36</f>
        <v>85.349166666666676</v>
      </c>
      <c r="C38" s="33">
        <f>'30'!C36</f>
        <v>137.28708333333336</v>
      </c>
      <c r="D38" s="33">
        <f>'30'!D36</f>
        <v>144.11541666666665</v>
      </c>
      <c r="E38" s="33">
        <f>'30'!E36</f>
        <v>5.8666666666666663</v>
      </c>
      <c r="F38" s="33">
        <f>'30'!F36</f>
        <v>2.2479166666666668</v>
      </c>
      <c r="G38" s="33">
        <f>'30'!G36</f>
        <v>121.13291666666663</v>
      </c>
      <c r="H38" s="33">
        <f>'30'!H36</f>
        <v>56.114583333333336</v>
      </c>
      <c r="I38" s="33">
        <f>'30'!I36</f>
        <v>0.8354166666666667</v>
      </c>
      <c r="J38" s="33">
        <f>'30'!J36</f>
        <v>0.36916666666666664</v>
      </c>
      <c r="K38" s="33">
        <f>'30'!K36</f>
        <v>271.55041666666671</v>
      </c>
      <c r="L38" s="33">
        <f>'30'!L36</f>
        <v>22.867916666666662</v>
      </c>
      <c r="M38" s="33">
        <f>'30'!M36</f>
        <v>52.375</v>
      </c>
      <c r="N38" s="33">
        <f>'30'!N36</f>
        <v>131.38333333333335</v>
      </c>
      <c r="O38" s="33">
        <f>'30'!O36</f>
        <v>0</v>
      </c>
      <c r="P38" s="33">
        <f>'30'!P36</f>
        <v>2.3374999999999999</v>
      </c>
      <c r="Q38" s="33">
        <f>'30'!Q36</f>
        <v>42.710833333333341</v>
      </c>
      <c r="R38" s="47"/>
      <c r="S38" s="47"/>
      <c r="T38" s="47"/>
      <c r="U38" s="47"/>
    </row>
    <row r="39" spans="1:21" s="34" customFormat="1" ht="15">
      <c r="A39" s="36" t="str">
        <f>'31'!$B$2</f>
        <v>31-12-2022 01:00</v>
      </c>
      <c r="B39" s="33">
        <f>'31'!B35</f>
        <v>139.49000000000001</v>
      </c>
      <c r="C39" s="33">
        <f>'31'!C35</f>
        <v>177.27000000000001</v>
      </c>
      <c r="D39" s="33">
        <f>'31'!D35</f>
        <v>209.69</v>
      </c>
      <c r="E39" s="33">
        <f>'31'!E35</f>
        <v>13.58</v>
      </c>
      <c r="F39" s="33">
        <f>'31'!F35</f>
        <v>24.82</v>
      </c>
      <c r="G39" s="33">
        <f>'31'!G35</f>
        <v>193.06</v>
      </c>
      <c r="H39" s="33">
        <f>'31'!H35</f>
        <v>84</v>
      </c>
      <c r="I39" s="33">
        <f>'31'!I35</f>
        <v>1.3999999999999999</v>
      </c>
      <c r="J39" s="33">
        <f>'31'!J35</f>
        <v>1.3100000000000001</v>
      </c>
      <c r="K39" s="33">
        <f>'31'!K35</f>
        <v>359.98000000000002</v>
      </c>
      <c r="L39" s="33">
        <f>'31'!L35</f>
        <v>34.229999999999997</v>
      </c>
      <c r="M39" s="33">
        <f>'31'!M35</f>
        <v>80</v>
      </c>
      <c r="N39" s="33">
        <f>'31'!N35</f>
        <v>342.69999999999999</v>
      </c>
      <c r="O39" s="33">
        <f>'31'!O35</f>
        <v>0</v>
      </c>
      <c r="P39" s="33">
        <f>'31'!P35</f>
        <v>3.79</v>
      </c>
      <c r="Q39" s="33">
        <f>'31'!Q35</f>
        <v>49.829999999999998</v>
      </c>
      <c r="R39" s="47"/>
      <c r="S39" s="47"/>
      <c r="T39" s="47"/>
      <c r="U39" s="47"/>
    </row>
    <row r="40" spans="1:21" ht="1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20"/>
      <c r="S40" s="20"/>
      <c r="T40" s="20"/>
      <c r="U40" s="49"/>
    </row>
    <row r="41" spans="1:21" s="21" customFormat="1" ht="15">
      <c r="A41" s="14" t="s">
        <v>30</v>
      </c>
      <c r="B41" s="15">
        <f t="shared" si="0" ref="B41:Q41">MIN(B9:B38)</f>
        <v>11.854583333333336</v>
      </c>
      <c r="C41" s="15">
        <f t="shared" si="0"/>
        <v>25.713999999999999</v>
      </c>
      <c r="D41" s="15">
        <f t="shared" si="0"/>
        <v>42.967500000000001</v>
      </c>
      <c r="E41" s="15">
        <f t="shared" si="0"/>
        <v>4.1004166666666668</v>
      </c>
      <c r="F41" s="15">
        <f t="shared" si="0"/>
        <v>0.44956521739130434</v>
      </c>
      <c r="G41" s="15">
        <f t="shared" si="0"/>
        <v>56.471249999999998</v>
      </c>
      <c r="H41" s="15">
        <f t="shared" si="0"/>
        <v>20.924166666666665</v>
      </c>
      <c r="I41" s="15">
        <f t="shared" si="0"/>
        <v>0.46541666666666653</v>
      </c>
      <c r="J41" s="15">
        <f t="shared" si="0"/>
        <v>0.27958333333333335</v>
      </c>
      <c r="K41" s="15">
        <f t="shared" si="0"/>
        <v>100.38541666666669</v>
      </c>
      <c r="L41" s="15">
        <f t="shared" si="0"/>
        <v>20.317083333333333</v>
      </c>
      <c r="M41" s="15">
        <f t="shared" si="0"/>
        <v>34.291666666666664</v>
      </c>
      <c r="N41" s="15">
        <f t="shared" si="0"/>
        <v>82.604166666666686</v>
      </c>
      <c r="O41" s="15">
        <f t="shared" si="0"/>
        <v>0</v>
      </c>
      <c r="P41" s="15">
        <f t="shared" si="0"/>
        <v>1.3037500000000002</v>
      </c>
      <c r="Q41" s="15">
        <f t="shared" si="0"/>
        <v>36.789583333333347</v>
      </c>
      <c r="R41" s="28"/>
      <c r="S41" s="28"/>
      <c r="T41" s="28"/>
      <c r="U41" s="28"/>
    </row>
    <row r="42" spans="1:21" s="21" customFormat="1" ht="15">
      <c r="A42" s="14" t="s">
        <v>31</v>
      </c>
      <c r="B42" s="15">
        <f t="shared" si="1" ref="B42:Q42">MAX(B9:B38)</f>
        <v>85.349166666666676</v>
      </c>
      <c r="C42" s="15">
        <f t="shared" si="1"/>
        <v>137.28708333333336</v>
      </c>
      <c r="D42" s="15">
        <f t="shared" si="1"/>
        <v>144.11541666666665</v>
      </c>
      <c r="E42" s="15">
        <f t="shared" si="1"/>
        <v>10.865833333333333</v>
      </c>
      <c r="F42" s="15">
        <f t="shared" si="1"/>
        <v>6.7129166666666684</v>
      </c>
      <c r="G42" s="15">
        <f t="shared" si="1"/>
        <v>157.54833333333332</v>
      </c>
      <c r="H42" s="15">
        <f t="shared" si="1"/>
        <v>69.972916666666649</v>
      </c>
      <c r="I42" s="15">
        <f t="shared" si="1"/>
        <v>1.0778947368421052</v>
      </c>
      <c r="J42" s="15">
        <f t="shared" si="1"/>
        <v>1.5966666666666667</v>
      </c>
      <c r="K42" s="15">
        <f t="shared" si="1"/>
        <v>310.66708333333338</v>
      </c>
      <c r="L42" s="15">
        <f t="shared" si="1"/>
        <v>27.170000000000002</v>
      </c>
      <c r="M42" s="15">
        <f t="shared" si="1"/>
        <v>76.833333333333329</v>
      </c>
      <c r="N42" s="15">
        <f t="shared" si="1"/>
        <v>206.96666666666664</v>
      </c>
      <c r="O42" s="15">
        <f t="shared" si="1"/>
        <v>0</v>
      </c>
      <c r="P42" s="15">
        <f t="shared" si="1"/>
        <v>2.6645833333333333</v>
      </c>
      <c r="Q42" s="15">
        <f t="shared" si="1"/>
        <v>122.84041666666668</v>
      </c>
      <c r="R42" s="28"/>
      <c r="S42" s="28"/>
      <c r="T42" s="28"/>
      <c r="U42" s="28"/>
    </row>
    <row r="43" spans="1:21" s="21" customFormat="1" ht="15">
      <c r="A43" s="14" t="s">
        <v>32</v>
      </c>
      <c r="B43" s="15">
        <f t="shared" si="2" ref="B43:Q43">AVERAGE(B9:B38)</f>
        <v>47.837602272727274</v>
      </c>
      <c r="C43" s="15">
        <f t="shared" si="2"/>
        <v>85.241203129034702</v>
      </c>
      <c r="D43" s="15">
        <f t="shared" si="2"/>
        <v>84.370382575757574</v>
      </c>
      <c r="E43" s="15">
        <f t="shared" si="2"/>
        <v>6.9268431049626704</v>
      </c>
      <c r="F43" s="15">
        <f t="shared" si="2"/>
        <v>2.6922055884936325</v>
      </c>
      <c r="G43" s="15">
        <f t="shared" si="2"/>
        <v>111.26375374350003</v>
      </c>
      <c r="H43" s="15">
        <f t="shared" si="2"/>
        <v>43.044429388422031</v>
      </c>
      <c r="I43" s="15">
        <f t="shared" si="2"/>
        <v>0.69803832074146721</v>
      </c>
      <c r="J43" s="15">
        <f t="shared" si="2"/>
        <v>0.60713888888888901</v>
      </c>
      <c r="K43" s="15">
        <f t="shared" si="2"/>
        <v>204.47940656565655</v>
      </c>
      <c r="L43" s="15">
        <f t="shared" si="2"/>
        <v>23.438757708665609</v>
      </c>
      <c r="M43" s="15">
        <f t="shared" si="2"/>
        <v>52.14885469944452</v>
      </c>
      <c r="N43" s="15">
        <f t="shared" si="2"/>
        <v>136.21662061794416</v>
      </c>
      <c r="O43" s="15">
        <f t="shared" si="2"/>
        <v>0</v>
      </c>
      <c r="P43" s="15">
        <f t="shared" si="2"/>
        <v>2.017989898989899</v>
      </c>
      <c r="Q43" s="15">
        <f t="shared" si="2"/>
        <v>48.378646464646458</v>
      </c>
      <c r="R43" s="28"/>
      <c r="S43" s="28"/>
      <c r="T43" s="28"/>
      <c r="U43" s="28"/>
    </row>
    <row r="44" spans="1:21" s="21" customFormat="1" ht="15">
      <c r="A44" s="14" t="s">
        <v>38</v>
      </c>
      <c r="B44" s="15">
        <f t="shared" si="3" ref="B44:Q44">STDEV(B9:B38)</f>
        <v>20.975399794161813</v>
      </c>
      <c r="C44" s="15">
        <f t="shared" si="3"/>
        <v>30.79259140376309</v>
      </c>
      <c r="D44" s="15">
        <f t="shared" si="3"/>
        <v>29.514627430302902</v>
      </c>
      <c r="E44" s="15">
        <f t="shared" si="3"/>
        <v>1.8566907811553677</v>
      </c>
      <c r="F44" s="15">
        <f t="shared" si="3"/>
        <v>1.1821937301634411</v>
      </c>
      <c r="G44" s="15">
        <f t="shared" si="3"/>
        <v>23.19456612447539</v>
      </c>
      <c r="H44" s="15">
        <f t="shared" si="3"/>
        <v>12.810028482904245</v>
      </c>
      <c r="I44" s="15">
        <f t="shared" si="3"/>
        <v>0.15544809169744891</v>
      </c>
      <c r="J44" s="15">
        <f t="shared" si="3"/>
        <v>0.24551276221716559</v>
      </c>
      <c r="K44" s="15">
        <f t="shared" si="3"/>
        <v>62.494303407138098</v>
      </c>
      <c r="L44" s="15">
        <f t="shared" si="3"/>
        <v>1.7402623972353668</v>
      </c>
      <c r="M44" s="15">
        <f t="shared" si="3"/>
        <v>8.8036927463032164</v>
      </c>
      <c r="N44" s="15">
        <f t="shared" si="3"/>
        <v>23.704057138777252</v>
      </c>
      <c r="O44" s="15">
        <f t="shared" si="3"/>
        <v>0</v>
      </c>
      <c r="P44" s="15">
        <f t="shared" si="3"/>
        <v>0.38489066471892003</v>
      </c>
      <c r="Q44" s="15">
        <f t="shared" si="3"/>
        <v>16.998144952741288</v>
      </c>
      <c r="R44" s="28"/>
      <c r="S44" s="28"/>
      <c r="T44" s="28"/>
      <c r="U44" s="28"/>
    </row>
    <row r="45" spans="1:21" s="21" customFormat="1" ht="15">
      <c r="A45" s="14" t="s">
        <v>33</v>
      </c>
      <c r="B45" s="12">
        <f t="shared" si="4" ref="B45:Q45">COUNT(B9:B38)</f>
        <v>30</v>
      </c>
      <c r="C45" s="12">
        <f t="shared" si="4"/>
        <v>30</v>
      </c>
      <c r="D45" s="12">
        <f t="shared" si="4"/>
        <v>30</v>
      </c>
      <c r="E45" s="12">
        <f t="shared" si="4"/>
        <v>30</v>
      </c>
      <c r="F45" s="12">
        <f t="shared" si="4"/>
        <v>30</v>
      </c>
      <c r="G45" s="12">
        <f t="shared" si="4"/>
        <v>30</v>
      </c>
      <c r="H45" s="12">
        <f t="shared" si="4"/>
        <v>30</v>
      </c>
      <c r="I45" s="12">
        <f t="shared" si="4"/>
        <v>30</v>
      </c>
      <c r="J45" s="12">
        <f t="shared" si="4"/>
        <v>30</v>
      </c>
      <c r="K45" s="12">
        <f t="shared" si="4"/>
        <v>30</v>
      </c>
      <c r="L45" s="12">
        <f t="shared" si="4"/>
        <v>30</v>
      </c>
      <c r="M45" s="15">
        <f>COUNT(M9:M38)+1</f>
        <v>30</v>
      </c>
      <c r="N45" s="12">
        <f t="shared" si="4"/>
        <v>30</v>
      </c>
      <c r="O45" s="12">
        <f t="shared" si="4"/>
        <v>30</v>
      </c>
      <c r="P45" s="12">
        <f t="shared" si="4"/>
        <v>30</v>
      </c>
      <c r="Q45" s="12">
        <f t="shared" si="4"/>
        <v>30</v>
      </c>
      <c r="R45" s="29"/>
      <c r="S45" s="29"/>
      <c r="T45" s="29"/>
      <c r="U45" s="29"/>
    </row>
    <row r="46" spans="1:21" s="21" customFormat="1" ht="15">
      <c r="A46" s="14" t="s">
        <v>34</v>
      </c>
      <c r="B46" s="12" t="str">
        <f>IF(B45&gt;=28,"&gt;90%",IF(B45&lt;=28,"&lt;90%"))</f>
        <v>&gt;90%</v>
      </c>
      <c r="C46" s="12" t="str">
        <f t="shared" si="5" ref="C46:Q46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&gt;90%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ht="15">
      <c r="A47" s="14" t="s">
        <v>1</v>
      </c>
      <c r="B47" s="12" t="str">
        <f>IF(B45&gt;=28,"OK",IF(B45&lt;=28,"LESS"))</f>
        <v>OK</v>
      </c>
      <c r="C47" s="12" t="str">
        <f t="shared" si="6" ref="C47:Q47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OK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2:20" ht="1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ht="15">
      <c r="A50" s="14" t="s">
        <v>35</v>
      </c>
      <c r="B50" s="40" t="s">
        <v>41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>
      <c r="A52" s="17" t="s">
        <v>36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sheetProtection/>
  <mergeCells count="1">
    <mergeCell ref="B52:P52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2024-08-30T15:31:21Z</dcterms:modified>
  <cp:category/>
</cp:coreProperties>
</file>